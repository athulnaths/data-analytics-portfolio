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pc\New folder (4)\New folder\"/>
    </mc:Choice>
  </mc:AlternateContent>
  <xr:revisionPtr revIDLastSave="0" documentId="13_ncr:1_{D3202FAC-D1EF-426A-ABB2-59B44F8223F4}" xr6:coauthVersionLast="47" xr6:coauthVersionMax="47" xr10:uidLastSave="{00000000-0000-0000-0000-000000000000}"/>
  <bookViews>
    <workbookView xWindow="-108" yWindow="-108" windowWidth="23256" windowHeight="12456" tabRatio="794" firstSheet="2" activeTab="9" xr2:uid="{97319036-B844-4D7E-A444-0F4D303DDCD3}"/>
  </bookViews>
  <sheets>
    <sheet name="Sheet6" sheetId="8" r:id="rId1"/>
    <sheet name="Sheet7" sheetId="9" r:id="rId2"/>
    <sheet name="Sheet8" sheetId="10" r:id="rId3"/>
    <sheet name="Sheet9" sheetId="12" r:id="rId4"/>
    <sheet name="Sheet10" sheetId="13" r:id="rId5"/>
    <sheet name="Sheet11" sheetId="14" r:id="rId6"/>
    <sheet name="Sheet14" sheetId="17" r:id="rId7"/>
    <sheet name="anova" sheetId="20" r:id="rId8"/>
    <sheet name="regression" sheetId="21" r:id="rId9"/>
    <sheet name="Human_Resources_2015_2024" sheetId="3" r:id="rId10"/>
    <sheet name="DASHBOARD" sheetId="1" r:id="rId11"/>
  </sheets>
  <definedNames>
    <definedName name="ExternalData_2" localSheetId="9" hidden="1">Human_Resources_2015_2024!$A$1:$N$967</definedName>
    <definedName name="Slicer_Department">#N/A</definedName>
    <definedName name="Slicer_Employment_Status1">#N/A</definedName>
    <definedName name="Slicer_Gender">#N/A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21" l="1"/>
  <c r="E4" i="21"/>
  <c r="E5"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62" i="21"/>
  <c r="E63" i="21"/>
  <c r="E64" i="21"/>
  <c r="E65" i="21"/>
  <c r="E66" i="21"/>
  <c r="E67" i="21"/>
  <c r="E68" i="21"/>
  <c r="E69" i="21"/>
  <c r="E70" i="21"/>
  <c r="E71" i="21"/>
  <c r="E72" i="21"/>
  <c r="E73" i="21"/>
  <c r="E74" i="21"/>
  <c r="E75" i="21"/>
  <c r="E76" i="21"/>
  <c r="E77" i="21"/>
  <c r="E78" i="21"/>
  <c r="E79" i="21"/>
  <c r="E80" i="21"/>
  <c r="E81" i="21"/>
  <c r="E82" i="21"/>
  <c r="E83" i="21"/>
  <c r="E84" i="21"/>
  <c r="E85" i="21"/>
  <c r="E86" i="21"/>
  <c r="E87" i="21"/>
  <c r="E88" i="21"/>
  <c r="E89" i="21"/>
  <c r="E90" i="21"/>
  <c r="E91" i="21"/>
  <c r="E92" i="21"/>
  <c r="E93" i="21"/>
  <c r="E94" i="21"/>
  <c r="E95" i="21"/>
  <c r="E96" i="21"/>
  <c r="E97" i="21"/>
  <c r="E98" i="21"/>
  <c r="E99" i="21"/>
  <c r="E100" i="21"/>
  <c r="E101" i="21"/>
  <c r="E102" i="21"/>
  <c r="E103" i="21"/>
  <c r="E104" i="21"/>
  <c r="E105" i="21"/>
  <c r="E106" i="21"/>
  <c r="E107" i="21"/>
  <c r="E108" i="21"/>
  <c r="E109" i="21"/>
  <c r="E110" i="21"/>
  <c r="E111" i="21"/>
  <c r="E112" i="21"/>
  <c r="E113" i="21"/>
  <c r="E114" i="21"/>
  <c r="E115" i="21"/>
  <c r="E116" i="21"/>
  <c r="E117" i="21"/>
  <c r="E118" i="21"/>
  <c r="E119" i="21"/>
  <c r="E120" i="21"/>
  <c r="E121" i="21"/>
  <c r="E122" i="21"/>
  <c r="E123" i="21"/>
  <c r="E124" i="21"/>
  <c r="E125" i="21"/>
  <c r="E126" i="21"/>
  <c r="E127" i="21"/>
  <c r="E128" i="21"/>
  <c r="E129" i="21"/>
  <c r="E130" i="21"/>
  <c r="E131" i="21"/>
  <c r="E132" i="21"/>
  <c r="E133" i="21"/>
  <c r="E134" i="21"/>
  <c r="E135" i="21"/>
  <c r="E136" i="21"/>
  <c r="E137" i="21"/>
  <c r="E138" i="21"/>
  <c r="E139" i="21"/>
  <c r="E140" i="21"/>
  <c r="E141" i="21"/>
  <c r="E142" i="21"/>
  <c r="E143" i="21"/>
  <c r="E144" i="21"/>
  <c r="E145" i="21"/>
  <c r="E146" i="21"/>
  <c r="E147" i="21"/>
  <c r="E148" i="21"/>
  <c r="E149" i="21"/>
  <c r="E150" i="21"/>
  <c r="E151" i="21"/>
  <c r="E152" i="21"/>
  <c r="E153" i="21"/>
  <c r="E154" i="21"/>
  <c r="E155" i="21"/>
  <c r="E156" i="21"/>
  <c r="E157" i="21"/>
  <c r="E158" i="21"/>
  <c r="E159" i="21"/>
  <c r="E160" i="21"/>
  <c r="E161" i="21"/>
  <c r="E162" i="21"/>
  <c r="E163" i="21"/>
  <c r="E164" i="21"/>
  <c r="E165" i="21"/>
  <c r="E166" i="21"/>
  <c r="E167" i="21"/>
  <c r="E168" i="21"/>
  <c r="E169" i="21"/>
  <c r="E170" i="21"/>
  <c r="E171" i="21"/>
  <c r="E172" i="21"/>
  <c r="E173" i="21"/>
  <c r="E174" i="21"/>
  <c r="E175" i="21"/>
  <c r="E176"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27" i="21"/>
  <c r="E228" i="21"/>
  <c r="E229" i="21"/>
  <c r="E230" i="21"/>
  <c r="E231" i="21"/>
  <c r="E232" i="21"/>
  <c r="E233" i="21"/>
  <c r="E234" i="21"/>
  <c r="E235" i="21"/>
  <c r="E236" i="21"/>
  <c r="E237" i="21"/>
  <c r="E238" i="21"/>
  <c r="E239" i="21"/>
  <c r="E240" i="21"/>
  <c r="E241" i="21"/>
  <c r="E242" i="21"/>
  <c r="E243" i="21"/>
  <c r="E244" i="21"/>
  <c r="E245" i="21"/>
  <c r="E246" i="21"/>
  <c r="E247" i="21"/>
  <c r="E248" i="21"/>
  <c r="E249" i="21"/>
  <c r="E250" i="21"/>
  <c r="E251" i="21"/>
  <c r="E252" i="21"/>
  <c r="E253" i="21"/>
  <c r="E254" i="21"/>
  <c r="E255" i="21"/>
  <c r="E256" i="21"/>
  <c r="E257" i="21"/>
  <c r="E258" i="21"/>
  <c r="E259" i="21"/>
  <c r="E260" i="21"/>
  <c r="E261" i="21"/>
  <c r="E262" i="21"/>
  <c r="E263" i="21"/>
  <c r="E264" i="21"/>
  <c r="E265" i="21"/>
  <c r="E266" i="21"/>
  <c r="E267" i="21"/>
  <c r="E268" i="21"/>
  <c r="E269" i="21"/>
  <c r="E270" i="21"/>
  <c r="E271" i="21"/>
  <c r="E272" i="21"/>
  <c r="E273" i="21"/>
  <c r="E274" i="21"/>
  <c r="E275" i="21"/>
  <c r="E276" i="21"/>
  <c r="E277" i="21"/>
  <c r="E278" i="21"/>
  <c r="E279" i="21"/>
  <c r="E280" i="21"/>
  <c r="E281" i="21"/>
  <c r="E282" i="21"/>
  <c r="E283" i="21"/>
  <c r="E284" i="21"/>
  <c r="E285" i="21"/>
  <c r="E286" i="21"/>
  <c r="E287" i="21"/>
  <c r="E288" i="21"/>
  <c r="E289" i="21"/>
  <c r="E290" i="21"/>
  <c r="E291" i="21"/>
  <c r="E292" i="21"/>
  <c r="E293" i="21"/>
  <c r="E294" i="21"/>
  <c r="E295" i="21"/>
  <c r="E296" i="21"/>
  <c r="E297" i="21"/>
  <c r="E298" i="21"/>
  <c r="E299" i="21"/>
  <c r="E300" i="21"/>
  <c r="E301" i="21"/>
  <c r="E302" i="21"/>
  <c r="E303" i="21"/>
  <c r="E304" i="21"/>
  <c r="E305" i="21"/>
  <c r="E306" i="21"/>
  <c r="E307" i="21"/>
  <c r="E308" i="21"/>
  <c r="E309" i="21"/>
  <c r="E310" i="21"/>
  <c r="E311" i="21"/>
  <c r="E312" i="21"/>
  <c r="E313" i="21"/>
  <c r="E314" i="21"/>
  <c r="E315" i="21"/>
  <c r="E316" i="21"/>
  <c r="E317" i="21"/>
  <c r="E318" i="21"/>
  <c r="E319" i="21"/>
  <c r="E320" i="21"/>
  <c r="E321" i="21"/>
  <c r="E322" i="21"/>
  <c r="E323" i="21"/>
  <c r="E324" i="21"/>
  <c r="E325" i="21"/>
  <c r="E326" i="21"/>
  <c r="E327" i="21"/>
  <c r="E328" i="21"/>
  <c r="E329" i="21"/>
  <c r="E330" i="21"/>
  <c r="E331" i="21"/>
  <c r="E332" i="21"/>
  <c r="E333" i="21"/>
  <c r="E334" i="21"/>
  <c r="E335" i="21"/>
  <c r="E336" i="21"/>
  <c r="E337" i="21"/>
  <c r="E338" i="21"/>
  <c r="E339" i="21"/>
  <c r="E340" i="21"/>
  <c r="E341" i="21"/>
  <c r="E342" i="21"/>
  <c r="E343" i="21"/>
  <c r="E344" i="21"/>
  <c r="E345" i="21"/>
  <c r="E346" i="21"/>
  <c r="E347" i="21"/>
  <c r="E348" i="21"/>
  <c r="E349" i="21"/>
  <c r="E350" i="21"/>
  <c r="E351" i="21"/>
  <c r="E352" i="21"/>
  <c r="E353" i="21"/>
  <c r="E354" i="21"/>
  <c r="E355" i="21"/>
  <c r="E356" i="21"/>
  <c r="E357" i="21"/>
  <c r="E358" i="21"/>
  <c r="E359" i="21"/>
  <c r="E360" i="21"/>
  <c r="E361" i="21"/>
  <c r="E362" i="21"/>
  <c r="E363" i="21"/>
  <c r="E364" i="21"/>
  <c r="E365" i="21"/>
  <c r="E366" i="21"/>
  <c r="E367" i="21"/>
  <c r="E368" i="21"/>
  <c r="E369" i="21"/>
  <c r="E370" i="21"/>
  <c r="E371" i="21"/>
  <c r="E372" i="21"/>
  <c r="E373" i="21"/>
  <c r="E374" i="21"/>
  <c r="E375" i="21"/>
  <c r="E376" i="21"/>
  <c r="E377" i="21"/>
  <c r="E378" i="21"/>
  <c r="E379" i="21"/>
  <c r="E380" i="21"/>
  <c r="E381" i="21"/>
  <c r="E382" i="21"/>
  <c r="E383" i="21"/>
  <c r="E384" i="21"/>
  <c r="E385" i="21"/>
  <c r="E386" i="21"/>
  <c r="E387" i="21"/>
  <c r="E388" i="21"/>
  <c r="E389" i="21"/>
  <c r="E390" i="21"/>
  <c r="E391" i="21"/>
  <c r="E392" i="21"/>
  <c r="E393" i="21"/>
  <c r="E394" i="21"/>
  <c r="E395" i="21"/>
  <c r="E396" i="21"/>
  <c r="E397" i="21"/>
  <c r="E398" i="21"/>
  <c r="E399" i="21"/>
  <c r="E400" i="21"/>
  <c r="E401" i="21"/>
  <c r="E402" i="21"/>
  <c r="E403" i="21"/>
  <c r="E404" i="21"/>
  <c r="E405" i="21"/>
  <c r="E406" i="21"/>
  <c r="E407" i="21"/>
  <c r="E408" i="21"/>
  <c r="E409" i="21"/>
  <c r="E410" i="21"/>
  <c r="E411" i="21"/>
  <c r="E412" i="21"/>
  <c r="E413" i="21"/>
  <c r="E414" i="21"/>
  <c r="E415" i="21"/>
  <c r="E416" i="21"/>
  <c r="E417" i="21"/>
  <c r="E418" i="21"/>
  <c r="E419" i="21"/>
  <c r="E420" i="21"/>
  <c r="E421" i="21"/>
  <c r="E422" i="21"/>
  <c r="E423" i="21"/>
  <c r="E424" i="21"/>
  <c r="E425" i="21"/>
  <c r="E426" i="21"/>
  <c r="E427" i="21"/>
  <c r="E428" i="21"/>
  <c r="E429" i="21"/>
  <c r="E430" i="21"/>
  <c r="E431" i="21"/>
  <c r="E432" i="21"/>
  <c r="E433" i="21"/>
  <c r="E434" i="21"/>
  <c r="E435" i="21"/>
  <c r="E436" i="21"/>
  <c r="E437" i="21"/>
  <c r="E438" i="21"/>
  <c r="E439" i="21"/>
  <c r="E440" i="21"/>
  <c r="E441" i="21"/>
  <c r="E442" i="21"/>
  <c r="E443" i="21"/>
  <c r="E444" i="21"/>
  <c r="E445" i="21"/>
  <c r="E446" i="21"/>
  <c r="E447" i="21"/>
  <c r="E448" i="21"/>
  <c r="E449" i="21"/>
  <c r="E450" i="21"/>
  <c r="E451" i="21"/>
  <c r="E452" i="21"/>
  <c r="E453" i="21"/>
  <c r="E454" i="21"/>
  <c r="E455" i="21"/>
  <c r="E456" i="21"/>
  <c r="E457" i="21"/>
  <c r="E458" i="21"/>
  <c r="E459" i="21"/>
  <c r="E460" i="21"/>
  <c r="E461" i="21"/>
  <c r="E462" i="21"/>
  <c r="E463" i="21"/>
  <c r="E464" i="21"/>
  <c r="E465" i="21"/>
  <c r="E466" i="21"/>
  <c r="E467" i="21"/>
  <c r="E468" i="21"/>
  <c r="E469" i="21"/>
  <c r="E470" i="21"/>
  <c r="E471" i="21"/>
  <c r="E472" i="21"/>
  <c r="E473" i="21"/>
  <c r="E474" i="21"/>
  <c r="E475" i="21"/>
  <c r="E476" i="21"/>
  <c r="E477" i="21"/>
  <c r="E478" i="21"/>
  <c r="E479" i="21"/>
  <c r="E480" i="21"/>
  <c r="E481" i="21"/>
  <c r="E482" i="21"/>
  <c r="E483" i="21"/>
  <c r="E484" i="21"/>
  <c r="E485" i="21"/>
  <c r="E486" i="21"/>
  <c r="E487" i="21"/>
  <c r="E488" i="21"/>
  <c r="E489" i="21"/>
  <c r="E490" i="21"/>
  <c r="E491" i="21"/>
  <c r="E492" i="21"/>
  <c r="E493" i="21"/>
  <c r="E494" i="21"/>
  <c r="E495" i="21"/>
  <c r="E496" i="21"/>
  <c r="E497" i="21"/>
  <c r="E498" i="21"/>
  <c r="E499" i="21"/>
  <c r="E500" i="21"/>
  <c r="E501" i="21"/>
  <c r="E502" i="21"/>
  <c r="E503" i="21"/>
  <c r="E504" i="21"/>
  <c r="E505" i="21"/>
  <c r="E506" i="21"/>
  <c r="E507" i="21"/>
  <c r="E508" i="21"/>
  <c r="E509" i="21"/>
  <c r="E510" i="21"/>
  <c r="E511" i="21"/>
  <c r="E512" i="21"/>
  <c r="E513" i="21"/>
  <c r="E514" i="21"/>
  <c r="E515" i="21"/>
  <c r="E516" i="21"/>
  <c r="E517" i="21"/>
  <c r="E518" i="21"/>
  <c r="E519" i="21"/>
  <c r="E520" i="21"/>
  <c r="E521" i="21"/>
  <c r="E522" i="21"/>
  <c r="E523" i="21"/>
  <c r="E524" i="21"/>
  <c r="E525" i="21"/>
  <c r="E526" i="21"/>
  <c r="E527" i="21"/>
  <c r="E528" i="21"/>
  <c r="E529" i="21"/>
  <c r="E530" i="21"/>
  <c r="E531" i="21"/>
  <c r="E532" i="21"/>
  <c r="E533" i="21"/>
  <c r="E534" i="21"/>
  <c r="E535" i="21"/>
  <c r="E536" i="21"/>
  <c r="E537" i="21"/>
  <c r="E538" i="21"/>
  <c r="E539" i="21"/>
  <c r="E540" i="21"/>
  <c r="E541" i="21"/>
  <c r="E542" i="21"/>
  <c r="E543" i="21"/>
  <c r="E544" i="21"/>
  <c r="E545" i="21"/>
  <c r="E546" i="21"/>
  <c r="E547" i="21"/>
  <c r="E548" i="21"/>
  <c r="E549" i="21"/>
  <c r="E550" i="21"/>
  <c r="E551" i="21"/>
  <c r="E552" i="21"/>
  <c r="E553" i="21"/>
  <c r="E554" i="21"/>
  <c r="E555" i="21"/>
  <c r="E556" i="21"/>
  <c r="E557" i="21"/>
  <c r="E558" i="21"/>
  <c r="E559" i="21"/>
  <c r="E560" i="21"/>
  <c r="E561" i="21"/>
  <c r="E562" i="21"/>
  <c r="E563" i="21"/>
  <c r="E564" i="21"/>
  <c r="E565" i="21"/>
  <c r="E566" i="21"/>
  <c r="E567" i="21"/>
  <c r="E568" i="21"/>
  <c r="E569" i="21"/>
  <c r="E570" i="21"/>
  <c r="E571" i="21"/>
  <c r="E572" i="21"/>
  <c r="E573" i="21"/>
  <c r="E574" i="21"/>
  <c r="E575" i="21"/>
  <c r="E576" i="21"/>
  <c r="E577" i="21"/>
  <c r="E578" i="21"/>
  <c r="E579" i="21"/>
  <c r="E580" i="21"/>
  <c r="E581" i="21"/>
  <c r="E582" i="21"/>
  <c r="E583" i="21"/>
  <c r="E584" i="21"/>
  <c r="E585" i="21"/>
  <c r="E586" i="21"/>
  <c r="E587" i="21"/>
  <c r="E588" i="21"/>
  <c r="E589" i="21"/>
  <c r="E590" i="21"/>
  <c r="E591" i="21"/>
  <c r="E592" i="21"/>
  <c r="E593" i="21"/>
  <c r="E594" i="21"/>
  <c r="E595" i="21"/>
  <c r="E596" i="21"/>
  <c r="E597" i="21"/>
  <c r="E598" i="21"/>
  <c r="E599" i="21"/>
  <c r="E600" i="21"/>
  <c r="E601" i="21"/>
  <c r="E602" i="21"/>
  <c r="E603" i="21"/>
  <c r="E604" i="21"/>
  <c r="E605" i="21"/>
  <c r="E606" i="21"/>
  <c r="E607" i="21"/>
  <c r="E608" i="21"/>
  <c r="E609" i="21"/>
  <c r="E610" i="21"/>
  <c r="E611" i="21"/>
  <c r="E612" i="21"/>
  <c r="E613" i="21"/>
  <c r="E614" i="21"/>
  <c r="E615" i="21"/>
  <c r="E616" i="21"/>
  <c r="E617" i="21"/>
  <c r="E618" i="21"/>
  <c r="E619" i="21"/>
  <c r="E620" i="21"/>
  <c r="E621" i="21"/>
  <c r="E622" i="21"/>
  <c r="E623" i="21"/>
  <c r="E624" i="21"/>
  <c r="E625" i="21"/>
  <c r="E626" i="21"/>
  <c r="E627" i="21"/>
  <c r="E628" i="21"/>
  <c r="E629" i="21"/>
  <c r="E630" i="21"/>
  <c r="E631" i="21"/>
  <c r="E632" i="21"/>
  <c r="E633" i="21"/>
  <c r="E634" i="21"/>
  <c r="E635" i="21"/>
  <c r="E636" i="21"/>
  <c r="E637" i="21"/>
  <c r="E638" i="21"/>
  <c r="E639" i="21"/>
  <c r="E640" i="21"/>
  <c r="E641" i="21"/>
  <c r="E642" i="21"/>
  <c r="E643" i="21"/>
  <c r="E644" i="21"/>
  <c r="E645" i="21"/>
  <c r="E646" i="21"/>
  <c r="E647" i="21"/>
  <c r="E648" i="21"/>
  <c r="E649" i="21"/>
  <c r="E650" i="21"/>
  <c r="E651" i="21"/>
  <c r="E652" i="21"/>
  <c r="E653" i="21"/>
  <c r="E654" i="21"/>
  <c r="E655" i="21"/>
  <c r="E656" i="21"/>
  <c r="E657" i="21"/>
  <c r="E658" i="21"/>
  <c r="E659" i="21"/>
  <c r="E660" i="21"/>
  <c r="E661" i="21"/>
  <c r="E662" i="21"/>
  <c r="E663" i="21"/>
  <c r="E664" i="21"/>
  <c r="E665" i="21"/>
  <c r="E666" i="21"/>
  <c r="E667" i="21"/>
  <c r="E668" i="21"/>
  <c r="E669" i="21"/>
  <c r="E670" i="21"/>
  <c r="E671" i="21"/>
  <c r="E672" i="21"/>
  <c r="E673" i="21"/>
  <c r="E674" i="21"/>
  <c r="E675" i="21"/>
  <c r="E676" i="21"/>
  <c r="E677" i="21"/>
  <c r="E678" i="21"/>
  <c r="E679" i="21"/>
  <c r="E680" i="21"/>
  <c r="E681" i="21"/>
  <c r="E682" i="21"/>
  <c r="E683" i="21"/>
  <c r="E684" i="21"/>
  <c r="E685" i="21"/>
  <c r="E686" i="21"/>
  <c r="E687" i="21"/>
  <c r="E688" i="21"/>
  <c r="E689" i="21"/>
  <c r="E690" i="21"/>
  <c r="E691" i="21"/>
  <c r="E692" i="21"/>
  <c r="E693" i="21"/>
  <c r="E694" i="21"/>
  <c r="E695" i="21"/>
  <c r="E696" i="21"/>
  <c r="E697" i="21"/>
  <c r="E698" i="21"/>
  <c r="E699" i="21"/>
  <c r="E700" i="21"/>
  <c r="E701" i="21"/>
  <c r="E702" i="21"/>
  <c r="E703" i="21"/>
  <c r="E704" i="21"/>
  <c r="E705" i="21"/>
  <c r="E706" i="21"/>
  <c r="E707" i="21"/>
  <c r="E708" i="21"/>
  <c r="E709" i="21"/>
  <c r="E710" i="21"/>
  <c r="E711" i="21"/>
  <c r="E712" i="21"/>
  <c r="E713" i="21"/>
  <c r="E714" i="21"/>
  <c r="E715" i="21"/>
  <c r="E716" i="21"/>
  <c r="E717" i="21"/>
  <c r="E718" i="21"/>
  <c r="E719" i="21"/>
  <c r="E720" i="21"/>
  <c r="E721" i="21"/>
  <c r="E722" i="21"/>
  <c r="E723" i="21"/>
  <c r="E724" i="21"/>
  <c r="E725" i="21"/>
  <c r="E726" i="21"/>
  <c r="E727" i="21"/>
  <c r="E728" i="21"/>
  <c r="E729" i="21"/>
  <c r="E730" i="21"/>
  <c r="E731" i="21"/>
  <c r="E732" i="21"/>
  <c r="E733" i="21"/>
  <c r="E734" i="21"/>
  <c r="E735" i="21"/>
  <c r="E736" i="21"/>
  <c r="E737" i="21"/>
  <c r="E738" i="21"/>
  <c r="E739" i="21"/>
  <c r="E740" i="21"/>
  <c r="E741" i="21"/>
  <c r="E742" i="21"/>
  <c r="E743" i="21"/>
  <c r="E744" i="21"/>
  <c r="E745" i="21"/>
  <c r="E746" i="21"/>
  <c r="E747" i="21"/>
  <c r="E748" i="21"/>
  <c r="E749" i="21"/>
  <c r="E750" i="21"/>
  <c r="E751" i="21"/>
  <c r="E752" i="21"/>
  <c r="E753" i="21"/>
  <c r="E754" i="21"/>
  <c r="E755" i="21"/>
  <c r="E756" i="21"/>
  <c r="E757" i="21"/>
  <c r="E758" i="21"/>
  <c r="E759" i="21"/>
  <c r="E760" i="21"/>
  <c r="E761" i="21"/>
  <c r="E762" i="21"/>
  <c r="E763" i="21"/>
  <c r="E764" i="21"/>
  <c r="E765" i="21"/>
  <c r="E766" i="21"/>
  <c r="E767" i="21"/>
  <c r="E768" i="21"/>
  <c r="E769" i="21"/>
  <c r="E770" i="21"/>
  <c r="E771" i="21"/>
  <c r="E772" i="21"/>
  <c r="E773" i="21"/>
  <c r="E774" i="21"/>
  <c r="E775" i="21"/>
  <c r="E776" i="21"/>
  <c r="E777" i="21"/>
  <c r="E778" i="21"/>
  <c r="E779" i="21"/>
  <c r="E780" i="21"/>
  <c r="E781" i="21"/>
  <c r="E782" i="21"/>
  <c r="E783" i="21"/>
  <c r="E784" i="21"/>
  <c r="E785" i="21"/>
  <c r="E786" i="21"/>
  <c r="E787" i="21"/>
  <c r="E788" i="21"/>
  <c r="E789" i="21"/>
  <c r="E790" i="21"/>
  <c r="E791" i="21"/>
  <c r="E792" i="21"/>
  <c r="E793" i="21"/>
  <c r="E794" i="21"/>
  <c r="E795" i="21"/>
  <c r="E796" i="21"/>
  <c r="E797" i="21"/>
  <c r="E798" i="21"/>
  <c r="E799" i="21"/>
  <c r="E800" i="21"/>
  <c r="E801" i="21"/>
  <c r="E802" i="21"/>
  <c r="E803" i="21"/>
  <c r="E804" i="21"/>
  <c r="E805" i="21"/>
  <c r="E806" i="21"/>
  <c r="E807" i="21"/>
  <c r="E808" i="21"/>
  <c r="E809" i="21"/>
  <c r="E810" i="21"/>
  <c r="E811" i="21"/>
  <c r="E812" i="21"/>
  <c r="E813" i="21"/>
  <c r="E814" i="21"/>
  <c r="E815" i="21"/>
  <c r="E816" i="21"/>
  <c r="E817" i="21"/>
  <c r="E818" i="21"/>
  <c r="E819" i="21"/>
  <c r="E820" i="21"/>
  <c r="E821" i="21"/>
  <c r="E822" i="21"/>
  <c r="E823" i="21"/>
  <c r="E824" i="21"/>
  <c r="E825" i="21"/>
  <c r="E826" i="21"/>
  <c r="E827" i="21"/>
  <c r="E828" i="21"/>
  <c r="E829" i="21"/>
  <c r="E830" i="21"/>
  <c r="E831" i="21"/>
  <c r="E832" i="21"/>
  <c r="E833" i="21"/>
  <c r="E834" i="21"/>
  <c r="E835" i="21"/>
  <c r="E836" i="21"/>
  <c r="E837" i="21"/>
  <c r="E838" i="21"/>
  <c r="E839" i="21"/>
  <c r="E840" i="21"/>
  <c r="E841" i="21"/>
  <c r="E842" i="21"/>
  <c r="E843" i="21"/>
  <c r="E844" i="21"/>
  <c r="E845" i="21"/>
  <c r="E846" i="21"/>
  <c r="E847" i="21"/>
  <c r="E848" i="21"/>
  <c r="E849" i="21"/>
  <c r="E850" i="21"/>
  <c r="E851" i="21"/>
  <c r="E852" i="21"/>
  <c r="E853" i="21"/>
  <c r="E854" i="21"/>
  <c r="E855" i="21"/>
  <c r="E856" i="21"/>
  <c r="E857" i="21"/>
  <c r="E858" i="21"/>
  <c r="E859" i="21"/>
  <c r="E860" i="21"/>
  <c r="E861" i="21"/>
  <c r="E862" i="21"/>
  <c r="E863" i="21"/>
  <c r="E864" i="21"/>
  <c r="E865" i="21"/>
  <c r="E866" i="21"/>
  <c r="E867" i="21"/>
  <c r="E868" i="21"/>
  <c r="E869" i="21"/>
  <c r="E870" i="21"/>
  <c r="E871" i="21"/>
  <c r="E872" i="21"/>
  <c r="E873" i="21"/>
  <c r="E874" i="21"/>
  <c r="E875" i="21"/>
  <c r="E876" i="21"/>
  <c r="E877" i="21"/>
  <c r="E878" i="21"/>
  <c r="E879" i="21"/>
  <c r="E880" i="21"/>
  <c r="E881" i="21"/>
  <c r="E882" i="21"/>
  <c r="E883" i="21"/>
  <c r="E884" i="21"/>
  <c r="E885" i="21"/>
  <c r="E886" i="21"/>
  <c r="E887" i="21"/>
  <c r="E888" i="21"/>
  <c r="E889" i="21"/>
  <c r="E890" i="21"/>
  <c r="E891" i="21"/>
  <c r="E892" i="21"/>
  <c r="E893" i="21"/>
  <c r="E894" i="21"/>
  <c r="E895" i="21"/>
  <c r="E896" i="21"/>
  <c r="E897" i="21"/>
  <c r="E898" i="21"/>
  <c r="E899" i="21"/>
  <c r="E900" i="21"/>
  <c r="E901" i="21"/>
  <c r="E902" i="21"/>
  <c r="E903" i="21"/>
  <c r="E904" i="21"/>
  <c r="E905" i="21"/>
  <c r="E906" i="21"/>
  <c r="E907" i="21"/>
  <c r="E908" i="21"/>
  <c r="E909" i="21"/>
  <c r="E910" i="21"/>
  <c r="E911" i="21"/>
  <c r="E912" i="21"/>
  <c r="E913" i="21"/>
  <c r="E914" i="21"/>
  <c r="E915" i="21"/>
  <c r="E916" i="21"/>
  <c r="E917" i="21"/>
  <c r="E918" i="21"/>
  <c r="E919" i="21"/>
  <c r="E920" i="21"/>
  <c r="E921" i="21"/>
  <c r="E922" i="21"/>
  <c r="E923" i="21"/>
  <c r="E924" i="21"/>
  <c r="E925" i="21"/>
  <c r="E926" i="21"/>
  <c r="E927" i="21"/>
  <c r="E928" i="21"/>
  <c r="E929" i="21"/>
  <c r="E930" i="21"/>
  <c r="E931" i="21"/>
  <c r="E932" i="21"/>
  <c r="E933" i="21"/>
  <c r="E934" i="21"/>
  <c r="E935" i="21"/>
  <c r="E936" i="21"/>
  <c r="E937" i="21"/>
  <c r="E938" i="21"/>
  <c r="E939" i="21"/>
  <c r="E940" i="21"/>
  <c r="E941" i="21"/>
  <c r="E942" i="21"/>
  <c r="E943" i="21"/>
  <c r="E944" i="21"/>
  <c r="E945" i="21"/>
  <c r="E946" i="21"/>
  <c r="E947" i="21"/>
  <c r="E948" i="21"/>
  <c r="E949" i="21"/>
  <c r="E950" i="21"/>
  <c r="E951" i="21"/>
  <c r="E952" i="21"/>
  <c r="E953" i="21"/>
  <c r="E954" i="21"/>
  <c r="E955" i="21"/>
  <c r="E956" i="21"/>
  <c r="E957" i="21"/>
  <c r="E958" i="21"/>
  <c r="E959" i="21"/>
  <c r="E960" i="21"/>
  <c r="E961" i="21"/>
  <c r="E962" i="21"/>
  <c r="E963" i="21"/>
  <c r="E964" i="21"/>
  <c r="E965" i="21"/>
  <c r="E966" i="21"/>
  <c r="E967" i="21"/>
  <c r="E2" i="21"/>
  <c r="C3" i="21"/>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C217" i="21"/>
  <c r="C218" i="21"/>
  <c r="C219" i="21"/>
  <c r="C220" i="21"/>
  <c r="C221" i="21"/>
  <c r="C222" i="21"/>
  <c r="C223" i="21"/>
  <c r="C224" i="21"/>
  <c r="C225" i="21"/>
  <c r="C226" i="21"/>
  <c r="C227" i="21"/>
  <c r="C228" i="21"/>
  <c r="C229" i="21"/>
  <c r="C230" i="21"/>
  <c r="C231" i="21"/>
  <c r="C232" i="21"/>
  <c r="C233" i="21"/>
  <c r="C234" i="21"/>
  <c r="C235" i="21"/>
  <c r="C236" i="21"/>
  <c r="C237" i="21"/>
  <c r="C238" i="21"/>
  <c r="C239" i="21"/>
  <c r="C240" i="21"/>
  <c r="C241" i="21"/>
  <c r="C242" i="21"/>
  <c r="C243" i="21"/>
  <c r="C244" i="21"/>
  <c r="C245" i="21"/>
  <c r="C246" i="21"/>
  <c r="C247" i="21"/>
  <c r="C248" i="21"/>
  <c r="C249" i="21"/>
  <c r="C250" i="21"/>
  <c r="C251" i="21"/>
  <c r="C252" i="21"/>
  <c r="C253" i="21"/>
  <c r="C254" i="21"/>
  <c r="C255" i="21"/>
  <c r="C256" i="21"/>
  <c r="C257" i="21"/>
  <c r="C258" i="21"/>
  <c r="C259" i="21"/>
  <c r="C260" i="21"/>
  <c r="C261" i="21"/>
  <c r="C262" i="21"/>
  <c r="C263" i="21"/>
  <c r="C264" i="21"/>
  <c r="C265" i="21"/>
  <c r="C266" i="21"/>
  <c r="C267" i="21"/>
  <c r="C268" i="21"/>
  <c r="C269" i="21"/>
  <c r="C270" i="21"/>
  <c r="C271" i="21"/>
  <c r="C272" i="21"/>
  <c r="C273" i="21"/>
  <c r="C274" i="21"/>
  <c r="C275" i="21"/>
  <c r="C276" i="21"/>
  <c r="C277" i="21"/>
  <c r="C278" i="21"/>
  <c r="C279" i="21"/>
  <c r="C280" i="21"/>
  <c r="C281" i="21"/>
  <c r="C282" i="21"/>
  <c r="C283" i="21"/>
  <c r="C284" i="21"/>
  <c r="C285" i="21"/>
  <c r="C286" i="21"/>
  <c r="C287" i="21"/>
  <c r="C288" i="21"/>
  <c r="C289" i="21"/>
  <c r="C290" i="21"/>
  <c r="C291" i="21"/>
  <c r="C292" i="21"/>
  <c r="C293" i="21"/>
  <c r="C294" i="21"/>
  <c r="C295" i="21"/>
  <c r="C296" i="21"/>
  <c r="C297" i="21"/>
  <c r="C298" i="21"/>
  <c r="C299" i="21"/>
  <c r="C300" i="21"/>
  <c r="C301" i="21"/>
  <c r="C302" i="21"/>
  <c r="C303" i="21"/>
  <c r="C304" i="21"/>
  <c r="C305" i="21"/>
  <c r="C306" i="21"/>
  <c r="C307" i="21"/>
  <c r="C308" i="21"/>
  <c r="C309" i="21"/>
  <c r="C310" i="21"/>
  <c r="C311" i="21"/>
  <c r="C312" i="21"/>
  <c r="C313" i="21"/>
  <c r="C314" i="21"/>
  <c r="C315" i="21"/>
  <c r="C316" i="21"/>
  <c r="C317" i="21"/>
  <c r="C318" i="21"/>
  <c r="C319" i="21"/>
  <c r="C320" i="21"/>
  <c r="C321" i="21"/>
  <c r="C322" i="21"/>
  <c r="C323" i="21"/>
  <c r="C324" i="21"/>
  <c r="C325" i="21"/>
  <c r="C326" i="21"/>
  <c r="C327" i="21"/>
  <c r="C328" i="21"/>
  <c r="C329" i="21"/>
  <c r="C330" i="21"/>
  <c r="C331" i="21"/>
  <c r="C332" i="21"/>
  <c r="C333" i="21"/>
  <c r="C334" i="21"/>
  <c r="C335" i="21"/>
  <c r="C336" i="21"/>
  <c r="C337" i="21"/>
  <c r="C338" i="21"/>
  <c r="C339" i="21"/>
  <c r="C340" i="21"/>
  <c r="C341" i="21"/>
  <c r="C342" i="21"/>
  <c r="C343" i="21"/>
  <c r="C344" i="21"/>
  <c r="C345" i="21"/>
  <c r="C346" i="21"/>
  <c r="C347" i="21"/>
  <c r="C348" i="21"/>
  <c r="C349" i="21"/>
  <c r="C350" i="21"/>
  <c r="C351" i="21"/>
  <c r="C352" i="21"/>
  <c r="C353" i="21"/>
  <c r="C354" i="21"/>
  <c r="C355" i="21"/>
  <c r="C356" i="21"/>
  <c r="C357" i="21"/>
  <c r="C358" i="21"/>
  <c r="C359" i="21"/>
  <c r="C360" i="21"/>
  <c r="C361" i="21"/>
  <c r="C362" i="21"/>
  <c r="C363" i="21"/>
  <c r="C364" i="21"/>
  <c r="C365" i="21"/>
  <c r="C366" i="21"/>
  <c r="C367" i="21"/>
  <c r="C368" i="21"/>
  <c r="C369" i="21"/>
  <c r="C370" i="21"/>
  <c r="C371" i="21"/>
  <c r="C372" i="21"/>
  <c r="C373" i="21"/>
  <c r="C374" i="21"/>
  <c r="C375" i="21"/>
  <c r="C376" i="21"/>
  <c r="C377" i="21"/>
  <c r="C378" i="21"/>
  <c r="C379" i="21"/>
  <c r="C380" i="21"/>
  <c r="C381" i="21"/>
  <c r="C382" i="21"/>
  <c r="C383" i="21"/>
  <c r="C384" i="21"/>
  <c r="C385" i="21"/>
  <c r="C386" i="21"/>
  <c r="C387" i="21"/>
  <c r="C388" i="21"/>
  <c r="C389" i="21"/>
  <c r="C390" i="21"/>
  <c r="C391" i="21"/>
  <c r="C392" i="21"/>
  <c r="C393" i="21"/>
  <c r="C394" i="21"/>
  <c r="C395" i="21"/>
  <c r="C396" i="21"/>
  <c r="C397" i="21"/>
  <c r="C398" i="21"/>
  <c r="C399" i="21"/>
  <c r="C400" i="21"/>
  <c r="C401" i="21"/>
  <c r="C402" i="21"/>
  <c r="C403" i="21"/>
  <c r="C404" i="21"/>
  <c r="C405" i="21"/>
  <c r="C406" i="21"/>
  <c r="C407" i="21"/>
  <c r="C408" i="21"/>
  <c r="C409" i="21"/>
  <c r="C410" i="21"/>
  <c r="C411" i="21"/>
  <c r="C412" i="21"/>
  <c r="C413" i="21"/>
  <c r="C414" i="21"/>
  <c r="C415" i="21"/>
  <c r="C416" i="21"/>
  <c r="C417" i="21"/>
  <c r="C418" i="21"/>
  <c r="C419" i="21"/>
  <c r="C420" i="21"/>
  <c r="C421" i="21"/>
  <c r="C422" i="21"/>
  <c r="C423" i="21"/>
  <c r="C424" i="21"/>
  <c r="C425" i="21"/>
  <c r="C426" i="21"/>
  <c r="C427" i="21"/>
  <c r="C428" i="21"/>
  <c r="C429" i="21"/>
  <c r="C430" i="21"/>
  <c r="C431" i="21"/>
  <c r="C432" i="21"/>
  <c r="C433" i="21"/>
  <c r="C434" i="21"/>
  <c r="C435" i="21"/>
  <c r="C436" i="21"/>
  <c r="C437" i="21"/>
  <c r="C438" i="21"/>
  <c r="C439" i="21"/>
  <c r="C440" i="21"/>
  <c r="C441" i="21"/>
  <c r="C442" i="21"/>
  <c r="C443" i="21"/>
  <c r="C444" i="21"/>
  <c r="C445" i="21"/>
  <c r="C446" i="21"/>
  <c r="C447" i="21"/>
  <c r="C448" i="21"/>
  <c r="C449" i="21"/>
  <c r="C450" i="21"/>
  <c r="C451" i="21"/>
  <c r="C452" i="21"/>
  <c r="C453" i="21"/>
  <c r="C454" i="21"/>
  <c r="C455" i="21"/>
  <c r="C456" i="21"/>
  <c r="C457" i="21"/>
  <c r="C458" i="21"/>
  <c r="C459" i="21"/>
  <c r="C460" i="21"/>
  <c r="C461" i="21"/>
  <c r="C462" i="21"/>
  <c r="C463" i="21"/>
  <c r="C464" i="21"/>
  <c r="C465" i="21"/>
  <c r="C466" i="21"/>
  <c r="C467" i="21"/>
  <c r="C468" i="21"/>
  <c r="C469" i="21"/>
  <c r="C470" i="21"/>
  <c r="C471" i="21"/>
  <c r="C472" i="21"/>
  <c r="C473" i="21"/>
  <c r="C474" i="21"/>
  <c r="C475" i="21"/>
  <c r="C476" i="21"/>
  <c r="C477" i="21"/>
  <c r="C478" i="21"/>
  <c r="C479" i="21"/>
  <c r="C480" i="21"/>
  <c r="C481" i="21"/>
  <c r="C482" i="21"/>
  <c r="C483" i="21"/>
  <c r="C484" i="21"/>
  <c r="C485" i="21"/>
  <c r="C486" i="21"/>
  <c r="C487" i="21"/>
  <c r="C488" i="21"/>
  <c r="C489" i="21"/>
  <c r="C490" i="21"/>
  <c r="C491" i="21"/>
  <c r="C492" i="21"/>
  <c r="C493" i="21"/>
  <c r="C494" i="21"/>
  <c r="C495" i="21"/>
  <c r="C496" i="21"/>
  <c r="C497" i="21"/>
  <c r="C498" i="21"/>
  <c r="C499" i="21"/>
  <c r="C500" i="21"/>
  <c r="C501" i="21"/>
  <c r="C502" i="21"/>
  <c r="C503" i="21"/>
  <c r="C504" i="21"/>
  <c r="C505" i="21"/>
  <c r="C506" i="21"/>
  <c r="C507" i="21"/>
  <c r="C508" i="21"/>
  <c r="C509" i="21"/>
  <c r="C510" i="21"/>
  <c r="C511" i="21"/>
  <c r="C512" i="21"/>
  <c r="C513" i="21"/>
  <c r="C514" i="21"/>
  <c r="C515" i="21"/>
  <c r="C516" i="21"/>
  <c r="C517" i="21"/>
  <c r="C518" i="21"/>
  <c r="C519" i="21"/>
  <c r="C520" i="21"/>
  <c r="C521" i="21"/>
  <c r="C522" i="21"/>
  <c r="C523" i="21"/>
  <c r="C524" i="21"/>
  <c r="C525" i="21"/>
  <c r="C526" i="21"/>
  <c r="C527" i="21"/>
  <c r="C528" i="21"/>
  <c r="C529" i="21"/>
  <c r="C530" i="21"/>
  <c r="C531" i="21"/>
  <c r="C532" i="21"/>
  <c r="C533" i="21"/>
  <c r="C534" i="21"/>
  <c r="C535" i="21"/>
  <c r="C536" i="21"/>
  <c r="C537" i="21"/>
  <c r="C538" i="21"/>
  <c r="C539" i="21"/>
  <c r="C540" i="21"/>
  <c r="C541" i="21"/>
  <c r="C542" i="21"/>
  <c r="C543" i="21"/>
  <c r="C544" i="21"/>
  <c r="C545" i="21"/>
  <c r="C546" i="21"/>
  <c r="C547" i="21"/>
  <c r="C548" i="21"/>
  <c r="C549" i="21"/>
  <c r="C550" i="21"/>
  <c r="C551" i="21"/>
  <c r="C552" i="21"/>
  <c r="C553" i="21"/>
  <c r="C554" i="21"/>
  <c r="C555" i="21"/>
  <c r="C556" i="21"/>
  <c r="C557" i="21"/>
  <c r="C558" i="21"/>
  <c r="C559" i="21"/>
  <c r="C560" i="21"/>
  <c r="C561" i="21"/>
  <c r="C562" i="21"/>
  <c r="C563" i="21"/>
  <c r="C564" i="21"/>
  <c r="C565" i="21"/>
  <c r="C566" i="21"/>
  <c r="C567" i="21"/>
  <c r="C568" i="21"/>
  <c r="C569" i="21"/>
  <c r="C570" i="21"/>
  <c r="C571" i="21"/>
  <c r="C572" i="21"/>
  <c r="C573" i="21"/>
  <c r="C574" i="21"/>
  <c r="C575" i="21"/>
  <c r="C576" i="21"/>
  <c r="C577" i="21"/>
  <c r="C578" i="21"/>
  <c r="C579" i="21"/>
  <c r="C580" i="21"/>
  <c r="C581" i="21"/>
  <c r="C582" i="21"/>
  <c r="C583" i="21"/>
  <c r="C584" i="21"/>
  <c r="C585" i="21"/>
  <c r="C586" i="21"/>
  <c r="C587" i="21"/>
  <c r="C588" i="21"/>
  <c r="C589" i="21"/>
  <c r="C590" i="21"/>
  <c r="C591" i="21"/>
  <c r="C592" i="21"/>
  <c r="C593" i="21"/>
  <c r="C594" i="21"/>
  <c r="C595" i="21"/>
  <c r="C596" i="21"/>
  <c r="C597" i="21"/>
  <c r="C598" i="21"/>
  <c r="C599" i="21"/>
  <c r="C600" i="21"/>
  <c r="C601" i="21"/>
  <c r="C602" i="21"/>
  <c r="C603" i="21"/>
  <c r="C604" i="21"/>
  <c r="C605" i="21"/>
  <c r="C606" i="21"/>
  <c r="C607" i="21"/>
  <c r="C608" i="21"/>
  <c r="C609" i="21"/>
  <c r="C610" i="21"/>
  <c r="C611" i="21"/>
  <c r="C612" i="21"/>
  <c r="C613" i="21"/>
  <c r="C614" i="21"/>
  <c r="C615" i="21"/>
  <c r="C616" i="21"/>
  <c r="C617" i="21"/>
  <c r="C618" i="21"/>
  <c r="C619" i="21"/>
  <c r="C620" i="21"/>
  <c r="C621" i="21"/>
  <c r="C622" i="21"/>
  <c r="C623" i="21"/>
  <c r="C624" i="21"/>
  <c r="C625" i="21"/>
  <c r="C626" i="21"/>
  <c r="C627" i="21"/>
  <c r="C628" i="21"/>
  <c r="C629" i="21"/>
  <c r="C630" i="21"/>
  <c r="C631" i="21"/>
  <c r="C632" i="21"/>
  <c r="C633" i="21"/>
  <c r="C634" i="21"/>
  <c r="C635" i="21"/>
  <c r="C636" i="21"/>
  <c r="C637" i="21"/>
  <c r="C638" i="21"/>
  <c r="C639" i="21"/>
  <c r="C640" i="21"/>
  <c r="C641" i="21"/>
  <c r="C642" i="21"/>
  <c r="C643" i="21"/>
  <c r="C644" i="21"/>
  <c r="C645" i="21"/>
  <c r="C646" i="21"/>
  <c r="C647" i="21"/>
  <c r="C648" i="21"/>
  <c r="C649" i="21"/>
  <c r="C650" i="21"/>
  <c r="C651" i="21"/>
  <c r="C652" i="21"/>
  <c r="C653" i="21"/>
  <c r="C654" i="21"/>
  <c r="C655" i="21"/>
  <c r="C656" i="21"/>
  <c r="C657" i="21"/>
  <c r="C658" i="21"/>
  <c r="C659" i="21"/>
  <c r="C660" i="21"/>
  <c r="C661" i="21"/>
  <c r="C662" i="21"/>
  <c r="C663" i="21"/>
  <c r="C664" i="21"/>
  <c r="C665" i="21"/>
  <c r="C666" i="21"/>
  <c r="C667" i="21"/>
  <c r="C668" i="21"/>
  <c r="C669" i="21"/>
  <c r="C670" i="21"/>
  <c r="C671" i="21"/>
  <c r="C672" i="21"/>
  <c r="C673" i="21"/>
  <c r="C674" i="21"/>
  <c r="C675" i="21"/>
  <c r="C676" i="21"/>
  <c r="C677" i="21"/>
  <c r="C678" i="21"/>
  <c r="C679" i="21"/>
  <c r="C680" i="21"/>
  <c r="C681" i="21"/>
  <c r="C682" i="21"/>
  <c r="C683" i="21"/>
  <c r="C684" i="21"/>
  <c r="C685" i="21"/>
  <c r="C686" i="21"/>
  <c r="C687" i="21"/>
  <c r="C688" i="21"/>
  <c r="C689" i="21"/>
  <c r="C690" i="21"/>
  <c r="C691" i="21"/>
  <c r="C692" i="21"/>
  <c r="C693" i="21"/>
  <c r="C694" i="21"/>
  <c r="C695" i="21"/>
  <c r="C696" i="21"/>
  <c r="C697" i="21"/>
  <c r="C698" i="21"/>
  <c r="C699" i="21"/>
  <c r="C700" i="21"/>
  <c r="C701" i="21"/>
  <c r="C702" i="21"/>
  <c r="C703" i="21"/>
  <c r="C704" i="21"/>
  <c r="C705" i="21"/>
  <c r="C706" i="21"/>
  <c r="C707" i="21"/>
  <c r="C708" i="21"/>
  <c r="C709" i="21"/>
  <c r="C710" i="21"/>
  <c r="C711" i="21"/>
  <c r="C712" i="21"/>
  <c r="C713" i="21"/>
  <c r="C714" i="21"/>
  <c r="C715" i="21"/>
  <c r="C716" i="21"/>
  <c r="C717" i="21"/>
  <c r="C718" i="21"/>
  <c r="C719" i="21"/>
  <c r="C720" i="21"/>
  <c r="C721" i="21"/>
  <c r="C722" i="21"/>
  <c r="C723" i="21"/>
  <c r="C724" i="21"/>
  <c r="C725" i="21"/>
  <c r="C726" i="21"/>
  <c r="C727" i="21"/>
  <c r="C728" i="21"/>
  <c r="C729" i="21"/>
  <c r="C730" i="21"/>
  <c r="C731" i="21"/>
  <c r="C732" i="21"/>
  <c r="C733" i="21"/>
  <c r="C734" i="21"/>
  <c r="C735" i="21"/>
  <c r="C736" i="21"/>
  <c r="C737" i="21"/>
  <c r="C738" i="21"/>
  <c r="C739" i="21"/>
  <c r="C740" i="21"/>
  <c r="C741" i="21"/>
  <c r="C742" i="21"/>
  <c r="C743" i="21"/>
  <c r="C744" i="21"/>
  <c r="C745" i="21"/>
  <c r="C746" i="21"/>
  <c r="C747" i="21"/>
  <c r="C748" i="21"/>
  <c r="C749" i="21"/>
  <c r="C750" i="21"/>
  <c r="C751" i="21"/>
  <c r="C752" i="21"/>
  <c r="C753" i="21"/>
  <c r="C754" i="21"/>
  <c r="C755" i="21"/>
  <c r="C756" i="21"/>
  <c r="C757" i="21"/>
  <c r="C758" i="21"/>
  <c r="C759" i="21"/>
  <c r="C760" i="21"/>
  <c r="C761" i="21"/>
  <c r="C762" i="21"/>
  <c r="C763" i="21"/>
  <c r="C764" i="21"/>
  <c r="C765" i="21"/>
  <c r="C766" i="21"/>
  <c r="C767" i="21"/>
  <c r="C768" i="21"/>
  <c r="C769" i="21"/>
  <c r="C770" i="21"/>
  <c r="C771" i="21"/>
  <c r="C772" i="21"/>
  <c r="C773" i="21"/>
  <c r="C774" i="21"/>
  <c r="C775" i="21"/>
  <c r="C776" i="21"/>
  <c r="C777" i="21"/>
  <c r="C778" i="21"/>
  <c r="C779" i="21"/>
  <c r="C780" i="21"/>
  <c r="C781" i="21"/>
  <c r="C782" i="21"/>
  <c r="C783" i="21"/>
  <c r="C784" i="21"/>
  <c r="C785" i="21"/>
  <c r="C786" i="21"/>
  <c r="C787" i="21"/>
  <c r="C788" i="21"/>
  <c r="C789" i="21"/>
  <c r="C790" i="21"/>
  <c r="C791" i="21"/>
  <c r="C792" i="21"/>
  <c r="C793" i="21"/>
  <c r="C794" i="21"/>
  <c r="C795" i="21"/>
  <c r="C796" i="21"/>
  <c r="C797" i="21"/>
  <c r="C798" i="21"/>
  <c r="C799" i="21"/>
  <c r="C800" i="21"/>
  <c r="C801" i="21"/>
  <c r="C802" i="21"/>
  <c r="C803" i="21"/>
  <c r="C804" i="21"/>
  <c r="C805" i="21"/>
  <c r="C806" i="21"/>
  <c r="C807" i="21"/>
  <c r="C808" i="21"/>
  <c r="C809" i="21"/>
  <c r="C810" i="21"/>
  <c r="C811" i="21"/>
  <c r="C812" i="21"/>
  <c r="C813" i="21"/>
  <c r="C814" i="21"/>
  <c r="C815" i="21"/>
  <c r="C816" i="21"/>
  <c r="C817" i="21"/>
  <c r="C818" i="21"/>
  <c r="C819" i="21"/>
  <c r="C820" i="21"/>
  <c r="C821" i="21"/>
  <c r="C822" i="21"/>
  <c r="C823" i="21"/>
  <c r="C824" i="21"/>
  <c r="C825" i="21"/>
  <c r="C826" i="21"/>
  <c r="C827" i="21"/>
  <c r="C828" i="21"/>
  <c r="C829" i="21"/>
  <c r="C830" i="21"/>
  <c r="C831" i="21"/>
  <c r="C832" i="21"/>
  <c r="C833" i="21"/>
  <c r="C834" i="21"/>
  <c r="C835" i="21"/>
  <c r="C836" i="21"/>
  <c r="C837" i="21"/>
  <c r="C838" i="21"/>
  <c r="C839" i="21"/>
  <c r="C840" i="21"/>
  <c r="C841" i="21"/>
  <c r="C842" i="21"/>
  <c r="C843" i="21"/>
  <c r="C844" i="21"/>
  <c r="C845" i="21"/>
  <c r="C846" i="21"/>
  <c r="C847" i="21"/>
  <c r="C848" i="21"/>
  <c r="C849" i="21"/>
  <c r="C850" i="21"/>
  <c r="C851" i="21"/>
  <c r="C852" i="21"/>
  <c r="C853" i="21"/>
  <c r="C854" i="21"/>
  <c r="C855" i="21"/>
  <c r="C856" i="21"/>
  <c r="C857" i="21"/>
  <c r="C858" i="21"/>
  <c r="C859" i="21"/>
  <c r="C860" i="21"/>
  <c r="C861" i="21"/>
  <c r="C862" i="21"/>
  <c r="C863" i="21"/>
  <c r="C864" i="21"/>
  <c r="C865" i="21"/>
  <c r="C866" i="21"/>
  <c r="C867" i="21"/>
  <c r="C868" i="21"/>
  <c r="C869" i="21"/>
  <c r="C870" i="21"/>
  <c r="C871" i="21"/>
  <c r="C872" i="21"/>
  <c r="C873" i="21"/>
  <c r="C874" i="21"/>
  <c r="C875" i="21"/>
  <c r="C876" i="21"/>
  <c r="C877" i="21"/>
  <c r="C878" i="21"/>
  <c r="C879" i="21"/>
  <c r="C880" i="21"/>
  <c r="C881" i="21"/>
  <c r="C882" i="21"/>
  <c r="C883" i="21"/>
  <c r="C884" i="21"/>
  <c r="C885" i="21"/>
  <c r="C886" i="21"/>
  <c r="C887" i="21"/>
  <c r="C888" i="21"/>
  <c r="C889" i="21"/>
  <c r="C890" i="21"/>
  <c r="C891" i="21"/>
  <c r="C892" i="21"/>
  <c r="C893" i="21"/>
  <c r="C894" i="21"/>
  <c r="C895" i="21"/>
  <c r="C896" i="21"/>
  <c r="C897" i="21"/>
  <c r="C898" i="21"/>
  <c r="C899" i="21"/>
  <c r="C900" i="21"/>
  <c r="C901" i="21"/>
  <c r="C902" i="21"/>
  <c r="C903" i="21"/>
  <c r="C904" i="21"/>
  <c r="C905" i="21"/>
  <c r="C906" i="21"/>
  <c r="C907" i="21"/>
  <c r="C908" i="21"/>
  <c r="C909" i="21"/>
  <c r="C910" i="21"/>
  <c r="C911" i="21"/>
  <c r="C912" i="21"/>
  <c r="C913" i="21"/>
  <c r="C914" i="21"/>
  <c r="C915" i="21"/>
  <c r="C916" i="21"/>
  <c r="C917" i="21"/>
  <c r="C918" i="21"/>
  <c r="C919" i="21"/>
  <c r="C920" i="21"/>
  <c r="C921" i="21"/>
  <c r="C922" i="21"/>
  <c r="C923" i="21"/>
  <c r="C924" i="21"/>
  <c r="C925" i="21"/>
  <c r="C926" i="21"/>
  <c r="C927" i="21"/>
  <c r="C928" i="21"/>
  <c r="C929" i="21"/>
  <c r="C930" i="21"/>
  <c r="C931" i="21"/>
  <c r="C932" i="21"/>
  <c r="C933" i="21"/>
  <c r="C934" i="21"/>
  <c r="C935" i="21"/>
  <c r="C936" i="21"/>
  <c r="C937" i="21"/>
  <c r="C938" i="21"/>
  <c r="C939" i="21"/>
  <c r="C940" i="21"/>
  <c r="C941" i="21"/>
  <c r="C942" i="21"/>
  <c r="C943" i="21"/>
  <c r="C944" i="21"/>
  <c r="C945" i="21"/>
  <c r="C946" i="21"/>
  <c r="C947" i="21"/>
  <c r="C948" i="21"/>
  <c r="C949" i="21"/>
  <c r="C950" i="21"/>
  <c r="C951" i="21"/>
  <c r="C952" i="21"/>
  <c r="C953" i="21"/>
  <c r="C954" i="21"/>
  <c r="C955" i="21"/>
  <c r="C956" i="21"/>
  <c r="C957" i="21"/>
  <c r="C958" i="21"/>
  <c r="C959" i="21"/>
  <c r="C960" i="21"/>
  <c r="C961" i="21"/>
  <c r="C962" i="21"/>
  <c r="C963" i="21"/>
  <c r="C964" i="21"/>
  <c r="C965" i="21"/>
  <c r="C966" i="21"/>
  <c r="C967" i="21"/>
  <c r="C2" i="21"/>
  <c r="X20" i="3" l="1"/>
  <c r="X19" i="3"/>
  <c r="X18" i="3"/>
  <c r="X17" i="3"/>
  <c r="X16" i="3"/>
  <c r="X15" i="3"/>
  <c r="X12" i="3"/>
  <c r="X13" i="3"/>
  <c r="X11" i="3"/>
  <c r="AA7" i="3"/>
  <c r="Z7" i="3"/>
  <c r="Y7" i="3"/>
  <c r="X7"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2"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Z14" i="3" l="1"/>
  <c r="X14" i="3"/>
  <c r="AB7" i="3"/>
  <c r="Y3" i="3"/>
  <c r="X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DC2A2B-21D7-4CDD-B5A4-9BB75BDD2CFB}" keepAlive="1" name="Query - Human_Resources 2015-2024" description="Connection to the 'Human_Resources 2015-2024' query in the workbook." type="5" refreshedVersion="8" background="1" saveData="1">
    <dbPr connection="Provider=Microsoft.Mashup.OleDb.1;Data Source=$Workbook$;Location=&quot;Human_Resources 2015-2024&quot;;Extended Properties=&quot;&quot;" command="SELECT * FROM [Human_Resources 2015-2024]"/>
  </connection>
  <connection id="2" xr16:uid="{E4C1550E-9D8A-4285-9507-DBA921B37696}" keepAlive="1" name="Query - Human_Resources_2015_2024" description="Connection to the 'Human_Resources_2015_2024' query in the workbook." type="5" refreshedVersion="8" background="1" saveData="1">
    <dbPr connection="Provider=Microsoft.Mashup.OleDb.1;Data Source=$Workbook$;Location=Human_Resources_2015_2024;Extended Properties=&quot;&quot;" command="SELECT * FROM [Human_Resources_2015_2024]"/>
  </connection>
</connections>
</file>

<file path=xl/sharedStrings.xml><?xml version="1.0" encoding="utf-8"?>
<sst xmlns="http://schemas.openxmlformats.org/spreadsheetml/2006/main" count="12777" uniqueCount="1937">
  <si>
    <t>Employee_ID</t>
  </si>
  <si>
    <t>First Name</t>
  </si>
  <si>
    <t>Last Name</t>
  </si>
  <si>
    <t>Gender</t>
  </si>
  <si>
    <t>State</t>
  </si>
  <si>
    <t>City</t>
  </si>
  <si>
    <t>Education Level</t>
  </si>
  <si>
    <t>Birthdate</t>
  </si>
  <si>
    <t>Hiredate</t>
  </si>
  <si>
    <t>Termdate</t>
  </si>
  <si>
    <t>Department</t>
  </si>
  <si>
    <t>Job Title</t>
  </si>
  <si>
    <t>Salary</t>
  </si>
  <si>
    <t>Performance Rating</t>
  </si>
  <si>
    <t>00-95822412</t>
  </si>
  <si>
    <t>Danielle</t>
  </si>
  <si>
    <t>Johnson</t>
  </si>
  <si>
    <t>Female</t>
  </si>
  <si>
    <t>New York</t>
  </si>
  <si>
    <t>New York City</t>
  </si>
  <si>
    <t>High School</t>
  </si>
  <si>
    <t>Customer Service</t>
  </si>
  <si>
    <t>Help Desk Technician</t>
  </si>
  <si>
    <t>Needs Improvement</t>
  </si>
  <si>
    <t>00-42868828</t>
  </si>
  <si>
    <t>John</t>
  </si>
  <si>
    <t>Taylor</t>
  </si>
  <si>
    <t>Male</t>
  </si>
  <si>
    <t>North Carolina</t>
  </si>
  <si>
    <t>Charlotte</t>
  </si>
  <si>
    <t>Bachelor</t>
  </si>
  <si>
    <t>IT</t>
  </si>
  <si>
    <t>System Administrator</t>
  </si>
  <si>
    <t>Good</t>
  </si>
  <si>
    <t>00-83197857</t>
  </si>
  <si>
    <t>Erica</t>
  </si>
  <si>
    <t>Mcclain</t>
  </si>
  <si>
    <t>Operations</t>
  </si>
  <si>
    <t>Logistics Coordinator</t>
  </si>
  <si>
    <t>00-13999315</t>
  </si>
  <si>
    <t>Brittany</t>
  </si>
  <si>
    <t>Inventory Specialist</t>
  </si>
  <si>
    <t>Wagner</t>
  </si>
  <si>
    <t>Operations Analyst</t>
  </si>
  <si>
    <t>Satisfactory</t>
  </si>
  <si>
    <t>00-97226012</t>
  </si>
  <si>
    <t>Anna</t>
  </si>
  <si>
    <t>Baldwin</t>
  </si>
  <si>
    <t>00-70291817</t>
  </si>
  <si>
    <t>Amy</t>
  </si>
  <si>
    <t>Robinson</t>
  </si>
  <si>
    <t>Finance</t>
  </si>
  <si>
    <t>Accountant</t>
  </si>
  <si>
    <t>00-31429110</t>
  </si>
  <si>
    <t>Joshua</t>
  </si>
  <si>
    <t>Booth</t>
  </si>
  <si>
    <t>Accounts Payable Specialist</t>
  </si>
  <si>
    <t>00-30868105</t>
  </si>
  <si>
    <t>Linda</t>
  </si>
  <si>
    <t>Wolfe</t>
  </si>
  <si>
    <t>00-22448136</t>
  </si>
  <si>
    <t>Lewis</t>
  </si>
  <si>
    <t>00-56164955</t>
  </si>
  <si>
    <t>Matthew</t>
  </si>
  <si>
    <t>Davis</t>
  </si>
  <si>
    <t>Marketing</t>
  </si>
  <si>
    <t>SEO Specialist</t>
  </si>
  <si>
    <t>00-71662963</t>
  </si>
  <si>
    <t>Michael</t>
  </si>
  <si>
    <t>Cooper</t>
  </si>
  <si>
    <t>HR</t>
  </si>
  <si>
    <t>Recruiter</t>
  </si>
  <si>
    <t>00-84093639</t>
  </si>
  <si>
    <t>Lindsay</t>
  </si>
  <si>
    <t>Blair</t>
  </si>
  <si>
    <t>00-58537831</t>
  </si>
  <si>
    <t>David</t>
  </si>
  <si>
    <t>Nielsen</t>
  </si>
  <si>
    <t>00-16150444</t>
  </si>
  <si>
    <t>Andrea</t>
  </si>
  <si>
    <t>Calderon</t>
  </si>
  <si>
    <t>Michigan</t>
  </si>
  <si>
    <t>Grand Rapids</t>
  </si>
  <si>
    <t>IT Support Specialist</t>
  </si>
  <si>
    <t>00-41244663</t>
  </si>
  <si>
    <t>Nicole</t>
  </si>
  <si>
    <t>Ward</t>
  </si>
  <si>
    <t>00-70855700</t>
  </si>
  <si>
    <t>Janet</t>
  </si>
  <si>
    <t>Williams</t>
  </si>
  <si>
    <t>00-59684848</t>
  </si>
  <si>
    <t>Kendra</t>
  </si>
  <si>
    <t>Galloway</t>
  </si>
  <si>
    <t>PhD</t>
  </si>
  <si>
    <t>Sales</t>
  </si>
  <si>
    <t>Sales Manager</t>
  </si>
  <si>
    <t>Excellent</t>
  </si>
  <si>
    <t>00-96977837</t>
  </si>
  <si>
    <t>Jesse</t>
  </si>
  <si>
    <t>Garcia</t>
  </si>
  <si>
    <t>Customer Service Representative</t>
  </si>
  <si>
    <t>00-81691040</t>
  </si>
  <si>
    <t>Shawn</t>
  </si>
  <si>
    <t>Flowers</t>
  </si>
  <si>
    <t>Warren</t>
  </si>
  <si>
    <t>00-60929647</t>
  </si>
  <si>
    <t>Mitchell</t>
  </si>
  <si>
    <t>Clark</t>
  </si>
  <si>
    <t>Support Specialist</t>
  </si>
  <si>
    <t>00-84752529</t>
  </si>
  <si>
    <t>Jacqueline</t>
  </si>
  <si>
    <t>Sutton</t>
  </si>
  <si>
    <t>Master</t>
  </si>
  <si>
    <t>00-17507864</t>
  </si>
  <si>
    <t>Chelsea</t>
  </si>
  <si>
    <t>Jackson</t>
  </si>
  <si>
    <t>Raleigh</t>
  </si>
  <si>
    <t>Sales Specialist</t>
  </si>
  <si>
    <t>00-52339391</t>
  </si>
  <si>
    <t>Ford</t>
  </si>
  <si>
    <t>Pennsylvania</t>
  </si>
  <si>
    <t>Philadelphia</t>
  </si>
  <si>
    <t>Sales Consultant</t>
  </si>
  <si>
    <t>00-86125617</t>
  </si>
  <si>
    <t>Veronica</t>
  </si>
  <si>
    <t>Bowman</t>
  </si>
  <si>
    <t>00-97971488</t>
  </si>
  <si>
    <t>Jeffrey</t>
  </si>
  <si>
    <t>Nguyen</t>
  </si>
  <si>
    <t>Kimberly</t>
  </si>
  <si>
    <t>Perez</t>
  </si>
  <si>
    <t>Content Creator</t>
  </si>
  <si>
    <t>00-85345555</t>
  </si>
  <si>
    <t>Morales</t>
  </si>
  <si>
    <t>00-67503414</t>
  </si>
  <si>
    <t>Jason</t>
  </si>
  <si>
    <t>Hahn</t>
  </si>
  <si>
    <t>Ohio</t>
  </si>
  <si>
    <t>Cleveland</t>
  </si>
  <si>
    <t>00-39436733</t>
  </si>
  <si>
    <t>Jennifer</t>
  </si>
  <si>
    <t>00-76238574</t>
  </si>
  <si>
    <t>Randall</t>
  </si>
  <si>
    <t>Rocha</t>
  </si>
  <si>
    <t>00-24716857</t>
  </si>
  <si>
    <t>Douglas</t>
  </si>
  <si>
    <t>00-66661351</t>
  </si>
  <si>
    <t>Baker</t>
  </si>
  <si>
    <t>00-89978790</t>
  </si>
  <si>
    <t>Ross</t>
  </si>
  <si>
    <t>Silva</t>
  </si>
  <si>
    <t>00-84252722</t>
  </si>
  <si>
    <t>Bright</t>
  </si>
  <si>
    <t>00-25374874</t>
  </si>
  <si>
    <t>Trevor</t>
  </si>
  <si>
    <t>Campos</t>
  </si>
  <si>
    <t>00-45812670</t>
  </si>
  <si>
    <t>Daniel</t>
  </si>
  <si>
    <t>Burton</t>
  </si>
  <si>
    <t>Software Developer</t>
  </si>
  <si>
    <t>00-49392920</t>
  </si>
  <si>
    <t>Erin</t>
  </si>
  <si>
    <t>Carlson</t>
  </si>
  <si>
    <t>00-45351479</t>
  </si>
  <si>
    <t>Patrick</t>
  </si>
  <si>
    <t>Ferrell</t>
  </si>
  <si>
    <t>Detroit</t>
  </si>
  <si>
    <t>00-24282218</t>
  </si>
  <si>
    <t>Tran</t>
  </si>
  <si>
    <t>Virginia</t>
  </si>
  <si>
    <t>Norfolk</t>
  </si>
  <si>
    <t>00-95758349</t>
  </si>
  <si>
    <t>Wilson</t>
  </si>
  <si>
    <t>00-60185867</t>
  </si>
  <si>
    <t>Amanda</t>
  </si>
  <si>
    <t>Adams</t>
  </si>
  <si>
    <t>00-81182864</t>
  </si>
  <si>
    <t>Carter</t>
  </si>
  <si>
    <t>00-75579548</t>
  </si>
  <si>
    <t>Mckay</t>
  </si>
  <si>
    <t>00-51273847</t>
  </si>
  <si>
    <t>Stanton</t>
  </si>
  <si>
    <t>Sales Representative</t>
  </si>
  <si>
    <t>00-19289546</t>
  </si>
  <si>
    <t>Colleen</t>
  </si>
  <si>
    <t>Skinner</t>
  </si>
  <si>
    <t>00-26879290</t>
  </si>
  <si>
    <t>Hernandez</t>
  </si>
  <si>
    <t>00-32162965</t>
  </si>
  <si>
    <t>Evan</t>
  </si>
  <si>
    <t>Ashley</t>
  </si>
  <si>
    <t>00-38427073</t>
  </si>
  <si>
    <t>Alyssa</t>
  </si>
  <si>
    <t>Smith</t>
  </si>
  <si>
    <t>00-36998038</t>
  </si>
  <si>
    <t>Tracy</t>
  </si>
  <si>
    <t>Rodriguez</t>
  </si>
  <si>
    <t>00-97225156</t>
  </si>
  <si>
    <t>Natasha</t>
  </si>
  <si>
    <t>Decker</t>
  </si>
  <si>
    <t>00-26240908</t>
  </si>
  <si>
    <t>Allen</t>
  </si>
  <si>
    <t>00-12823170</t>
  </si>
  <si>
    <t>Stacey</t>
  </si>
  <si>
    <t>Miller</t>
  </si>
  <si>
    <t>00-39557077</t>
  </si>
  <si>
    <t>Lisa</t>
  </si>
  <si>
    <t>Spence</t>
  </si>
  <si>
    <t>00-17901903</t>
  </si>
  <si>
    <t>Katie</t>
  </si>
  <si>
    <t>Anderson</t>
  </si>
  <si>
    <t>Martin</t>
  </si>
  <si>
    <t>00-99788677</t>
  </si>
  <si>
    <t>Monique</t>
  </si>
  <si>
    <t>Henderson</t>
  </si>
  <si>
    <t>00-86644106</t>
  </si>
  <si>
    <t>Sarah</t>
  </si>
  <si>
    <t>00-73481353</t>
  </si>
  <si>
    <t>James</t>
  </si>
  <si>
    <t>Collins</t>
  </si>
  <si>
    <t>00-23009833</t>
  </si>
  <si>
    <t>Debra</t>
  </si>
  <si>
    <t>Kim</t>
  </si>
  <si>
    <t>Allentown</t>
  </si>
  <si>
    <t>00-65177213</t>
  </si>
  <si>
    <t>Shannon</t>
  </si>
  <si>
    <t>Wright</t>
  </si>
  <si>
    <t>00-97705310</t>
  </si>
  <si>
    <t>Chapman</t>
  </si>
  <si>
    <t>00-64038913</t>
  </si>
  <si>
    <t>Brianna</t>
  </si>
  <si>
    <t>00-35714784</t>
  </si>
  <si>
    <t>Crystal</t>
  </si>
  <si>
    <t>Financial Analyst</t>
  </si>
  <si>
    <t>00-66623995</t>
  </si>
  <si>
    <t>Anthony</t>
  </si>
  <si>
    <t>Rivera</t>
  </si>
  <si>
    <t>00-20117988</t>
  </si>
  <si>
    <t>Caldwell</t>
  </si>
  <si>
    <t>00-16789850</t>
  </si>
  <si>
    <t>Amber</t>
  </si>
  <si>
    <t>Cummings</t>
  </si>
  <si>
    <t>00-11980765</t>
  </si>
  <si>
    <t>Kennedy</t>
  </si>
  <si>
    <t>00-64547971</t>
  </si>
  <si>
    <t>Thomas</t>
  </si>
  <si>
    <t>Russell</t>
  </si>
  <si>
    <t>00-63826716</t>
  </si>
  <si>
    <t>Collin</t>
  </si>
  <si>
    <t>Jordan</t>
  </si>
  <si>
    <t>00-10289289</t>
  </si>
  <si>
    <t>Robert</t>
  </si>
  <si>
    <t>Shields</t>
  </si>
  <si>
    <t>00-71070189</t>
  </si>
  <si>
    <t>Emily</t>
  </si>
  <si>
    <t>Joyce</t>
  </si>
  <si>
    <t>00-84593961</t>
  </si>
  <si>
    <t>Bruce</t>
  </si>
  <si>
    <t>Chandler</t>
  </si>
  <si>
    <t>00-35487660</t>
  </si>
  <si>
    <t>Michelle</t>
  </si>
  <si>
    <t>Operations Manager</t>
  </si>
  <si>
    <t>00-82772208</t>
  </si>
  <si>
    <t>00-16729990</t>
  </si>
  <si>
    <t>00-81286543</t>
  </si>
  <si>
    <t>Charles</t>
  </si>
  <si>
    <t>Morton</t>
  </si>
  <si>
    <t>00-41568532</t>
  </si>
  <si>
    <t>Mary</t>
  </si>
  <si>
    <t>Novak</t>
  </si>
  <si>
    <t>00-87701200</t>
  </si>
  <si>
    <t>Karen</t>
  </si>
  <si>
    <t>Young</t>
  </si>
  <si>
    <t>00-66267415</t>
  </si>
  <si>
    <t>Todd</t>
  </si>
  <si>
    <t>Cincinnati</t>
  </si>
  <si>
    <t>00-52462441</t>
  </si>
  <si>
    <t>Rachel</t>
  </si>
  <si>
    <t>00-52169044</t>
  </si>
  <si>
    <t>Tricia</t>
  </si>
  <si>
    <t>00-96637649</t>
  </si>
  <si>
    <t>Kristen</t>
  </si>
  <si>
    <t>Greensboro</t>
  </si>
  <si>
    <t>Susan</t>
  </si>
  <si>
    <t>00-23419256</t>
  </si>
  <si>
    <t>Dorothy</t>
  </si>
  <si>
    <t>Tucker</t>
  </si>
  <si>
    <t>00-45594597</t>
  </si>
  <si>
    <t>Kenneth</t>
  </si>
  <si>
    <t>00-42787299</t>
  </si>
  <si>
    <t>Jill</t>
  </si>
  <si>
    <t>Brown</t>
  </si>
  <si>
    <t>00-82909480</t>
  </si>
  <si>
    <t>Brian</t>
  </si>
  <si>
    <t>00-97775215</t>
  </si>
  <si>
    <t>Samantha</t>
  </si>
  <si>
    <t>Schmidt</t>
  </si>
  <si>
    <t>00-84437458</t>
  </si>
  <si>
    <t>HR Coordinator</t>
  </si>
  <si>
    <t>00-28024248</t>
  </si>
  <si>
    <t>Casey</t>
  </si>
  <si>
    <t>Jones</t>
  </si>
  <si>
    <t>00-84252420</t>
  </si>
  <si>
    <t>Joe</t>
  </si>
  <si>
    <t>00-38270233</t>
  </si>
  <si>
    <t>Riley</t>
  </si>
  <si>
    <t>00-95125977</t>
  </si>
  <si>
    <t>Christine</t>
  </si>
  <si>
    <t>Barnes</t>
  </si>
  <si>
    <t>00-43704923</t>
  </si>
  <si>
    <t>Annette</t>
  </si>
  <si>
    <t>Stewart</t>
  </si>
  <si>
    <t>00-95132217</t>
  </si>
  <si>
    <t>Moran</t>
  </si>
  <si>
    <t>Marketing Coordinator</t>
  </si>
  <si>
    <t>00-10475894</t>
  </si>
  <si>
    <t>Joseph</t>
  </si>
  <si>
    <t>00-45159040</t>
  </si>
  <si>
    <t>Kevin</t>
  </si>
  <si>
    <t>00-67403166</t>
  </si>
  <si>
    <t>Shari</t>
  </si>
  <si>
    <t>00-30005727</t>
  </si>
  <si>
    <t>Yolanda</t>
  </si>
  <si>
    <t>00-51373735</t>
  </si>
  <si>
    <t>Ibarra</t>
  </si>
  <si>
    <t>00-38195995</t>
  </si>
  <si>
    <t>00-57469942</t>
  </si>
  <si>
    <t>Martha</t>
  </si>
  <si>
    <t>Warner</t>
  </si>
  <si>
    <t>00-30743797</t>
  </si>
  <si>
    <t>Tonya</t>
  </si>
  <si>
    <t>Roman</t>
  </si>
  <si>
    <t>00-31810617</t>
  </si>
  <si>
    <t>Alan</t>
  </si>
  <si>
    <t>Montoya</t>
  </si>
  <si>
    <t>Virginia Beach</t>
  </si>
  <si>
    <t>00-13326769</t>
  </si>
  <si>
    <t>00-65259205</t>
  </si>
  <si>
    <t>Dennis</t>
  </si>
  <si>
    <t>00-43308443</t>
  </si>
  <si>
    <t>Julia</t>
  </si>
  <si>
    <t>Moore</t>
  </si>
  <si>
    <t>00-61343880</t>
  </si>
  <si>
    <t>Cassandra</t>
  </si>
  <si>
    <t>Robbins</t>
  </si>
  <si>
    <t>00-36786211</t>
  </si>
  <si>
    <t>Grace</t>
  </si>
  <si>
    <t>Farrell</t>
  </si>
  <si>
    <t>00-50962024</t>
  </si>
  <si>
    <t>Whitehead</t>
  </si>
  <si>
    <t>00-13176186</t>
  </si>
  <si>
    <t>Brent</t>
  </si>
  <si>
    <t>Walters</t>
  </si>
  <si>
    <t>00-47393469</t>
  </si>
  <si>
    <t>Illinois</t>
  </si>
  <si>
    <t>Aurora</t>
  </si>
  <si>
    <t>00-96098221</t>
  </si>
  <si>
    <t>Whitney</t>
  </si>
  <si>
    <t>00-81969657</t>
  </si>
  <si>
    <t>Arnold</t>
  </si>
  <si>
    <t>00-45059710</t>
  </si>
  <si>
    <t>Ann</t>
  </si>
  <si>
    <t>00-24549543</t>
  </si>
  <si>
    <t>Hannah</t>
  </si>
  <si>
    <t>00-52101056</t>
  </si>
  <si>
    <t>Aguilar</t>
  </si>
  <si>
    <t>00-61700055</t>
  </si>
  <si>
    <t>00-15957459</t>
  </si>
  <si>
    <t>Flynn</t>
  </si>
  <si>
    <t>00-82269803</t>
  </si>
  <si>
    <t>Bill</t>
  </si>
  <si>
    <t>Howard</t>
  </si>
  <si>
    <t>00-36445607</t>
  </si>
  <si>
    <t>00-54318698</t>
  </si>
  <si>
    <t>Anita</t>
  </si>
  <si>
    <t>Baxter</t>
  </si>
  <si>
    <t>00-26726926</t>
  </si>
  <si>
    <t>Kara</t>
  </si>
  <si>
    <t>Frost</t>
  </si>
  <si>
    <t>00-51511484</t>
  </si>
  <si>
    <t>Cherry</t>
  </si>
  <si>
    <t>00-49682169</t>
  </si>
  <si>
    <t>Gregory</t>
  </si>
  <si>
    <t>Gutierrez</t>
  </si>
  <si>
    <t>00-99245317</t>
  </si>
  <si>
    <t>Cook</t>
  </si>
  <si>
    <t>00-33357554</t>
  </si>
  <si>
    <t>Santiago</t>
  </si>
  <si>
    <t>00-83542887</t>
  </si>
  <si>
    <t>00-38210242</t>
  </si>
  <si>
    <t>Reyes</t>
  </si>
  <si>
    <t>00-97873101</t>
  </si>
  <si>
    <t>Michele</t>
  </si>
  <si>
    <t>Walker</t>
  </si>
  <si>
    <t>00-38682516</t>
  </si>
  <si>
    <t>Bailey</t>
  </si>
  <si>
    <t>00-98429450</t>
  </si>
  <si>
    <t>Laura</t>
  </si>
  <si>
    <t>00-94951883</t>
  </si>
  <si>
    <t>Donna</t>
  </si>
  <si>
    <t>00-41523529</t>
  </si>
  <si>
    <t>Rasmussen</t>
  </si>
  <si>
    <t>00-36726767</t>
  </si>
  <si>
    <t>Hicks</t>
  </si>
  <si>
    <t>Chicago</t>
  </si>
  <si>
    <t>00-73771720</t>
  </si>
  <si>
    <t>Tina</t>
  </si>
  <si>
    <t>Herrera</t>
  </si>
  <si>
    <t>00-65625330</t>
  </si>
  <si>
    <t>Darrell</t>
  </si>
  <si>
    <t>Waller</t>
  </si>
  <si>
    <t>00-61536717</t>
  </si>
  <si>
    <t>Beverly</t>
  </si>
  <si>
    <t>Terrell</t>
  </si>
  <si>
    <t>00-98054615</t>
  </si>
  <si>
    <t>Hamilton</t>
  </si>
  <si>
    <t>00-67062156</t>
  </si>
  <si>
    <t>Kristin</t>
  </si>
  <si>
    <t>Graham</t>
  </si>
  <si>
    <t>00-72350830</t>
  </si>
  <si>
    <t>Lam</t>
  </si>
  <si>
    <t>00-26288475</t>
  </si>
  <si>
    <t>Jonathan</t>
  </si>
  <si>
    <t>Fletcher</t>
  </si>
  <si>
    <t>00-81287314</t>
  </si>
  <si>
    <t>April</t>
  </si>
  <si>
    <t>Drake</t>
  </si>
  <si>
    <t>00-69401199</t>
  </si>
  <si>
    <t>Harmon</t>
  </si>
  <si>
    <t>00-67276174</t>
  </si>
  <si>
    <t>Reynolds</t>
  </si>
  <si>
    <t>00-31361812</t>
  </si>
  <si>
    <t>Hanson</t>
  </si>
  <si>
    <t>00-44788100</t>
  </si>
  <si>
    <t>Melanie</t>
  </si>
  <si>
    <t>Cortez</t>
  </si>
  <si>
    <t>00-79967676</t>
  </si>
  <si>
    <t>William</t>
  </si>
  <si>
    <t>Estrada</t>
  </si>
  <si>
    <t>Richard</t>
  </si>
  <si>
    <t>Phillips</t>
  </si>
  <si>
    <t>00-46468984</t>
  </si>
  <si>
    <t>Ortega</t>
  </si>
  <si>
    <t>00-28572252</t>
  </si>
  <si>
    <t>Orr</t>
  </si>
  <si>
    <t>00-30509175</t>
  </si>
  <si>
    <t>Sullivan</t>
  </si>
  <si>
    <t>00-64707061</t>
  </si>
  <si>
    <t>Aaron</t>
  </si>
  <si>
    <t>Kristi</t>
  </si>
  <si>
    <t>Lawson</t>
  </si>
  <si>
    <t>00-88393811</t>
  </si>
  <si>
    <t>Steven</t>
  </si>
  <si>
    <t>Ramos</t>
  </si>
  <si>
    <t>00-87267850</t>
  </si>
  <si>
    <t>Leon</t>
  </si>
  <si>
    <t>00-50079111</t>
  </si>
  <si>
    <t>Hopkins</t>
  </si>
  <si>
    <t>00-83300637</t>
  </si>
  <si>
    <t>Zachary</t>
  </si>
  <si>
    <t>Schultz</t>
  </si>
  <si>
    <t>Clarence</t>
  </si>
  <si>
    <t>00-62191530</t>
  </si>
  <si>
    <t>00-64266464</t>
  </si>
  <si>
    <t>Dylan</t>
  </si>
  <si>
    <t>00-93517915</t>
  </si>
  <si>
    <t>Cheryl</t>
  </si>
  <si>
    <t>Mack</t>
  </si>
  <si>
    <t>00-85751409</t>
  </si>
  <si>
    <t>Soto</t>
  </si>
  <si>
    <t>00-67527432</t>
  </si>
  <si>
    <t>Cruz</t>
  </si>
  <si>
    <t>00-16749089</t>
  </si>
  <si>
    <t>00-71028710</t>
  </si>
  <si>
    <t>Patricia</t>
  </si>
  <si>
    <t>Dalton</t>
  </si>
  <si>
    <t>00-66581473</t>
  </si>
  <si>
    <t>Coleman</t>
  </si>
  <si>
    <t>00-12601580</t>
  </si>
  <si>
    <t>Dominguez</t>
  </si>
  <si>
    <t>00-40094589</t>
  </si>
  <si>
    <t>00-14164775</t>
  </si>
  <si>
    <t>Customer Service Manager</t>
  </si>
  <si>
    <t>00-12735359</t>
  </si>
  <si>
    <t>Elizabeth</t>
  </si>
  <si>
    <t>Travis</t>
  </si>
  <si>
    <t>00-73560289</t>
  </si>
  <si>
    <t>Logan</t>
  </si>
  <si>
    <t>Fischer</t>
  </si>
  <si>
    <t>00-72415804</t>
  </si>
  <si>
    <t>Cheyenne</t>
  </si>
  <si>
    <t>Ball</t>
  </si>
  <si>
    <t>00-91321540</t>
  </si>
  <si>
    <t>Ronald</t>
  </si>
  <si>
    <t>Meadows</t>
  </si>
  <si>
    <t>00-25372341</t>
  </si>
  <si>
    <t>Phyllis</t>
  </si>
  <si>
    <t>Manning</t>
  </si>
  <si>
    <t>00-24508768</t>
  </si>
  <si>
    <t>Walton</t>
  </si>
  <si>
    <t>00-60372847</t>
  </si>
  <si>
    <t>Dana</t>
  </si>
  <si>
    <t>Cannon</t>
  </si>
  <si>
    <t>00-20200074</t>
  </si>
  <si>
    <t>00-23676961</t>
  </si>
  <si>
    <t>Chris</t>
  </si>
  <si>
    <t>00-90585882</t>
  </si>
  <si>
    <t>Orozco</t>
  </si>
  <si>
    <t>00-15512205</t>
  </si>
  <si>
    <t>Devon</t>
  </si>
  <si>
    <t>Hall</t>
  </si>
  <si>
    <t>00-59737181</t>
  </si>
  <si>
    <t>Eric</t>
  </si>
  <si>
    <t>00-11698142</t>
  </si>
  <si>
    <t>Rick</t>
  </si>
  <si>
    <t>Daniels</t>
  </si>
  <si>
    <t>00-68186525</t>
  </si>
  <si>
    <t>Bryan</t>
  </si>
  <si>
    <t>Wall</t>
  </si>
  <si>
    <t>Naperville</t>
  </si>
  <si>
    <t>00-71705170</t>
  </si>
  <si>
    <t>Rebecca</t>
  </si>
  <si>
    <t>00-80027662</t>
  </si>
  <si>
    <t>Andrew</t>
  </si>
  <si>
    <t>Gilmore</t>
  </si>
  <si>
    <t>00-82232344</t>
  </si>
  <si>
    <t>Omar</t>
  </si>
  <si>
    <t>00-89520597</t>
  </si>
  <si>
    <t>Price</t>
  </si>
  <si>
    <t>00-21631697</t>
  </si>
  <si>
    <t>Stephanie</t>
  </si>
  <si>
    <t>00-72372114</t>
  </si>
  <si>
    <t>Jessica</t>
  </si>
  <si>
    <t>Marsh</t>
  </si>
  <si>
    <t>00-55150390</t>
  </si>
  <si>
    <t>00-75437844</t>
  </si>
  <si>
    <t>00-47535126</t>
  </si>
  <si>
    <t>Powell</t>
  </si>
  <si>
    <t>00-84597009</t>
  </si>
  <si>
    <t>Calhoun</t>
  </si>
  <si>
    <t>00-42394260</t>
  </si>
  <si>
    <t>00-42255732</t>
  </si>
  <si>
    <t>Anne</t>
  </si>
  <si>
    <t>00-75876924</t>
  </si>
  <si>
    <t>Roy</t>
  </si>
  <si>
    <t>Camacho</t>
  </si>
  <si>
    <t>00-49491631</t>
  </si>
  <si>
    <t>Gray</t>
  </si>
  <si>
    <t>00-51098277</t>
  </si>
  <si>
    <t>Rogers</t>
  </si>
  <si>
    <t>00-84285882</t>
  </si>
  <si>
    <t>Nicholas</t>
  </si>
  <si>
    <t>00-83871890</t>
  </si>
  <si>
    <t>Conley</t>
  </si>
  <si>
    <t>00-46361787</t>
  </si>
  <si>
    <t>Ryan</t>
  </si>
  <si>
    <t>00-35848226</t>
  </si>
  <si>
    <t>00-34850391</t>
  </si>
  <si>
    <t>Billy</t>
  </si>
  <si>
    <t>00-47111151</t>
  </si>
  <si>
    <t>00-47983442</t>
  </si>
  <si>
    <t>Wells</t>
  </si>
  <si>
    <t>00-40532273</t>
  </si>
  <si>
    <t>Wood</t>
  </si>
  <si>
    <t>00-84270583</t>
  </si>
  <si>
    <t>Catherine</t>
  </si>
  <si>
    <t>Adkins</t>
  </si>
  <si>
    <t>00-75884623</t>
  </si>
  <si>
    <t>00-48163378</t>
  </si>
  <si>
    <t>00-34744872</t>
  </si>
  <si>
    <t>Barbara</t>
  </si>
  <si>
    <t>Odonnell</t>
  </si>
  <si>
    <t>00-74119726</t>
  </si>
  <si>
    <t>Randy</t>
  </si>
  <si>
    <t>Espinoza</t>
  </si>
  <si>
    <t>00-76001106</t>
  </si>
  <si>
    <t>Rivas</t>
  </si>
  <si>
    <t>00-17195288</t>
  </si>
  <si>
    <t>Curtis</t>
  </si>
  <si>
    <t>Barton</t>
  </si>
  <si>
    <t>00-21432787</t>
  </si>
  <si>
    <t>Gabrielle</t>
  </si>
  <si>
    <t>Trujillo</t>
  </si>
  <si>
    <t>00-65857931</t>
  </si>
  <si>
    <t>Patton</t>
  </si>
  <si>
    <t>00-80138498</t>
  </si>
  <si>
    <t>Stanley</t>
  </si>
  <si>
    <t>00-88990506</t>
  </si>
  <si>
    <t>Peterson</t>
  </si>
  <si>
    <t>00-93352876</t>
  </si>
  <si>
    <t>Henry</t>
  </si>
  <si>
    <t>00-37888820</t>
  </si>
  <si>
    <t>Reid</t>
  </si>
  <si>
    <t>00-20896797</t>
  </si>
  <si>
    <t>Steve</t>
  </si>
  <si>
    <t>Columbus</t>
  </si>
  <si>
    <t>00-89699989</t>
  </si>
  <si>
    <t>Christina</t>
  </si>
  <si>
    <t>Gillespie</t>
  </si>
  <si>
    <t>00-48668783</t>
  </si>
  <si>
    <t>Timothy</t>
  </si>
  <si>
    <t>00-70939053</t>
  </si>
  <si>
    <t>Morris</t>
  </si>
  <si>
    <t>00-93893865</t>
  </si>
  <si>
    <t>Mariah</t>
  </si>
  <si>
    <t>00-25405014</t>
  </si>
  <si>
    <t>Christensen</t>
  </si>
  <si>
    <t>00-45652586</t>
  </si>
  <si>
    <t>00-32269779</t>
  </si>
  <si>
    <t>Troy</t>
  </si>
  <si>
    <t>00-86397676</t>
  </si>
  <si>
    <t>Salinas</t>
  </si>
  <si>
    <t>00-72907576</t>
  </si>
  <si>
    <t>00-46540265</t>
  </si>
  <si>
    <t>00-20796722</t>
  </si>
  <si>
    <t>Christopher</t>
  </si>
  <si>
    <t>00-53261270</t>
  </si>
  <si>
    <t>Angela</t>
  </si>
  <si>
    <t>00-40725714</t>
  </si>
  <si>
    <t>Debbie</t>
  </si>
  <si>
    <t>00-12784407</t>
  </si>
  <si>
    <t>Andre</t>
  </si>
  <si>
    <t>00-46173157</t>
  </si>
  <si>
    <t>Heather</t>
  </si>
  <si>
    <t>Torres</t>
  </si>
  <si>
    <t>00-79654147</t>
  </si>
  <si>
    <t>Miguel</t>
  </si>
  <si>
    <t>00-88561612</t>
  </si>
  <si>
    <t>Reese</t>
  </si>
  <si>
    <t>00-73083727</t>
  </si>
  <si>
    <t>Chavez</t>
  </si>
  <si>
    <t>00-99943797</t>
  </si>
  <si>
    <t>Martinez</t>
  </si>
  <si>
    <t>00-65250068</t>
  </si>
  <si>
    <t>Leslie</t>
  </si>
  <si>
    <t>Newton</t>
  </si>
  <si>
    <t>00-63747791</t>
  </si>
  <si>
    <t>Lee</t>
  </si>
  <si>
    <t>00-71045700</t>
  </si>
  <si>
    <t>Hardy</t>
  </si>
  <si>
    <t>00-25558733</t>
  </si>
  <si>
    <t>Alicia</t>
  </si>
  <si>
    <t>Campbell</t>
  </si>
  <si>
    <t>00-79067939</t>
  </si>
  <si>
    <t>Marissa</t>
  </si>
  <si>
    <t>00-82825679</t>
  </si>
  <si>
    <t>Harry</t>
  </si>
  <si>
    <t>00-79583757</t>
  </si>
  <si>
    <t>00-69329732</t>
  </si>
  <si>
    <t>Terry</t>
  </si>
  <si>
    <t>00-83715012</t>
  </si>
  <si>
    <t>Mullins</t>
  </si>
  <si>
    <t>Richmond</t>
  </si>
  <si>
    <t>00-75056916</t>
  </si>
  <si>
    <t>Andrews</t>
  </si>
  <si>
    <t>00-42117961</t>
  </si>
  <si>
    <t>West Virginia</t>
  </si>
  <si>
    <t>Charleston</t>
  </si>
  <si>
    <t>00-11835355</t>
  </si>
  <si>
    <t>Johnny</t>
  </si>
  <si>
    <t>Hensley</t>
  </si>
  <si>
    <t>00-25228493</t>
  </si>
  <si>
    <t>Lynn</t>
  </si>
  <si>
    <t>00-30665654</t>
  </si>
  <si>
    <t>Parks</t>
  </si>
  <si>
    <t>00-78299645</t>
  </si>
  <si>
    <t>Edward</t>
  </si>
  <si>
    <t>Hart</t>
  </si>
  <si>
    <t>00-74759996</t>
  </si>
  <si>
    <t>00-83989546</t>
  </si>
  <si>
    <t>Kathy</t>
  </si>
  <si>
    <t>Obrien</t>
  </si>
  <si>
    <t>00-78214937</t>
  </si>
  <si>
    <t>Rowe</t>
  </si>
  <si>
    <t>00-19369750</t>
  </si>
  <si>
    <t>00-78147397</t>
  </si>
  <si>
    <t>Patterson</t>
  </si>
  <si>
    <t>00-50071487</t>
  </si>
  <si>
    <t>Lynch</t>
  </si>
  <si>
    <t>00-75718414</t>
  </si>
  <si>
    <t>Cory</t>
  </si>
  <si>
    <t>Farmer</t>
  </si>
  <si>
    <t>00-75007200</t>
  </si>
  <si>
    <t>Guerrero</t>
  </si>
  <si>
    <t>00-82937948</t>
  </si>
  <si>
    <t>00-35320492</t>
  </si>
  <si>
    <t>Hayes</t>
  </si>
  <si>
    <t>00-61401477</t>
  </si>
  <si>
    <t>00-52704903</t>
  </si>
  <si>
    <t>Jasmine</t>
  </si>
  <si>
    <t>00-61167978</t>
  </si>
  <si>
    <t>00-97512508</t>
  </si>
  <si>
    <t>Weber</t>
  </si>
  <si>
    <t>00-26944487</t>
  </si>
  <si>
    <t>Gonzalez</t>
  </si>
  <si>
    <t>00-23470708</t>
  </si>
  <si>
    <t>Holland</t>
  </si>
  <si>
    <t>00-80591959</t>
  </si>
  <si>
    <t>00-29348212</t>
  </si>
  <si>
    <t>Gabriel</t>
  </si>
  <si>
    <t>Parker</t>
  </si>
  <si>
    <t>00-20043277</t>
  </si>
  <si>
    <t>Madison</t>
  </si>
  <si>
    <t>Morse</t>
  </si>
  <si>
    <t>00-93652460</t>
  </si>
  <si>
    <t>Barker</t>
  </si>
  <si>
    <t>00-54099326</t>
  </si>
  <si>
    <t>Nelson</t>
  </si>
  <si>
    <t>00-52501540</t>
  </si>
  <si>
    <t>00-82613940</t>
  </si>
  <si>
    <t>Pamela</t>
  </si>
  <si>
    <t>Navarro</t>
  </si>
  <si>
    <t>00-94712997</t>
  </si>
  <si>
    <t>00-22130508</t>
  </si>
  <si>
    <t>Johnston</t>
  </si>
  <si>
    <t>00-95060193</t>
  </si>
  <si>
    <t>Yvonne</t>
  </si>
  <si>
    <t>Chambers</t>
  </si>
  <si>
    <t>00-32329103</t>
  </si>
  <si>
    <t>Hines</t>
  </si>
  <si>
    <t>Huntington</t>
  </si>
  <si>
    <t>00-53536830</t>
  </si>
  <si>
    <t>Pearson</t>
  </si>
  <si>
    <t>00-60310319</t>
  </si>
  <si>
    <t>Shea</t>
  </si>
  <si>
    <t>00-65304649</t>
  </si>
  <si>
    <t>Cynthia</t>
  </si>
  <si>
    <t>Vasquez</t>
  </si>
  <si>
    <t>Marketing Manager</t>
  </si>
  <si>
    <t>00-33497411</t>
  </si>
  <si>
    <t>Theodore</t>
  </si>
  <si>
    <t>Ortiz</t>
  </si>
  <si>
    <t>00-42323627</t>
  </si>
  <si>
    <t>Hodge</t>
  </si>
  <si>
    <t>00-41163805</t>
  </si>
  <si>
    <t>Simpson</t>
  </si>
  <si>
    <t>00-44269370</t>
  </si>
  <si>
    <t>Sierra</t>
  </si>
  <si>
    <t>Cervantes</t>
  </si>
  <si>
    <t>00-83363160</t>
  </si>
  <si>
    <t>Benjamin</t>
  </si>
  <si>
    <t>00-88862539</t>
  </si>
  <si>
    <t>Marcus</t>
  </si>
  <si>
    <t>Cordova</t>
  </si>
  <si>
    <t>00-43567615</t>
  </si>
  <si>
    <t>00-61632653</t>
  </si>
  <si>
    <t>Diane</t>
  </si>
  <si>
    <t>00-61185849</t>
  </si>
  <si>
    <t>Stone</t>
  </si>
  <si>
    <t>00-49625201</t>
  </si>
  <si>
    <t>Katherine</t>
  </si>
  <si>
    <t>Garrett</t>
  </si>
  <si>
    <t>00-46840133</t>
  </si>
  <si>
    <t>Brett</t>
  </si>
  <si>
    <t>00-16582607</t>
  </si>
  <si>
    <t>Sara</t>
  </si>
  <si>
    <t>00-48412328</t>
  </si>
  <si>
    <t>00-43638559</t>
  </si>
  <si>
    <t>Lance</t>
  </si>
  <si>
    <t>00-98473848</t>
  </si>
  <si>
    <t>Gay</t>
  </si>
  <si>
    <t>00-23041121</t>
  </si>
  <si>
    <t>Valentine</t>
  </si>
  <si>
    <t>00-51464269</t>
  </si>
  <si>
    <t>Marilyn</t>
  </si>
  <si>
    <t>Jimenez</t>
  </si>
  <si>
    <t>00-58970845</t>
  </si>
  <si>
    <t>Kelly</t>
  </si>
  <si>
    <t>Thornton</t>
  </si>
  <si>
    <t>00-53851498</t>
  </si>
  <si>
    <t>Baird</t>
  </si>
  <si>
    <t>00-27738187</t>
  </si>
  <si>
    <t>Stephen</t>
  </si>
  <si>
    <t>00-77349752</t>
  </si>
  <si>
    <t>Sandra</t>
  </si>
  <si>
    <t>Romero</t>
  </si>
  <si>
    <t>00-74672520</t>
  </si>
  <si>
    <t>Derek</t>
  </si>
  <si>
    <t>00-55461591</t>
  </si>
  <si>
    <t>Kristy</t>
  </si>
  <si>
    <t>Perry</t>
  </si>
  <si>
    <t>00-28892086</t>
  </si>
  <si>
    <t>00-63339667</t>
  </si>
  <si>
    <t>Justin</t>
  </si>
  <si>
    <t>Evans</t>
  </si>
  <si>
    <t>00-22120246</t>
  </si>
  <si>
    <t>Bethany</t>
  </si>
  <si>
    <t>Keller</t>
  </si>
  <si>
    <t>00-82017516</t>
  </si>
  <si>
    <t>Edgar</t>
  </si>
  <si>
    <t>00-45186708</t>
  </si>
  <si>
    <t>00-24541967</t>
  </si>
  <si>
    <t>00-93154172</t>
  </si>
  <si>
    <t>00-72312933</t>
  </si>
  <si>
    <t>Louis</t>
  </si>
  <si>
    <t>00-64800542</t>
  </si>
  <si>
    <t>Hughes</t>
  </si>
  <si>
    <t>00-50851122</t>
  </si>
  <si>
    <t>00-41514326</t>
  </si>
  <si>
    <t>Tyler</t>
  </si>
  <si>
    <t>00-70887034</t>
  </si>
  <si>
    <t>Tammy</t>
  </si>
  <si>
    <t>00-82503409</t>
  </si>
  <si>
    <t>Morgan</t>
  </si>
  <si>
    <t>Alexander</t>
  </si>
  <si>
    <t>00-30739712</t>
  </si>
  <si>
    <t>Renee</t>
  </si>
  <si>
    <t>00-75679047</t>
  </si>
  <si>
    <t>Pena</t>
  </si>
  <si>
    <t>00-59731689</t>
  </si>
  <si>
    <t>Harrington</t>
  </si>
  <si>
    <t>00-58678896</t>
  </si>
  <si>
    <t>Schwartz</t>
  </si>
  <si>
    <t>00-83076970</t>
  </si>
  <si>
    <t>Murphy</t>
  </si>
  <si>
    <t>00-18126895</t>
  </si>
  <si>
    <t>00-71031132</t>
  </si>
  <si>
    <t>Courtney</t>
  </si>
  <si>
    <t>Clay</t>
  </si>
  <si>
    <t>00-95831286</t>
  </si>
  <si>
    <t>00-54762841</t>
  </si>
  <si>
    <t>Jimmy</t>
  </si>
  <si>
    <t>Cohen</t>
  </si>
  <si>
    <t>Wendy</t>
  </si>
  <si>
    <t>Francis</t>
  </si>
  <si>
    <t>00-88703005</t>
  </si>
  <si>
    <t>Tiffany</t>
  </si>
  <si>
    <t>Hodges</t>
  </si>
  <si>
    <t>00-29804386</t>
  </si>
  <si>
    <t>Wallace</t>
  </si>
  <si>
    <t>00-47215199</t>
  </si>
  <si>
    <t>00-82506491</t>
  </si>
  <si>
    <t>00-98725654</t>
  </si>
  <si>
    <t>Sanchez</t>
  </si>
  <si>
    <t>00-58082464</t>
  </si>
  <si>
    <t>Ashlee</t>
  </si>
  <si>
    <t>Sparks</t>
  </si>
  <si>
    <t>00-53455870</t>
  </si>
  <si>
    <t>00-27013243</t>
  </si>
  <si>
    <t>00-18530615</t>
  </si>
  <si>
    <t>Brandy</t>
  </si>
  <si>
    <t>00-89680504</t>
  </si>
  <si>
    <t>Scott</t>
  </si>
  <si>
    <t>00-92558242</t>
  </si>
  <si>
    <t>Marshall</t>
  </si>
  <si>
    <t>00-50484137</t>
  </si>
  <si>
    <t>00-74287863</t>
  </si>
  <si>
    <t>Huerta</t>
  </si>
  <si>
    <t>00-24490391</t>
  </si>
  <si>
    <t>00-20843514</t>
  </si>
  <si>
    <t>Turner</t>
  </si>
  <si>
    <t>Melissa</t>
  </si>
  <si>
    <t>00-83599154</t>
  </si>
  <si>
    <t>00-81210133</t>
  </si>
  <si>
    <t>00-67740376</t>
  </si>
  <si>
    <t>00-97874085</t>
  </si>
  <si>
    <t>Gina</t>
  </si>
  <si>
    <t>Garner</t>
  </si>
  <si>
    <t>00-38859907</t>
  </si>
  <si>
    <t>Mcgee</t>
  </si>
  <si>
    <t>00-55490631</t>
  </si>
  <si>
    <t>00-22762205</t>
  </si>
  <si>
    <t>Jerry</t>
  </si>
  <si>
    <t>Pham</t>
  </si>
  <si>
    <t>00-44210729</t>
  </si>
  <si>
    <t>Oliver</t>
  </si>
  <si>
    <t>00-73655158</t>
  </si>
  <si>
    <t>Karla</t>
  </si>
  <si>
    <t>Saunders</t>
  </si>
  <si>
    <t>00-67965485</t>
  </si>
  <si>
    <t>Fuller</t>
  </si>
  <si>
    <t>00-27463800</t>
  </si>
  <si>
    <t>00-85387867</t>
  </si>
  <si>
    <t>00-57459130</t>
  </si>
  <si>
    <t>Browning</t>
  </si>
  <si>
    <t>00-16904975</t>
  </si>
  <si>
    <t>Julie</t>
  </si>
  <si>
    <t>Thompson</t>
  </si>
  <si>
    <t>00-57197152</t>
  </si>
  <si>
    <t>Walter</t>
  </si>
  <si>
    <t>00-30767532</t>
  </si>
  <si>
    <t>Mcintyre</t>
  </si>
  <si>
    <t>00-24524825</t>
  </si>
  <si>
    <t>Franklin</t>
  </si>
  <si>
    <t>Sloan</t>
  </si>
  <si>
    <t>00-25419645</t>
  </si>
  <si>
    <t>00-67594492</t>
  </si>
  <si>
    <t>00-96261621</t>
  </si>
  <si>
    <t>Donald</t>
  </si>
  <si>
    <t>Levy</t>
  </si>
  <si>
    <t>00-45896226</t>
  </si>
  <si>
    <t>Craig</t>
  </si>
  <si>
    <t>00-51471222</t>
  </si>
  <si>
    <t>Ballard</t>
  </si>
  <si>
    <t>00-34347841</t>
  </si>
  <si>
    <t>Foster</t>
  </si>
  <si>
    <t>00-63792364</t>
  </si>
  <si>
    <t>Gibson</t>
  </si>
  <si>
    <t>00-14114726</t>
  </si>
  <si>
    <t>Kaitlyn</t>
  </si>
  <si>
    <t>00-60491958</t>
  </si>
  <si>
    <t>Bentley</t>
  </si>
  <si>
    <t>00-59667685</t>
  </si>
  <si>
    <t>Ruiz</t>
  </si>
  <si>
    <t>Pittsburgh</t>
  </si>
  <si>
    <t>00-86181117</t>
  </si>
  <si>
    <t>Hoffman</t>
  </si>
  <si>
    <t>00-31127198</t>
  </si>
  <si>
    <t>00-20949687</t>
  </si>
  <si>
    <t>Blankenship</t>
  </si>
  <si>
    <t>00-75184410</t>
  </si>
  <si>
    <t>00-38933176</t>
  </si>
  <si>
    <t>Sophia</t>
  </si>
  <si>
    <t>00-89609131</t>
  </si>
  <si>
    <t>00-16095815</t>
  </si>
  <si>
    <t>Stacy</t>
  </si>
  <si>
    <t>Horton</t>
  </si>
  <si>
    <t>00-28419343</t>
  </si>
  <si>
    <t>00-26104026</t>
  </si>
  <si>
    <t>Antonio</t>
  </si>
  <si>
    <t>00-40884937</t>
  </si>
  <si>
    <t>Sean</t>
  </si>
  <si>
    <t>00-68548403</t>
  </si>
  <si>
    <t>Newman</t>
  </si>
  <si>
    <t>00-52018286</t>
  </si>
  <si>
    <t>Raymond</t>
  </si>
  <si>
    <t>Lopez</t>
  </si>
  <si>
    <t>00-95918360</t>
  </si>
  <si>
    <t>Holloway</t>
  </si>
  <si>
    <t>00-12799319</t>
  </si>
  <si>
    <t>May</t>
  </si>
  <si>
    <t>00-92963368</t>
  </si>
  <si>
    <t>Tasha</t>
  </si>
  <si>
    <t>00-21828592</t>
  </si>
  <si>
    <t>00-68475513</t>
  </si>
  <si>
    <t>Jamie</t>
  </si>
  <si>
    <t>Gallegos</t>
  </si>
  <si>
    <t>00-63118906</t>
  </si>
  <si>
    <t>00-39738898</t>
  </si>
  <si>
    <t>Schroeder</t>
  </si>
  <si>
    <t>00-78515906</t>
  </si>
  <si>
    <t>00-36025314</t>
  </si>
  <si>
    <t>Tracey</t>
  </si>
  <si>
    <t>00-96629889</t>
  </si>
  <si>
    <t>00-29655410</t>
  </si>
  <si>
    <t>00-30517835</t>
  </si>
  <si>
    <t>00-33776150</t>
  </si>
  <si>
    <t>Alfred</t>
  </si>
  <si>
    <t>00-72270726</t>
  </si>
  <si>
    <t>Judy</t>
  </si>
  <si>
    <t>Fox</t>
  </si>
  <si>
    <t>00-85764804</t>
  </si>
  <si>
    <t>Bryce</t>
  </si>
  <si>
    <t>West</t>
  </si>
  <si>
    <t>00-94183695</t>
  </si>
  <si>
    <t>00-72937522</t>
  </si>
  <si>
    <t>Gilbert</t>
  </si>
  <si>
    <t>00-46866075</t>
  </si>
  <si>
    <t>Krista</t>
  </si>
  <si>
    <t>00-19957701</t>
  </si>
  <si>
    <t>Schneider</t>
  </si>
  <si>
    <t>00-17635653</t>
  </si>
  <si>
    <t>Mendoza</t>
  </si>
  <si>
    <t>00-96525668</t>
  </si>
  <si>
    <t>00-89736043</t>
  </si>
  <si>
    <t>00-84399083</t>
  </si>
  <si>
    <t>Marc</t>
  </si>
  <si>
    <t>00-70362235</t>
  </si>
  <si>
    <t>00-35265073</t>
  </si>
  <si>
    <t>00-30248230</t>
  </si>
  <si>
    <t>00-56095437</t>
  </si>
  <si>
    <t>Mcguire</t>
  </si>
  <si>
    <t>00-96721710</t>
  </si>
  <si>
    <t>00-68754920</t>
  </si>
  <si>
    <t>Glenn</t>
  </si>
  <si>
    <t>00-91846696</t>
  </si>
  <si>
    <t>00-61998170</t>
  </si>
  <si>
    <t>Maria</t>
  </si>
  <si>
    <t>00-90246882</t>
  </si>
  <si>
    <t>Cody</t>
  </si>
  <si>
    <t>Simmons</t>
  </si>
  <si>
    <t>00-54915875</t>
  </si>
  <si>
    <t>00-61883769</t>
  </si>
  <si>
    <t>00-98122539</t>
  </si>
  <si>
    <t>00-30182766</t>
  </si>
  <si>
    <t>Joanne</t>
  </si>
  <si>
    <t>Cain</t>
  </si>
  <si>
    <t>00-28982195</t>
  </si>
  <si>
    <t>Frye</t>
  </si>
  <si>
    <t>00-98870276</t>
  </si>
  <si>
    <t>Mark</t>
  </si>
  <si>
    <t>00-21370793</t>
  </si>
  <si>
    <t>Pugh</t>
  </si>
  <si>
    <t>00-54087376</t>
  </si>
  <si>
    <t>Miranda</t>
  </si>
  <si>
    <t>Griffith</t>
  </si>
  <si>
    <t>00-80651318</t>
  </si>
  <si>
    <t>Caroline</t>
  </si>
  <si>
    <t>Bell</t>
  </si>
  <si>
    <t>00-78248169</t>
  </si>
  <si>
    <t>00-34194479</t>
  </si>
  <si>
    <t>00-75266178</t>
  </si>
  <si>
    <t>00-20356922</t>
  </si>
  <si>
    <t>Audrey</t>
  </si>
  <si>
    <t>Aguirre</t>
  </si>
  <si>
    <t>00-82446804</t>
  </si>
  <si>
    <t>00-98842638</t>
  </si>
  <si>
    <t>Day</t>
  </si>
  <si>
    <t>00-90161060</t>
  </si>
  <si>
    <t>Barrett</t>
  </si>
  <si>
    <t>00-93851247</t>
  </si>
  <si>
    <t>White</t>
  </si>
  <si>
    <t>00-68743530</t>
  </si>
  <si>
    <t>Kathryn</t>
  </si>
  <si>
    <t>Dorsey</t>
  </si>
  <si>
    <t>00-41880763</t>
  </si>
  <si>
    <t>Adam</t>
  </si>
  <si>
    <t>Kane</t>
  </si>
  <si>
    <t>00-70254091</t>
  </si>
  <si>
    <t>00-72950208</t>
  </si>
  <si>
    <t>00-86560394</t>
  </si>
  <si>
    <t>Bennett</t>
  </si>
  <si>
    <t>00-47818761</t>
  </si>
  <si>
    <t>00-66191704</t>
  </si>
  <si>
    <t>00-96057593</t>
  </si>
  <si>
    <t>00-23769360</t>
  </si>
  <si>
    <t>00-26733967</t>
  </si>
  <si>
    <t>00-70306604</t>
  </si>
  <si>
    <t>Kari</t>
  </si>
  <si>
    <t>00-68716573</t>
  </si>
  <si>
    <t>00-70549373</t>
  </si>
  <si>
    <t>Tommy</t>
  </si>
  <si>
    <t>00-17148018</t>
  </si>
  <si>
    <t>00-61830338</t>
  </si>
  <si>
    <t>Adrian</t>
  </si>
  <si>
    <t>00-13783268</t>
  </si>
  <si>
    <t>Katrina</t>
  </si>
  <si>
    <t>Duran</t>
  </si>
  <si>
    <t>00-97236246</t>
  </si>
  <si>
    <t>00-15140967</t>
  </si>
  <si>
    <t>00-28628439</t>
  </si>
  <si>
    <t>Jane</t>
  </si>
  <si>
    <t>Mason</t>
  </si>
  <si>
    <t>00-92590645</t>
  </si>
  <si>
    <t>Gomez</t>
  </si>
  <si>
    <t>00-44349528</t>
  </si>
  <si>
    <t>00-91722503</t>
  </si>
  <si>
    <t>00-48668339</t>
  </si>
  <si>
    <t>Berry</t>
  </si>
  <si>
    <t>00-42002808</t>
  </si>
  <si>
    <t>Roberts</t>
  </si>
  <si>
    <t>00-42472386</t>
  </si>
  <si>
    <t>00-10209961</t>
  </si>
  <si>
    <t>00-65910756</t>
  </si>
  <si>
    <t>Alexandria</t>
  </si>
  <si>
    <t>00-80260907</t>
  </si>
  <si>
    <t>00-83025444</t>
  </si>
  <si>
    <t>Gary</t>
  </si>
  <si>
    <t>Dixon</t>
  </si>
  <si>
    <t>00-12729224</t>
  </si>
  <si>
    <t>00-95318289</t>
  </si>
  <si>
    <t>Luna</t>
  </si>
  <si>
    <t>00-12179995</t>
  </si>
  <si>
    <t>00-42363373</t>
  </si>
  <si>
    <t>Dwayne</t>
  </si>
  <si>
    <t>00-88101741</t>
  </si>
  <si>
    <t>Malone</t>
  </si>
  <si>
    <t>00-15950635</t>
  </si>
  <si>
    <t>Mejia</t>
  </si>
  <si>
    <t>00-96274567</t>
  </si>
  <si>
    <t>Elliott</t>
  </si>
  <si>
    <t>00-74227366</t>
  </si>
  <si>
    <t>Shane</t>
  </si>
  <si>
    <t>Glass</t>
  </si>
  <si>
    <t>00-71428713</t>
  </si>
  <si>
    <t>Dawn</t>
  </si>
  <si>
    <t>Downs</t>
  </si>
  <si>
    <t>00-36772387</t>
  </si>
  <si>
    <t>Finance Manager</t>
  </si>
  <si>
    <t>00-79173614</t>
  </si>
  <si>
    <t>Harrison</t>
  </si>
  <si>
    <t>00-43999198</t>
  </si>
  <si>
    <t>Hill</t>
  </si>
  <si>
    <t>00-48401154</t>
  </si>
  <si>
    <t>00-98010774</t>
  </si>
  <si>
    <t>00-59394697</t>
  </si>
  <si>
    <t>00-69020451</t>
  </si>
  <si>
    <t>Wheeler</t>
  </si>
  <si>
    <t>00-35074182</t>
  </si>
  <si>
    <t>Spencer</t>
  </si>
  <si>
    <t>00-79696025</t>
  </si>
  <si>
    <t>00-66975380</t>
  </si>
  <si>
    <t>00-34220459</t>
  </si>
  <si>
    <t>Cassidy</t>
  </si>
  <si>
    <t>00-20746667</t>
  </si>
  <si>
    <t>Shepherd</t>
  </si>
  <si>
    <t>00-69849800</t>
  </si>
  <si>
    <t>Klein</t>
  </si>
  <si>
    <t>00-69580374</t>
  </si>
  <si>
    <t>00-57319709</t>
  </si>
  <si>
    <t>Samuel</t>
  </si>
  <si>
    <t>Gonzales</t>
  </si>
  <si>
    <t>00-95828117</t>
  </si>
  <si>
    <t>Cox</t>
  </si>
  <si>
    <t>00-95565484</t>
  </si>
  <si>
    <t>00-31473054</t>
  </si>
  <si>
    <t>Erika</t>
  </si>
  <si>
    <t>00-91547054</t>
  </si>
  <si>
    <t>Deborah</t>
  </si>
  <si>
    <t>00-26942307</t>
  </si>
  <si>
    <t>00-58607028</t>
  </si>
  <si>
    <t>00-91214453</t>
  </si>
  <si>
    <t>Carrie</t>
  </si>
  <si>
    <t>00-59930790</t>
  </si>
  <si>
    <t>Brandi</t>
  </si>
  <si>
    <t>00-28481124</t>
  </si>
  <si>
    <t>Kyle</t>
  </si>
  <si>
    <t>00-97182566</t>
  </si>
  <si>
    <t>Philip</t>
  </si>
  <si>
    <t>Larson</t>
  </si>
  <si>
    <t>00-34970946</t>
  </si>
  <si>
    <t>00-25805613</t>
  </si>
  <si>
    <t>00-69897763</t>
  </si>
  <si>
    <t>Rodgers</t>
  </si>
  <si>
    <t>00-75927774</t>
  </si>
  <si>
    <t>Rita</t>
  </si>
  <si>
    <t>00-19939096</t>
  </si>
  <si>
    <t>Rodney</t>
  </si>
  <si>
    <t>00-21783073</t>
  </si>
  <si>
    <t>Bean</t>
  </si>
  <si>
    <t>00-56630633</t>
  </si>
  <si>
    <t>00-48971765</t>
  </si>
  <si>
    <t>Zoe</t>
  </si>
  <si>
    <t>00-95590648</t>
  </si>
  <si>
    <t>Megan</t>
  </si>
  <si>
    <t>00-40097200</t>
  </si>
  <si>
    <t>00-28639738</t>
  </si>
  <si>
    <t>00-58438711</t>
  </si>
  <si>
    <t>Harper</t>
  </si>
  <si>
    <t>00-84040798</t>
  </si>
  <si>
    <t>Guerra</t>
  </si>
  <si>
    <t>00-51512297</t>
  </si>
  <si>
    <t>00-74245343</t>
  </si>
  <si>
    <t>Jenkins</t>
  </si>
  <si>
    <t>00-87161840</t>
  </si>
  <si>
    <t>Montes</t>
  </si>
  <si>
    <t>00-19954260</t>
  </si>
  <si>
    <t>Goodman</t>
  </si>
  <si>
    <t>00-77493234</t>
  </si>
  <si>
    <t>Micheal</t>
  </si>
  <si>
    <t>00-26664623</t>
  </si>
  <si>
    <t>00-31738837</t>
  </si>
  <si>
    <t>Wesley</t>
  </si>
  <si>
    <t>00-56442431</t>
  </si>
  <si>
    <t>Solis</t>
  </si>
  <si>
    <t>00-20584397</t>
  </si>
  <si>
    <t>00-46836194</t>
  </si>
  <si>
    <t>00-81602209</t>
  </si>
  <si>
    <t>Black</t>
  </si>
  <si>
    <t>00-89431184</t>
  </si>
  <si>
    <t>00-98413629</t>
  </si>
  <si>
    <t>Palmer</t>
  </si>
  <si>
    <t>00-85647532</t>
  </si>
  <si>
    <t>Potts</t>
  </si>
  <si>
    <t>00-16101779</t>
  </si>
  <si>
    <t>Wilkerson</t>
  </si>
  <si>
    <t>HR Assistant</t>
  </si>
  <si>
    <t>00-97393186</t>
  </si>
  <si>
    <t>00-92961108</t>
  </si>
  <si>
    <t>Nathaniel</t>
  </si>
  <si>
    <t>00-83226170</t>
  </si>
  <si>
    <t>00-42866956</t>
  </si>
  <si>
    <t>00-49920898</t>
  </si>
  <si>
    <t>Lacey</t>
  </si>
  <si>
    <t>00-31217198</t>
  </si>
  <si>
    <t>00-37383505</t>
  </si>
  <si>
    <t>Dominic</t>
  </si>
  <si>
    <t>00-52857920</t>
  </si>
  <si>
    <t>Bullock</t>
  </si>
  <si>
    <t>00-27551135</t>
  </si>
  <si>
    <t>00-24251766</t>
  </si>
  <si>
    <t>Shelby</t>
  </si>
  <si>
    <t>00-45899440</t>
  </si>
  <si>
    <t>00-16792127</t>
  </si>
  <si>
    <t>00-92594562</t>
  </si>
  <si>
    <t>Bryant</t>
  </si>
  <si>
    <t>00-53947691</t>
  </si>
  <si>
    <t>Porter</t>
  </si>
  <si>
    <t>00-35479101</t>
  </si>
  <si>
    <t>Robertson</t>
  </si>
  <si>
    <t>00-72654864</t>
  </si>
  <si>
    <t>00-13110670</t>
  </si>
  <si>
    <t>00-71368457</t>
  </si>
  <si>
    <t>Jacob</t>
  </si>
  <si>
    <t>Barnett</t>
  </si>
  <si>
    <t>00-57364777</t>
  </si>
  <si>
    <t>Theresa</t>
  </si>
  <si>
    <t>00-90197611</t>
  </si>
  <si>
    <t>Hartman</t>
  </si>
  <si>
    <t>00-24428014</t>
  </si>
  <si>
    <t>Bradley</t>
  </si>
  <si>
    <t>00-59093843</t>
  </si>
  <si>
    <t>Jon</t>
  </si>
  <si>
    <t>00-63765155</t>
  </si>
  <si>
    <t>Carlos</t>
  </si>
  <si>
    <t>00-58657117</t>
  </si>
  <si>
    <t>Ingram</t>
  </si>
  <si>
    <t>00-77680031</t>
  </si>
  <si>
    <t>00-93650068</t>
  </si>
  <si>
    <t>Li</t>
  </si>
  <si>
    <t>00-22976369</t>
  </si>
  <si>
    <t>00-59070856</t>
  </si>
  <si>
    <t>00-78333267</t>
  </si>
  <si>
    <t>Parsons</t>
  </si>
  <si>
    <t>00-15222944</t>
  </si>
  <si>
    <t>Harris</t>
  </si>
  <si>
    <t>00-73584863</t>
  </si>
  <si>
    <t>00-79190008</t>
  </si>
  <si>
    <t>Sanders</t>
  </si>
  <si>
    <t>00-31810655</t>
  </si>
  <si>
    <t>King</t>
  </si>
  <si>
    <t>00-50162553</t>
  </si>
  <si>
    <t>00-78412668</t>
  </si>
  <si>
    <t>00-50237208</t>
  </si>
  <si>
    <t>Lloyd</t>
  </si>
  <si>
    <t>00-54458225</t>
  </si>
  <si>
    <t>Paul</t>
  </si>
  <si>
    <t>00-51295819</t>
  </si>
  <si>
    <t>00-94457912</t>
  </si>
  <si>
    <t>00-97991930</t>
  </si>
  <si>
    <t>00-40540334</t>
  </si>
  <si>
    <t>00-32885741</t>
  </si>
  <si>
    <t>Wanda</t>
  </si>
  <si>
    <t>00-61028283</t>
  </si>
  <si>
    <t>Manuel</t>
  </si>
  <si>
    <t>00-14237322</t>
  </si>
  <si>
    <t>Griffin</t>
  </si>
  <si>
    <t>IT Manager</t>
  </si>
  <si>
    <t>00-35606639</t>
  </si>
  <si>
    <t>Norris</t>
  </si>
  <si>
    <t>00-30324759</t>
  </si>
  <si>
    <t>Sergio</t>
  </si>
  <si>
    <t>Acosta</t>
  </si>
  <si>
    <t>00-77353073</t>
  </si>
  <si>
    <t>Bolton</t>
  </si>
  <si>
    <t>00-18359252</t>
  </si>
  <si>
    <t>Moody</t>
  </si>
  <si>
    <t>00-85280948</t>
  </si>
  <si>
    <t>Walsh</t>
  </si>
  <si>
    <t>00-80528349</t>
  </si>
  <si>
    <t>Brady</t>
  </si>
  <si>
    <t>00-81555103</t>
  </si>
  <si>
    <t>00-96343485</t>
  </si>
  <si>
    <t>00-74985553</t>
  </si>
  <si>
    <t>Osborne</t>
  </si>
  <si>
    <t>00-48789478</t>
  </si>
  <si>
    <t>Cassie</t>
  </si>
  <si>
    <t>Shelton</t>
  </si>
  <si>
    <t>00-75632882</t>
  </si>
  <si>
    <t>Nathan</t>
  </si>
  <si>
    <t>00-82905845</t>
  </si>
  <si>
    <t>00-56323191</t>
  </si>
  <si>
    <t>00-15646068</t>
  </si>
  <si>
    <t>00-56488123</t>
  </si>
  <si>
    <t>Padilla</t>
  </si>
  <si>
    <t>00-74300930</t>
  </si>
  <si>
    <t>00-85432781</t>
  </si>
  <si>
    <t>00-92634772</t>
  </si>
  <si>
    <t>00-16813620</t>
  </si>
  <si>
    <t>Osborn</t>
  </si>
  <si>
    <t>00-95623471</t>
  </si>
  <si>
    <t>Evelyn</t>
  </si>
  <si>
    <t>00-54331259</t>
  </si>
  <si>
    <t>Mckinney</t>
  </si>
  <si>
    <t>00-28450513</t>
  </si>
  <si>
    <t>Vance</t>
  </si>
  <si>
    <t>00-64614193</t>
  </si>
  <si>
    <t>00-97313825</t>
  </si>
  <si>
    <t>00-48307798</t>
  </si>
  <si>
    <t>00-87058874</t>
  </si>
  <si>
    <t>00-15006085</t>
  </si>
  <si>
    <t>Armstrong</t>
  </si>
  <si>
    <t>00-33593960</t>
  </si>
  <si>
    <t>00-63283709</t>
  </si>
  <si>
    <t>00-48851599</t>
  </si>
  <si>
    <t>Higgins</t>
  </si>
  <si>
    <t>00-86230551</t>
  </si>
  <si>
    <t>00-70981700</t>
  </si>
  <si>
    <t>Compton</t>
  </si>
  <si>
    <t>00-76291802</t>
  </si>
  <si>
    <t>Owens</t>
  </si>
  <si>
    <t>00-77674279</t>
  </si>
  <si>
    <t>Melvin</t>
  </si>
  <si>
    <t>Humphrey</t>
  </si>
  <si>
    <t>00-25119192</t>
  </si>
  <si>
    <t>Matthews</t>
  </si>
  <si>
    <t>00-97011385</t>
  </si>
  <si>
    <t>00-55246430</t>
  </si>
  <si>
    <t>00-35925669</t>
  </si>
  <si>
    <t>00-67405358</t>
  </si>
  <si>
    <t>00-99826000</t>
  </si>
  <si>
    <t>Patty</t>
  </si>
  <si>
    <t>Singleton</t>
  </si>
  <si>
    <t>00-53433080</t>
  </si>
  <si>
    <t>Huber</t>
  </si>
  <si>
    <t>00-61482483</t>
  </si>
  <si>
    <t>00-50526484</t>
  </si>
  <si>
    <t>Davidson</t>
  </si>
  <si>
    <t>00-45105069</t>
  </si>
  <si>
    <t>Shelly</t>
  </si>
  <si>
    <t>00-18338186</t>
  </si>
  <si>
    <t>Claudia</t>
  </si>
  <si>
    <t>Winters</t>
  </si>
  <si>
    <t>00-31436829</t>
  </si>
  <si>
    <t>00-51738753</t>
  </si>
  <si>
    <t>00-59330907</t>
  </si>
  <si>
    <t>Kelli</t>
  </si>
  <si>
    <t>00-74180488</t>
  </si>
  <si>
    <t>Butler</t>
  </si>
  <si>
    <t>00-60147077</t>
  </si>
  <si>
    <t>Small</t>
  </si>
  <si>
    <t>00-82144402</t>
  </si>
  <si>
    <t>Keith</t>
  </si>
  <si>
    <t>00-43214247</t>
  </si>
  <si>
    <t>00-20988446</t>
  </si>
  <si>
    <t>00-58557943</t>
  </si>
  <si>
    <t>00-18289024</t>
  </si>
  <si>
    <t>00-86866717</t>
  </si>
  <si>
    <t>Flores</t>
  </si>
  <si>
    <t>00-79839059</t>
  </si>
  <si>
    <t>00-88268756</t>
  </si>
  <si>
    <t>00-17467311</t>
  </si>
  <si>
    <t>00-71310453</t>
  </si>
  <si>
    <t>00-51361818</t>
  </si>
  <si>
    <t>Sonia</t>
  </si>
  <si>
    <t>Lin</t>
  </si>
  <si>
    <t>00-10404729</t>
  </si>
  <si>
    <t>Grimes</t>
  </si>
  <si>
    <t>00-16078694</t>
  </si>
  <si>
    <t>Peck</t>
  </si>
  <si>
    <t>00-82633735</t>
  </si>
  <si>
    <t>Larry</t>
  </si>
  <si>
    <t>00-14259382</t>
  </si>
  <si>
    <t>00-28176954</t>
  </si>
  <si>
    <t>00-66420024</t>
  </si>
  <si>
    <t>00-60666702</t>
  </si>
  <si>
    <t>00-82383656</t>
  </si>
  <si>
    <t>Khan</t>
  </si>
  <si>
    <t>00-33954324</t>
  </si>
  <si>
    <t>00-27092236</t>
  </si>
  <si>
    <t>00-10466177</t>
  </si>
  <si>
    <t>Diaz</t>
  </si>
  <si>
    <t>00-83074216</t>
  </si>
  <si>
    <t>00-40824989</t>
  </si>
  <si>
    <t>00-46997080</t>
  </si>
  <si>
    <t>Gordon</t>
  </si>
  <si>
    <t>00-92533595</t>
  </si>
  <si>
    <t>Phillip</t>
  </si>
  <si>
    <t>Norton</t>
  </si>
  <si>
    <t>00-69920305</t>
  </si>
  <si>
    <t>00-16533225</t>
  </si>
  <si>
    <t>00-68916591</t>
  </si>
  <si>
    <t>00-17575790</t>
  </si>
  <si>
    <t>00-87324220</t>
  </si>
  <si>
    <t>Eduardo</t>
  </si>
  <si>
    <t>Barry</t>
  </si>
  <si>
    <t>00-53038943</t>
  </si>
  <si>
    <t>Austin</t>
  </si>
  <si>
    <t>00-79961132</t>
  </si>
  <si>
    <t>Jensen</t>
  </si>
  <si>
    <t>00-18181595</t>
  </si>
  <si>
    <t>00-33505978</t>
  </si>
  <si>
    <t>Burns</t>
  </si>
  <si>
    <t>00-76521096</t>
  </si>
  <si>
    <t>Cabrera</t>
  </si>
  <si>
    <t>00-61157708</t>
  </si>
  <si>
    <t>00-65878146</t>
  </si>
  <si>
    <t>Robles</t>
  </si>
  <si>
    <t>00-34679818</t>
  </si>
  <si>
    <t>Monica</t>
  </si>
  <si>
    <t>00-40245233</t>
  </si>
  <si>
    <t>Coffey</t>
  </si>
  <si>
    <t>00-72146184</t>
  </si>
  <si>
    <t>Teresa</t>
  </si>
  <si>
    <t>Lane</t>
  </si>
  <si>
    <t>00-65902739</t>
  </si>
  <si>
    <t>00-42595918</t>
  </si>
  <si>
    <t>00-20612653</t>
  </si>
  <si>
    <t>Maureen</t>
  </si>
  <si>
    <t>00-81891784</t>
  </si>
  <si>
    <t>00-46032304</t>
  </si>
  <si>
    <t>00-15307982</t>
  </si>
  <si>
    <t>00-88864147</t>
  </si>
  <si>
    <t>Hampton</t>
  </si>
  <si>
    <t>00-74343201</t>
  </si>
  <si>
    <t>00-12058055</t>
  </si>
  <si>
    <t>00-25745913</t>
  </si>
  <si>
    <t>00-91121400</t>
  </si>
  <si>
    <t>Edwards</t>
  </si>
  <si>
    <t>00-84098828</t>
  </si>
  <si>
    <t>Patel</t>
  </si>
  <si>
    <t>00-72579077</t>
  </si>
  <si>
    <t>00-45106207</t>
  </si>
  <si>
    <t>Lara</t>
  </si>
  <si>
    <t>00-23234972</t>
  </si>
  <si>
    <t>00-52980983</t>
  </si>
  <si>
    <t>00-65556767</t>
  </si>
  <si>
    <t>Kellie</t>
  </si>
  <si>
    <t>Bush</t>
  </si>
  <si>
    <t>00-29585415</t>
  </si>
  <si>
    <t>00-87731247</t>
  </si>
  <si>
    <t>00-36332415</t>
  </si>
  <si>
    <t>00-42981324</t>
  </si>
  <si>
    <t>Huang</t>
  </si>
  <si>
    <t>00-55307111</t>
  </si>
  <si>
    <t>Loretta</t>
  </si>
  <si>
    <t>Blevins</t>
  </si>
  <si>
    <t>00-96126771</t>
  </si>
  <si>
    <t>00-57268285</t>
  </si>
  <si>
    <t>Christian</t>
  </si>
  <si>
    <t>Bradshaw</t>
  </si>
  <si>
    <t>00-75540707</t>
  </si>
  <si>
    <t>00-17882882</t>
  </si>
  <si>
    <t>00-99686372</t>
  </si>
  <si>
    <t>00-28453800</t>
  </si>
  <si>
    <t>00-30270856</t>
  </si>
  <si>
    <t>00-60090149</t>
  </si>
  <si>
    <t>00-92747827</t>
  </si>
  <si>
    <t>00-12111482</t>
  </si>
  <si>
    <t>Derrick</t>
  </si>
  <si>
    <t>Oconnell</t>
  </si>
  <si>
    <t>00-11590610</t>
  </si>
  <si>
    <t>Delgado</t>
  </si>
  <si>
    <t>00-81905550</t>
  </si>
  <si>
    <t>Natalie</t>
  </si>
  <si>
    <t>Woods</t>
  </si>
  <si>
    <t>00-67790557</t>
  </si>
  <si>
    <t>Katelyn</t>
  </si>
  <si>
    <t>00-22927031</t>
  </si>
  <si>
    <t>Velez</t>
  </si>
  <si>
    <t>00-93185576</t>
  </si>
  <si>
    <t>Denise</t>
  </si>
  <si>
    <t>00-63270536</t>
  </si>
  <si>
    <t>Zuniga</t>
  </si>
  <si>
    <t>00-85833309</t>
  </si>
  <si>
    <t>00-50261914</t>
  </si>
  <si>
    <t>00-97227356</t>
  </si>
  <si>
    <t>00-60903955</t>
  </si>
  <si>
    <t>Brennan</t>
  </si>
  <si>
    <t>00-95462880</t>
  </si>
  <si>
    <t>Nancy</t>
  </si>
  <si>
    <t>00-77089857</t>
  </si>
  <si>
    <t>Hebert</t>
  </si>
  <si>
    <t>00-54462389</t>
  </si>
  <si>
    <t>Hays</t>
  </si>
  <si>
    <t>00-15711200</t>
  </si>
  <si>
    <t>Alice</t>
  </si>
  <si>
    <t>00-73820568</t>
  </si>
  <si>
    <t>Mcdonald</t>
  </si>
  <si>
    <t>00-47631028</t>
  </si>
  <si>
    <t>00-14416002</t>
  </si>
  <si>
    <t>00-37804291</t>
  </si>
  <si>
    <t>Alexis</t>
  </si>
  <si>
    <t>00-63458386</t>
  </si>
  <si>
    <t>00-85693188</t>
  </si>
  <si>
    <t>Fowler</t>
  </si>
  <si>
    <t>00-82553061</t>
  </si>
  <si>
    <t>Margaret</t>
  </si>
  <si>
    <t>00-20526386</t>
  </si>
  <si>
    <t>00-23111164</t>
  </si>
  <si>
    <t>Boyle</t>
  </si>
  <si>
    <t>00-91224373</t>
  </si>
  <si>
    <t>Jose</t>
  </si>
  <si>
    <t>00-53805532</t>
  </si>
  <si>
    <t>00-70471823</t>
  </si>
  <si>
    <t>00-60388958</t>
  </si>
  <si>
    <t>00-98673882</t>
  </si>
  <si>
    <t>00-43077929</t>
  </si>
  <si>
    <t>Leblanc</t>
  </si>
  <si>
    <t>00-30699187</t>
  </si>
  <si>
    <t>Jade</t>
  </si>
  <si>
    <t>00-62294176</t>
  </si>
  <si>
    <t>Shepard</t>
  </si>
  <si>
    <t>00-10697290</t>
  </si>
  <si>
    <t>00-46207439</t>
  </si>
  <si>
    <t>00-67845091</t>
  </si>
  <si>
    <t>Miles</t>
  </si>
  <si>
    <t>00-64766762</t>
  </si>
  <si>
    <t>Medina</t>
  </si>
  <si>
    <t>00-84386123</t>
  </si>
  <si>
    <t>Gill</t>
  </si>
  <si>
    <t>00-53544301</t>
  </si>
  <si>
    <t>Marks</t>
  </si>
  <si>
    <t>00-65540647</t>
  </si>
  <si>
    <t>Rice</t>
  </si>
  <si>
    <t>00-85099723</t>
  </si>
  <si>
    <t>00-79941466</t>
  </si>
  <si>
    <t>Leach</t>
  </si>
  <si>
    <t>00-28634797</t>
  </si>
  <si>
    <t>00-29587040</t>
  </si>
  <si>
    <t>00-66519399</t>
  </si>
  <si>
    <t>00-43782566</t>
  </si>
  <si>
    <t>00-76545476</t>
  </si>
  <si>
    <t>00-24357588</t>
  </si>
  <si>
    <t>Hansen</t>
  </si>
  <si>
    <t>00-54589439</t>
  </si>
  <si>
    <t>00-54230340</t>
  </si>
  <si>
    <t>00-97380687</t>
  </si>
  <si>
    <t>Beth</t>
  </si>
  <si>
    <t>00-53038948</t>
  </si>
  <si>
    <t>Isabella</t>
  </si>
  <si>
    <t>Weaver</t>
  </si>
  <si>
    <t>00-74291599</t>
  </si>
  <si>
    <t>00-49117508</t>
  </si>
  <si>
    <t>00-87293208</t>
  </si>
  <si>
    <t>Kayla</t>
  </si>
  <si>
    <t>00-47621248</t>
  </si>
  <si>
    <t>Fisher</t>
  </si>
  <si>
    <t>00-25285764</t>
  </si>
  <si>
    <t>00-83233096</t>
  </si>
  <si>
    <t>00-71957885</t>
  </si>
  <si>
    <t>00-49101812</t>
  </si>
  <si>
    <t>00-64914054</t>
  </si>
  <si>
    <t>00-50645509</t>
  </si>
  <si>
    <t>Avila</t>
  </si>
  <si>
    <t>00-66791272</t>
  </si>
  <si>
    <t>00-90253323</t>
  </si>
  <si>
    <t>Morrow</t>
  </si>
  <si>
    <t>00-77996397</t>
  </si>
  <si>
    <t>00-82966824</t>
  </si>
  <si>
    <t>Sharon</t>
  </si>
  <si>
    <t>00-82062301</t>
  </si>
  <si>
    <t>00-43316996</t>
  </si>
  <si>
    <t>Stephenson</t>
  </si>
  <si>
    <t>00-96838849</t>
  </si>
  <si>
    <t>00-96804457</t>
  </si>
  <si>
    <t>Arthur</t>
  </si>
  <si>
    <t>00-39796480</t>
  </si>
  <si>
    <t>00-87915846</t>
  </si>
  <si>
    <t>00-60213478</t>
  </si>
  <si>
    <t>00-77171380</t>
  </si>
  <si>
    <t>Sabrina</t>
  </si>
  <si>
    <t>00-29015320</t>
  </si>
  <si>
    <t>Joel</t>
  </si>
  <si>
    <t>00-37765262</t>
  </si>
  <si>
    <t>Adriana</t>
  </si>
  <si>
    <t>00-23102741</t>
  </si>
  <si>
    <t>Fry</t>
  </si>
  <si>
    <t>00-52803305</t>
  </si>
  <si>
    <t>00-25446483</t>
  </si>
  <si>
    <t>00-24678410</t>
  </si>
  <si>
    <t>Powers</t>
  </si>
  <si>
    <t>00-42737441</t>
  </si>
  <si>
    <t>00-54424679</t>
  </si>
  <si>
    <t>00-64364546</t>
  </si>
  <si>
    <t>00-98222374</t>
  </si>
  <si>
    <t>Zimmerman</t>
  </si>
  <si>
    <t>00-92424037</t>
  </si>
  <si>
    <t>00-67653606</t>
  </si>
  <si>
    <t>Grant</t>
  </si>
  <si>
    <t>00-37619925</t>
  </si>
  <si>
    <t>00-18397164</t>
  </si>
  <si>
    <t>00-59095909</t>
  </si>
  <si>
    <t>Nichols</t>
  </si>
  <si>
    <t>00-45212476</t>
  </si>
  <si>
    <t>00-95779702</t>
  </si>
  <si>
    <t>00-62686364</t>
  </si>
  <si>
    <t>00-71453007</t>
  </si>
  <si>
    <t>00-49922369</t>
  </si>
  <si>
    <t>Molly</t>
  </si>
  <si>
    <t>00-27978165</t>
  </si>
  <si>
    <t>Giles</t>
  </si>
  <si>
    <t>00-25696616</t>
  </si>
  <si>
    <t>Key</t>
  </si>
  <si>
    <t>00-78561753</t>
  </si>
  <si>
    <t>Robin</t>
  </si>
  <si>
    <t>00-87149161</t>
  </si>
  <si>
    <t>Herman</t>
  </si>
  <si>
    <t>00-95295586</t>
  </si>
  <si>
    <t>00-84479105</t>
  </si>
  <si>
    <t>00-35111946</t>
  </si>
  <si>
    <t>Andrade</t>
  </si>
  <si>
    <t>00-17195581</t>
  </si>
  <si>
    <t>Corey</t>
  </si>
  <si>
    <t>Zavala</t>
  </si>
  <si>
    <t>00-28325379</t>
  </si>
  <si>
    <t>Kathleen</t>
  </si>
  <si>
    <t>00-77838742</t>
  </si>
  <si>
    <t>00-75998330</t>
  </si>
  <si>
    <t>Figueroa</t>
  </si>
  <si>
    <t>00-32448383</t>
  </si>
  <si>
    <t>Donovan</t>
  </si>
  <si>
    <t>00-39598969</t>
  </si>
  <si>
    <t>00-82156607</t>
  </si>
  <si>
    <t>00-76479831</t>
  </si>
  <si>
    <t>Pierce</t>
  </si>
  <si>
    <t>00-25328557</t>
  </si>
  <si>
    <t>00-59239353</t>
  </si>
  <si>
    <t>00-69239219</t>
  </si>
  <si>
    <t>Oconnor</t>
  </si>
  <si>
    <t>00-97734330</t>
  </si>
  <si>
    <t>00-14325890</t>
  </si>
  <si>
    <t>Jack</t>
  </si>
  <si>
    <t>Preston</t>
  </si>
  <si>
    <t>00-21674661</t>
  </si>
  <si>
    <t>00-41802361</t>
  </si>
  <si>
    <t>Landry</t>
  </si>
  <si>
    <t>00-57060874</t>
  </si>
  <si>
    <t>Brandon</t>
  </si>
  <si>
    <t>00-67467610</t>
  </si>
  <si>
    <t>00-37732020</t>
  </si>
  <si>
    <t>00-57085656</t>
  </si>
  <si>
    <t>Williamson</t>
  </si>
  <si>
    <t>00-32599227</t>
  </si>
  <si>
    <t>Durham</t>
  </si>
  <si>
    <t>00-48833650</t>
  </si>
  <si>
    <t>Tony</t>
  </si>
  <si>
    <t>00-22780905</t>
  </si>
  <si>
    <t>00-47221734</t>
  </si>
  <si>
    <t>Madden</t>
  </si>
  <si>
    <t>00-43226234</t>
  </si>
  <si>
    <t>00-75694038</t>
  </si>
  <si>
    <t>00-94263610</t>
  </si>
  <si>
    <t>00-95044078</t>
  </si>
  <si>
    <t>00-79204468</t>
  </si>
  <si>
    <t>00-71028216</t>
  </si>
  <si>
    <t>00-10331931</t>
  </si>
  <si>
    <t>Gabriella</t>
  </si>
  <si>
    <t>Abbott</t>
  </si>
  <si>
    <t>00-71532017</t>
  </si>
  <si>
    <t>Victoria</t>
  </si>
  <si>
    <t>Santos</t>
  </si>
  <si>
    <t>00-18500100</t>
  </si>
  <si>
    <t>Clayton</t>
  </si>
  <si>
    <t>00-67665720</t>
  </si>
  <si>
    <t>00-53334226</t>
  </si>
  <si>
    <t>George</t>
  </si>
  <si>
    <t>00-87568940</t>
  </si>
  <si>
    <t>Deanna</t>
  </si>
  <si>
    <t>00-56135950</t>
  </si>
  <si>
    <t>Terri</t>
  </si>
  <si>
    <t>Jacobson</t>
  </si>
  <si>
    <t>00-23364695</t>
  </si>
  <si>
    <t>Brad</t>
  </si>
  <si>
    <t>00-26674831</t>
  </si>
  <si>
    <t>Knight</t>
  </si>
  <si>
    <t>00-71272827</t>
  </si>
  <si>
    <t>00-27705074</t>
  </si>
  <si>
    <t>Juan</t>
  </si>
  <si>
    <t>00-46778269</t>
  </si>
  <si>
    <t>Mcfarland</t>
  </si>
  <si>
    <t>00-21062296</t>
  </si>
  <si>
    <t>00-16950770</t>
  </si>
  <si>
    <t>Marquez</t>
  </si>
  <si>
    <t>00-41426254</t>
  </si>
  <si>
    <t>00-22775337</t>
  </si>
  <si>
    <t>Davenport</t>
  </si>
  <si>
    <t>00-27810664</t>
  </si>
  <si>
    <t>Fernandez</t>
  </si>
  <si>
    <t>00-69735865</t>
  </si>
  <si>
    <t>00-26185823</t>
  </si>
  <si>
    <t>00-27740248</t>
  </si>
  <si>
    <t>00-21989814</t>
  </si>
  <si>
    <t>Jacobs</t>
  </si>
  <si>
    <t>00-52057323</t>
  </si>
  <si>
    <t>00-61367949</t>
  </si>
  <si>
    <t>00-29173414</t>
  </si>
  <si>
    <t>00-91915661</t>
  </si>
  <si>
    <t>00-38595818</t>
  </si>
  <si>
    <t>00-92688322</t>
  </si>
  <si>
    <t>Kelsey</t>
  </si>
  <si>
    <t>00-23484199</t>
  </si>
  <si>
    <t>00-61543890</t>
  </si>
  <si>
    <t>Norman</t>
  </si>
  <si>
    <t>Bowers</t>
  </si>
  <si>
    <t>00-43308414</t>
  </si>
  <si>
    <t>00-91549765</t>
  </si>
  <si>
    <t>00-98369672</t>
  </si>
  <si>
    <t>00-91460345</t>
  </si>
  <si>
    <t>00-49666982</t>
  </si>
  <si>
    <t>00-61792685</t>
  </si>
  <si>
    <t>Carly</t>
  </si>
  <si>
    <t>00-89715904</t>
  </si>
  <si>
    <t>00-52476240</t>
  </si>
  <si>
    <t>Santana</t>
  </si>
  <si>
    <t>00-59044830</t>
  </si>
  <si>
    <t>00-73218512</t>
  </si>
  <si>
    <t>Gavin</t>
  </si>
  <si>
    <t>00-88834594</t>
  </si>
  <si>
    <t>00-15345470</t>
  </si>
  <si>
    <t>00-48451741</t>
  </si>
  <si>
    <t>00-65758338</t>
  </si>
  <si>
    <t>Johnathan</t>
  </si>
  <si>
    <t>00-95971459</t>
  </si>
  <si>
    <t>00-47241089</t>
  </si>
  <si>
    <t>00-37272705</t>
  </si>
  <si>
    <t>00-53855682</t>
  </si>
  <si>
    <t>00-97219985</t>
  </si>
  <si>
    <t>Villarreal</t>
  </si>
  <si>
    <t>00-68718382</t>
  </si>
  <si>
    <t>00-42813517</t>
  </si>
  <si>
    <t>00-70850538</t>
  </si>
  <si>
    <t>Tanya</t>
  </si>
  <si>
    <t>00-99399687</t>
  </si>
  <si>
    <t>Faulkner</t>
  </si>
  <si>
    <t>00-26031369</t>
  </si>
  <si>
    <t>00-11523452</t>
  </si>
  <si>
    <t>00-79420474</t>
  </si>
  <si>
    <t>Vargas</t>
  </si>
  <si>
    <t>00-32409388</t>
  </si>
  <si>
    <t>Hector</t>
  </si>
  <si>
    <t>00-46072958</t>
  </si>
  <si>
    <t>Murray</t>
  </si>
  <si>
    <t>00-13940129</t>
  </si>
  <si>
    <t>00-80310522</t>
  </si>
  <si>
    <t>Fuentes</t>
  </si>
  <si>
    <t>00-94226031</t>
  </si>
  <si>
    <t>00-58335011</t>
  </si>
  <si>
    <t>00-59350218</t>
  </si>
  <si>
    <t>00-25479814</t>
  </si>
  <si>
    <t>Ewing</t>
  </si>
  <si>
    <t>00-15910667</t>
  </si>
  <si>
    <t>Ferguson</t>
  </si>
  <si>
    <t>00-16171536</t>
  </si>
  <si>
    <t>Holt</t>
  </si>
  <si>
    <t>00-34019729</t>
  </si>
  <si>
    <t>Schmitt</t>
  </si>
  <si>
    <t>00-98007006</t>
  </si>
  <si>
    <t>Paula</t>
  </si>
  <si>
    <t>00-65869014</t>
  </si>
  <si>
    <t>00-20453825</t>
  </si>
  <si>
    <t>00-17069536</t>
  </si>
  <si>
    <t>00-63811222</t>
  </si>
  <si>
    <t>00-47890586</t>
  </si>
  <si>
    <t>Hogan</t>
  </si>
  <si>
    <t>00-21594468</t>
  </si>
  <si>
    <t>Alex</t>
  </si>
  <si>
    <t>Green</t>
  </si>
  <si>
    <t>00-36933626</t>
  </si>
  <si>
    <t>00-93579731</t>
  </si>
  <si>
    <t>00-76217748</t>
  </si>
  <si>
    <t>Frazier</t>
  </si>
  <si>
    <t>00-83357939</t>
  </si>
  <si>
    <t>Vincent</t>
  </si>
  <si>
    <t>00-10856024</t>
  </si>
  <si>
    <t>00-82684966</t>
  </si>
  <si>
    <t>Suzanne</t>
  </si>
  <si>
    <t>00-54965270</t>
  </si>
  <si>
    <t>00-51273379</t>
  </si>
  <si>
    <t>Boyd</t>
  </si>
  <si>
    <t>00-66346728</t>
  </si>
  <si>
    <t>00-47557512</t>
  </si>
  <si>
    <t>Shaun</t>
  </si>
  <si>
    <t>00-79760901</t>
  </si>
  <si>
    <t>00-21395409</t>
  </si>
  <si>
    <t>00-95525640</t>
  </si>
  <si>
    <t>Frank</t>
  </si>
  <si>
    <t>Riggs</t>
  </si>
  <si>
    <t>00-86211608</t>
  </si>
  <si>
    <t>00-41778964</t>
  </si>
  <si>
    <t>Mullen</t>
  </si>
  <si>
    <t>00-62741214</t>
  </si>
  <si>
    <t>Lauren</t>
  </si>
  <si>
    <t>00-52688984</t>
  </si>
  <si>
    <t>00-37207628</t>
  </si>
  <si>
    <t>Jo</t>
  </si>
  <si>
    <t>Ware</t>
  </si>
  <si>
    <t>00-30858851</t>
  </si>
  <si>
    <t>00-52148834</t>
  </si>
  <si>
    <t>Ramirez</t>
  </si>
  <si>
    <t>00-37868462</t>
  </si>
  <si>
    <t>Lindsey</t>
  </si>
  <si>
    <t>00-26094525</t>
  </si>
  <si>
    <t>00-90973889</t>
  </si>
  <si>
    <t>Ellis</t>
  </si>
  <si>
    <t>00-22242388</t>
  </si>
  <si>
    <t>00-78915391</t>
  </si>
  <si>
    <t>Lawrence</t>
  </si>
  <si>
    <t>00-33336132</t>
  </si>
  <si>
    <t>Brenda</t>
  </si>
  <si>
    <t>00-70693413</t>
  </si>
  <si>
    <t>00-22713811</t>
  </si>
  <si>
    <t>Janice</t>
  </si>
  <si>
    <t>00-11604831</t>
  </si>
  <si>
    <t>00-36592965</t>
  </si>
  <si>
    <t>00-94597104</t>
  </si>
  <si>
    <t>00-88667527</t>
  </si>
  <si>
    <t>00-18653290</t>
  </si>
  <si>
    <t>00-27286109</t>
  </si>
  <si>
    <t>Brewer</t>
  </si>
  <si>
    <t>00-15730602</t>
  </si>
  <si>
    <t>00-87025433</t>
  </si>
  <si>
    <t>Wilkinson</t>
  </si>
  <si>
    <t>00-76588957</t>
  </si>
  <si>
    <t>00-33193791</t>
  </si>
  <si>
    <t>00-47561442</t>
  </si>
  <si>
    <t>Tamara</t>
  </si>
  <si>
    <t>00-92423989</t>
  </si>
  <si>
    <t>00-49608344</t>
  </si>
  <si>
    <t>00-18184472</t>
  </si>
  <si>
    <t>Ariana</t>
  </si>
  <si>
    <t>00-66268745</t>
  </si>
  <si>
    <t>00-94658420</t>
  </si>
  <si>
    <t>00-12621269</t>
  </si>
  <si>
    <t>00-74382155</t>
  </si>
  <si>
    <t>00-85920407</t>
  </si>
  <si>
    <t>00-34134478</t>
  </si>
  <si>
    <t>Sherman</t>
  </si>
  <si>
    <t>00-13933043</t>
  </si>
  <si>
    <t>Payne</t>
  </si>
  <si>
    <t>00-73308406</t>
  </si>
  <si>
    <t>Greer</t>
  </si>
  <si>
    <t>00-31424479</t>
  </si>
  <si>
    <t>Golden</t>
  </si>
  <si>
    <t>00-45772648</t>
  </si>
  <si>
    <t>00-39448924</t>
  </si>
  <si>
    <t>00-33315234</t>
  </si>
  <si>
    <t>00-58155056</t>
  </si>
  <si>
    <t>Joan</t>
  </si>
  <si>
    <t>00-57201978</t>
  </si>
  <si>
    <t>Chen</t>
  </si>
  <si>
    <t>00-85579195</t>
  </si>
  <si>
    <t>Glover</t>
  </si>
  <si>
    <t>00-51480401</t>
  </si>
  <si>
    <t>00-17538738</t>
  </si>
  <si>
    <t>00-80658723</t>
  </si>
  <si>
    <t>Mario</t>
  </si>
  <si>
    <t>00-37040091</t>
  </si>
  <si>
    <t>Farley</t>
  </si>
  <si>
    <t>00-33818260</t>
  </si>
  <si>
    <t>00-12941099</t>
  </si>
  <si>
    <t>00-24887509</t>
  </si>
  <si>
    <t>Riddle</t>
  </si>
  <si>
    <t>00-60142505</t>
  </si>
  <si>
    <t>Diana</t>
  </si>
  <si>
    <t>00-88653825</t>
  </si>
  <si>
    <t>Dawson</t>
  </si>
  <si>
    <t>00-28314232</t>
  </si>
  <si>
    <t>Bridges</t>
  </si>
  <si>
    <t>00-95800828</t>
  </si>
  <si>
    <t>Ray</t>
  </si>
  <si>
    <t>00-33381086</t>
  </si>
  <si>
    <t>Brooks</t>
  </si>
  <si>
    <t>00-92370625</t>
  </si>
  <si>
    <t>Beard</t>
  </si>
  <si>
    <t>00-89047551</t>
  </si>
  <si>
    <t>00-49529438</t>
  </si>
  <si>
    <t>00-86884584</t>
  </si>
  <si>
    <t>00-34438599</t>
  </si>
  <si>
    <t>00-95851936</t>
  </si>
  <si>
    <t>00-54448673</t>
  </si>
  <si>
    <t>00-52885071</t>
  </si>
  <si>
    <t>Summers</t>
  </si>
  <si>
    <t>00-99929175</t>
  </si>
  <si>
    <t>00-11529494</t>
  </si>
  <si>
    <t>00-19099261</t>
  </si>
  <si>
    <t>Total Employees</t>
  </si>
  <si>
    <t>Active Employees</t>
  </si>
  <si>
    <t>Terminated Employees</t>
  </si>
  <si>
    <t>Average Age</t>
  </si>
  <si>
    <t>Average Salary</t>
  </si>
  <si>
    <t>Active</t>
  </si>
  <si>
    <t>Terminated</t>
  </si>
  <si>
    <t>Row Labels</t>
  </si>
  <si>
    <t>Grand Total</t>
  </si>
  <si>
    <t>Count of Employee_ID</t>
  </si>
  <si>
    <t>Employee</t>
  </si>
  <si>
    <t>2015</t>
  </si>
  <si>
    <t>2016</t>
  </si>
  <si>
    <t>2017</t>
  </si>
  <si>
    <t>2018</t>
  </si>
  <si>
    <t>2019</t>
  </si>
  <si>
    <t>2020</t>
  </si>
  <si>
    <t>2021</t>
  </si>
  <si>
    <t>2022</t>
  </si>
  <si>
    <t>2023</t>
  </si>
  <si>
    <t>2024</t>
  </si>
  <si>
    <t>Salary.</t>
  </si>
  <si>
    <t>Tenure (Years)</t>
  </si>
  <si>
    <t>Employment Status</t>
  </si>
  <si>
    <t>AGE</t>
  </si>
  <si>
    <t>Salary Distribution Level</t>
  </si>
  <si>
    <t>avg age</t>
  </si>
  <si>
    <t>male</t>
  </si>
  <si>
    <t>female</t>
  </si>
  <si>
    <t>salary distribution</t>
  </si>
  <si>
    <t>Average of Salary</t>
  </si>
  <si>
    <t>MAX Salary</t>
  </si>
  <si>
    <t>MIN Salary</t>
  </si>
  <si>
    <t>STD DEV SALARY</t>
  </si>
  <si>
    <t>20-24</t>
  </si>
  <si>
    <t>25-29</t>
  </si>
  <si>
    <t>30-34</t>
  </si>
  <si>
    <t>35-39</t>
  </si>
  <si>
    <t>40-44</t>
  </si>
  <si>
    <t>45-49</t>
  </si>
  <si>
    <t>50-54</t>
  </si>
  <si>
    <t>55-59</t>
  </si>
  <si>
    <t>60-65</t>
  </si>
  <si>
    <t>Average Tenure</t>
  </si>
  <si>
    <t>most common</t>
  </si>
  <si>
    <t>total salary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</si>
  <si>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</si>
  <si>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</si>
  <si>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</si>
  <si>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</si>
  <si>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</si>
  <si>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</si>
  <si>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</si>
  <si>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</si>
  <si>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</si>
  <si>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</si>
  <si>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</si>
  <si>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</si>
  <si>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</si>
  <si>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</si>
  <si>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</si>
  <si>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</si>
  <si>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</si>
  <si>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</si>
  <si>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</si>
  <si>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</si>
  <si>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</si>
  <si>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</si>
  <si>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</si>
  <si>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</si>
  <si>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Anova: Single Factor</t>
  </si>
  <si>
    <t>SUMMARY</t>
  </si>
  <si>
    <t>Groups</t>
  </si>
  <si>
    <t>Count</t>
  </si>
  <si>
    <t>Sum</t>
  </si>
  <si>
    <t>Average</t>
  </si>
  <si>
    <t>Variance</t>
  </si>
  <si>
    <t>Source of Variation</t>
  </si>
  <si>
    <t>F crit</t>
  </si>
  <si>
    <t>Between Groups</t>
  </si>
  <si>
    <t>Within Groups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</si>
</sst>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ont>
    <font>
      <i/>
      <sz val="11"/>
      <color theme="1"/>
      <name val="Calibri"/>
      <family val="2"/>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7">
    <xf numFmtId="0" fontId="0" fillId="0" borderId="0" xfId="0"/>
    <xf numFmtId="14" fontId="0" fillId="0" borderId="0" xfId="0" applyNumberFormat="1"/>
    <xf numFmtId="0" fontId="2"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2" borderId="0" xfId="0" applyFill="1"/>
    <xf numFmtId="0" fontId="0" fillId="0" borderId="0" xfId="0" applyAlignment="1">
      <alignment horizontal="center"/>
    </xf>
    <xf numFmtId="14" fontId="0" fillId="0" borderId="0" xfId="0" applyNumberFormat="1" applyAlignment="1">
      <alignment horizontal="center"/>
    </xf>
    <xf numFmtId="0" fontId="1" fillId="0" borderId="11" xfId="0" applyFont="1" applyBorder="1" applyAlignment="1">
      <alignment horizontal="center"/>
    </xf>
    <xf numFmtId="0" fontId="1" fillId="0" borderId="0" xfId="0" applyFont="1" applyAlignment="1">
      <alignment horizontal="center" vertical="top"/>
    </xf>
    <xf numFmtId="0" fontId="0" fillId="0" borderId="12" xfId="0" applyBorder="1"/>
    <xf numFmtId="0" fontId="3" fillId="0" borderId="13" xfId="0" applyFont="1" applyBorder="1" applyAlignment="1">
      <alignment horizontal="center"/>
    </xf>
    <xf numFmtId="0" fontId="3" fillId="0" borderId="13" xfId="0" applyFont="1" applyBorder="1" applyAlignment="1">
      <alignment horizontal="centerContinuous"/>
    </xf>
    <xf numFmtId="0" fontId="0" fillId="2" borderId="0" xfId="0" applyFill="1" applyAlignment="1">
      <alignment horizontal="center"/>
    </xf>
    <xf numFmtId="3" fontId="0" fillId="0" borderId="10" xfId="0" applyNumberFormat="1" applyBorder="1"/>
    <xf numFmtId="0" fontId="0" fillId="0" borderId="10" xfId="0" applyBorder="1"/>
    <xf numFmtId="0" fontId="1" fillId="0" borderId="10" xfId="0" applyFont="1" applyBorder="1" applyAlignment="1">
      <alignment horizontal="center" vertical="top"/>
    </xf>
    <xf numFmtId="0" fontId="0" fillId="0" borderId="10" xfId="0" applyBorder="1" applyAlignment="1">
      <alignment horizontal="center"/>
    </xf>
  </cellXfs>
  <cellStyles count="1">
    <cellStyle name="Normal" xfId="0" builtinId="0"/>
  </cellStyles>
  <dxfs count="24">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auto="1"/>
        </left>
        <right style="thin">
          <color auto="1"/>
        </right>
        <top/>
        <bottom/>
      </border>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dataset.xlsx]Sheet6!PivotTable1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Sheet6!$A$4:$A$9</c:f>
              <c:strCache>
                <c:ptCount val="5"/>
                <c:pt idx="0">
                  <c:v>Sales</c:v>
                </c:pt>
                <c:pt idx="1">
                  <c:v>Operations</c:v>
                </c:pt>
                <c:pt idx="2">
                  <c:v>Marketing</c:v>
                </c:pt>
                <c:pt idx="3">
                  <c:v>IT</c:v>
                </c:pt>
                <c:pt idx="4">
                  <c:v>Customer Service</c:v>
                </c:pt>
              </c:strCache>
            </c:strRef>
          </c:cat>
          <c:val>
            <c:numRef>
              <c:f>Sheet6!$B$4:$B$9</c:f>
              <c:numCache>
                <c:formatCode>General</c:formatCode>
                <c:ptCount val="5"/>
                <c:pt idx="0">
                  <c:v>201</c:v>
                </c:pt>
                <c:pt idx="1">
                  <c:v>289</c:v>
                </c:pt>
                <c:pt idx="2">
                  <c:v>70</c:v>
                </c:pt>
                <c:pt idx="3">
                  <c:v>139</c:v>
                </c:pt>
                <c:pt idx="4">
                  <c:v>184</c:v>
                </c:pt>
              </c:numCache>
            </c:numRef>
          </c:val>
          <c:extLst>
            <c:ext xmlns:c16="http://schemas.microsoft.com/office/drawing/2014/chart" uri="{C3380CC4-5D6E-409C-BE32-E72D297353CC}">
              <c16:uniqueId val="{00000000-103B-4D50-A17E-635C3EC0ADF2}"/>
            </c:ext>
          </c:extLst>
        </c:ser>
        <c:dLbls>
          <c:dLblPos val="outEnd"/>
          <c:showLegendKey val="0"/>
          <c:showVal val="1"/>
          <c:showCatName val="0"/>
          <c:showSerName val="0"/>
          <c:showPercent val="0"/>
          <c:showBubbleSize val="0"/>
        </c:dLbls>
        <c:gapWidth val="219"/>
        <c:overlap val="-27"/>
        <c:axId val="1032994063"/>
        <c:axId val="1032995503"/>
      </c:barChart>
      <c:catAx>
        <c:axId val="103299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95503"/>
        <c:crosses val="autoZero"/>
        <c:auto val="1"/>
        <c:lblAlgn val="ctr"/>
        <c:lblOffset val="100"/>
        <c:noMultiLvlLbl val="0"/>
      </c:catAx>
      <c:valAx>
        <c:axId val="103299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9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dataset.xlsx]Sheet7!PivotTable2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45-4C7D-93F7-F204EF5712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45-4C7D-93F7-F204EF571224}"/>
              </c:ext>
            </c:extLst>
          </c:dPt>
          <c:cat>
            <c:strRef>
              <c:f>Sheet7!$A$4:$A$6</c:f>
              <c:strCache>
                <c:ptCount val="2"/>
                <c:pt idx="0">
                  <c:v>Female</c:v>
                </c:pt>
                <c:pt idx="1">
                  <c:v>Male</c:v>
                </c:pt>
              </c:strCache>
            </c:strRef>
          </c:cat>
          <c:val>
            <c:numRef>
              <c:f>Sheet7!$B$4:$B$6</c:f>
              <c:numCache>
                <c:formatCode>General</c:formatCode>
                <c:ptCount val="2"/>
                <c:pt idx="0">
                  <c:v>456</c:v>
                </c:pt>
                <c:pt idx="1">
                  <c:v>510</c:v>
                </c:pt>
              </c:numCache>
            </c:numRef>
          </c:val>
          <c:extLst>
            <c:ext xmlns:c16="http://schemas.microsoft.com/office/drawing/2014/chart" uri="{C3380CC4-5D6E-409C-BE32-E72D297353CC}">
              <c16:uniqueId val="{00000000-386C-47B4-B7D3-6D024C61CB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dataset.xlsx]Sheet7!PivotTable2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Sheet7!$A$4:$A$6</c:f>
              <c:strCache>
                <c:ptCount val="2"/>
                <c:pt idx="0">
                  <c:v>Female</c:v>
                </c:pt>
                <c:pt idx="1">
                  <c:v>Male</c:v>
                </c:pt>
              </c:strCache>
            </c:strRef>
          </c:cat>
          <c:val>
            <c:numRef>
              <c:f>Sheet7!$B$4:$B$6</c:f>
              <c:numCache>
                <c:formatCode>General</c:formatCode>
                <c:ptCount val="2"/>
                <c:pt idx="0">
                  <c:v>456</c:v>
                </c:pt>
                <c:pt idx="1">
                  <c:v>510</c:v>
                </c:pt>
              </c:numCache>
            </c:numRef>
          </c:val>
          <c:extLst>
            <c:ext xmlns:c16="http://schemas.microsoft.com/office/drawing/2014/chart" uri="{C3380CC4-5D6E-409C-BE32-E72D297353CC}">
              <c16:uniqueId val="{00000000-24FD-4147-8DBC-6A83ECD42671}"/>
            </c:ext>
          </c:extLst>
        </c:ser>
        <c:dLbls>
          <c:dLblPos val="outEnd"/>
          <c:showLegendKey val="0"/>
          <c:showVal val="1"/>
          <c:showCatName val="0"/>
          <c:showSerName val="0"/>
          <c:showPercent val="0"/>
          <c:showBubbleSize val="0"/>
        </c:dLbls>
        <c:gapWidth val="219"/>
        <c:overlap val="-27"/>
        <c:axId val="752136863"/>
        <c:axId val="752141663"/>
      </c:barChart>
      <c:catAx>
        <c:axId val="75213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141663"/>
        <c:crosses val="autoZero"/>
        <c:auto val="1"/>
        <c:lblAlgn val="ctr"/>
        <c:lblOffset val="100"/>
        <c:noMultiLvlLbl val="0"/>
      </c:catAx>
      <c:valAx>
        <c:axId val="75214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13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dataset.xlsx]Sheet8!PivotTable3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Sheet8!$B$3</c:f>
              <c:strCache>
                <c:ptCount val="1"/>
                <c:pt idx="0">
                  <c:v>Total</c:v>
                </c:pt>
              </c:strCache>
            </c:strRef>
          </c:tx>
          <c:spPr>
            <a:ln w="28575" cap="rnd">
              <a:solidFill>
                <a:schemeClr val="accent1"/>
              </a:solidFill>
              <a:round/>
            </a:ln>
            <a:effectLst/>
          </c:spPr>
          <c:marker>
            <c:symbol val="none"/>
          </c:marker>
          <c:cat>
            <c:strRef>
              <c:f>Sheet8!$A$4:$A$14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Sheet8!$B$4:$B$14</c:f>
              <c:numCache>
                <c:formatCode>General</c:formatCode>
                <c:ptCount val="10"/>
                <c:pt idx="0">
                  <c:v>42</c:v>
                </c:pt>
                <c:pt idx="1">
                  <c:v>76</c:v>
                </c:pt>
                <c:pt idx="2">
                  <c:v>205</c:v>
                </c:pt>
                <c:pt idx="3">
                  <c:v>141</c:v>
                </c:pt>
                <c:pt idx="4">
                  <c:v>98</c:v>
                </c:pt>
                <c:pt idx="5">
                  <c:v>110</c:v>
                </c:pt>
                <c:pt idx="6">
                  <c:v>40</c:v>
                </c:pt>
                <c:pt idx="7">
                  <c:v>135</c:v>
                </c:pt>
                <c:pt idx="8">
                  <c:v>67</c:v>
                </c:pt>
                <c:pt idx="9">
                  <c:v>52</c:v>
                </c:pt>
              </c:numCache>
            </c:numRef>
          </c:val>
          <c:smooth val="0"/>
          <c:extLst>
            <c:ext xmlns:c16="http://schemas.microsoft.com/office/drawing/2014/chart" uri="{C3380CC4-5D6E-409C-BE32-E72D297353CC}">
              <c16:uniqueId val="{00000000-0C50-47C7-A460-5690559405CF}"/>
            </c:ext>
          </c:extLst>
        </c:ser>
        <c:dLbls>
          <c:showLegendKey val="0"/>
          <c:showVal val="0"/>
          <c:showCatName val="0"/>
          <c:showSerName val="0"/>
          <c:showPercent val="0"/>
          <c:showBubbleSize val="0"/>
        </c:dLbls>
        <c:smooth val="0"/>
        <c:axId val="1463235663"/>
        <c:axId val="1463237103"/>
      </c:lineChart>
      <c:catAx>
        <c:axId val="146323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37103"/>
        <c:crosses val="autoZero"/>
        <c:auto val="1"/>
        <c:lblAlgn val="ctr"/>
        <c:lblOffset val="100"/>
        <c:noMultiLvlLbl val="0"/>
      </c:catAx>
      <c:valAx>
        <c:axId val="146323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3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dataset.xlsx]Sheet8!PivotTable4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Sheet8!$E$3</c:f>
              <c:strCache>
                <c:ptCount val="1"/>
                <c:pt idx="0">
                  <c:v>Total</c:v>
                </c:pt>
              </c:strCache>
            </c:strRef>
          </c:tx>
          <c:spPr>
            <a:ln w="28575" cap="rnd">
              <a:solidFill>
                <a:schemeClr val="accent1"/>
              </a:solidFill>
              <a:round/>
            </a:ln>
            <a:effectLst/>
          </c:spPr>
          <c:marker>
            <c:symbol val="none"/>
          </c:marker>
          <c:cat>
            <c:strRef>
              <c:f>Sheet8!$D$4:$D$14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Sheet8!$E$4:$E$14</c:f>
              <c:numCache>
                <c:formatCode>General</c:formatCode>
                <c:ptCount val="10"/>
                <c:pt idx="0">
                  <c:v>1</c:v>
                </c:pt>
                <c:pt idx="1">
                  <c:v>11</c:v>
                </c:pt>
                <c:pt idx="2">
                  <c:v>8</c:v>
                </c:pt>
                <c:pt idx="3">
                  <c:v>120</c:v>
                </c:pt>
                <c:pt idx="4">
                  <c:v>125</c:v>
                </c:pt>
                <c:pt idx="5">
                  <c:v>98</c:v>
                </c:pt>
                <c:pt idx="6">
                  <c:v>162</c:v>
                </c:pt>
                <c:pt idx="7">
                  <c:v>125</c:v>
                </c:pt>
                <c:pt idx="8">
                  <c:v>174</c:v>
                </c:pt>
                <c:pt idx="9">
                  <c:v>142</c:v>
                </c:pt>
              </c:numCache>
            </c:numRef>
          </c:val>
          <c:smooth val="0"/>
          <c:extLst>
            <c:ext xmlns:c16="http://schemas.microsoft.com/office/drawing/2014/chart" uri="{C3380CC4-5D6E-409C-BE32-E72D297353CC}">
              <c16:uniqueId val="{00000000-7857-4309-BA84-3739ADF272A0}"/>
            </c:ext>
          </c:extLst>
        </c:ser>
        <c:dLbls>
          <c:showLegendKey val="0"/>
          <c:showVal val="0"/>
          <c:showCatName val="0"/>
          <c:showSerName val="0"/>
          <c:showPercent val="0"/>
          <c:showBubbleSize val="0"/>
        </c:dLbls>
        <c:smooth val="0"/>
        <c:axId val="1027020943"/>
        <c:axId val="1027019023"/>
      </c:lineChart>
      <c:catAx>
        <c:axId val="102702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019023"/>
        <c:crosses val="autoZero"/>
        <c:auto val="1"/>
        <c:lblAlgn val="ctr"/>
        <c:lblOffset val="100"/>
        <c:noMultiLvlLbl val="0"/>
      </c:catAx>
      <c:valAx>
        <c:axId val="102701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020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dataset.xlsx]Sheet9!PivotTable5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Sheet9!$A$4:$A$11</c:f>
              <c:strCache>
                <c:ptCount val="7"/>
                <c:pt idx="0">
                  <c:v>Customer Service</c:v>
                </c:pt>
                <c:pt idx="1">
                  <c:v>Finance</c:v>
                </c:pt>
                <c:pt idx="2">
                  <c:v>HR</c:v>
                </c:pt>
                <c:pt idx="3">
                  <c:v>IT</c:v>
                </c:pt>
                <c:pt idx="4">
                  <c:v>Marketing</c:v>
                </c:pt>
                <c:pt idx="5">
                  <c:v>Operations</c:v>
                </c:pt>
                <c:pt idx="6">
                  <c:v>Sales</c:v>
                </c:pt>
              </c:strCache>
            </c:strRef>
          </c:cat>
          <c:val>
            <c:numRef>
              <c:f>Sheet9!$B$4:$B$11</c:f>
              <c:numCache>
                <c:formatCode>General</c:formatCode>
                <c:ptCount val="7"/>
                <c:pt idx="0">
                  <c:v>12108601</c:v>
                </c:pt>
                <c:pt idx="1">
                  <c:v>4732280</c:v>
                </c:pt>
                <c:pt idx="2">
                  <c:v>1268658</c:v>
                </c:pt>
                <c:pt idx="3">
                  <c:v>11475257</c:v>
                </c:pt>
                <c:pt idx="4">
                  <c:v>4887501</c:v>
                </c:pt>
                <c:pt idx="5">
                  <c:v>18749191</c:v>
                </c:pt>
                <c:pt idx="6">
                  <c:v>15436884</c:v>
                </c:pt>
              </c:numCache>
            </c:numRef>
          </c:val>
          <c:extLst>
            <c:ext xmlns:c16="http://schemas.microsoft.com/office/drawing/2014/chart" uri="{C3380CC4-5D6E-409C-BE32-E72D297353CC}">
              <c16:uniqueId val="{00000000-CF8E-4DB8-B40C-42C305091EB1}"/>
            </c:ext>
          </c:extLst>
        </c:ser>
        <c:dLbls>
          <c:dLblPos val="outEnd"/>
          <c:showLegendKey val="0"/>
          <c:showVal val="1"/>
          <c:showCatName val="0"/>
          <c:showSerName val="0"/>
          <c:showPercent val="0"/>
          <c:showBubbleSize val="0"/>
        </c:dLbls>
        <c:gapWidth val="182"/>
        <c:axId val="1410802943"/>
        <c:axId val="1881437775"/>
      </c:barChart>
      <c:catAx>
        <c:axId val="1410802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437775"/>
        <c:crosses val="autoZero"/>
        <c:auto val="1"/>
        <c:lblAlgn val="ctr"/>
        <c:lblOffset val="100"/>
        <c:noMultiLvlLbl val="0"/>
      </c:catAx>
      <c:valAx>
        <c:axId val="1881437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80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dataset.xlsx]Sheet10!PivotTable6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Sheet10!$B$3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2E-44A2-9577-E889703EBA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2E-44A2-9577-E889703EBA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2E-44A2-9577-E889703EBA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2E-44A2-9577-E889703EBA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Sheet10!$A$4:$A$8</c:f>
              <c:strCache>
                <c:ptCount val="4"/>
                <c:pt idx="0">
                  <c:v>Excellent</c:v>
                </c:pt>
                <c:pt idx="1">
                  <c:v>Good</c:v>
                </c:pt>
                <c:pt idx="2">
                  <c:v>Needs Improvement</c:v>
                </c:pt>
                <c:pt idx="3">
                  <c:v>Satisfactory</c:v>
                </c:pt>
              </c:strCache>
            </c:strRef>
          </c:cat>
          <c:val>
            <c:numRef>
              <c:f>Sheet10!$B$4:$B$8</c:f>
              <c:numCache>
                <c:formatCode>General</c:formatCode>
                <c:ptCount val="4"/>
                <c:pt idx="0">
                  <c:v>234</c:v>
                </c:pt>
                <c:pt idx="1">
                  <c:v>362</c:v>
                </c:pt>
                <c:pt idx="2">
                  <c:v>205</c:v>
                </c:pt>
                <c:pt idx="3">
                  <c:v>165</c:v>
                </c:pt>
              </c:numCache>
            </c:numRef>
          </c:val>
          <c:extLst>
            <c:ext xmlns:c16="http://schemas.microsoft.com/office/drawing/2014/chart" uri="{C3380CC4-5D6E-409C-BE32-E72D297353CC}">
              <c16:uniqueId val="{00000000-5166-45F3-BF3A-155B410F00C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dataset.xlsx]Sheet11!PivotTable8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Sheet11!$A$4:$A$11</c:f>
              <c:strCache>
                <c:ptCount val="7"/>
                <c:pt idx="0">
                  <c:v>Customer Service</c:v>
                </c:pt>
                <c:pt idx="1">
                  <c:v>Finance</c:v>
                </c:pt>
                <c:pt idx="2">
                  <c:v>HR</c:v>
                </c:pt>
                <c:pt idx="3">
                  <c:v>IT</c:v>
                </c:pt>
                <c:pt idx="4">
                  <c:v>Marketing</c:v>
                </c:pt>
                <c:pt idx="5">
                  <c:v>Operations</c:v>
                </c:pt>
                <c:pt idx="6">
                  <c:v>Sales</c:v>
                </c:pt>
              </c:strCache>
            </c:strRef>
          </c:cat>
          <c:val>
            <c:numRef>
              <c:f>Sheet11!$B$4:$B$11</c:f>
              <c:numCache>
                <c:formatCode>General</c:formatCode>
                <c:ptCount val="7"/>
                <c:pt idx="0">
                  <c:v>65807.614130434784</c:v>
                </c:pt>
                <c:pt idx="1">
                  <c:v>75115.555555555562</c:v>
                </c:pt>
                <c:pt idx="2">
                  <c:v>63432.9</c:v>
                </c:pt>
                <c:pt idx="3">
                  <c:v>82555.80575539569</c:v>
                </c:pt>
                <c:pt idx="4">
                  <c:v>69821.442857142858</c:v>
                </c:pt>
                <c:pt idx="5">
                  <c:v>64876.093425605533</c:v>
                </c:pt>
                <c:pt idx="6">
                  <c:v>76800.417910447766</c:v>
                </c:pt>
              </c:numCache>
            </c:numRef>
          </c:val>
          <c:extLst>
            <c:ext xmlns:c16="http://schemas.microsoft.com/office/drawing/2014/chart" uri="{C3380CC4-5D6E-409C-BE32-E72D297353CC}">
              <c16:uniqueId val="{00000000-1659-42A5-82E6-BC5D1237F41F}"/>
            </c:ext>
          </c:extLst>
        </c:ser>
        <c:dLbls>
          <c:dLblPos val="outEnd"/>
          <c:showLegendKey val="0"/>
          <c:showVal val="1"/>
          <c:showCatName val="0"/>
          <c:showSerName val="0"/>
          <c:showPercent val="0"/>
          <c:showBubbleSize val="0"/>
        </c:dLbls>
        <c:gapWidth val="182"/>
        <c:axId val="950731119"/>
        <c:axId val="950729679"/>
      </c:barChart>
      <c:catAx>
        <c:axId val="950731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29679"/>
        <c:crosses val="autoZero"/>
        <c:auto val="1"/>
        <c:lblAlgn val="ctr"/>
        <c:lblOffset val="100"/>
        <c:noMultiLvlLbl val="0"/>
      </c:catAx>
      <c:valAx>
        <c:axId val="95072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3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dataset.xlsx]Sheet14!PivotTable11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Sheet14!$B$3</c:f>
              <c:strCache>
                <c:ptCount val="1"/>
                <c:pt idx="0">
                  <c:v>Total</c:v>
                </c:pt>
              </c:strCache>
            </c:strRef>
          </c:tx>
          <c:spPr>
            <a:solidFill>
              <a:schemeClr val="accent1"/>
            </a:solidFill>
            <a:ln>
              <a:noFill/>
            </a:ln>
            <a:effectLst/>
          </c:spPr>
          <c:cat>
            <c:strRef>
              <c:f>Sheet14!$A$4:$A$13</c:f>
              <c:strCache>
                <c:ptCount val="9"/>
                <c:pt idx="0">
                  <c:v>20-24</c:v>
                </c:pt>
                <c:pt idx="1">
                  <c:v>25-29</c:v>
                </c:pt>
                <c:pt idx="2">
                  <c:v>30-34</c:v>
                </c:pt>
                <c:pt idx="3">
                  <c:v>35-39</c:v>
                </c:pt>
                <c:pt idx="4">
                  <c:v>40-44</c:v>
                </c:pt>
                <c:pt idx="5">
                  <c:v>45-49</c:v>
                </c:pt>
                <c:pt idx="6">
                  <c:v>50-54</c:v>
                </c:pt>
                <c:pt idx="7">
                  <c:v>55-59</c:v>
                </c:pt>
                <c:pt idx="8">
                  <c:v>60-65</c:v>
                </c:pt>
              </c:strCache>
            </c:strRef>
          </c:cat>
          <c:val>
            <c:numRef>
              <c:f>Sheet14!$B$4:$B$13</c:f>
              <c:numCache>
                <c:formatCode>General</c:formatCode>
                <c:ptCount val="9"/>
                <c:pt idx="0">
                  <c:v>87</c:v>
                </c:pt>
                <c:pt idx="1">
                  <c:v>113</c:v>
                </c:pt>
                <c:pt idx="2">
                  <c:v>122</c:v>
                </c:pt>
                <c:pt idx="3">
                  <c:v>131</c:v>
                </c:pt>
                <c:pt idx="4">
                  <c:v>155</c:v>
                </c:pt>
                <c:pt idx="5">
                  <c:v>115</c:v>
                </c:pt>
                <c:pt idx="6">
                  <c:v>115</c:v>
                </c:pt>
                <c:pt idx="7">
                  <c:v>63</c:v>
                </c:pt>
                <c:pt idx="8">
                  <c:v>65</c:v>
                </c:pt>
              </c:numCache>
            </c:numRef>
          </c:val>
          <c:extLst>
            <c:ext xmlns:c16="http://schemas.microsoft.com/office/drawing/2014/chart" uri="{C3380CC4-5D6E-409C-BE32-E72D297353CC}">
              <c16:uniqueId val="{00000000-567F-4BED-93F3-C9FD226B3EE6}"/>
            </c:ext>
          </c:extLst>
        </c:ser>
        <c:dLbls>
          <c:showLegendKey val="0"/>
          <c:showVal val="0"/>
          <c:showCatName val="0"/>
          <c:showSerName val="0"/>
          <c:showPercent val="0"/>
          <c:showBubbleSize val="0"/>
        </c:dLbls>
        <c:axId val="754520671"/>
        <c:axId val="754528831"/>
      </c:areaChart>
      <c:catAx>
        <c:axId val="754520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528831"/>
        <c:crosses val="autoZero"/>
        <c:auto val="1"/>
        <c:lblAlgn val="ctr"/>
        <c:lblOffset val="100"/>
        <c:noMultiLvlLbl val="0"/>
      </c:catAx>
      <c:valAx>
        <c:axId val="75452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52067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dataset.xlsx]Sheet6!PivotTable1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Sheet6!$B$3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Sheet6!$A$4:$A$9</c:f>
              <c:strCache>
                <c:ptCount val="5"/>
                <c:pt idx="0">
                  <c:v>Sales</c:v>
                </c:pt>
                <c:pt idx="1">
                  <c:v>Operations</c:v>
                </c:pt>
                <c:pt idx="2">
                  <c:v>Marketing</c:v>
                </c:pt>
                <c:pt idx="3">
                  <c:v>IT</c:v>
                </c:pt>
                <c:pt idx="4">
                  <c:v>Customer Service</c:v>
                </c:pt>
              </c:strCache>
            </c:strRef>
          </c:cat>
          <c:val>
            <c:numRef>
              <c:f>Sheet6!$B$4:$B$9</c:f>
              <c:numCache>
                <c:formatCode>General</c:formatCode>
                <c:ptCount val="5"/>
                <c:pt idx="0">
                  <c:v>201</c:v>
                </c:pt>
                <c:pt idx="1">
                  <c:v>289</c:v>
                </c:pt>
                <c:pt idx="2">
                  <c:v>70</c:v>
                </c:pt>
                <c:pt idx="3">
                  <c:v>139</c:v>
                </c:pt>
                <c:pt idx="4">
                  <c:v>184</c:v>
                </c:pt>
              </c:numCache>
            </c:numRef>
          </c:val>
          <c:extLst>
            <c:ext xmlns:c16="http://schemas.microsoft.com/office/drawing/2014/chart" uri="{C3380CC4-5D6E-409C-BE32-E72D297353CC}">
              <c16:uniqueId val="{00000009-EA28-40AB-9B36-B6498807CDA8}"/>
            </c:ext>
          </c:extLst>
        </c:ser>
        <c:dLbls>
          <c:dLblPos val="outEnd"/>
          <c:showLegendKey val="0"/>
          <c:showVal val="1"/>
          <c:showCatName val="0"/>
          <c:showSerName val="0"/>
          <c:showPercent val="0"/>
          <c:showBubbleSize val="0"/>
        </c:dLbls>
        <c:gapWidth val="219"/>
        <c:overlap val="-27"/>
        <c:axId val="1032994063"/>
        <c:axId val="1032995503"/>
      </c:barChart>
      <c:catAx>
        <c:axId val="1032994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95503"/>
        <c:crosses val="autoZero"/>
        <c:auto val="1"/>
        <c:lblAlgn val="ctr"/>
        <c:lblOffset val="100"/>
        <c:noMultiLvlLbl val="0"/>
      </c:catAx>
      <c:valAx>
        <c:axId val="1032995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99406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dataset.xlsx]Sheet7!PivotTable2</c:name>
    <c:fmtId val="3"/>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1"/>
          <c:order val="0"/>
          <c:tx>
            <c:strRef>
              <c:f>Sheet7!$B$3</c:f>
              <c:strCache>
                <c:ptCount val="1"/>
                <c:pt idx="0">
                  <c:v>Total</c:v>
                </c:pt>
              </c:strCache>
            </c:strRef>
          </c:tx>
          <c:dLbls>
            <c:spPr>
              <a:noFill/>
              <a:ln>
                <a:noFill/>
              </a:ln>
              <a:effectLst/>
            </c:spPr>
            <c:txPr>
              <a:bodyPr wrap="square" lIns="38100" tIns="19050" rIns="38100" bIns="19050" anchor="ctr">
                <a:spAutoFit/>
              </a:bodyPr>
              <a:lstStyle/>
              <a:p>
                <a:pPr>
                  <a:defRPr/>
                </a:pPr>
                <a:endParaRPr lang="en-US"/>
              </a:p>
            </c:txPr>
            <c:dLblPos val="bestFit"/>
            <c:showLegendKey val="0"/>
            <c:showVal val="1"/>
            <c:showCatName val="0"/>
            <c:showSerName val="0"/>
            <c:showPercent val="0"/>
            <c:showBubbleSize val="0"/>
            <c:showLeaderLines val="1"/>
            <c:extLst>
              <c:ext xmlns:c15="http://schemas.microsoft.com/office/drawing/2012/chart" uri="{CE6537A1-D6FC-4f65-9D91-7224C49458BB}"/>
            </c:extLst>
          </c:dLbls>
          <c:cat>
            <c:strRef>
              <c:f>Sheet7!$A$4:$A$6</c:f>
              <c:strCache>
                <c:ptCount val="2"/>
                <c:pt idx="0">
                  <c:v>Female</c:v>
                </c:pt>
                <c:pt idx="1">
                  <c:v>Male</c:v>
                </c:pt>
              </c:strCache>
            </c:strRef>
          </c:cat>
          <c:val>
            <c:numRef>
              <c:f>Sheet7!$B$4:$B$6</c:f>
              <c:numCache>
                <c:formatCode>General</c:formatCode>
                <c:ptCount val="2"/>
                <c:pt idx="0">
                  <c:v>456</c:v>
                </c:pt>
                <c:pt idx="1">
                  <c:v>510</c:v>
                </c:pt>
              </c:numCache>
            </c:numRef>
          </c:val>
          <c:extLst>
            <c:ext xmlns:c16="http://schemas.microsoft.com/office/drawing/2014/chart" uri="{C3380CC4-5D6E-409C-BE32-E72D297353CC}">
              <c16:uniqueId val="{0000000C-1C98-439A-8012-2B46E250313C}"/>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dataset.xlsx]Sheet8!PivotTable3</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1"/>
          <c:order val="0"/>
          <c:tx>
            <c:strRef>
              <c:f>Sheet8!$B$3</c:f>
              <c:strCache>
                <c:ptCount val="1"/>
                <c:pt idx="0">
                  <c:v>Total</c:v>
                </c:pt>
              </c:strCache>
            </c:strRef>
          </c:tx>
          <c:marker>
            <c:symbol val="none"/>
          </c:marker>
          <c:cat>
            <c:strRef>
              <c:f>Sheet8!$A$4:$A$14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Sheet8!$B$4:$B$14</c:f>
              <c:numCache>
                <c:formatCode>General</c:formatCode>
                <c:ptCount val="10"/>
                <c:pt idx="0">
                  <c:v>42</c:v>
                </c:pt>
                <c:pt idx="1">
                  <c:v>76</c:v>
                </c:pt>
                <c:pt idx="2">
                  <c:v>205</c:v>
                </c:pt>
                <c:pt idx="3">
                  <c:v>141</c:v>
                </c:pt>
                <c:pt idx="4">
                  <c:v>98</c:v>
                </c:pt>
                <c:pt idx="5">
                  <c:v>110</c:v>
                </c:pt>
                <c:pt idx="6">
                  <c:v>40</c:v>
                </c:pt>
                <c:pt idx="7">
                  <c:v>135</c:v>
                </c:pt>
                <c:pt idx="8">
                  <c:v>67</c:v>
                </c:pt>
                <c:pt idx="9">
                  <c:v>52</c:v>
                </c:pt>
              </c:numCache>
            </c:numRef>
          </c:val>
          <c:smooth val="0"/>
          <c:extLst>
            <c:ext xmlns:c16="http://schemas.microsoft.com/office/drawing/2014/chart" uri="{C3380CC4-5D6E-409C-BE32-E72D297353CC}">
              <c16:uniqueId val="{00000004-CB91-42D5-974B-086F49AF16A1}"/>
            </c:ext>
          </c:extLst>
        </c:ser>
        <c:dLbls>
          <c:showLegendKey val="0"/>
          <c:showVal val="0"/>
          <c:showCatName val="0"/>
          <c:showSerName val="0"/>
          <c:showPercent val="0"/>
          <c:showBubbleSize val="0"/>
        </c:dLbls>
        <c:smooth val="0"/>
        <c:axId val="1463235663"/>
        <c:axId val="1463237103"/>
      </c:lineChart>
      <c:catAx>
        <c:axId val="1463235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37103"/>
        <c:crosses val="autoZero"/>
        <c:auto val="1"/>
        <c:lblAlgn val="ctr"/>
        <c:lblOffset val="100"/>
        <c:noMultiLvlLbl val="0"/>
      </c:catAx>
      <c:valAx>
        <c:axId val="146323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23566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dataset.xlsx]Sheet8!PivotTable4</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marker>
          <c:symbol val="none"/>
        </c:marker>
        <c:dLbl>
          <c:idx val="0"/>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Sheet8!$E$3</c:f>
              <c:strCache>
                <c:ptCount val="1"/>
                <c:pt idx="0">
                  <c:v>Total</c:v>
                </c:pt>
              </c:strCache>
            </c:strRef>
          </c:tx>
          <c:marker>
            <c:symbol val="none"/>
          </c:marker>
          <c:dLbls>
            <c:spPr>
              <a:noFill/>
              <a:ln>
                <a:noFill/>
              </a:ln>
              <a:effectLst/>
            </c:spPr>
            <c:txPr>
              <a:bodyPr wrap="square" lIns="38100" tIns="19050" rIns="38100" bIns="19050" anchor="ctr">
                <a:spAutoFit/>
              </a:bodyPr>
              <a:lstStyle/>
              <a:p>
                <a:pPr>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Sheet8!$D$4:$D$14</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Sheet8!$E$4:$E$14</c:f>
              <c:numCache>
                <c:formatCode>General</c:formatCode>
                <c:ptCount val="10"/>
                <c:pt idx="0">
                  <c:v>1</c:v>
                </c:pt>
                <c:pt idx="1">
                  <c:v>11</c:v>
                </c:pt>
                <c:pt idx="2">
                  <c:v>8</c:v>
                </c:pt>
                <c:pt idx="3">
                  <c:v>120</c:v>
                </c:pt>
                <c:pt idx="4">
                  <c:v>125</c:v>
                </c:pt>
                <c:pt idx="5">
                  <c:v>98</c:v>
                </c:pt>
                <c:pt idx="6">
                  <c:v>162</c:v>
                </c:pt>
                <c:pt idx="7">
                  <c:v>125</c:v>
                </c:pt>
                <c:pt idx="8">
                  <c:v>174</c:v>
                </c:pt>
                <c:pt idx="9">
                  <c:v>142</c:v>
                </c:pt>
              </c:numCache>
            </c:numRef>
          </c:val>
          <c:smooth val="0"/>
          <c:extLst>
            <c:ext xmlns:c16="http://schemas.microsoft.com/office/drawing/2014/chart" uri="{C3380CC4-5D6E-409C-BE32-E72D297353CC}">
              <c16:uniqueId val="{00000004-7940-430B-B871-2EC6523C22FA}"/>
            </c:ext>
          </c:extLst>
        </c:ser>
        <c:dLbls>
          <c:dLblPos val="t"/>
          <c:showLegendKey val="0"/>
          <c:showVal val="1"/>
          <c:showCatName val="0"/>
          <c:showSerName val="0"/>
          <c:showPercent val="0"/>
          <c:showBubbleSize val="0"/>
        </c:dLbls>
        <c:smooth val="0"/>
        <c:axId val="1027020943"/>
        <c:axId val="1027019023"/>
      </c:lineChart>
      <c:catAx>
        <c:axId val="102702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019023"/>
        <c:crosses val="autoZero"/>
        <c:auto val="1"/>
        <c:lblAlgn val="ctr"/>
        <c:lblOffset val="100"/>
        <c:noMultiLvlLbl val="0"/>
      </c:catAx>
      <c:valAx>
        <c:axId val="1027019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02094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dataset.xlsx]Sheet10!PivotTable6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8.7072321245646386E-2"/>
              <c:y val="-8.9178688647829726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8.1950419995902482E-2"/>
              <c:y val="-7.8687078218673254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6.1462814996926858E-2"/>
              <c:y val="0.125899325149877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9.2194222495390291E-2"/>
              <c:y val="0.1049161042915644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1"/>
          <c:order val="0"/>
          <c:tx>
            <c:strRef>
              <c:f>Sheet10!$B$3</c:f>
              <c:strCache>
                <c:ptCount val="1"/>
                <c:pt idx="0">
                  <c:v>Total</c:v>
                </c:pt>
              </c:strCache>
            </c:strRef>
          </c:tx>
          <c:dLbls>
            <c:dLbl>
              <c:idx val="0"/>
              <c:layout>
                <c:manualLayout>
                  <c:x val="8.7072321245646386E-2"/>
                  <c:y val="-8.91786886478297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06A-4FBB-AFA0-37606FC7032A}"/>
                </c:ext>
              </c:extLst>
            </c:dLbl>
            <c:dLbl>
              <c:idx val="1"/>
              <c:layout>
                <c:manualLayout>
                  <c:x val="9.2194222495390291E-2"/>
                  <c:y val="0.104916104291564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6A-4FBB-AFA0-37606FC7032A}"/>
                </c:ext>
              </c:extLst>
            </c:dLbl>
            <c:dLbl>
              <c:idx val="2"/>
              <c:layout>
                <c:manualLayout>
                  <c:x val="-6.1462814996926858E-2"/>
                  <c:y val="0.12589932514987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6A-4FBB-AFA0-37606FC7032A}"/>
                </c:ext>
              </c:extLst>
            </c:dLbl>
            <c:dLbl>
              <c:idx val="3"/>
              <c:layout>
                <c:manualLayout>
                  <c:x val="-8.1950419995902482E-2"/>
                  <c:y val="-7.86870782186732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6A-4FBB-AFA0-37606FC7032A}"/>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Sheet10!$A$4:$A$8</c:f>
              <c:strCache>
                <c:ptCount val="4"/>
                <c:pt idx="0">
                  <c:v>Excellent</c:v>
                </c:pt>
                <c:pt idx="1">
                  <c:v>Good</c:v>
                </c:pt>
                <c:pt idx="2">
                  <c:v>Needs Improvement</c:v>
                </c:pt>
                <c:pt idx="3">
                  <c:v>Satisfactory</c:v>
                </c:pt>
              </c:strCache>
            </c:strRef>
          </c:cat>
          <c:val>
            <c:numRef>
              <c:f>Sheet10!$B$4:$B$8</c:f>
              <c:numCache>
                <c:formatCode>General</c:formatCode>
                <c:ptCount val="4"/>
                <c:pt idx="0">
                  <c:v>234</c:v>
                </c:pt>
                <c:pt idx="1">
                  <c:v>362</c:v>
                </c:pt>
                <c:pt idx="2">
                  <c:v>205</c:v>
                </c:pt>
                <c:pt idx="3">
                  <c:v>165</c:v>
                </c:pt>
              </c:numCache>
            </c:numRef>
          </c:val>
          <c:extLst>
            <c:ext xmlns:c16="http://schemas.microsoft.com/office/drawing/2014/chart" uri="{C3380CC4-5D6E-409C-BE32-E72D297353CC}">
              <c16:uniqueId val="{00000014-6BB2-4376-8986-DBC2CF31C130}"/>
            </c:ext>
          </c:extLst>
        </c:ser>
        <c:dLbls>
          <c:showLegendKey val="0"/>
          <c:showVal val="1"/>
          <c:showCatName val="0"/>
          <c:showSerName val="0"/>
          <c:showPercent val="0"/>
          <c:showBubbleSize val="0"/>
          <c:showLeaderLines val="1"/>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dataset.xlsx]Sheet11!PivotTable8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clustered"/>
        <c:varyColors val="0"/>
        <c:ser>
          <c:idx val="0"/>
          <c:order val="0"/>
          <c:tx>
            <c:strRef>
              <c:f>Sheet11!$B$3</c:f>
              <c:strCache>
                <c:ptCount val="1"/>
                <c:pt idx="0">
                  <c:v>Total</c:v>
                </c:pt>
              </c:strCache>
            </c:strRef>
          </c:tx>
          <c:spPr>
            <a:solidFill>
              <a:schemeClr val="accent1"/>
            </a:solidFill>
            <a:ln>
              <a:noFill/>
            </a:ln>
            <a:effectLst/>
          </c:spPr>
          <c:invertIfNegative val="0"/>
          <c:dLbls>
            <c:numFmt formatCode="#,##0"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Sheet11!$A$4:$A$11</c:f>
              <c:strCache>
                <c:ptCount val="7"/>
                <c:pt idx="0">
                  <c:v>Customer Service</c:v>
                </c:pt>
                <c:pt idx="1">
                  <c:v>Finance</c:v>
                </c:pt>
                <c:pt idx="2">
                  <c:v>HR</c:v>
                </c:pt>
                <c:pt idx="3">
                  <c:v>IT</c:v>
                </c:pt>
                <c:pt idx="4">
                  <c:v>Marketing</c:v>
                </c:pt>
                <c:pt idx="5">
                  <c:v>Operations</c:v>
                </c:pt>
                <c:pt idx="6">
                  <c:v>Sales</c:v>
                </c:pt>
              </c:strCache>
            </c:strRef>
          </c:cat>
          <c:val>
            <c:numRef>
              <c:f>Sheet11!$B$4:$B$11</c:f>
              <c:numCache>
                <c:formatCode>General</c:formatCode>
                <c:ptCount val="7"/>
                <c:pt idx="0">
                  <c:v>65807.614130434784</c:v>
                </c:pt>
                <c:pt idx="1">
                  <c:v>75115.555555555562</c:v>
                </c:pt>
                <c:pt idx="2">
                  <c:v>63432.9</c:v>
                </c:pt>
                <c:pt idx="3">
                  <c:v>82555.80575539569</c:v>
                </c:pt>
                <c:pt idx="4">
                  <c:v>69821.442857142858</c:v>
                </c:pt>
                <c:pt idx="5">
                  <c:v>64876.093425605533</c:v>
                </c:pt>
                <c:pt idx="6">
                  <c:v>76800.417910447766</c:v>
                </c:pt>
              </c:numCache>
            </c:numRef>
          </c:val>
          <c:extLst>
            <c:ext xmlns:c16="http://schemas.microsoft.com/office/drawing/2014/chart" uri="{C3380CC4-5D6E-409C-BE32-E72D297353CC}">
              <c16:uniqueId val="{00000000-7422-4BC1-904F-D1592D560D75}"/>
            </c:ext>
          </c:extLst>
        </c:ser>
        <c:dLbls>
          <c:showLegendKey val="0"/>
          <c:showVal val="0"/>
          <c:showCatName val="0"/>
          <c:showSerName val="0"/>
          <c:showPercent val="0"/>
          <c:showBubbleSize val="0"/>
        </c:dLbls>
        <c:gapWidth val="182"/>
        <c:axId val="950731119"/>
        <c:axId val="950729679"/>
      </c:barChart>
      <c:catAx>
        <c:axId val="9507311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29679"/>
        <c:crosses val="autoZero"/>
        <c:auto val="1"/>
        <c:lblAlgn val="ctr"/>
        <c:lblOffset val="100"/>
        <c:noMultiLvlLbl val="0"/>
      </c:catAx>
      <c:valAx>
        <c:axId val="95072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73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5</xdr:col>
      <xdr:colOff>571500</xdr:colOff>
      <xdr:row>4</xdr:row>
      <xdr:rowOff>156210</xdr:rowOff>
    </xdr:from>
    <xdr:to>
      <xdr:col>13</xdr:col>
      <xdr:colOff>266700</xdr:colOff>
      <xdr:row>19</xdr:row>
      <xdr:rowOff>156210</xdr:rowOff>
    </xdr:to>
    <xdr:graphicFrame macro="">
      <xdr:nvGraphicFramePr>
        <xdr:cNvPr id="2" name="Chart 1">
          <a:extLst>
            <a:ext uri="{FF2B5EF4-FFF2-40B4-BE49-F238E27FC236}">
              <a16:creationId xmlns:a16="http://schemas.microsoft.com/office/drawing/2014/main" id="{58405137-69BE-E18F-B957-1D6C2BAE5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754380</xdr:colOff>
      <xdr:row>9</xdr:row>
      <xdr:rowOff>118110</xdr:rowOff>
    </xdr:from>
    <xdr:to>
      <xdr:col>8</xdr:col>
      <xdr:colOff>167640</xdr:colOff>
      <xdr:row>24</xdr:row>
      <xdr:rowOff>118110</xdr:rowOff>
    </xdr:to>
    <xdr:graphicFrame macro="">
      <xdr:nvGraphicFramePr>
        <xdr:cNvPr id="2" name="Chart 1">
          <a:extLst>
            <a:ext uri="{FF2B5EF4-FFF2-40B4-BE49-F238E27FC236}">
              <a16:creationId xmlns:a16="http://schemas.microsoft.com/office/drawing/2014/main" id="{904148E6-96F0-DECD-7847-8FB11E53C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365760</xdr:colOff>
      <xdr:row>1</xdr:row>
      <xdr:rowOff>26670</xdr:rowOff>
    </xdr:from>
    <xdr:to>
      <xdr:col>17</xdr:col>
      <xdr:colOff>60960</xdr:colOff>
      <xdr:row>16</xdr:row>
      <xdr:rowOff>26670</xdr:rowOff>
    </xdr:to>
    <xdr:graphicFrame macro="">
      <xdr:nvGraphicFramePr>
        <xdr:cNvPr id="3" name="Chart 2">
          <a:extLst>
            <a:ext uri="{FF2B5EF4-FFF2-40B4-BE49-F238E27FC236}">
              <a16:creationId xmlns:a16="http://schemas.microsoft.com/office/drawing/2014/main" id="{1D259BEA-E8B2-8F07-DDB9-AF4E2233A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289560</xdr:colOff>
      <xdr:row>1</xdr:row>
      <xdr:rowOff>3810</xdr:rowOff>
    </xdr:from>
    <xdr:to>
      <xdr:col>14</xdr:col>
      <xdr:colOff>594360</xdr:colOff>
      <xdr:row>16</xdr:row>
      <xdr:rowOff>3810</xdr:rowOff>
    </xdr:to>
    <xdr:graphicFrame macro="">
      <xdr:nvGraphicFramePr>
        <xdr:cNvPr id="2" name="Chart 1">
          <a:extLst>
            <a:ext uri="{FF2B5EF4-FFF2-40B4-BE49-F238E27FC236}">
              <a16:creationId xmlns:a16="http://schemas.microsoft.com/office/drawing/2014/main" id="{C3D0FFB1-5B07-8F67-5FC9-6B7E1340C1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236220</xdr:colOff>
      <xdr:row>9</xdr:row>
      <xdr:rowOff>118110</xdr:rowOff>
    </xdr:from>
    <xdr:to>
      <xdr:col>7</xdr:col>
      <xdr:colOff>510540</xdr:colOff>
      <xdr:row>24</xdr:row>
      <xdr:rowOff>118110</xdr:rowOff>
    </xdr:to>
    <xdr:graphicFrame macro="">
      <xdr:nvGraphicFramePr>
        <xdr:cNvPr id="3" name="Chart 2">
          <a:extLst>
            <a:ext uri="{FF2B5EF4-FFF2-40B4-BE49-F238E27FC236}">
              <a16:creationId xmlns:a16="http://schemas.microsoft.com/office/drawing/2014/main" id="{DD6E29B0-6186-FCE9-7A31-EA500ADEE8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251460</xdr:colOff>
      <xdr:row>11</xdr:row>
      <xdr:rowOff>0</xdr:rowOff>
    </xdr:from>
    <xdr:to>
      <xdr:col>10</xdr:col>
      <xdr:colOff>100289</xdr:colOff>
      <xdr:row>22</xdr:row>
      <xdr:rowOff>152400</xdr:rowOff>
    </xdr:to>
    <xdr:graphicFrame macro="">
      <xdr:nvGraphicFramePr>
        <xdr:cNvPr id="2" name="Chart 1">
          <a:extLst>
            <a:ext uri="{FF2B5EF4-FFF2-40B4-BE49-F238E27FC236}">
              <a16:creationId xmlns:a16="http://schemas.microsoft.com/office/drawing/2014/main" id="{77633255-5B4F-CDA8-2F81-357D641BE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571500</xdr:colOff>
      <xdr:row>12</xdr:row>
      <xdr:rowOff>3810</xdr:rowOff>
    </xdr:from>
    <xdr:to>
      <xdr:col>7</xdr:col>
      <xdr:colOff>236220</xdr:colOff>
      <xdr:row>27</xdr:row>
      <xdr:rowOff>3810</xdr:rowOff>
    </xdr:to>
    <xdr:graphicFrame macro="">
      <xdr:nvGraphicFramePr>
        <xdr:cNvPr id="2" name="Chart 1">
          <a:extLst>
            <a:ext uri="{FF2B5EF4-FFF2-40B4-BE49-F238E27FC236}">
              <a16:creationId xmlns:a16="http://schemas.microsoft.com/office/drawing/2014/main" id="{A91E938A-CA06-8DDB-2AFE-37A12B89DF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7620</xdr:colOff>
      <xdr:row>3</xdr:row>
      <xdr:rowOff>45720</xdr:rowOff>
    </xdr:from>
    <xdr:to>
      <xdr:col>6</xdr:col>
      <xdr:colOff>7620</xdr:colOff>
      <xdr:row>16</xdr:row>
      <xdr:rowOff>135255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96DB6444-102D-A098-5AA8-6C02DB0758C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476500" y="594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213360</xdr:colOff>
      <xdr:row>8</xdr:row>
      <xdr:rowOff>38100</xdr:rowOff>
    </xdr:from>
    <xdr:to>
      <xdr:col>13</xdr:col>
      <xdr:colOff>213360</xdr:colOff>
      <xdr:row>21</xdr:row>
      <xdr:rowOff>127635</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3AB0B5F8-35E1-1F48-C212-966B62AD427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949440" y="1501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335280</xdr:colOff>
      <xdr:row>7</xdr:row>
      <xdr:rowOff>106681</xdr:rowOff>
    </xdr:from>
    <xdr:to>
      <xdr:col>9</xdr:col>
      <xdr:colOff>335280</xdr:colOff>
      <xdr:row>14</xdr:row>
      <xdr:rowOff>60961</xdr:rowOff>
    </xdr:to>
    <mc:AlternateContent xmlns:mc="http://schemas.openxmlformats.org/markup-compatibility/2006" xmlns:a14="http://schemas.microsoft.com/office/drawing/2010/main">
      <mc:Choice Requires="a14">
        <xdr:graphicFrame macro="">
          <xdr:nvGraphicFramePr>
            <xdr:cNvPr id="5" name="Employment Status">
              <a:extLst>
                <a:ext uri="{FF2B5EF4-FFF2-40B4-BE49-F238E27FC236}">
                  <a16:creationId xmlns:a16="http://schemas.microsoft.com/office/drawing/2014/main" id="{D919BF42-ECB8-ADD2-4C48-F822F5898564}"/>
                </a:ext>
              </a:extLst>
            </xdr:cNvPr>
            <xdr:cNvGraphicFramePr/>
          </xdr:nvGraphicFramePr>
          <xdr:xfrm>
            <a:off x="0" y="0"/>
            <a:ext cx="0" cy="0"/>
          </xdr:xfrm>
          <a:graphic>
            <a:graphicData uri="http://schemas.microsoft.com/office/drawing/2010/slicer">
              <sle:slicer xmlns:sle="http://schemas.microsoft.com/office/drawing/2010/slicer" name="Employment Status"/>
            </a:graphicData>
          </a:graphic>
        </xdr:graphicFrame>
      </mc:Choice>
      <mc:Fallback xmlns="">
        <xdr:sp macro="" textlink="">
          <xdr:nvSpPr>
            <xdr:cNvPr id="0" name=""/>
            <xdr:cNvSpPr>
              <a:spLocks noTextEdit="1"/>
            </xdr:cNvSpPr>
          </xdr:nvSpPr>
          <xdr:spPr>
            <a:xfrm>
              <a:off x="4632960" y="138684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396240</xdr:colOff>
      <xdr:row>8</xdr:row>
      <xdr:rowOff>167640</xdr:rowOff>
    </xdr:from>
    <xdr:to>
      <xdr:col>9</xdr:col>
      <xdr:colOff>259080</xdr:colOff>
      <xdr:row>21</xdr:row>
      <xdr:rowOff>148590</xdr:rowOff>
    </xdr:to>
    <xdr:graphicFrame macro="">
      <xdr:nvGraphicFramePr>
        <xdr:cNvPr id="2" name="Chart 1">
          <a:extLst>
            <a:ext uri="{FF2B5EF4-FFF2-40B4-BE49-F238E27FC236}">
              <a16:creationId xmlns:a16="http://schemas.microsoft.com/office/drawing/2014/main" id="{70D537B5-8EDD-F668-D728-A2A157113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213360</xdr:colOff>
      <xdr:row>0</xdr:row>
      <xdr:rowOff>179070</xdr:rowOff>
    </xdr:from>
    <xdr:to>
      <xdr:col>21</xdr:col>
      <xdr:colOff>121920</xdr:colOff>
      <xdr:row>15</xdr:row>
      <xdr:rowOff>179070</xdr:rowOff>
    </xdr:to>
    <xdr:graphicFrame macro="">
      <xdr:nvGraphicFramePr>
        <xdr:cNvPr id="3" name="Chart 2">
          <a:extLst>
            <a:ext uri="{FF2B5EF4-FFF2-40B4-BE49-F238E27FC236}">
              <a16:creationId xmlns:a16="http://schemas.microsoft.com/office/drawing/2014/main" id="{27F86959-0D05-8A5B-3A1F-E45DC39AB7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7620</xdr:colOff>
      <xdr:row>3</xdr:row>
      <xdr:rowOff>0</xdr:rowOff>
    </xdr:from>
    <xdr:to>
      <xdr:col>19</xdr:col>
      <xdr:colOff>0</xdr:colOff>
      <xdr:row>33</xdr:row>
      <xdr:rowOff>167640</xdr:rowOff>
    </xdr:to>
    <xdr:sp macro="" textlink="">
      <xdr:nvSpPr>
        <xdr:cNvPr id="3" name="Rectangle 2">
          <a:extLst>
            <a:ext uri="{FF2B5EF4-FFF2-40B4-BE49-F238E27FC236}">
              <a16:creationId xmlns:a16="http://schemas.microsoft.com/office/drawing/2014/main" id="{DE40EFB1-322F-49A8-9BBA-DCBD7B3C9D72}"/>
            </a:ext>
          </a:extLst>
        </xdr:cNvPr>
        <xdr:cNvSpPr/>
      </xdr:nvSpPr>
      <xdr:spPr>
        <a:xfrm>
          <a:off x="617220" y="548640"/>
          <a:ext cx="10965180" cy="5654040"/>
        </a:xfrm>
        <a:prstGeom prst="rect">
          <a:avLst/>
        </a:prstGeom>
        <a:solidFill>
          <a:schemeClr val="accent1">
            <a:lumMod val="20000"/>
            <a:lumOff val="80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68580</xdr:colOff>
      <xdr:row>7</xdr:row>
      <xdr:rowOff>76200</xdr:rowOff>
    </xdr:from>
    <xdr:to>
      <xdr:col>18</xdr:col>
      <xdr:colOff>487680</xdr:colOff>
      <xdr:row>20</xdr:row>
      <xdr:rowOff>91440</xdr:rowOff>
    </xdr:to>
    <xdr:graphicFrame macro="">
      <xdr:nvGraphicFramePr>
        <xdr:cNvPr id="6" name="Chart 5">
          <a:extLst>
            <a:ext uri="{FF2B5EF4-FFF2-40B4-BE49-F238E27FC236}">
              <a16:creationId xmlns:a16="http://schemas.microsoft.com/office/drawing/2014/main" id="{331E1029-086B-485F-A2A2-A97B26725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205740</xdr:colOff>
      <xdr:row>7</xdr:row>
      <xdr:rowOff>60960</xdr:rowOff>
    </xdr:from>
    <xdr:to>
      <xdr:col>7</xdr:col>
      <xdr:colOff>548640</xdr:colOff>
      <xdr:row>20</xdr:row>
      <xdr:rowOff>91440</xdr:rowOff>
    </xdr:to>
    <xdr:graphicFrame macro="">
      <xdr:nvGraphicFramePr>
        <xdr:cNvPr id="7" name="Chart 6">
          <a:extLst>
            <a:ext uri="{FF2B5EF4-FFF2-40B4-BE49-F238E27FC236}">
              <a16:creationId xmlns:a16="http://schemas.microsoft.com/office/drawing/2014/main" id="{A1755498-E8FE-42B3-AB54-1323F174B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114299</xdr:colOff>
      <xdr:row>20</xdr:row>
      <xdr:rowOff>152400</xdr:rowOff>
    </xdr:from>
    <xdr:to>
      <xdr:col>7</xdr:col>
      <xdr:colOff>114300</xdr:colOff>
      <xdr:row>33</xdr:row>
      <xdr:rowOff>68580</xdr:rowOff>
    </xdr:to>
    <xdr:graphicFrame macro="">
      <xdr:nvGraphicFramePr>
        <xdr:cNvPr id="8" name="Chart 7">
          <a:extLst>
            <a:ext uri="{FF2B5EF4-FFF2-40B4-BE49-F238E27FC236}">
              <a16:creationId xmlns:a16="http://schemas.microsoft.com/office/drawing/2014/main" id="{468C710A-6943-41DE-A86A-79289A449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178526</xdr:colOff>
      <xdr:row>20</xdr:row>
      <xdr:rowOff>150223</xdr:rowOff>
    </xdr:from>
    <xdr:to>
      <xdr:col>13</xdr:col>
      <xdr:colOff>129540</xdr:colOff>
      <xdr:row>33</xdr:row>
      <xdr:rowOff>68580</xdr:rowOff>
    </xdr:to>
    <xdr:graphicFrame macro="">
      <xdr:nvGraphicFramePr>
        <xdr:cNvPr id="9" name="Chart 8">
          <a:extLst>
            <a:ext uri="{FF2B5EF4-FFF2-40B4-BE49-F238E27FC236}">
              <a16:creationId xmlns:a16="http://schemas.microsoft.com/office/drawing/2014/main" id="{E3FBDF23-3548-4A91-961E-394559534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598932</xdr:colOff>
      <xdr:row>7</xdr:row>
      <xdr:rowOff>76200</xdr:rowOff>
    </xdr:from>
    <xdr:to>
      <xdr:col>12</xdr:col>
      <xdr:colOff>30480</xdr:colOff>
      <xdr:row>20</xdr:row>
      <xdr:rowOff>91439</xdr:rowOff>
    </xdr:to>
    <xdr:graphicFrame macro="">
      <xdr:nvGraphicFramePr>
        <xdr:cNvPr id="10" name="Chart 9">
          <a:extLst>
            <a:ext uri="{FF2B5EF4-FFF2-40B4-BE49-F238E27FC236}">
              <a16:creationId xmlns:a16="http://schemas.microsoft.com/office/drawing/2014/main" id="{ED4595A8-3335-4582-84D4-DC055FB0E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137160</xdr:colOff>
      <xdr:row>14</xdr:row>
      <xdr:rowOff>1</xdr:rowOff>
    </xdr:from>
    <xdr:to>
      <xdr:col>4</xdr:col>
      <xdr:colOff>137160</xdr:colOff>
      <xdr:row>19</xdr:row>
      <xdr:rowOff>137160</xdr:rowOff>
    </xdr:to>
    <mc:AlternateContent xmlns:mc="http://schemas.openxmlformats.org/markup-compatibility/2006" xmlns:a14="http://schemas.microsoft.com/office/drawing/2010/main">
      <mc:Choice Requires="a14">
        <xdr:graphicFrame macro="">
          <xdr:nvGraphicFramePr>
            <xdr:cNvPr id="14" name="Gender 2">
              <a:extLst>
                <a:ext uri="{FF2B5EF4-FFF2-40B4-BE49-F238E27FC236}">
                  <a16:creationId xmlns:a16="http://schemas.microsoft.com/office/drawing/2014/main" id="{3E276B89-AFAB-43A1-962E-8C2F487C7220}"/>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46760" y="2560321"/>
              <a:ext cx="1828800" cy="1051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137160</xdr:colOff>
      <xdr:row>7</xdr:row>
      <xdr:rowOff>175261</xdr:rowOff>
    </xdr:from>
    <xdr:to>
      <xdr:col>4</xdr:col>
      <xdr:colOff>144360</xdr:colOff>
      <xdr:row>13</xdr:row>
      <xdr:rowOff>68580</xdr:rowOff>
    </xdr:to>
    <mc:AlternateContent xmlns:mc="http://schemas.openxmlformats.org/markup-compatibility/2006" xmlns:a14="http://schemas.microsoft.com/office/drawing/2010/main">
      <mc:Choice Requires="a14">
        <xdr:graphicFrame macro="">
          <xdr:nvGraphicFramePr>
            <xdr:cNvPr id="15" name="Employment Status 2">
              <a:extLst>
                <a:ext uri="{FF2B5EF4-FFF2-40B4-BE49-F238E27FC236}">
                  <a16:creationId xmlns:a16="http://schemas.microsoft.com/office/drawing/2014/main" id="{0B07D5C1-9880-4FCF-B1DB-C2AF79F6D3FE}"/>
                </a:ext>
              </a:extLst>
            </xdr:cNvPr>
            <xdr:cNvGraphicFramePr/>
          </xdr:nvGraphicFramePr>
          <xdr:xfrm>
            <a:off x="0" y="0"/>
            <a:ext cx="0" cy="0"/>
          </xdr:xfrm>
          <a:graphic>
            <a:graphicData uri="http://schemas.microsoft.com/office/drawing/2010/slicer">
              <sle:slicer xmlns:sle="http://schemas.microsoft.com/office/drawing/2010/slicer" name="Employment Status 2"/>
            </a:graphicData>
          </a:graphic>
        </xdr:graphicFrame>
      </mc:Choice>
      <mc:Fallback xmlns="">
        <xdr:sp macro="" textlink="">
          <xdr:nvSpPr>
            <xdr:cNvPr id="0" name=""/>
            <xdr:cNvSpPr>
              <a:spLocks noTextEdit="1"/>
            </xdr:cNvSpPr>
          </xdr:nvSpPr>
          <xdr:spPr>
            <a:xfrm>
              <a:off x="746760" y="1455421"/>
              <a:ext cx="18360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182880</xdr:colOff>
      <xdr:row>3</xdr:row>
      <xdr:rowOff>91441</xdr:rowOff>
    </xdr:from>
    <xdr:to>
      <xdr:col>18</xdr:col>
      <xdr:colOff>502920</xdr:colOff>
      <xdr:row>7</xdr:row>
      <xdr:rowOff>22860</xdr:rowOff>
    </xdr:to>
    <mc:AlternateContent xmlns:mc="http://schemas.openxmlformats.org/markup-compatibility/2006" xmlns:a14="http://schemas.microsoft.com/office/drawing/2010/main">
      <mc:Choice Requires="a14">
        <xdr:graphicFrame macro="">
          <xdr:nvGraphicFramePr>
            <xdr:cNvPr id="16" name="Department 2">
              <a:extLst>
                <a:ext uri="{FF2B5EF4-FFF2-40B4-BE49-F238E27FC236}">
                  <a16:creationId xmlns:a16="http://schemas.microsoft.com/office/drawing/2014/main" id="{9E6567C3-267A-4C8C-AADC-061064D53824}"/>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5059680" y="640081"/>
              <a:ext cx="641604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167640</xdr:colOff>
      <xdr:row>20</xdr:row>
      <xdr:rowOff>144780</xdr:rowOff>
    </xdr:from>
    <xdr:to>
      <xdr:col>18</xdr:col>
      <xdr:colOff>502920</xdr:colOff>
      <xdr:row>33</xdr:row>
      <xdr:rowOff>76200</xdr:rowOff>
    </xdr:to>
    <xdr:graphicFrame macro="">
      <xdr:nvGraphicFramePr>
        <xdr:cNvPr id="17" name="Chart 16">
          <a:extLst>
            <a:ext uri="{FF2B5EF4-FFF2-40B4-BE49-F238E27FC236}">
              <a16:creationId xmlns:a16="http://schemas.microsoft.com/office/drawing/2014/main" id="{F451AF18-8995-4D1B-8D64-2B476706B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114300</xdr:colOff>
      <xdr:row>3</xdr:row>
      <xdr:rowOff>114300</xdr:rowOff>
    </xdr:from>
    <xdr:to>
      <xdr:col>8</xdr:col>
      <xdr:colOff>114300</xdr:colOff>
      <xdr:row>6</xdr:row>
      <xdr:rowOff>69660</xdr:rowOff>
    </xdr:to>
    <xdr:sp macro="" textlink="">
      <xdr:nvSpPr>
        <xdr:cNvPr id="18" name="Rectangle: Diagonal Corners Rounded 17">
          <a:extLst>
            <a:ext uri="{FF2B5EF4-FFF2-40B4-BE49-F238E27FC236}">
              <a16:creationId xmlns:a16="http://schemas.microsoft.com/office/drawing/2014/main" id="{01F9257A-77B0-779D-CA89-887401D2BF5D}"/>
            </a:ext>
          </a:extLst>
        </xdr:cNvPr>
        <xdr:cNvSpPr/>
      </xdr:nvSpPr>
      <xdr:spPr>
        <a:xfrm>
          <a:off x="723900" y="662940"/>
          <a:ext cx="4267200" cy="504000"/>
        </a:xfrm>
        <a:prstGeom prst="round2Diag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latin typeface="Microsoft Sans Serif" panose="020B0604020202020204" pitchFamily="34" charset="0"/>
              <a:ea typeface="Microsoft Sans Serif" panose="020B0604020202020204" pitchFamily="34" charset="0"/>
              <a:cs typeface="Microsoft Sans Serif" panose="020B0604020202020204" pitchFamily="34" charset="0"/>
            </a:rPr>
            <a:t>EMPLOYEE</a:t>
          </a:r>
          <a:r>
            <a:rPr lang="en-IN" sz="2400" b="1" baseline="0">
              <a:latin typeface="Microsoft Sans Serif" panose="020B0604020202020204" pitchFamily="34" charset="0"/>
              <a:ea typeface="Microsoft Sans Serif" panose="020B0604020202020204" pitchFamily="34" charset="0"/>
              <a:cs typeface="Microsoft Sans Serif" panose="020B0604020202020204" pitchFamily="34" charset="0"/>
            </a:rPr>
            <a:t> DASHBOARD</a:t>
          </a:r>
          <a:endParaRPr lang="en-IN" sz="2400" b="1">
            <a:latin typeface="Microsoft Sans Serif" panose="020B0604020202020204" pitchFamily="34" charset="0"/>
            <a:ea typeface="Microsoft Sans Serif" panose="020B0604020202020204" pitchFamily="34" charset="0"/>
            <a:cs typeface="Microsoft Sans Serif"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ulnath" refreshedDate="45758.020474652774" createdVersion="8" refreshedVersion="8" minRefreshableVersion="3" recordCount="8951" xr:uid="{D93F9901-6A24-4D55-9C2C-85F9568EA5CA}">
  <cacheSource type="worksheet">
    <worksheetSource ref="A1:R1048576" sheet="Human_Resources_2015_2024"/>
  </cacheSource>
  <cacheFields count="18">
    <cacheField name="Employee_ID" numFmtId="0">
      <sharedItems containsBlank="1" count="967">
        <s v="00-95822412"/>
        <s v="00-42868828"/>
        <s v="00-83197857"/>
        <s v="00-13999315"/>
        <s v="00-97226012"/>
        <s v="00-70291817"/>
        <s v="00-31429110"/>
        <s v="00-30868105"/>
        <s v="00-22448136"/>
        <s v="00-56164955"/>
        <s v="00-71662963"/>
        <s v="00-84093639"/>
        <s v="00-58537831"/>
        <s v="00-16150444"/>
        <s v="00-41244663"/>
        <s v="00-70855700"/>
        <s v="00-59684848"/>
        <s v="00-96977837"/>
        <s v="00-81691040"/>
        <s v="00-60929647"/>
        <s v="00-84752529"/>
        <s v="00-17507864"/>
        <s v="00-52339391"/>
        <s v="00-86125617"/>
        <s v="00-97971488"/>
        <s v="00-85345555"/>
        <s v="00-67503414"/>
        <s v="00-39436733"/>
        <s v="00-76238574"/>
        <s v="00-24716857"/>
        <s v="00-66661351"/>
        <s v="00-89978790"/>
        <s v="00-84252722"/>
        <s v="00-25374874"/>
        <s v="00-45812670"/>
        <s v="00-49392920"/>
        <s v="00-45351479"/>
        <s v="00-24282218"/>
        <s v="00-95758349"/>
        <s v="00-60185867"/>
        <s v="00-81182864"/>
        <s v="00-75579548"/>
        <s v="00-51273847"/>
        <s v="00-19289546"/>
        <s v="00-26879290"/>
        <s v="00-32162965"/>
        <s v="00-38427073"/>
        <s v="00-36998038"/>
        <s v="00-97225156"/>
        <s v="00-26240908"/>
        <s v="00-12823170"/>
        <s v="00-39557077"/>
        <s v="00-17901903"/>
        <s v="00-99788677"/>
        <s v="00-86644106"/>
        <s v="00-73481353"/>
        <s v="00-23009833"/>
        <s v="00-65177213"/>
        <s v="00-97705310"/>
        <s v="00-64038913"/>
        <s v="00-35714784"/>
        <s v="00-66623995"/>
        <s v="00-20117988"/>
        <s v="00-16789850"/>
        <s v="00-11980765"/>
        <s v="00-64547971"/>
        <s v="00-63826716"/>
        <s v="00-10289289"/>
        <s v="00-71070189"/>
        <s v="00-84593961"/>
        <s v="00-35487660"/>
        <s v="00-82772208"/>
        <s v="00-16729990"/>
        <s v="00-81286543"/>
        <s v="00-41568532"/>
        <s v="00-87701200"/>
        <s v="00-66267415"/>
        <s v="00-52462441"/>
        <s v="00-52169044"/>
        <s v="00-96637649"/>
        <s v="00-23419256"/>
        <s v="00-45594597"/>
        <s v="00-42787299"/>
        <s v="00-82909480"/>
        <s v="00-97775215"/>
        <s v="00-84437458"/>
        <s v="00-28024248"/>
        <s v="00-84252420"/>
        <s v="00-38270233"/>
        <s v="00-95125977"/>
        <s v="00-43704923"/>
        <s v="00-95132217"/>
        <s v="00-10475894"/>
        <s v="00-45159040"/>
        <s v="00-67403166"/>
        <s v="00-30005727"/>
        <s v="00-51373735"/>
        <s v="00-38195995"/>
        <s v="00-57469942"/>
        <s v="00-30743797"/>
        <s v="00-31810617"/>
        <s v="00-13326769"/>
        <s v="00-65259205"/>
        <s v="00-43308443"/>
        <s v="00-61343880"/>
        <s v="00-36786211"/>
        <s v="00-50962024"/>
        <s v="00-13176186"/>
        <s v="00-47393469"/>
        <s v="00-96098221"/>
        <s v="00-81969657"/>
        <s v="00-45059710"/>
        <s v="00-24549543"/>
        <s v="00-52101056"/>
        <s v="00-61700055"/>
        <s v="00-15957459"/>
        <s v="00-82269803"/>
        <s v="00-36445607"/>
        <s v="00-54318698"/>
        <s v="00-26726926"/>
        <s v="00-51511484"/>
        <s v="00-49682169"/>
        <s v="00-99245317"/>
        <s v="00-33357554"/>
        <s v="00-83542887"/>
        <s v="00-38210242"/>
        <s v="00-97873101"/>
        <s v="00-38682516"/>
        <s v="00-98429450"/>
        <s v="00-94951883"/>
        <s v="00-41523529"/>
        <s v="00-36726767"/>
        <s v="00-73771720"/>
        <s v="00-65625330"/>
        <s v="00-61536717"/>
        <s v="00-98054615"/>
        <s v="00-67062156"/>
        <s v="00-72350830"/>
        <s v="00-26288475"/>
        <s v="00-81287314"/>
        <s v="00-69401199"/>
        <s v="00-67276174"/>
        <s v="00-31361812"/>
        <s v="00-44788100"/>
        <s v="00-79967676"/>
        <s v="00-46468984"/>
        <s v="00-28572252"/>
        <s v="00-30509175"/>
        <s v="00-64707061"/>
        <s v="00-88393811"/>
        <s v="00-87267850"/>
        <s v="00-50079111"/>
        <s v="00-83300637"/>
        <s v="00-62191530"/>
        <s v="00-64266464"/>
        <s v="00-93517915"/>
        <s v="00-85751409"/>
        <s v="00-67527432"/>
        <s v="00-16749089"/>
        <s v="00-71028710"/>
        <s v="00-66581473"/>
        <s v="00-12601580"/>
        <s v="00-40094589"/>
        <s v="00-14164775"/>
        <s v="00-12735359"/>
        <s v="00-73560289"/>
        <s v="00-72415804"/>
        <s v="00-91321540"/>
        <s v="00-25372341"/>
        <s v="00-24508768"/>
        <s v="00-60372847"/>
        <s v="00-20200074"/>
        <s v="00-23676961"/>
        <s v="00-90585882"/>
        <s v="00-15512205"/>
        <s v="00-59737181"/>
        <s v="00-11698142"/>
        <s v="00-68186525"/>
        <s v="00-71705170"/>
        <s v="00-80027662"/>
        <s v="00-82232344"/>
        <s v="00-89520597"/>
        <s v="00-21631697"/>
        <s v="00-72372114"/>
        <s v="00-55150390"/>
        <s v="00-75437844"/>
        <s v="00-47535126"/>
        <s v="00-84597009"/>
        <s v="00-42394260"/>
        <s v="00-42255732"/>
        <s v="00-75876924"/>
        <s v="00-49491631"/>
        <s v="00-51098277"/>
        <s v="00-84285882"/>
        <s v="00-83871890"/>
        <s v="00-46361787"/>
        <s v="00-35848226"/>
        <s v="00-34850391"/>
        <s v="00-47111151"/>
        <s v="00-47983442"/>
        <s v="00-40532273"/>
        <s v="00-84270583"/>
        <s v="00-75884623"/>
        <s v="00-48163378"/>
        <s v="00-34744872"/>
        <s v="00-74119726"/>
        <s v="00-76001106"/>
        <s v="00-17195288"/>
        <s v="00-21432787"/>
        <s v="00-65857931"/>
        <s v="00-80138498"/>
        <s v="00-88990506"/>
        <s v="00-93352876"/>
        <s v="00-37888820"/>
        <s v="00-20896797"/>
        <s v="00-89699989"/>
        <s v="00-48668783"/>
        <s v="00-70939053"/>
        <s v="00-93893865"/>
        <s v="00-25405014"/>
        <s v="00-45652586"/>
        <s v="00-32269779"/>
        <s v="00-86397676"/>
        <s v="00-72907576"/>
        <s v="00-46540265"/>
        <s v="00-20796722"/>
        <s v="00-53261270"/>
        <s v="00-40725714"/>
        <s v="00-12784407"/>
        <s v="00-46173157"/>
        <s v="00-79654147"/>
        <s v="00-88561612"/>
        <s v="00-73083727"/>
        <s v="00-99943797"/>
        <s v="00-65250068"/>
        <s v="00-63747791"/>
        <s v="00-71045700"/>
        <s v="00-25558733"/>
        <s v="00-79067939"/>
        <s v="00-82825679"/>
        <s v="00-79583757"/>
        <s v="00-69329732"/>
        <s v="00-83715012"/>
        <s v="00-75056916"/>
        <s v="00-42117961"/>
        <s v="00-11835355"/>
        <s v="00-25228493"/>
        <s v="00-30665654"/>
        <s v="00-78299645"/>
        <s v="00-74759996"/>
        <s v="00-83989546"/>
        <s v="00-78214937"/>
        <s v="00-19369750"/>
        <s v="00-78147397"/>
        <s v="00-50071487"/>
        <s v="00-75718414"/>
        <s v="00-75007200"/>
        <s v="00-82937948"/>
        <s v="00-35320492"/>
        <s v="00-61401477"/>
        <s v="00-52704903"/>
        <s v="00-61167978"/>
        <s v="00-97512508"/>
        <s v="00-26944487"/>
        <s v="00-23470708"/>
        <s v="00-80591959"/>
        <s v="00-29348212"/>
        <s v="00-20043277"/>
        <s v="00-93652460"/>
        <s v="00-54099326"/>
        <s v="00-52501540"/>
        <s v="00-82613940"/>
        <s v="00-94712997"/>
        <s v="00-22130508"/>
        <s v="00-95060193"/>
        <s v="00-32329103"/>
        <s v="00-53536830"/>
        <s v="00-60310319"/>
        <s v="00-65304649"/>
        <s v="00-33497411"/>
        <s v="00-42323627"/>
        <s v="00-41163805"/>
        <s v="00-44269370"/>
        <s v="00-83363160"/>
        <s v="00-88862539"/>
        <s v="00-43567615"/>
        <s v="00-61632653"/>
        <s v="00-61185849"/>
        <s v="00-49625201"/>
        <s v="00-46840133"/>
        <s v="00-16582607"/>
        <s v="00-48412328"/>
        <s v="00-43638559"/>
        <s v="00-98473848"/>
        <s v="00-23041121"/>
        <s v="00-51464269"/>
        <s v="00-58970845"/>
        <s v="00-53851498"/>
        <s v="00-27738187"/>
        <s v="00-77349752"/>
        <s v="00-74672520"/>
        <s v="00-55461591"/>
        <s v="00-28892086"/>
        <s v="00-63339667"/>
        <s v="00-22120246"/>
        <s v="00-82017516"/>
        <s v="00-45186708"/>
        <s v="00-24541967"/>
        <s v="00-93154172"/>
        <s v="00-72312933"/>
        <s v="00-64800542"/>
        <s v="00-50851122"/>
        <s v="00-41514326"/>
        <s v="00-70887034"/>
        <s v="00-82503409"/>
        <s v="00-30739712"/>
        <s v="00-75679047"/>
        <s v="00-59731689"/>
        <s v="00-58678896"/>
        <s v="00-83076970"/>
        <s v="00-18126895"/>
        <s v="00-71031132"/>
        <s v="00-95831286"/>
        <s v="00-54762841"/>
        <s v="00-88703005"/>
        <s v="00-29804386"/>
        <s v="00-47215199"/>
        <s v="00-82506491"/>
        <s v="00-98725654"/>
        <s v="00-58082464"/>
        <s v="00-53455870"/>
        <s v="00-27013243"/>
        <s v="00-18530615"/>
        <s v="00-89680504"/>
        <s v="00-92558242"/>
        <s v="00-50484137"/>
        <s v="00-74287863"/>
        <s v="00-24490391"/>
        <s v="00-20843514"/>
        <s v="00-83599154"/>
        <s v="00-81210133"/>
        <s v="00-67740376"/>
        <s v="00-97874085"/>
        <s v="00-38859907"/>
        <s v="00-55490631"/>
        <s v="00-22762205"/>
        <s v="00-44210729"/>
        <s v="00-73655158"/>
        <s v="00-67965485"/>
        <s v="00-27463800"/>
        <s v="00-85387867"/>
        <s v="00-57459130"/>
        <s v="00-16904975"/>
        <s v="00-57197152"/>
        <s v="00-30767532"/>
        <s v="00-24524825"/>
        <s v="00-25419645"/>
        <s v="00-67594492"/>
        <s v="00-96261621"/>
        <s v="00-45896226"/>
        <s v="00-51471222"/>
        <s v="00-34347841"/>
        <s v="00-63792364"/>
        <s v="00-14114726"/>
        <s v="00-60491958"/>
        <s v="00-59667685"/>
        <s v="00-86181117"/>
        <s v="00-31127198"/>
        <s v="00-20949687"/>
        <s v="00-75184410"/>
        <s v="00-38933176"/>
        <s v="00-89609131"/>
        <s v="00-16095815"/>
        <s v="00-28419343"/>
        <s v="00-26104026"/>
        <s v="00-40884937"/>
        <s v="00-68548403"/>
        <s v="00-52018286"/>
        <s v="00-95918360"/>
        <s v="00-12799319"/>
        <s v="00-92963368"/>
        <s v="00-21828592"/>
        <s v="00-68475513"/>
        <s v="00-63118906"/>
        <s v="00-39738898"/>
        <s v="00-78515906"/>
        <s v="00-36025314"/>
        <s v="00-96629889"/>
        <s v="00-29655410"/>
        <s v="00-30517835"/>
        <s v="00-33776150"/>
        <s v="00-72270726"/>
        <s v="00-85764804"/>
        <s v="00-94183695"/>
        <s v="00-72937522"/>
        <s v="00-46866075"/>
        <s v="00-19957701"/>
        <s v="00-17635653"/>
        <s v="00-96525668"/>
        <s v="00-89736043"/>
        <s v="00-84399083"/>
        <s v="00-70362235"/>
        <s v="00-35265073"/>
        <s v="00-30248230"/>
        <s v="00-56095437"/>
        <s v="00-96721710"/>
        <s v="00-68754920"/>
        <s v="00-91846696"/>
        <s v="00-61998170"/>
        <s v="00-90246882"/>
        <s v="00-54915875"/>
        <s v="00-61883769"/>
        <s v="00-98122539"/>
        <s v="00-30182766"/>
        <s v="00-28982195"/>
        <s v="00-98870276"/>
        <s v="00-21370793"/>
        <s v="00-54087376"/>
        <s v="00-80651318"/>
        <s v="00-78248169"/>
        <s v="00-34194479"/>
        <s v="00-75266178"/>
        <s v="00-20356922"/>
        <s v="00-82446804"/>
        <s v="00-98842638"/>
        <s v="00-90161060"/>
        <s v="00-93851247"/>
        <s v="00-68743530"/>
        <s v="00-41880763"/>
        <s v="00-70254091"/>
        <s v="00-72950208"/>
        <s v="00-86560394"/>
        <s v="00-47818761"/>
        <s v="00-66191704"/>
        <s v="00-96057593"/>
        <s v="00-23769360"/>
        <s v="00-26733967"/>
        <s v="00-70306604"/>
        <s v="00-68716573"/>
        <s v="00-70549373"/>
        <s v="00-17148018"/>
        <s v="00-61830338"/>
        <s v="00-13783268"/>
        <s v="00-97236246"/>
        <s v="00-15140967"/>
        <s v="00-28628439"/>
        <s v="00-92590645"/>
        <s v="00-44349528"/>
        <s v="00-91722503"/>
        <s v="00-48668339"/>
        <s v="00-42002808"/>
        <s v="00-42472386"/>
        <s v="00-10209961"/>
        <s v="00-65910756"/>
        <s v="00-80260907"/>
        <s v="00-83025444"/>
        <s v="00-12729224"/>
        <s v="00-95318289"/>
        <s v="00-12179995"/>
        <s v="00-42363373"/>
        <s v="00-88101741"/>
        <s v="00-15950635"/>
        <s v="00-96274567"/>
        <s v="00-74227366"/>
        <s v="00-71428713"/>
        <s v="00-36772387"/>
        <s v="00-79173614"/>
        <s v="00-43999198"/>
        <s v="00-48401154"/>
        <s v="00-98010774"/>
        <s v="00-59394697"/>
        <s v="00-69020451"/>
        <s v="00-35074182"/>
        <s v="00-79696025"/>
        <s v="00-66975380"/>
        <s v="00-34220459"/>
        <s v="00-20746667"/>
        <s v="00-69849800"/>
        <s v="00-69580374"/>
        <s v="00-57319709"/>
        <s v="00-95828117"/>
        <s v="00-95565484"/>
        <s v="00-31473054"/>
        <s v="00-91547054"/>
        <s v="00-26942307"/>
        <s v="00-58607028"/>
        <s v="00-91214453"/>
        <s v="00-59930790"/>
        <s v="00-28481124"/>
        <s v="00-97182566"/>
        <s v="00-34970946"/>
        <s v="00-25805613"/>
        <s v="00-69897763"/>
        <s v="00-75927774"/>
        <s v="00-19939096"/>
        <s v="00-21783073"/>
        <s v="00-56630633"/>
        <s v="00-48971765"/>
        <s v="00-95590648"/>
        <s v="00-40097200"/>
        <s v="00-28639738"/>
        <s v="00-58438711"/>
        <s v="00-84040798"/>
        <s v="00-51512297"/>
        <s v="00-74245343"/>
        <s v="00-87161840"/>
        <s v="00-19954260"/>
        <s v="00-77493234"/>
        <s v="00-26664623"/>
        <s v="00-31738837"/>
        <s v="00-56442431"/>
        <s v="00-20584397"/>
        <s v="00-46836194"/>
        <s v="00-81602209"/>
        <s v="00-89431184"/>
        <s v="00-98413629"/>
        <s v="00-85647532"/>
        <s v="00-16101779"/>
        <s v="00-97393186"/>
        <s v="00-92961108"/>
        <s v="00-83226170"/>
        <s v="00-42866956"/>
        <s v="00-49920898"/>
        <s v="00-31217198"/>
        <s v="00-37383505"/>
        <s v="00-52857920"/>
        <s v="00-27551135"/>
        <s v="00-24251766"/>
        <s v="00-45899440"/>
        <s v="00-16792127"/>
        <s v="00-92594562"/>
        <s v="00-53947691"/>
        <s v="00-35479101"/>
        <s v="00-72654864"/>
        <s v="00-13110670"/>
        <s v="00-71368457"/>
        <s v="00-57364777"/>
        <s v="00-90197611"/>
        <s v="00-24428014"/>
        <s v="00-59093843"/>
        <s v="00-63765155"/>
        <s v="00-58657117"/>
        <s v="00-77680031"/>
        <s v="00-93650068"/>
        <s v="00-22976369"/>
        <s v="00-59070856"/>
        <s v="00-78333267"/>
        <s v="00-15222944"/>
        <s v="00-73584863"/>
        <s v="00-79190008"/>
        <s v="00-31810655"/>
        <s v="00-50162553"/>
        <s v="00-78412668"/>
        <s v="00-50237208"/>
        <s v="00-54458225"/>
        <s v="00-51295819"/>
        <s v="00-94457912"/>
        <s v="00-97991930"/>
        <s v="00-40540334"/>
        <s v="00-32885741"/>
        <s v="00-61028283"/>
        <s v="00-14237322"/>
        <s v="00-35606639"/>
        <s v="00-30324759"/>
        <s v="00-77353073"/>
        <s v="00-18359252"/>
        <s v="00-85280948"/>
        <s v="00-80528349"/>
        <s v="00-81555103"/>
        <s v="00-96343485"/>
        <s v="00-74985553"/>
        <s v="00-48789478"/>
        <s v="00-75632882"/>
        <s v="00-82905845"/>
        <s v="00-56323191"/>
        <s v="00-15646068"/>
        <s v="00-56488123"/>
        <s v="00-74300930"/>
        <s v="00-85432781"/>
        <s v="00-92634772"/>
        <s v="00-16813620"/>
        <s v="00-95623471"/>
        <s v="00-54331259"/>
        <s v="00-28450513"/>
        <s v="00-64614193"/>
        <s v="00-97313825"/>
        <s v="00-48307798"/>
        <s v="00-87058874"/>
        <s v="00-15006085"/>
        <s v="00-33593960"/>
        <s v="00-63283709"/>
        <s v="00-48851599"/>
        <s v="00-86230551"/>
        <s v="00-70981700"/>
        <s v="00-76291802"/>
        <s v="00-77674279"/>
        <s v="00-25119192"/>
        <s v="00-97011385"/>
        <s v="00-55246430"/>
        <s v="00-35925669"/>
        <s v="00-67405358"/>
        <s v="00-99826000"/>
        <s v="00-53433080"/>
        <s v="00-61482483"/>
        <s v="00-50526484"/>
        <s v="00-45105069"/>
        <s v="00-18338186"/>
        <s v="00-31436829"/>
        <s v="00-51738753"/>
        <s v="00-59330907"/>
        <s v="00-74180488"/>
        <s v="00-60147077"/>
        <s v="00-82144402"/>
        <s v="00-43214247"/>
        <s v="00-20988446"/>
        <s v="00-58557943"/>
        <s v="00-18289024"/>
        <s v="00-86866717"/>
        <s v="00-79839059"/>
        <s v="00-88268756"/>
        <s v="00-17467311"/>
        <s v="00-71310453"/>
        <s v="00-51361818"/>
        <s v="00-10404729"/>
        <s v="00-16078694"/>
        <s v="00-82633735"/>
        <s v="00-14259382"/>
        <s v="00-28176954"/>
        <s v="00-66420024"/>
        <s v="00-60666702"/>
        <s v="00-82383656"/>
        <s v="00-33954324"/>
        <s v="00-27092236"/>
        <s v="00-10466177"/>
        <s v="00-83074216"/>
        <s v="00-40824989"/>
        <s v="00-46997080"/>
        <s v="00-92533595"/>
        <s v="00-69920305"/>
        <s v="00-16533225"/>
        <s v="00-68916591"/>
        <s v="00-17575790"/>
        <s v="00-87324220"/>
        <s v="00-53038943"/>
        <s v="00-79961132"/>
        <s v="00-18181595"/>
        <s v="00-33505978"/>
        <s v="00-76521096"/>
        <s v="00-61157708"/>
        <s v="00-65878146"/>
        <s v="00-34679818"/>
        <s v="00-40245233"/>
        <s v="00-72146184"/>
        <s v="00-65902739"/>
        <s v="00-42595918"/>
        <s v="00-20612653"/>
        <s v="00-81891784"/>
        <s v="00-46032304"/>
        <s v="00-15307982"/>
        <s v="00-88864147"/>
        <s v="00-74343201"/>
        <s v="00-12058055"/>
        <s v="00-25745913"/>
        <s v="00-91121400"/>
        <s v="00-84098828"/>
        <s v="00-72579077"/>
        <s v="00-45106207"/>
        <s v="00-23234972"/>
        <s v="00-52980983"/>
        <s v="00-65556767"/>
        <s v="00-29585415"/>
        <s v="00-87731247"/>
        <s v="00-36332415"/>
        <s v="00-42981324"/>
        <s v="00-55307111"/>
        <s v="00-96126771"/>
        <s v="00-57268285"/>
        <s v="00-75540707"/>
        <s v="00-17882882"/>
        <s v="00-99686372"/>
        <s v="00-28453800"/>
        <s v="00-30270856"/>
        <s v="00-60090149"/>
        <s v="00-92747827"/>
        <s v="00-12111482"/>
        <s v="00-11590610"/>
        <s v="00-81905550"/>
        <s v="00-67790557"/>
        <s v="00-22927031"/>
        <s v="00-93185576"/>
        <s v="00-63270536"/>
        <s v="00-85833309"/>
        <s v="00-50261914"/>
        <s v="00-97227356"/>
        <s v="00-60903955"/>
        <s v="00-95462880"/>
        <s v="00-77089857"/>
        <s v="00-54462389"/>
        <s v="00-15711200"/>
        <s v="00-73820568"/>
        <s v="00-47631028"/>
        <s v="00-14416002"/>
        <s v="00-37804291"/>
        <s v="00-63458386"/>
        <s v="00-85693188"/>
        <s v="00-82553061"/>
        <s v="00-20526386"/>
        <s v="00-23111164"/>
        <s v="00-91224373"/>
        <s v="00-53805532"/>
        <s v="00-70471823"/>
        <s v="00-60388958"/>
        <s v="00-98673882"/>
        <s v="00-43077929"/>
        <s v="00-30699187"/>
        <s v="00-62294176"/>
        <s v="00-10697290"/>
        <s v="00-46207439"/>
        <s v="00-67845091"/>
        <s v="00-64766762"/>
        <s v="00-84386123"/>
        <s v="00-53544301"/>
        <s v="00-65540647"/>
        <s v="00-85099723"/>
        <s v="00-79941466"/>
        <s v="00-28634797"/>
        <s v="00-29587040"/>
        <s v="00-66519399"/>
        <s v="00-43782566"/>
        <s v="00-76545476"/>
        <s v="00-24357588"/>
        <s v="00-54589439"/>
        <s v="00-54230340"/>
        <s v="00-97380687"/>
        <s v="00-53038948"/>
        <s v="00-74291599"/>
        <s v="00-49117508"/>
        <s v="00-87293208"/>
        <s v="00-47621248"/>
        <s v="00-25285764"/>
        <s v="00-83233096"/>
        <s v="00-71957885"/>
        <s v="00-49101812"/>
        <s v="00-64914054"/>
        <s v="00-50645509"/>
        <s v="00-66791272"/>
        <s v="00-90253323"/>
        <s v="00-77996397"/>
        <s v="00-82966824"/>
        <s v="00-82062301"/>
        <s v="00-43316996"/>
        <s v="00-96838849"/>
        <s v="00-96804457"/>
        <s v="00-39796480"/>
        <s v="00-87915846"/>
        <s v="00-60213478"/>
        <s v="00-77171380"/>
        <s v="00-29015320"/>
        <s v="00-37765262"/>
        <s v="00-23102741"/>
        <s v="00-52803305"/>
        <s v="00-25446483"/>
        <s v="00-24678410"/>
        <s v="00-42737441"/>
        <s v="00-54424679"/>
        <s v="00-64364546"/>
        <s v="00-98222374"/>
        <s v="00-92424037"/>
        <s v="00-67653606"/>
        <s v="00-37619925"/>
        <s v="00-18397164"/>
        <s v="00-59095909"/>
        <s v="00-45212476"/>
        <s v="00-95779702"/>
        <s v="00-62686364"/>
        <s v="00-71453007"/>
        <s v="00-49922369"/>
        <s v="00-27978165"/>
        <s v="00-25696616"/>
        <s v="00-78561753"/>
        <s v="00-87149161"/>
        <s v="00-95295586"/>
        <s v="00-84479105"/>
        <s v="00-35111946"/>
        <s v="00-17195581"/>
        <s v="00-28325379"/>
        <s v="00-77838742"/>
        <s v="00-75998330"/>
        <s v="00-32448383"/>
        <s v="00-39598969"/>
        <s v="00-82156607"/>
        <s v="00-76479831"/>
        <s v="00-25328557"/>
        <s v="00-59239353"/>
        <s v="00-69239219"/>
        <s v="00-97734330"/>
        <s v="00-14325890"/>
        <s v="00-21674661"/>
        <s v="00-41802361"/>
        <s v="00-57060874"/>
        <s v="00-67467610"/>
        <s v="00-37732020"/>
        <s v="00-57085656"/>
        <s v="00-32599227"/>
        <s v="00-48833650"/>
        <s v="00-22780905"/>
        <s v="00-47221734"/>
        <s v="00-43226234"/>
        <s v="00-75694038"/>
        <s v="00-94263610"/>
        <s v="00-95044078"/>
        <s v="00-79204468"/>
        <s v="00-71028216"/>
        <s v="00-10331931"/>
        <s v="00-71532017"/>
        <s v="00-18500100"/>
        <s v="00-67665720"/>
        <s v="00-53334226"/>
        <s v="00-87568940"/>
        <s v="00-56135950"/>
        <s v="00-23364695"/>
        <s v="00-26674831"/>
        <s v="00-71272827"/>
        <s v="00-27705074"/>
        <s v="00-46778269"/>
        <s v="00-21062296"/>
        <s v="00-16950770"/>
        <s v="00-41426254"/>
        <s v="00-22775337"/>
        <s v="00-27810664"/>
        <s v="00-69735865"/>
        <s v="00-26185823"/>
        <s v="00-27740248"/>
        <s v="00-21989814"/>
        <s v="00-52057323"/>
        <s v="00-61367949"/>
        <s v="00-29173414"/>
        <s v="00-91915661"/>
        <s v="00-38595818"/>
        <s v="00-92688322"/>
        <s v="00-23484199"/>
        <s v="00-61543890"/>
        <s v="00-43308414"/>
        <s v="00-91549765"/>
        <s v="00-98369672"/>
        <s v="00-91460345"/>
        <s v="00-49666982"/>
        <s v="00-61792685"/>
        <s v="00-89715904"/>
        <s v="00-52476240"/>
        <s v="00-59044830"/>
        <s v="00-73218512"/>
        <s v="00-88834594"/>
        <s v="00-15345470"/>
        <s v="00-48451741"/>
        <s v="00-65758338"/>
        <s v="00-95971459"/>
        <s v="00-47241089"/>
        <s v="00-37272705"/>
        <s v="00-53855682"/>
        <s v="00-97219985"/>
        <s v="00-68718382"/>
        <s v="00-42813517"/>
        <s v="00-70850538"/>
        <s v="00-99399687"/>
        <s v="00-26031369"/>
        <s v="00-11523452"/>
        <s v="00-79420474"/>
        <s v="00-32409388"/>
        <s v="00-46072958"/>
        <s v="00-13940129"/>
        <s v="00-80310522"/>
        <s v="00-94226031"/>
        <s v="00-58335011"/>
        <s v="00-59350218"/>
        <s v="00-25479814"/>
        <s v="00-15910667"/>
        <s v="00-16171536"/>
        <s v="00-34019729"/>
        <s v="00-98007006"/>
        <s v="00-65869014"/>
        <s v="00-20453825"/>
        <s v="00-17069536"/>
        <s v="00-63811222"/>
        <s v="00-47890586"/>
        <s v="00-21594468"/>
        <s v="00-36933626"/>
        <s v="00-93579731"/>
        <s v="00-76217748"/>
        <s v="00-83357939"/>
        <s v="00-10856024"/>
        <s v="00-82684966"/>
        <s v="00-54965270"/>
        <s v="00-51273379"/>
        <s v="00-66346728"/>
        <s v="00-47557512"/>
        <s v="00-79760901"/>
        <s v="00-21395409"/>
        <s v="00-95525640"/>
        <s v="00-86211608"/>
        <s v="00-41778964"/>
        <s v="00-62741214"/>
        <s v="00-52688984"/>
        <s v="00-37207628"/>
        <s v="00-30858851"/>
        <s v="00-52148834"/>
        <s v="00-37868462"/>
        <s v="00-26094525"/>
        <s v="00-90973889"/>
        <s v="00-22242388"/>
        <s v="00-78915391"/>
        <s v="00-33336132"/>
        <s v="00-70693413"/>
        <s v="00-22713811"/>
        <s v="00-11604831"/>
        <s v="00-36592965"/>
        <s v="00-94597104"/>
        <s v="00-88667527"/>
        <s v="00-18653290"/>
        <s v="00-27286109"/>
        <s v="00-15730602"/>
        <s v="00-87025433"/>
        <s v="00-76588957"/>
        <s v="00-33193791"/>
        <s v="00-47561442"/>
        <s v="00-92423989"/>
        <s v="00-49608344"/>
        <s v="00-18184472"/>
        <s v="00-66268745"/>
        <s v="00-94658420"/>
        <s v="00-12621269"/>
        <s v="00-74382155"/>
        <s v="00-85920407"/>
        <s v="00-34134478"/>
        <s v="00-13933043"/>
        <s v="00-73308406"/>
        <s v="00-31424479"/>
        <s v="00-45772648"/>
        <s v="00-39448924"/>
        <s v="00-33315234"/>
        <s v="00-58155056"/>
        <s v="00-57201978"/>
        <s v="00-85579195"/>
        <s v="00-51480401"/>
        <s v="00-17538738"/>
        <s v="00-80658723"/>
        <s v="00-37040091"/>
        <s v="00-33818260"/>
        <s v="00-12941099"/>
        <s v="00-24887509"/>
        <s v="00-60142505"/>
        <s v="00-88653825"/>
        <s v="00-28314232"/>
        <s v="00-95800828"/>
        <s v="00-33381086"/>
        <s v="00-92370625"/>
        <s v="00-89047551"/>
        <s v="00-49529438"/>
        <s v="00-86884584"/>
        <s v="00-34438599"/>
        <s v="00-95851936"/>
        <s v="00-54448673"/>
        <s v="00-52885071"/>
        <s v="00-99929175"/>
        <s v="00-11529494"/>
        <s v="00-19099261"/>
        <m/>
      </sharedItems>
    </cacheField>
    <cacheField name="First Name" numFmtId="0">
      <sharedItems containsBlank="1"/>
    </cacheField>
    <cacheField name="Last Name" numFmtId="0">
      <sharedItems containsBlank="1"/>
    </cacheField>
    <cacheField name="Gender" numFmtId="0">
      <sharedItems containsBlank="1"/>
    </cacheField>
    <cacheField name="State" numFmtId="0">
      <sharedItems containsBlank="1"/>
    </cacheField>
    <cacheField name="City" numFmtId="0">
      <sharedItems containsBlank="1"/>
    </cacheField>
    <cacheField name="Education Level" numFmtId="0">
      <sharedItems containsBlank="1"/>
    </cacheField>
    <cacheField name="Birthdate" numFmtId="0">
      <sharedItems containsNonDate="0" containsDate="1" containsString="0" containsBlank="1" minDate="1959-06-25T00:00:00" maxDate="2004-05-11T00:00:00"/>
    </cacheField>
    <cacheField name="Hiredate" numFmtId="0">
      <sharedItems containsNonDate="0" containsDate="1" containsString="0" containsBlank="1" minDate="2015-01-04T00:00:00" maxDate="2024-07-01T00:00:00"/>
    </cacheField>
    <cacheField name="Termdate" numFmtId="0">
      <sharedItems containsNonDate="0" containsDate="1" containsString="0" containsBlank="1" minDate="2015-10-13T00:00:00" maxDate="2024-12-28T00:00:00"/>
    </cacheField>
    <cacheField name="Department" numFmtId="0">
      <sharedItems containsBlank="1" count="8">
        <s v="Customer Service"/>
        <s v="IT"/>
        <s v="Operations"/>
        <s v="Finance"/>
        <s v="Marketing"/>
        <s v="HR"/>
        <s v="Sales"/>
        <m/>
      </sharedItems>
    </cacheField>
    <cacheField name="Job Title" numFmtId="0">
      <sharedItems containsBlank="1"/>
    </cacheField>
    <cacheField name="Salary" numFmtId="0">
      <sharedItems containsString="0" containsBlank="1" containsNumber="1" containsInteger="1" minValue="51865" maxValue="131494" count="952">
        <n v="81552"/>
        <n v="107520"/>
        <n v="61104"/>
        <n v="73770"/>
        <n v="73800"/>
        <n v="68181"/>
        <n v="54499"/>
        <n v="57340"/>
        <n v="54065"/>
        <n v="83262"/>
        <n v="61651"/>
        <n v="75509"/>
        <n v="67011"/>
        <n v="60136"/>
        <n v="67552"/>
        <n v="59934"/>
        <n v="104162"/>
        <n v="63873"/>
        <n v="66250"/>
        <n v="61729"/>
        <n v="84046"/>
        <n v="69318"/>
        <n v="99002"/>
        <n v="69163"/>
        <n v="65830"/>
        <n v="71110"/>
        <n v="84205"/>
        <n v="67953"/>
        <n v="58445"/>
        <n v="58697"/>
        <n v="77156"/>
        <n v="81038"/>
        <n v="71339"/>
        <n v="81316"/>
        <n v="96947"/>
        <n v="67437"/>
        <n v="116328"/>
        <n v="67630"/>
        <n v="53898"/>
        <n v="61534"/>
        <n v="78184"/>
        <n v="56559"/>
        <n v="68635"/>
        <n v="63169"/>
        <n v="71142"/>
        <n v="58830"/>
        <n v="66218"/>
        <n v="88887"/>
        <n v="72859"/>
        <n v="61574"/>
        <n v="103756"/>
        <n v="63227"/>
        <n v="90880"/>
        <n v="52954"/>
        <n v="64475"/>
        <n v="93238"/>
        <n v="58713"/>
        <n v="91896"/>
        <n v="71608"/>
        <n v="71404"/>
        <n v="59423"/>
        <n v="64183"/>
        <n v="76824"/>
        <n v="54093"/>
        <n v="95124"/>
        <n v="68345"/>
        <n v="61403"/>
        <n v="60320"/>
        <n v="55060"/>
        <n v="82834"/>
        <n v="76564"/>
        <n v="63056"/>
        <n v="78616"/>
        <n v="61198"/>
        <n v="58331"/>
        <n v="62398"/>
        <n v="94930"/>
        <n v="59179"/>
        <n v="74555"/>
        <n v="81253"/>
        <n v="56922"/>
        <n v="65108"/>
        <n v="61958"/>
        <n v="55038"/>
        <n v="63666"/>
        <n v="58264"/>
        <n v="65128"/>
        <n v="69316"/>
        <n v="56431"/>
        <n v="79043"/>
        <n v="59137"/>
        <n v="89897"/>
        <n v="80501"/>
        <n v="83772"/>
        <n v="55106"/>
        <n v="82441"/>
        <n v="85555"/>
        <n v="64372"/>
        <n v="63278"/>
        <n v="65358"/>
        <n v="77267"/>
        <n v="51865"/>
        <n v="92780"/>
        <n v="52588"/>
        <n v="64186"/>
        <n v="61124"/>
        <n v="65797"/>
        <n v="114050"/>
        <n v="64313"/>
        <n v="63557"/>
        <n v="59128"/>
        <n v="54770"/>
        <n v="64438"/>
        <n v="58119"/>
        <n v="82922"/>
        <n v="74811"/>
        <n v="93475"/>
        <n v="59676"/>
        <n v="77283"/>
        <n v="62224"/>
        <n v="68683"/>
        <n v="63830"/>
        <n v="75850"/>
        <n v="82965"/>
        <n v="54011"/>
        <n v="80131"/>
        <n v="55778"/>
        <n v="88444"/>
        <n v="75303"/>
        <n v="98297"/>
        <n v="65506"/>
        <n v="86731"/>
        <n v="78643"/>
        <n v="64159"/>
        <n v="66358"/>
        <n v="57185"/>
        <n v="57924"/>
        <n v="57730"/>
        <n v="56753"/>
        <n v="62015"/>
        <n v="82241"/>
        <n v="87980"/>
        <n v="68240"/>
        <n v="109148"/>
        <n v="71634"/>
        <n v="73488"/>
        <n v="61678"/>
        <n v="94594"/>
        <n v="60859"/>
        <n v="52939"/>
        <n v="62230"/>
        <n v="68297"/>
        <n v="96606"/>
        <n v="55854"/>
        <n v="54580"/>
        <n v="58131"/>
        <n v="64260"/>
        <n v="63590"/>
        <n v="63956"/>
        <n v="67857"/>
        <n v="53458"/>
        <n v="68344"/>
        <n v="67027"/>
        <n v="66258"/>
        <n v="64327"/>
        <n v="91360"/>
        <n v="73844"/>
        <n v="65413"/>
        <n v="95493"/>
        <n v="82548"/>
        <n v="95235"/>
        <n v="81450"/>
        <n v="58407"/>
        <n v="81959"/>
        <n v="74105"/>
        <n v="78079"/>
        <n v="60685"/>
        <n v="91983"/>
        <n v="68235"/>
        <n v="96575"/>
        <n v="80107"/>
        <n v="111822"/>
        <n v="74894"/>
        <n v="68170"/>
        <n v="58120"/>
        <n v="69351"/>
        <n v="63090"/>
        <n v="66590"/>
        <n v="94979"/>
        <n v="68030"/>
        <n v="55734"/>
        <n v="65009"/>
        <n v="73797"/>
        <n v="59391"/>
        <n v="95438"/>
        <n v="52863"/>
        <n v="59645"/>
        <n v="72411"/>
        <n v="92457"/>
        <n v="64737"/>
        <n v="63371"/>
        <n v="61038"/>
        <n v="102531"/>
        <n v="72436"/>
        <n v="62740"/>
        <n v="71374"/>
        <n v="53525"/>
        <n v="57059"/>
        <n v="81281"/>
        <n v="77133"/>
        <n v="59761"/>
        <n v="69063"/>
        <n v="89816"/>
        <n v="61703"/>
        <n v="66381"/>
        <n v="57499"/>
        <n v="56166"/>
        <n v="82595"/>
        <n v="62555"/>
        <n v="65121"/>
        <n v="73622"/>
        <n v="107609"/>
        <n v="55096"/>
        <n v="69793"/>
        <n v="102129"/>
        <n v="67886"/>
        <n v="71889"/>
        <n v="62790"/>
        <n v="58167"/>
        <n v="59713"/>
        <n v="63660"/>
        <n v="55713"/>
        <n v="78805"/>
        <n v="60912"/>
        <n v="66240"/>
        <n v="60280"/>
        <n v="64287"/>
        <n v="66781"/>
        <n v="84094"/>
        <n v="66981"/>
        <n v="78546"/>
        <n v="64019"/>
        <n v="80980"/>
        <n v="58242"/>
        <n v="95432"/>
        <n v="72036"/>
        <n v="69216"/>
        <n v="63344"/>
        <n v="63342"/>
        <n v="67818"/>
        <n v="74416"/>
        <n v="59823"/>
        <n v="77963"/>
        <n v="58852"/>
        <n v="56099"/>
        <n v="80089"/>
        <n v="65623"/>
        <n v="65571"/>
        <n v="94650"/>
        <n v="87620"/>
        <n v="84470"/>
        <n v="74777"/>
        <n v="55889"/>
        <n v="67280"/>
        <n v="87940"/>
        <n v="58676"/>
        <n v="66001"/>
        <n v="61836"/>
        <n v="72320"/>
        <n v="67779"/>
        <n v="76637"/>
        <n v="58495"/>
        <n v="62938"/>
        <n v="67455"/>
        <n v="57243"/>
        <n v="77791"/>
        <n v="94659"/>
        <n v="70991"/>
        <n v="67107"/>
        <n v="67154"/>
        <n v="57452"/>
        <n v="61258"/>
        <n v="65222"/>
        <n v="76873"/>
        <n v="68800"/>
        <n v="79458"/>
        <n v="53471"/>
        <n v="68009"/>
        <n v="96095"/>
        <n v="92568"/>
        <n v="63038"/>
        <n v="68256"/>
        <n v="66936"/>
        <n v="57549"/>
        <n v="67506"/>
        <n v="57739"/>
        <n v="61624"/>
        <n v="67477"/>
        <n v="58948"/>
        <n v="75839"/>
        <n v="70332"/>
        <n v="67285"/>
        <n v="59936"/>
        <n v="68848"/>
        <n v="66482"/>
        <n v="69548"/>
        <n v="89090"/>
        <n v="61136"/>
        <n v="86367"/>
        <n v="79711"/>
        <n v="63065"/>
        <n v="82504"/>
        <n v="61422"/>
        <n v="74745"/>
        <n v="65592"/>
        <n v="68263"/>
        <n v="63173"/>
        <n v="61924"/>
        <n v="92714"/>
        <n v="76920"/>
        <n v="64316"/>
        <n v="60526"/>
        <n v="70513"/>
        <n v="74982"/>
        <n v="62882"/>
        <n v="72764"/>
        <n v="80418"/>
        <n v="60390"/>
        <n v="63500"/>
        <n v="63879"/>
        <n v="61505"/>
        <n v="59618"/>
        <n v="106190"/>
        <n v="57162"/>
        <n v="105074"/>
        <n v="73542"/>
        <n v="86465"/>
        <n v="57737"/>
        <n v="72249"/>
        <n v="64270"/>
        <n v="78290"/>
        <n v="84336"/>
        <n v="70063"/>
        <n v="109652"/>
        <n v="53673"/>
        <n v="78950"/>
        <n v="92292"/>
        <n v="83600"/>
        <n v="67517"/>
        <n v="91226"/>
        <n v="61904"/>
        <n v="84689"/>
        <n v="82682"/>
        <n v="67032"/>
        <n v="56797"/>
        <n v="67650"/>
        <n v="68757"/>
        <n v="60774"/>
        <n v="61927"/>
        <n v="63658"/>
        <n v="87636"/>
        <n v="72762"/>
        <n v="57980"/>
        <n v="84521"/>
        <n v="63466"/>
        <n v="75091"/>
        <n v="83010"/>
        <n v="56691"/>
        <n v="61471"/>
        <n v="62257"/>
        <n v="58656"/>
        <n v="68102"/>
        <n v="65617"/>
        <n v="52981"/>
        <n v="75569"/>
        <n v="53099"/>
        <n v="79955"/>
        <n v="73482"/>
        <n v="90215"/>
        <n v="62776"/>
        <n v="87013"/>
        <n v="59789"/>
        <n v="71440"/>
        <n v="61839"/>
        <n v="82312"/>
        <n v="88028"/>
        <n v="97258"/>
        <n v="62902"/>
        <n v="55023"/>
        <n v="69131"/>
        <n v="65842"/>
        <n v="67507"/>
        <n v="68202"/>
        <n v="54343"/>
        <n v="103091"/>
        <n v="59360"/>
        <n v="61715"/>
        <n v="54169"/>
        <n v="59545"/>
        <n v="61048"/>
        <n v="66315"/>
        <n v="85948"/>
        <n v="67086"/>
        <n v="60537"/>
        <n v="57264"/>
        <n v="59603"/>
        <n v="61601"/>
        <n v="62539"/>
        <n v="60781"/>
        <n v="89319"/>
        <n v="79321"/>
        <n v="54814"/>
        <n v="90335"/>
        <n v="86323"/>
        <n v="64366"/>
        <n v="64874"/>
        <n v="106998"/>
        <n v="74915"/>
        <n v="52103"/>
        <n v="68068"/>
        <n v="55930"/>
        <n v="58847"/>
        <n v="70819"/>
        <n v="86643"/>
        <n v="60942"/>
        <n v="88560"/>
        <n v="57135"/>
        <n v="65631"/>
        <n v="88827"/>
        <n v="78171"/>
        <n v="75714"/>
        <n v="88335"/>
        <n v="74004"/>
        <n v="69688"/>
        <n v="103528"/>
        <n v="83745"/>
        <n v="79998"/>
        <n v="56282"/>
        <n v="61488"/>
        <n v="54570"/>
        <n v="58678"/>
        <n v="63760"/>
        <n v="91567"/>
        <n v="56722"/>
        <n v="85152"/>
        <n v="56998"/>
        <n v="79402"/>
        <n v="55752"/>
        <n v="64892"/>
        <n v="70789"/>
        <n v="53320"/>
        <n v="74235"/>
        <n v="68058"/>
        <n v="88518"/>
        <n v="74100"/>
        <n v="68805"/>
        <n v="70602"/>
        <n v="57414"/>
        <n v="57147"/>
        <n v="91584"/>
        <n v="122140"/>
        <n v="73999"/>
        <n v="67909"/>
        <n v="64203"/>
        <n v="78187"/>
        <n v="54812"/>
        <n v="54046"/>
        <n v="64441"/>
        <n v="61791"/>
        <n v="73946"/>
        <n v="61906"/>
        <n v="94377"/>
        <n v="89439"/>
        <n v="113040"/>
        <n v="81588"/>
        <n v="70593"/>
        <n v="74000"/>
        <n v="60242"/>
        <n v="67201"/>
        <n v="60073"/>
        <n v="58810"/>
        <n v="58882"/>
        <n v="77136"/>
        <n v="85655"/>
        <n v="63732"/>
        <n v="62658"/>
        <n v="59333"/>
        <n v="60945"/>
        <n v="61008"/>
        <n v="67369"/>
        <n v="58815"/>
        <n v="62697"/>
        <n v="58400"/>
        <n v="103249"/>
        <n v="64015"/>
        <n v="95684"/>
        <n v="62508"/>
        <n v="92796"/>
        <n v="58835"/>
        <n v="95974"/>
        <n v="61555"/>
        <n v="69086"/>
        <n v="79231"/>
        <n v="77094"/>
        <n v="63722"/>
        <n v="70989"/>
        <n v="65299"/>
        <n v="61437"/>
        <n v="61847"/>
        <n v="64667"/>
        <n v="56478"/>
        <n v="60533"/>
        <n v="61689"/>
        <n v="98920"/>
        <n v="68864"/>
        <n v="68092"/>
        <n v="67357"/>
        <n v="82596"/>
        <n v="64487"/>
        <n v="65346"/>
        <n v="52574"/>
        <n v="62945"/>
        <n v="91080"/>
        <n v="60358"/>
        <n v="69470"/>
        <n v="62053"/>
        <n v="67166"/>
        <n v="95022"/>
        <n v="63268"/>
        <n v="84569"/>
        <n v="58084"/>
        <n v="88167"/>
        <n v="73895"/>
        <n v="107787"/>
        <n v="58463"/>
        <n v="60800"/>
        <n v="60380"/>
        <n v="61217"/>
        <n v="64881"/>
        <n v="64537"/>
        <n v="73247"/>
        <n v="86075"/>
        <n v="57871"/>
        <n v="65022"/>
        <n v="75269"/>
        <n v="96041"/>
        <n v="58786"/>
        <n v="63925"/>
        <n v="93364"/>
        <n v="110836"/>
        <n v="59444"/>
        <n v="59327"/>
        <n v="62992"/>
        <n v="61119"/>
        <n v="131494"/>
        <n v="87048"/>
        <n v="64194"/>
        <n v="58980"/>
        <n v="61190"/>
        <n v="55533"/>
        <n v="81660"/>
        <n v="57604"/>
        <n v="88001"/>
        <n v="71220"/>
        <n v="52793"/>
        <n v="76043"/>
        <n v="61175"/>
        <n v="64342"/>
        <n v="75475"/>
        <n v="64626"/>
        <n v="63645"/>
        <n v="64251"/>
        <n v="54961"/>
        <n v="61212"/>
        <n v="65530"/>
        <n v="64649"/>
        <n v="81221"/>
        <n v="55055"/>
        <n v="89837"/>
        <n v="66282"/>
        <n v="67293"/>
        <n v="59592"/>
        <n v="61465"/>
        <n v="73461"/>
        <n v="57475"/>
        <n v="69069"/>
        <n v="61015"/>
        <n v="117180"/>
        <n v="58585"/>
        <n v="58073"/>
        <n v="69136"/>
        <n v="62641"/>
        <n v="55460"/>
        <n v="63096"/>
        <n v="63880"/>
        <n v="64090"/>
        <n v="78013"/>
        <n v="58190"/>
        <n v="65703"/>
        <n v="94413"/>
        <n v="87933"/>
        <n v="61699"/>
        <n v="83942"/>
        <n v="68032"/>
        <n v="63082"/>
        <n v="58453"/>
        <n v="59488"/>
        <n v="67031"/>
        <n v="64904"/>
        <n v="63124"/>
        <n v="62596"/>
        <n v="84792"/>
        <n v="90504"/>
        <n v="54612"/>
        <n v="113135"/>
        <n v="57963"/>
        <n v="70113"/>
        <n v="56679"/>
        <n v="62547"/>
        <n v="65191"/>
        <n v="57030"/>
        <n v="87587"/>
        <n v="95371"/>
        <n v="53179"/>
        <n v="64190"/>
        <n v="53419"/>
        <n v="54923"/>
        <n v="57130"/>
        <n v="79304"/>
        <n v="58058"/>
        <n v="63949"/>
        <n v="61782"/>
        <n v="76023"/>
        <n v="82239"/>
        <n v="63634"/>
        <n v="79328"/>
        <n v="70361"/>
        <n v="61939"/>
        <n v="105567"/>
        <n v="56716"/>
        <n v="99379"/>
        <n v="60496"/>
        <n v="87672"/>
        <n v="67869"/>
        <n v="66072"/>
        <n v="82068"/>
        <n v="55146"/>
        <n v="58529"/>
        <n v="59202"/>
        <n v="59013"/>
        <n v="63118"/>
        <n v="55963"/>
        <n v="96838"/>
        <n v="58081"/>
        <n v="59674"/>
        <n v="98661"/>
        <n v="67673"/>
        <n v="93212"/>
        <n v="95680"/>
        <n v="89228"/>
        <n v="63362"/>
        <n v="94222"/>
        <n v="64384"/>
        <n v="93626"/>
        <n v="68912"/>
        <n v="61186"/>
        <n v="75082"/>
        <n v="57702"/>
        <n v="56487"/>
        <n v="74502"/>
        <n v="100558"/>
        <n v="85918"/>
        <n v="88835"/>
        <n v="62944"/>
        <n v="91666"/>
        <n v="61011"/>
        <n v="109779"/>
        <n v="54788"/>
        <n v="58562"/>
        <n v="88719"/>
        <n v="70388"/>
        <n v="63808"/>
        <n v="57527"/>
        <n v="89227"/>
        <n v="77002"/>
        <n v="105185"/>
        <n v="109997"/>
        <n v="68701"/>
        <n v="76460"/>
        <n v="74179"/>
        <n v="69336"/>
        <n v="55995"/>
        <n v="55990"/>
        <n v="65427"/>
        <n v="100742"/>
        <n v="78014"/>
        <n v="56682"/>
        <n v="58722"/>
        <n v="63989"/>
        <n v="67403"/>
        <n v="80730"/>
        <n v="101400"/>
        <n v="65937"/>
        <n v="88250"/>
        <n v="73636"/>
        <n v="81468"/>
        <n v="55001"/>
        <n v="75502"/>
        <n v="59234"/>
        <n v="69113"/>
        <n v="124824"/>
        <n v="55550"/>
        <n v="69230"/>
        <n v="79248"/>
        <n v="78924"/>
        <n v="58307"/>
        <n v="64357"/>
        <n v="74163"/>
        <n v="62598"/>
        <n v="72109"/>
        <n v="94356"/>
        <n v="53603"/>
        <n v="104238"/>
        <n v="79326"/>
        <n v="66937"/>
        <n v="91548"/>
        <n v="64799"/>
        <n v="64678"/>
        <n v="67180"/>
        <n v="65261"/>
        <n v="79202"/>
        <n v="59575"/>
        <n v="65819"/>
        <n v="76103"/>
        <n v="101429"/>
        <n v="66508"/>
        <n v="58903"/>
        <n v="61697"/>
        <n v="63501"/>
        <n v="69977"/>
        <n v="77675"/>
        <n v="62225"/>
        <n v="94657"/>
        <n v="63449"/>
        <n v="84331"/>
        <n v="72620"/>
        <n v="56196"/>
        <n v="64099"/>
        <n v="96108"/>
        <n v="54990"/>
        <n v="61461"/>
        <n v="60507"/>
        <n v="57557"/>
        <n v="57996"/>
        <n v="83008"/>
        <n v="94473"/>
        <n v="65399"/>
        <n v="65945"/>
        <n v="86973"/>
        <n v="83005"/>
        <n v="108825"/>
        <n v="66164"/>
        <n v="63385"/>
        <n v="59746"/>
        <n v="62527"/>
        <n v="61237"/>
        <n v="91996"/>
        <n v="64142"/>
        <n v="68752"/>
        <n v="71298"/>
        <n v="58313"/>
        <n v="73163"/>
        <n v="74548"/>
        <n v="80099"/>
        <n v="90756"/>
        <n v="58080"/>
        <n v="60965"/>
        <n v="54114"/>
        <n v="61368"/>
        <n v="67970"/>
        <n v="92906"/>
        <n v="112880"/>
        <n v="92805"/>
        <n v="97728"/>
        <n v="78078"/>
        <n v="64103"/>
        <n v="59095"/>
        <n v="100507"/>
        <n v="59038"/>
        <n v="57504"/>
        <n v="64145"/>
        <n v="77284"/>
        <n v="62526"/>
        <n v="53687"/>
        <n v="64605"/>
        <n v="64169"/>
        <n v="70469"/>
        <n v="56781"/>
        <n v="63688"/>
        <n v="83782"/>
        <n v="63561"/>
        <n v="78790"/>
        <n v="67947"/>
        <n v="74475"/>
        <n v="63322"/>
        <n v="65014"/>
        <n v="67049"/>
        <n v="65761"/>
        <n v="68751"/>
        <n v="62465"/>
        <n v="58102"/>
        <n v="57789"/>
        <n v="62995"/>
        <n v="74615"/>
        <n v="83426"/>
        <n v="83222"/>
        <n v="57215"/>
        <n v="59469"/>
        <n v="73592"/>
        <n v="68928"/>
        <n v="76265"/>
        <n v="62667"/>
        <n v="76384"/>
        <n v="55791"/>
        <n v="94458"/>
        <n v="59258"/>
        <n v="58109"/>
        <n v="59579"/>
        <n v="76734"/>
        <n v="77985"/>
        <n v="66529"/>
        <n v="67819"/>
        <n v="59461"/>
        <n v="60402"/>
        <n v="55994"/>
        <n v="54791"/>
        <n v="64308"/>
        <n v="64044"/>
        <n v="61578"/>
        <n v="73871"/>
        <n v="76777"/>
        <n v="57457"/>
        <n v="60551"/>
        <n v="61458"/>
        <n v="74903"/>
        <n v="66450"/>
        <n v="60027"/>
        <n v="61785"/>
        <n v="77437"/>
        <n v="82977"/>
        <n v="55177"/>
        <n v="84520"/>
        <n v="59625"/>
        <n v="94351"/>
        <n v="54248"/>
        <n v="85379"/>
        <n v="120635"/>
        <n v="65005"/>
        <n v="56923"/>
        <n v="55231"/>
        <n v="67786"/>
        <n v="107510"/>
        <n v="56546"/>
        <n v="89077"/>
        <n v="68156"/>
        <n v="68783"/>
        <n v="88303"/>
        <n v="75078"/>
        <n v="80435"/>
        <n v="63585"/>
        <n v="54994"/>
        <n v="68828"/>
        <n v="68994"/>
        <n v="64736"/>
        <n v="62922"/>
        <n v="67268"/>
        <n v="57402"/>
        <n v="61322"/>
        <n v="59023"/>
        <n v="60768"/>
        <n v="59658"/>
        <n v="60654"/>
        <n v="58869"/>
        <n v="84224"/>
        <n v="76724"/>
        <n v="72364"/>
        <n v="64491"/>
        <n v="64668"/>
        <n v="59413"/>
        <n v="61056"/>
        <n v="74120"/>
        <n v="56337"/>
        <n v="59142"/>
        <n v="60177"/>
        <n v="68661"/>
        <n v="81510"/>
        <n v="83267"/>
        <n v="61566"/>
        <n v="96890"/>
        <n v="85260"/>
        <n v="92489"/>
        <n v="94069"/>
        <n v="86995"/>
        <n v="72745"/>
        <n v="61665"/>
        <n v="59458"/>
        <n v="79702"/>
        <n v="53029"/>
        <n v="84676"/>
        <n v="59856"/>
        <n v="65428"/>
        <n v="83279"/>
        <n v="70711"/>
        <n v="68840"/>
        <n v="54544"/>
        <n v="60276"/>
        <n v="61107"/>
        <n v="65736"/>
        <n v="67955"/>
        <n v="59494"/>
        <n v="59952"/>
        <n v="103016"/>
        <n v="100482"/>
        <n v="73237"/>
        <n v="66112"/>
        <n v="81762"/>
        <n v="87267"/>
        <n v="89912"/>
        <n v="72188"/>
        <n v="62997"/>
        <n v="76899"/>
        <n v="56201"/>
        <n v="58887"/>
        <n v="61341"/>
        <n v="115420"/>
        <n v="62479"/>
        <n v="104096"/>
        <n v="71839"/>
        <n v="65899"/>
        <n v="59751"/>
        <n v="77004"/>
        <n v="61581"/>
        <n v="73414"/>
        <n v="102891"/>
        <n v="76778"/>
        <n v="104919"/>
        <n v="73654"/>
        <n v="97119"/>
        <n v="108780"/>
        <n v="66416"/>
        <n v="53611"/>
        <m/>
      </sharedItems>
    </cacheField>
    <cacheField name="Performance Rating" numFmtId="0">
      <sharedItems containsBlank="1"/>
    </cacheField>
    <cacheField name="Tenure (Years)" numFmtId="0">
      <sharedItems containsString="0" containsBlank="1" containsNumber="1" minValue="0.48767123287671232" maxValue="10.24931506849315"/>
    </cacheField>
    <cacheField name="Employment Status" numFmtId="0">
      <sharedItems containsBlank="1" count="3">
        <s v="Terminated"/>
        <s v="Active"/>
        <m/>
      </sharedItems>
    </cacheField>
    <cacheField name="AGE" numFmtId="0">
      <sharedItems containsString="0" containsBlank="1" containsNumber="1" containsInteger="1" minValue="20" maxValue="65"/>
    </cacheField>
    <cacheField name="Salary Distribution Level" numFmtId="0">
      <sharedItems containsBlank="1"/>
    </cacheField>
  </cacheFields>
  <extLst>
    <ext xmlns:x14="http://schemas.microsoft.com/office/spreadsheetml/2009/9/main" uri="{725AE2AE-9491-48be-B2B4-4EB974FC3084}">
      <x14:pivotCacheDefinition pivotCacheId="14298023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ulnath" refreshedDate="45758.047244791669" createdVersion="8" refreshedVersion="8" minRefreshableVersion="3" recordCount="966" xr:uid="{E4766FDC-1FC0-41D6-B572-E850177F79A2}">
  <cacheSource type="worksheet">
    <worksheetSource name="Human_Resources_2015_2024_1"/>
  </cacheSource>
  <cacheFields count="18">
    <cacheField name="Employee_ID" numFmtId="0">
      <sharedItems/>
    </cacheField>
    <cacheField name="First Name" numFmtId="0">
      <sharedItems/>
    </cacheField>
    <cacheField name="Last Name" numFmtId="0">
      <sharedItems/>
    </cacheField>
    <cacheField name="Gender" numFmtId="0">
      <sharedItems count="2">
        <s v="Female"/>
        <s v="Male"/>
      </sharedItems>
    </cacheField>
    <cacheField name="State" numFmtId="0">
      <sharedItems/>
    </cacheField>
    <cacheField name="City" numFmtId="0">
      <sharedItems/>
    </cacheField>
    <cacheField name="Education Level" numFmtId="0">
      <sharedItems/>
    </cacheField>
    <cacheField name="Birthdate" numFmtId="14">
      <sharedItems containsSemiMixedTypes="0" containsNonDate="0" containsDate="1" containsString="0" minDate="1959-06-25T00:00:00" maxDate="2004-05-11T00:00:00"/>
    </cacheField>
    <cacheField name="Hiredate" numFmtId="14">
      <sharedItems containsSemiMixedTypes="0" containsNonDate="0" containsDate="1" containsString="0" minDate="2015-01-04T00:00:00" maxDate="2024-07-01T00:00:00" count="813">
        <d v="2016-04-16T00:00:00"/>
        <d v="2017-02-09T00:00:00"/>
        <d v="2016-02-03T00:00:00"/>
        <d v="2016-02-06T00:00:00"/>
        <d v="2022-09-30T00:00:00"/>
        <d v="2020-08-16T00:00:00"/>
        <d v="2022-10-22T00:00:00"/>
        <d v="2017-05-13T00:00:00"/>
        <d v="2018-10-24T00:00:00"/>
        <d v="2021-02-07T00:00:00"/>
        <d v="2020-04-12T00:00:00"/>
        <d v="2017-07-28T00:00:00"/>
        <d v="2020-01-31T00:00:00"/>
        <d v="2022-08-29T00:00:00"/>
        <d v="2023-03-16T00:00:00"/>
        <d v="2021-03-30T00:00:00"/>
        <d v="2018-11-29T00:00:00"/>
        <d v="2016-04-17T00:00:00"/>
        <d v="2022-03-05T00:00:00"/>
        <d v="2017-04-14T00:00:00"/>
        <d v="2017-01-28T00:00:00"/>
        <d v="2017-10-11T00:00:00"/>
        <d v="2019-04-15T00:00:00"/>
        <d v="2017-08-05T00:00:00"/>
        <d v="2020-10-25T00:00:00"/>
        <d v="2020-01-26T00:00:00"/>
        <d v="2017-12-07T00:00:00"/>
        <d v="2018-07-12T00:00:00"/>
        <d v="2016-06-27T00:00:00"/>
        <d v="2017-10-17T00:00:00"/>
        <d v="2020-08-15T00:00:00"/>
        <d v="2024-05-20T00:00:00"/>
        <d v="2017-07-17T00:00:00"/>
        <d v="2022-12-01T00:00:00"/>
        <d v="2022-11-04T00:00:00"/>
        <d v="2019-05-30T00:00:00"/>
        <d v="2018-07-24T00:00:00"/>
        <d v="2017-01-05T00:00:00"/>
        <d v="2020-12-09T00:00:00"/>
        <d v="2022-09-06T00:00:00"/>
        <d v="2024-03-02T00:00:00"/>
        <d v="2015-12-07T00:00:00"/>
        <d v="2017-10-23T00:00:00"/>
        <d v="2018-07-16T00:00:00"/>
        <d v="2016-10-23T00:00:00"/>
        <d v="2017-12-25T00:00:00"/>
        <d v="2024-05-05T00:00:00"/>
        <d v="2022-05-21T00:00:00"/>
        <d v="2018-04-30T00:00:00"/>
        <d v="2017-08-09T00:00:00"/>
        <d v="2020-07-07T00:00:00"/>
        <d v="2015-07-26T00:00:00"/>
        <d v="2017-07-04T00:00:00"/>
        <d v="2019-03-24T00:00:00"/>
        <d v="2020-09-24T00:00:00"/>
        <d v="2017-09-18T00:00:00"/>
        <d v="2022-07-21T00:00:00"/>
        <d v="2019-01-25T00:00:00"/>
        <d v="2024-03-30T00:00:00"/>
        <d v="2022-10-02T00:00:00"/>
        <d v="2017-12-18T00:00:00"/>
        <d v="2017-07-19T00:00:00"/>
        <d v="2019-03-25T00:00:00"/>
        <d v="2022-12-09T00:00:00"/>
        <d v="2018-10-31T00:00:00"/>
        <d v="2019-02-06T00:00:00"/>
        <d v="2023-06-14T00:00:00"/>
        <d v="2024-01-22T00:00:00"/>
        <d v="2017-02-08T00:00:00"/>
        <d v="2022-11-07T00:00:00"/>
        <d v="2017-03-15T00:00:00"/>
        <d v="2016-03-12T00:00:00"/>
        <d v="2020-12-24T00:00:00"/>
        <d v="2017-11-29T00:00:00"/>
        <d v="2019-12-26T00:00:00"/>
        <d v="2020-06-06T00:00:00"/>
        <d v="2022-06-05T00:00:00"/>
        <d v="2024-01-01T00:00:00"/>
        <d v="2017-11-01T00:00:00"/>
        <d v="2017-09-28T00:00:00"/>
        <d v="2016-03-14T00:00:00"/>
        <d v="2017-08-13T00:00:00"/>
        <d v="2018-05-02T00:00:00"/>
        <d v="2022-07-15T00:00:00"/>
        <d v="2020-01-23T00:00:00"/>
        <d v="2017-03-14T00:00:00"/>
        <d v="2017-12-01T00:00:00"/>
        <d v="2017-12-12T00:00:00"/>
        <d v="2022-01-16T00:00:00"/>
        <d v="2017-08-15T00:00:00"/>
        <d v="2023-04-12T00:00:00"/>
        <d v="2019-04-03T00:00:00"/>
        <d v="2018-09-08T00:00:00"/>
        <d v="2017-10-19T00:00:00"/>
        <d v="2020-08-29T00:00:00"/>
        <d v="2020-01-29T00:00:00"/>
        <d v="2018-12-08T00:00:00"/>
        <d v="2022-06-20T00:00:00"/>
        <d v="2017-08-26T00:00:00"/>
        <d v="2024-04-26T00:00:00"/>
        <d v="2017-12-08T00:00:00"/>
        <d v="2023-02-11T00:00:00"/>
        <d v="2017-04-20T00:00:00"/>
        <d v="2023-03-21T00:00:00"/>
        <d v="2023-07-16T00:00:00"/>
        <d v="2017-11-25T00:00:00"/>
        <d v="2022-11-19T00:00:00"/>
        <d v="2023-10-27T00:00:00"/>
        <d v="2020-03-03T00:00:00"/>
        <d v="2018-06-16T00:00:00"/>
        <d v="2017-12-09T00:00:00"/>
        <d v="2020-01-14T00:00:00"/>
        <d v="2019-02-27T00:00:00"/>
        <d v="2023-05-22T00:00:00"/>
        <d v="2022-09-22T00:00:00"/>
        <d v="2018-10-30T00:00:00"/>
        <d v="2021-08-30T00:00:00"/>
        <d v="2022-04-02T00:00:00"/>
        <d v="2022-11-11T00:00:00"/>
        <d v="2020-03-10T00:00:00"/>
        <d v="2018-12-27T00:00:00"/>
        <d v="2021-10-13T00:00:00"/>
        <d v="2017-11-02T00:00:00"/>
        <d v="2019-01-16T00:00:00"/>
        <d v="2018-11-14T00:00:00"/>
        <d v="2020-11-14T00:00:00"/>
        <d v="2016-01-10T00:00:00"/>
        <d v="2021-04-19T00:00:00"/>
        <d v="2022-04-19T00:00:00"/>
        <d v="2017-09-21T00:00:00"/>
        <d v="2021-01-11T00:00:00"/>
        <d v="2023-03-11T00:00:00"/>
        <d v="2020-01-15T00:00:00"/>
        <d v="2022-10-10T00:00:00"/>
        <d v="2017-07-18T00:00:00"/>
        <d v="2019-01-01T00:00:00"/>
        <d v="2018-09-23T00:00:00"/>
        <d v="2021-09-18T00:00:00"/>
        <d v="2017-09-15T00:00:00"/>
        <d v="2022-09-15T00:00:00"/>
        <d v="2022-04-27T00:00:00"/>
        <d v="2019-05-07T00:00:00"/>
        <d v="2018-05-28T00:00:00"/>
        <d v="2017-08-28T00:00:00"/>
        <d v="2022-11-20T00:00:00"/>
        <d v="2024-03-23T00:00:00"/>
        <d v="2018-11-06T00:00:00"/>
        <d v="2022-04-21T00:00:00"/>
        <d v="2023-05-11T00:00:00"/>
        <d v="2018-03-19T00:00:00"/>
        <d v="2022-07-04T00:00:00"/>
        <d v="2020-06-25T00:00:00"/>
        <d v="2022-03-17T00:00:00"/>
        <d v="2017-06-05T00:00:00"/>
        <d v="2017-01-03T00:00:00"/>
        <d v="2018-12-10T00:00:00"/>
        <d v="2017-03-10T00:00:00"/>
        <d v="2022-06-30T00:00:00"/>
        <d v="2022-11-26T00:00:00"/>
        <d v="2024-06-29T00:00:00"/>
        <d v="2021-08-20T00:00:00"/>
        <d v="2022-06-21T00:00:00"/>
        <d v="2022-07-16T00:00:00"/>
        <d v="2021-06-23T00:00:00"/>
        <d v="2023-07-04T00:00:00"/>
        <d v="2020-11-22T00:00:00"/>
        <d v="2019-07-22T00:00:00"/>
        <d v="2020-06-19T00:00:00"/>
        <d v="2022-04-16T00:00:00"/>
        <d v="2023-02-01T00:00:00"/>
        <d v="2018-09-27T00:00:00"/>
        <d v="2016-06-10T00:00:00"/>
        <d v="2023-06-11T00:00:00"/>
        <d v="2024-05-31T00:00:00"/>
        <d v="2022-09-28T00:00:00"/>
        <d v="2018-08-11T00:00:00"/>
        <d v="2023-05-17T00:00:00"/>
        <d v="2017-12-13T00:00:00"/>
        <d v="2017-10-18T00:00:00"/>
        <d v="2020-12-14T00:00:00"/>
        <d v="2015-06-19T00:00:00"/>
        <d v="2017-09-17T00:00:00"/>
        <d v="2023-03-06T00:00:00"/>
        <d v="2015-08-30T00:00:00"/>
        <d v="2022-08-18T00:00:00"/>
        <d v="2022-09-07T00:00:00"/>
        <d v="2019-03-12T00:00:00"/>
        <d v="2017-03-24T00:00:00"/>
        <d v="2022-12-08T00:00:00"/>
        <d v="2020-11-19T00:00:00"/>
        <d v="2018-07-02T00:00:00"/>
        <d v="2018-05-16T00:00:00"/>
        <d v="2018-09-11T00:00:00"/>
        <d v="2017-04-07T00:00:00"/>
        <d v="2022-03-01T00:00:00"/>
        <d v="2024-02-14T00:00:00"/>
        <d v="2018-09-29T00:00:00"/>
        <d v="2017-02-14T00:00:00"/>
        <d v="2016-04-30T00:00:00"/>
        <d v="2019-05-02T00:00:00"/>
        <d v="2024-05-25T00:00:00"/>
        <d v="2016-01-30T00:00:00"/>
        <d v="2016-04-04T00:00:00"/>
        <d v="2017-11-27T00:00:00"/>
        <d v="2018-11-05T00:00:00"/>
        <d v="2021-05-15T00:00:00"/>
        <d v="2018-01-27T00:00:00"/>
        <d v="2018-11-25T00:00:00"/>
        <d v="2016-06-17T00:00:00"/>
        <d v="2021-11-18T00:00:00"/>
        <d v="2019-10-28T00:00:00"/>
        <d v="2022-10-11T00:00:00"/>
        <d v="2016-04-05T00:00:00"/>
        <d v="2020-12-08T00:00:00"/>
        <d v="2020-08-09T00:00:00"/>
        <d v="2023-01-12T00:00:00"/>
        <d v="2017-07-09T00:00:00"/>
        <d v="2024-05-12T00:00:00"/>
        <d v="2020-03-15T00:00:00"/>
        <d v="2020-07-08T00:00:00"/>
        <d v="2021-07-04T00:00:00"/>
        <d v="2018-11-03T00:00:00"/>
        <d v="2024-06-06T00:00:00"/>
        <d v="2020-08-13T00:00:00"/>
        <d v="2022-05-14T00:00:00"/>
        <d v="2019-05-09T00:00:00"/>
        <d v="2016-03-15T00:00:00"/>
        <d v="2022-10-24T00:00:00"/>
        <d v="2017-10-14T00:00:00"/>
        <d v="2016-10-22T00:00:00"/>
        <d v="2024-02-09T00:00:00"/>
        <d v="2023-05-21T00:00:00"/>
        <d v="2019-07-27T00:00:00"/>
        <d v="2018-01-22T00:00:00"/>
        <d v="2022-02-19T00:00:00"/>
        <d v="2016-07-01T00:00:00"/>
        <d v="2022-01-20T00:00:00"/>
        <d v="2020-02-14T00:00:00"/>
        <d v="2019-01-29T00:00:00"/>
        <d v="2020-02-28T00:00:00"/>
        <d v="2022-04-28T00:00:00"/>
        <d v="2018-08-04T00:00:00"/>
        <d v="2017-11-04T00:00:00"/>
        <d v="2022-05-28T00:00:00"/>
        <d v="2017-10-15T00:00:00"/>
        <d v="2017-08-31T00:00:00"/>
        <d v="2018-03-02T00:00:00"/>
        <d v="2018-08-18T00:00:00"/>
        <d v="2017-04-22T00:00:00"/>
        <d v="2022-06-26T00:00:00"/>
        <d v="2018-04-13T00:00:00"/>
        <d v="2018-09-13T00:00:00"/>
        <d v="2017-12-19T00:00:00"/>
        <d v="2024-01-24T00:00:00"/>
        <d v="2019-10-18T00:00:00"/>
        <d v="2019-06-20T00:00:00"/>
        <d v="2022-09-29T00:00:00"/>
        <d v="2017-07-29T00:00:00"/>
        <d v="2021-01-16T00:00:00"/>
        <d v="2015-08-23T00:00:00"/>
        <d v="2022-09-19T00:00:00"/>
        <d v="2019-01-09T00:00:00"/>
        <d v="2022-04-15T00:00:00"/>
        <d v="2022-03-10T00:00:00"/>
        <d v="2017-12-22T00:00:00"/>
        <d v="2019-06-19T00:00:00"/>
        <d v="2020-02-05T00:00:00"/>
        <d v="2016-05-04T00:00:00"/>
        <d v="2020-05-08T00:00:00"/>
        <d v="2019-09-15T00:00:00"/>
        <d v="2022-08-02T00:00:00"/>
        <d v="2017-04-09T00:00:00"/>
        <d v="2017-06-06T00:00:00"/>
        <d v="2017-06-10T00:00:00"/>
        <d v="2015-10-23T00:00:00"/>
        <d v="2015-02-20T00:00:00"/>
        <d v="2018-09-28T00:00:00"/>
        <d v="2017-09-02T00:00:00"/>
        <d v="2022-06-08T00:00:00"/>
        <d v="2022-12-21T00:00:00"/>
        <d v="2017-09-09T00:00:00"/>
        <d v="2017-10-06T00:00:00"/>
        <d v="2022-06-11T00:00:00"/>
        <d v="2022-04-05T00:00:00"/>
        <d v="2017-03-16T00:00:00"/>
        <d v="2018-12-07T00:00:00"/>
        <d v="2018-10-27T00:00:00"/>
        <d v="2017-12-29T00:00:00"/>
        <d v="2022-01-01T00:00:00"/>
        <d v="2018-08-15T00:00:00"/>
        <d v="2023-12-03T00:00:00"/>
        <d v="2016-05-14T00:00:00"/>
        <d v="2020-05-26T00:00:00"/>
        <d v="2022-03-15T00:00:00"/>
        <d v="2023-05-29T00:00:00"/>
        <d v="2023-12-21T00:00:00"/>
        <d v="2016-09-14T00:00:00"/>
        <d v="2024-02-29T00:00:00"/>
        <d v="2017-07-15T00:00:00"/>
        <d v="2018-02-08T00:00:00"/>
        <d v="2019-07-24T00:00:00"/>
        <d v="2023-02-25T00:00:00"/>
        <d v="2021-03-01T00:00:00"/>
        <d v="2017-04-13T00:00:00"/>
        <d v="2016-09-09T00:00:00"/>
        <d v="2023-09-19T00:00:00"/>
        <d v="2019-05-03T00:00:00"/>
        <d v="2016-07-08T00:00:00"/>
        <d v="2020-01-27T00:00:00"/>
        <d v="2017-10-01T00:00:00"/>
        <d v="2023-09-27T00:00:00"/>
        <d v="2023-05-06T00:00:00"/>
        <d v="2017-05-26T00:00:00"/>
        <d v="2023-06-10T00:00:00"/>
        <d v="2023-03-08T00:00:00"/>
        <d v="2015-05-29T00:00:00"/>
        <d v="2019-09-05T00:00:00"/>
        <d v="2016-01-04T00:00:00"/>
        <d v="2015-04-22T00:00:00"/>
        <d v="2019-06-21T00:00:00"/>
        <d v="2023-04-27T00:00:00"/>
        <d v="2020-04-07T00:00:00"/>
        <d v="2018-05-30T00:00:00"/>
        <d v="2017-09-13T00:00:00"/>
        <d v="2016-12-01T00:00:00"/>
        <d v="2019-11-20T00:00:00"/>
        <d v="2017-11-07T00:00:00"/>
        <d v="2018-03-27T00:00:00"/>
        <d v="2018-09-21T00:00:00"/>
        <d v="2016-09-21T00:00:00"/>
        <d v="2016-12-16T00:00:00"/>
        <d v="2020-11-02T00:00:00"/>
        <d v="2018-10-12T00:00:00"/>
        <d v="2023-05-07T00:00:00"/>
        <d v="2024-02-21T00:00:00"/>
        <d v="2016-05-22T00:00:00"/>
        <d v="2018-07-07T00:00:00"/>
        <d v="2022-12-05T00:00:00"/>
        <d v="2023-01-30T00:00:00"/>
        <d v="2020-11-30T00:00:00"/>
        <d v="2015-06-04T00:00:00"/>
        <d v="2024-05-22T00:00:00"/>
        <d v="2023-04-13T00:00:00"/>
        <d v="2016-09-18T00:00:00"/>
        <d v="2016-05-27T00:00:00"/>
        <d v="2019-02-12T00:00:00"/>
        <d v="2018-08-29T00:00:00"/>
        <d v="2020-12-21T00:00:00"/>
        <d v="2022-09-04T00:00:00"/>
        <d v="2017-04-28T00:00:00"/>
        <d v="2021-01-18T00:00:00"/>
        <d v="2022-07-11T00:00:00"/>
        <d v="2019-09-18T00:00:00"/>
        <d v="2015-04-19T00:00:00"/>
        <d v="2020-05-20T00:00:00"/>
        <d v="2015-01-24T00:00:00"/>
        <d v="2020-02-17T00:00:00"/>
        <d v="2019-02-05T00:00:00"/>
        <d v="2018-08-19T00:00:00"/>
        <d v="2019-05-10T00:00:00"/>
        <d v="2019-08-08T00:00:00"/>
        <d v="2020-08-03T00:00:00"/>
        <d v="2017-12-04T00:00:00"/>
        <d v="2021-11-30T00:00:00"/>
        <d v="2017-09-14T00:00:00"/>
        <d v="2017-05-20T00:00:00"/>
        <d v="2022-05-06T00:00:00"/>
        <d v="2024-02-19T00:00:00"/>
        <d v="2022-10-17T00:00:00"/>
        <d v="2021-05-21T00:00:00"/>
        <d v="2018-07-15T00:00:00"/>
        <d v="2019-10-10T00:00:00"/>
        <d v="2020-07-21T00:00:00"/>
        <d v="2018-01-13T00:00:00"/>
        <d v="2018-06-05T00:00:00"/>
        <d v="2017-10-04T00:00:00"/>
        <d v="2020-02-01T00:00:00"/>
        <d v="2017-08-01T00:00:00"/>
        <d v="2018-08-21T00:00:00"/>
        <d v="2018-08-23T00:00:00"/>
        <d v="2017-10-26T00:00:00"/>
        <d v="2024-06-16T00:00:00"/>
        <d v="2017-05-12T00:00:00"/>
        <d v="2019-10-11T00:00:00"/>
        <d v="2016-09-15T00:00:00"/>
        <d v="2016-09-23T00:00:00"/>
        <d v="2017-11-20T00:00:00"/>
        <d v="2018-10-16T00:00:00"/>
        <d v="2018-08-05T00:00:00"/>
        <d v="2018-08-06T00:00:00"/>
        <d v="2019-05-18T00:00:00"/>
        <d v="2018-06-14T00:00:00"/>
        <d v="2023-04-22T00:00:00"/>
        <d v="2016-08-12T00:00:00"/>
        <d v="2018-11-24T00:00:00"/>
        <d v="2017-04-19T00:00:00"/>
        <d v="2017-08-30T00:00:00"/>
        <d v="2018-01-11T00:00:00"/>
        <d v="2017-09-30T00:00:00"/>
        <d v="2015-05-17T00:00:00"/>
        <d v="2018-08-07T00:00:00"/>
        <d v="2024-06-25T00:00:00"/>
        <d v="2017-10-08T00:00:00"/>
        <d v="2019-02-01T00:00:00"/>
        <d v="2022-07-08T00:00:00"/>
        <d v="2017-03-25T00:00:00"/>
        <d v="2023-06-16T00:00:00"/>
        <d v="2016-08-18T00:00:00"/>
        <d v="2023-01-18T00:00:00"/>
        <d v="2019-01-22T00:00:00"/>
        <d v="2018-04-23T00:00:00"/>
        <d v="2018-10-18T00:00:00"/>
        <d v="2017-07-26T00:00:00"/>
        <d v="2017-01-08T00:00:00"/>
        <d v="2020-05-01T00:00:00"/>
        <d v="2017-10-03T00:00:00"/>
        <d v="2019-06-07T00:00:00"/>
        <d v="2022-11-24T00:00:00"/>
        <d v="2021-06-05T00:00:00"/>
        <d v="2017-05-01T00:00:00"/>
        <d v="2018-10-29T00:00:00"/>
        <d v="2019-10-29T00:00:00"/>
        <d v="2018-11-15T00:00:00"/>
        <d v="2018-02-09T00:00:00"/>
        <d v="2022-08-22T00:00:00"/>
        <d v="2022-01-30T00:00:00"/>
        <d v="2018-07-11T00:00:00"/>
        <d v="2017-08-14T00:00:00"/>
        <d v="2021-08-08T00:00:00"/>
        <d v="2015-05-06T00:00:00"/>
        <d v="2017-02-28T00:00:00"/>
        <d v="2019-09-03T00:00:00"/>
        <d v="2015-01-22T00:00:00"/>
        <d v="2018-06-29T00:00:00"/>
        <d v="2018-11-19T00:00:00"/>
        <d v="2019-11-29T00:00:00"/>
        <d v="2023-05-30T00:00:00"/>
        <d v="2020-11-03T00:00:00"/>
        <d v="2017-12-20T00:00:00"/>
        <d v="2020-01-25T00:00:00"/>
        <d v="2018-11-22T00:00:00"/>
        <d v="2021-07-15T00:00:00"/>
        <d v="2018-10-02T00:00:00"/>
        <d v="2021-07-23T00:00:00"/>
        <d v="2018-12-22T00:00:00"/>
        <d v="2019-05-12T00:00:00"/>
        <d v="2018-09-02T00:00:00"/>
        <d v="2022-02-06T00:00:00"/>
        <d v="2016-04-07T00:00:00"/>
        <d v="2018-12-18T00:00:00"/>
        <d v="2017-02-01T00:00:00"/>
        <d v="2019-05-16T00:00:00"/>
        <d v="2020-09-14T00:00:00"/>
        <d v="2017-02-02T00:00:00"/>
        <d v="2017-09-24T00:00:00"/>
        <d v="2019-05-21T00:00:00"/>
        <d v="2023-05-13T00:00:00"/>
        <d v="2022-03-29T00:00:00"/>
        <d v="2023-04-25T00:00:00"/>
        <d v="2017-10-27T00:00:00"/>
        <d v="2016-07-23T00:00:00"/>
        <d v="2017-10-25T00:00:00"/>
        <d v="2020-02-29T00:00:00"/>
        <d v="2016-10-26T00:00:00"/>
        <d v="2019-10-08T00:00:00"/>
        <d v="2020-09-19T00:00:00"/>
        <d v="2016-08-25T00:00:00"/>
        <d v="2019-06-24T00:00:00"/>
        <d v="2024-06-20T00:00:00"/>
        <d v="2020-05-28T00:00:00"/>
        <d v="2018-03-04T00:00:00"/>
        <d v="2024-02-23T00:00:00"/>
        <d v="2017-07-06T00:00:00"/>
        <d v="2016-02-09T00:00:00"/>
        <d v="2016-02-18T00:00:00"/>
        <d v="2024-04-15T00:00:00"/>
        <d v="2021-11-19T00:00:00"/>
        <d v="2015-03-28T00:00:00"/>
        <d v="2017-07-14T00:00:00"/>
        <d v="2021-02-01T00:00:00"/>
        <d v="2017-12-28T00:00:00"/>
        <d v="2019-04-22T00:00:00"/>
        <d v="2019-11-19T00:00:00"/>
        <d v="2018-06-24T00:00:00"/>
        <d v="2022-01-08T00:00:00"/>
        <d v="2019-04-27T00:00:00"/>
        <d v="2017-09-06T00:00:00"/>
        <d v="2019-02-13T00:00:00"/>
        <d v="2018-07-27T00:00:00"/>
        <d v="2022-04-04T00:00:00"/>
        <d v="2020-01-01T00:00:00"/>
        <d v="2018-07-22T00:00:00"/>
        <d v="2015-07-24T00:00:00"/>
        <d v="2019-05-25T00:00:00"/>
        <d v="2022-11-03T00:00:00"/>
        <d v="2016-09-12T00:00:00"/>
        <d v="2020-10-12T00:00:00"/>
        <d v="2019-05-17T00:00:00"/>
        <d v="2022-03-09T00:00:00"/>
        <d v="2019-09-28T00:00:00"/>
        <d v="2022-02-22T00:00:00"/>
        <d v="2019-06-27T00:00:00"/>
        <d v="2020-12-28T00:00:00"/>
        <d v="2017-11-13T00:00:00"/>
        <d v="2019-10-20T00:00:00"/>
        <d v="2022-12-14T00:00:00"/>
        <d v="2023-03-14T00:00:00"/>
        <d v="2015-12-25T00:00:00"/>
        <d v="2023-02-02T00:00:00"/>
        <d v="2020-04-24T00:00:00"/>
        <d v="2020-10-05T00:00:00"/>
        <d v="2019-12-21T00:00:00"/>
        <d v="2023-04-17T00:00:00"/>
        <d v="2022-01-23T00:00:00"/>
        <d v="2018-05-22T00:00:00"/>
        <d v="2018-08-24T00:00:00"/>
        <d v="2023-02-19T00:00:00"/>
        <d v="2017-05-23T00:00:00"/>
        <d v="2022-05-25T00:00:00"/>
        <d v="2018-02-14T00:00:00"/>
        <d v="2018-07-20T00:00:00"/>
        <d v="2017-04-12T00:00:00"/>
        <d v="2024-03-24T00:00:00"/>
        <d v="2022-12-16T00:00:00"/>
        <d v="2017-05-05T00:00:00"/>
        <d v="2015-11-27T00:00:00"/>
        <d v="2021-11-04T00:00:00"/>
        <d v="2017-01-11T00:00:00"/>
        <d v="2024-06-30T00:00:00"/>
        <d v="2018-08-25T00:00:00"/>
        <d v="2023-06-04T00:00:00"/>
        <d v="2017-07-24T00:00:00"/>
        <d v="2021-08-12T00:00:00"/>
        <d v="2018-09-06T00:00:00"/>
        <d v="2017-07-20T00:00:00"/>
        <d v="2019-10-31T00:00:00"/>
        <d v="2018-10-26T00:00:00"/>
        <d v="2017-07-21T00:00:00"/>
        <d v="2017-05-06T00:00:00"/>
        <d v="2020-07-20T00:00:00"/>
        <d v="2024-04-16T00:00:00"/>
        <d v="2017-07-27T00:00:00"/>
        <d v="2020-08-17T00:00:00"/>
        <d v="2022-09-13T00:00:00"/>
        <d v="2022-05-12T00:00:00"/>
        <d v="2019-11-17T00:00:00"/>
        <d v="2021-03-23T00:00:00"/>
        <d v="2019-07-31T00:00:00"/>
        <d v="2017-07-07T00:00:00"/>
        <d v="2022-06-07T00:00:00"/>
        <d v="2020-01-24T00:00:00"/>
        <d v="2016-06-29T00:00:00"/>
        <d v="2023-05-02T00:00:00"/>
        <d v="2019-10-23T00:00:00"/>
        <d v="2019-05-04T00:00:00"/>
        <d v="2020-04-22T00:00:00"/>
        <d v="2022-06-12T00:00:00"/>
        <d v="2022-03-04T00:00:00"/>
        <d v="2022-06-02T00:00:00"/>
        <d v="2018-03-25T00:00:00"/>
        <d v="2018-04-20T00:00:00"/>
        <d v="2017-09-12T00:00:00"/>
        <d v="2024-01-04T00:00:00"/>
        <d v="2022-06-06T00:00:00"/>
        <d v="2019-08-10T00:00:00"/>
        <d v="2017-04-23T00:00:00"/>
        <d v="2017-10-24T00:00:00"/>
        <d v="2022-02-07T00:00:00"/>
        <d v="2020-02-26T00:00:00"/>
        <d v="2017-10-05T00:00:00"/>
        <d v="2017-06-27T00:00:00"/>
        <d v="2018-02-24T00:00:00"/>
        <d v="2017-03-05T00:00:00"/>
        <d v="2017-11-24T00:00:00"/>
        <d v="2020-11-17T00:00:00"/>
        <d v="2021-08-07T00:00:00"/>
        <d v="2015-05-24T00:00:00"/>
        <d v="2019-10-09T00:00:00"/>
        <d v="2022-08-20T00:00:00"/>
        <d v="2018-11-01T00:00:00"/>
        <d v="2024-03-29T00:00:00"/>
        <d v="2020-03-07T00:00:00"/>
        <d v="2017-10-28T00:00:00"/>
        <d v="2017-03-21T00:00:00"/>
        <d v="2022-12-24T00:00:00"/>
        <d v="2017-10-10T00:00:00"/>
        <d v="2017-03-22T00:00:00"/>
        <d v="2022-07-05T00:00:00"/>
        <d v="2018-08-01T00:00:00"/>
        <d v="2020-10-06T00:00:00"/>
        <d v="2023-04-06T00:00:00"/>
        <d v="2024-04-25T00:00:00"/>
        <d v="2015-09-26T00:00:00"/>
        <d v="2015-05-16T00:00:00"/>
        <d v="2022-10-08T00:00:00"/>
        <d v="2018-09-20T00:00:00"/>
        <d v="2020-06-02T00:00:00"/>
        <d v="2017-11-09T00:00:00"/>
        <d v="2022-10-05T00:00:00"/>
        <d v="2017-03-20T00:00:00"/>
        <d v="2020-08-06T00:00:00"/>
        <d v="2015-08-28T00:00:00"/>
        <d v="2023-01-20T00:00:00"/>
        <d v="2015-09-05T00:00:00"/>
        <d v="2016-05-08T00:00:00"/>
        <d v="2015-12-27T00:00:00"/>
        <d v="2015-12-09T00:00:00"/>
        <d v="2024-03-18T00:00:00"/>
        <d v="2023-04-21T00:00:00"/>
        <d v="2020-02-04T00:00:00"/>
        <d v="2020-10-13T00:00:00"/>
        <d v="2016-12-20T00:00:00"/>
        <d v="2017-11-22T00:00:00"/>
        <d v="2022-11-21T00:00:00"/>
        <d v="2022-12-30T00:00:00"/>
        <d v="2015-08-09T00:00:00"/>
        <d v="2020-07-29T00:00:00"/>
        <d v="2017-02-22T00:00:00"/>
        <d v="2024-03-09T00:00:00"/>
        <d v="2017-06-07T00:00:00"/>
        <d v="2018-02-03T00:00:00"/>
        <d v="2020-02-24T00:00:00"/>
        <d v="2019-01-03T00:00:00"/>
        <d v="2022-10-20T00:00:00"/>
        <d v="2015-08-15T00:00:00"/>
        <d v="2020-09-10T00:00:00"/>
        <d v="2019-09-17T00:00:00"/>
        <d v="2018-06-07T00:00:00"/>
        <d v="2022-12-11T00:00:00"/>
        <d v="2018-02-15T00:00:00"/>
        <d v="2018-05-23T00:00:00"/>
        <d v="2016-08-23T00:00:00"/>
        <d v="2018-05-21T00:00:00"/>
        <d v="2023-01-24T00:00:00"/>
        <d v="2017-05-08T00:00:00"/>
        <d v="2017-02-05T00:00:00"/>
        <d v="2020-06-26T00:00:00"/>
        <d v="2017-09-19T00:00:00"/>
        <d v="2023-06-03T00:00:00"/>
        <d v="2019-03-26T00:00:00"/>
        <d v="2024-05-13T00:00:00"/>
        <d v="2021-01-24T00:00:00"/>
        <d v="2018-12-29T00:00:00"/>
        <d v="2022-03-11T00:00:00"/>
        <d v="2018-11-30T00:00:00"/>
        <d v="2022-03-28T00:00:00"/>
        <d v="2017-04-26T00:00:00"/>
        <d v="2019-04-07T00:00:00"/>
        <d v="2024-03-14T00:00:00"/>
        <d v="2015-02-13T00:00:00"/>
        <d v="2020-08-26T00:00:00"/>
        <d v="2022-01-07T00:00:00"/>
        <d v="2021-08-19T00:00:00"/>
        <d v="2019-10-01T00:00:00"/>
        <d v="2020-03-25T00:00:00"/>
        <d v="2022-02-24T00:00:00"/>
        <d v="2019-11-13T00:00:00"/>
        <d v="2018-09-14T00:00:00"/>
        <d v="2020-04-16T00:00:00"/>
        <d v="2019-12-08T00:00:00"/>
        <d v="2016-09-20T00:00:00"/>
        <d v="2015-05-14T00:00:00"/>
        <d v="2022-11-02T00:00:00"/>
        <d v="2020-06-07T00:00:00"/>
        <d v="2020-10-19T00:00:00"/>
        <d v="2021-03-29T00:00:00"/>
        <d v="2019-11-09T00:00:00"/>
        <d v="2018-02-22T00:00:00"/>
        <d v="2017-05-09T00:00:00"/>
        <d v="2020-11-24T00:00:00"/>
        <d v="2018-01-29T00:00:00"/>
        <d v="2020-10-08T00:00:00"/>
        <d v="2018-12-19T00:00:00"/>
        <d v="2018-10-15T00:00:00"/>
        <d v="2017-07-05T00:00:00"/>
        <d v="2018-10-01T00:00:00"/>
        <d v="2018-08-03T00:00:00"/>
        <d v="2020-06-30T00:00:00"/>
        <d v="2018-06-30T00:00:00"/>
        <d v="2023-07-02T00:00:00"/>
        <d v="2022-08-07T00:00:00"/>
        <d v="2019-01-07T00:00:00"/>
        <d v="2017-03-18T00:00:00"/>
        <d v="2020-09-22T00:00:00"/>
        <d v="2020-07-09T00:00:00"/>
        <d v="2020-05-16T00:00:00"/>
        <d v="2022-07-09T00:00:00"/>
        <d v="2019-09-07T00:00:00"/>
        <d v="2019-11-22T00:00:00"/>
        <d v="2023-02-23T00:00:00"/>
        <d v="2017-10-02T00:00:00"/>
        <d v="2023-06-27T00:00:00"/>
        <d v="2020-09-15T00:00:00"/>
        <d v="2020-08-02T00:00:00"/>
        <d v="2023-01-07T00:00:00"/>
        <d v="2022-02-11T00:00:00"/>
        <d v="2017-04-04T00:00:00"/>
        <d v="2023-01-31T00:00:00"/>
        <d v="2022-08-08T00:00:00"/>
        <d v="2017-09-11T00:00:00"/>
        <d v="2021-01-13T00:00:00"/>
        <d v="2017-08-03T00:00:00"/>
        <d v="2023-06-18T00:00:00"/>
        <d v="2017-11-30T00:00:00"/>
        <d v="2023-12-23T00:00:00"/>
        <d v="2021-12-04T00:00:00"/>
        <d v="2015-12-26T00:00:00"/>
        <d v="2016-05-02T00:00:00"/>
        <d v="2018-02-25T00:00:00"/>
        <d v="2019-06-04T00:00:00"/>
        <d v="2015-06-01T00:00:00"/>
        <d v="2020-05-29T00:00:00"/>
        <d v="2015-09-25T00:00:00"/>
        <d v="2024-05-14T00:00:00"/>
        <d v="2022-08-27T00:00:00"/>
        <d v="2018-10-28T00:00:00"/>
        <d v="2023-11-01T00:00:00"/>
        <d v="2016-05-18T00:00:00"/>
        <d v="2022-03-14T00:00:00"/>
        <d v="2021-02-03T00:00:00"/>
        <d v="2022-04-06T00:00:00"/>
        <d v="2017-03-01T00:00:00"/>
        <d v="2018-03-01T00:00:00"/>
        <d v="2020-06-21T00:00:00"/>
        <d v="2017-02-21T00:00:00"/>
        <d v="2020-01-11T00:00:00"/>
        <d v="2016-05-29T00:00:00"/>
        <d v="2016-10-29T00:00:00"/>
        <d v="2016-02-26T00:00:00"/>
        <d v="2024-06-12T00:00:00"/>
        <d v="2019-08-31T00:00:00"/>
        <d v="2016-06-02T00:00:00"/>
        <d v="2018-11-08T00:00:00"/>
        <d v="2019-06-17T00:00:00"/>
        <d v="2022-08-19T00:00:00"/>
        <d v="2016-06-03T00:00:00"/>
        <d v="2021-09-27T00:00:00"/>
        <d v="2022-10-31T00:00:00"/>
        <d v="2015-11-14T00:00:00"/>
        <d v="2017-07-31T00:00:00"/>
        <d v="2022-10-03T00:00:00"/>
        <d v="2016-11-05T00:00:00"/>
        <d v="2016-02-24T00:00:00"/>
        <d v="2017-05-27T00:00:00"/>
        <d v="2024-04-06T00:00:00"/>
        <d v="2020-09-08T00:00:00"/>
        <d v="2017-09-08T00:00:00"/>
        <d v="2016-10-19T00:00:00"/>
        <d v="2020-07-17T00:00:00"/>
        <d v="2017-09-25T00:00:00"/>
        <d v="2017-06-01T00:00:00"/>
        <d v="2018-09-25T00:00:00"/>
        <d v="2022-01-10T00:00:00"/>
        <d v="2018-12-23T00:00:00"/>
        <d v="2018-10-11T00:00:00"/>
        <d v="2015-06-26T00:00:00"/>
        <d v="2016-05-15T00:00:00"/>
        <d v="2020-09-27T00:00:00"/>
        <d v="2016-01-18T00:00:00"/>
        <d v="2019-11-26T00:00:00"/>
        <d v="2020-11-06T00:00:00"/>
        <d v="2023-04-05T00:00:00"/>
        <d v="2017-04-01T00:00:00"/>
        <d v="2019-01-12T00:00:00"/>
        <d v="2017-06-24T00:00:00"/>
        <d v="2016-09-30T00:00:00"/>
        <d v="2019-02-09T00:00:00"/>
        <d v="2015-04-12T00:00:00"/>
        <d v="2015-06-02T00:00:00"/>
        <d v="2015-11-25T00:00:00"/>
        <d v="2020-09-18T00:00:00"/>
        <d v="2019-08-27T00:00:00"/>
        <d v="2016-05-01T00:00:00"/>
        <d v="2023-03-13T00:00:00"/>
        <d v="2024-05-30T00:00:00"/>
        <d v="2017-05-30T00:00:00"/>
        <d v="2016-03-08T00:00:00"/>
        <d v="2024-02-24T00:00:00"/>
        <d v="2019-08-29T00:00:00"/>
        <d v="2015-01-04T00:00:00"/>
        <d v="2019-07-12T00:00:00"/>
        <d v="2021-10-03T00:00:00"/>
        <d v="2020-02-02T00:00:00"/>
        <d v="2016-03-26T00:00:00"/>
        <d v="2020-04-14T00:00:00"/>
        <d v="2020-05-22T00:00:00"/>
        <d v="2023-06-15T00:00:00"/>
        <d v="2020-10-18T00:00:00"/>
        <d v="2016-01-13T00:00:00"/>
        <d v="2020-11-13T00:00:00"/>
        <d v="2020-02-15T00:00:00"/>
        <d v="2017-11-11T00:00:00"/>
        <d v="2024-03-05T00:00:00"/>
        <d v="2018-11-11T00:00:00"/>
        <d v="2017-05-17T00:00:00"/>
        <d v="2017-03-07T00:00:00"/>
        <d v="2019-04-23T00:00:00"/>
        <d v="2023-07-19T00:00:00"/>
        <d v="2024-02-06T00:00:00"/>
        <d v="2017-06-09T00:00:00"/>
        <d v="2017-12-03T00:00:00"/>
        <d v="2022-02-21T00:00:00"/>
        <d v="2016-11-17T00:00:00"/>
        <d v="2024-06-01T00:00:00"/>
        <d v="2024-04-14T00:00:00"/>
        <d v="2023-02-06T00:00:00"/>
        <d v="2017-09-27T00:00:00"/>
        <d v="2021-06-28T00:00:00"/>
        <d v="2020-11-26T00:00:00"/>
        <d v="2022-03-26T00:00:00"/>
        <d v="2017-07-12T00:00:00"/>
        <d v="2021-05-12T00:00:00"/>
        <d v="2017-11-28T00:00:00"/>
      </sharedItems>
      <fieldGroup par="17"/>
    </cacheField>
    <cacheField name="Termdate" numFmtId="14">
      <sharedItems containsSemiMixedTypes="0" containsNonDate="0" containsDate="1" containsString="0" minDate="2015-10-13T00:00:00" maxDate="2024-12-28T00:00:00" count="805">
        <d v="2021-07-05T00:00:00"/>
        <d v="2019-06-14T00:00:00"/>
        <d v="2021-03-06T00:00:00"/>
        <d v="2018-11-06T00:00:00"/>
        <d v="2023-03-29T00:00:00"/>
        <d v="2021-02-12T00:00:00"/>
        <d v="2023-04-20T00:00:00"/>
        <d v="2021-11-15T00:00:00"/>
        <d v="2022-03-30T00:00:00"/>
        <d v="2021-08-06T00:00:00"/>
        <d v="2024-01-28T00:00:00"/>
        <d v="2018-01-24T00:00:00"/>
        <d v="2020-07-29T00:00:00"/>
        <d v="2023-02-25T00:00:00"/>
        <d v="2023-09-12T00:00:00"/>
        <d v="2021-09-26T00:00:00"/>
        <d v="2019-12-08T00:00:00"/>
        <d v="2023-01-29T00:00:00"/>
        <d v="2022-09-01T00:00:00"/>
        <d v="2024-06-16T00:00:00"/>
        <d v="2022-08-06T00:00:00"/>
        <d v="2018-04-09T00:00:00"/>
        <d v="2019-10-12T00:00:00"/>
        <d v="2018-02-06T00:00:00"/>
        <d v="2021-10-27T00:00:00"/>
        <d v="2021-04-09T00:00:00"/>
        <d v="2018-06-04T00:00:00"/>
        <d v="2019-01-08T00:00:00"/>
        <d v="2021-05-10T00:00:00"/>
        <d v="2021-11-16T00:00:00"/>
        <d v="2022-11-17T00:00:00"/>
        <d v="2024-11-16T00:00:00"/>
        <d v="2018-01-13T00:00:00"/>
        <d v="2023-05-30T00:00:00"/>
        <d v="2024-02-14T00:00:00"/>
        <d v="2021-04-29T00:00:00"/>
        <d v="2019-01-20T00:00:00"/>
        <d v="2018-01-25T00:00:00"/>
        <d v="2021-12-11T00:00:00"/>
        <d v="2023-03-05T00:00:00"/>
        <d v="2024-09-19T00:00:00"/>
        <d v="2023-03-13T00:00:00"/>
        <d v="2018-12-02T00:00:00"/>
        <d v="2019-01-12T00:00:00"/>
        <d v="2019-06-05T00:00:00"/>
        <d v="2018-12-07T00:00:00"/>
        <d v="2024-11-01T00:00:00"/>
        <d v="2023-11-16T00:00:00"/>
        <d v="2018-02-05T00:00:00"/>
        <d v="2024-12-14T00:00:00"/>
        <d v="2023-12-18T00:00:00"/>
        <d v="2021-12-29T00:00:00"/>
        <d v="2019-09-20T00:00:00"/>
        <d v="2022-09-02T00:00:00"/>
        <d v="2018-03-16T00:00:00"/>
        <d v="2023-01-17T00:00:00"/>
        <d v="2022-12-12T00:00:00"/>
        <d v="2024-09-26T00:00:00"/>
        <d v="2023-03-31T00:00:00"/>
        <d v="2018-06-16T00:00:00"/>
        <d v="2021-05-16T00:00:00"/>
        <d v="2019-09-21T00:00:00"/>
        <d v="2023-06-07T00:00:00"/>
        <d v="2019-04-29T00:00:00"/>
        <d v="2021-03-05T00:00:00"/>
        <d v="2023-12-11T00:00:00"/>
        <d v="2024-07-20T00:00:00"/>
        <d v="2023-08-27T00:00:00"/>
        <d v="2023-05-06T00:00:00"/>
        <d v="2018-05-06T00:00:00"/>
        <d v="2016-11-17T00:00:00"/>
        <d v="2024-07-30T00:00:00"/>
        <d v="2018-05-28T00:00:00"/>
        <d v="2020-06-23T00:00:00"/>
        <d v="2020-12-03T00:00:00"/>
        <d v="2024-11-06T00:00:00"/>
        <d v="2024-06-29T00:00:00"/>
        <d v="2024-02-06T00:00:00"/>
        <d v="2016-09-10T00:00:00"/>
        <d v="2020-03-10T00:00:00"/>
        <d v="2020-03-12T00:00:00"/>
        <d v="2023-01-11T00:00:00"/>
        <d v="2022-07-30T00:00:00"/>
        <d v="2021-02-11T00:00:00"/>
        <d v="2022-09-27T00:00:00"/>
        <d v="2022-07-15T00:00:00"/>
        <d v="2018-02-11T00:00:00"/>
        <d v="2023-10-09T00:00:00"/>
        <d v="2024-09-03T00:00:00"/>
        <d v="2019-07-16T00:00:00"/>
        <d v="2021-02-02T00:00:00"/>
        <d v="2021-02-25T00:00:00"/>
        <d v="2020-07-27T00:00:00"/>
        <d v="2021-04-25T00:00:00"/>
        <d v="2022-12-17T00:00:00"/>
        <d v="2018-02-22T00:00:00"/>
        <d v="2024-10-23T00:00:00"/>
        <d v="2018-06-06T00:00:00"/>
        <d v="2023-08-10T00:00:00"/>
        <d v="2024-12-19T00:00:00"/>
        <d v="2023-09-17T00:00:00"/>
        <d v="2024-01-12T00:00:00"/>
        <d v="2018-05-23T00:00:00"/>
        <d v="2023-05-18T00:00:00"/>
        <d v="2024-04-24T00:00:00"/>
        <d v="2020-08-30T00:00:00"/>
        <d v="2022-04-07T00:00:00"/>
        <d v="2019-06-12T00:00:00"/>
        <d v="2020-07-12T00:00:00"/>
        <d v="2019-08-26T00:00:00"/>
        <d v="2023-11-18T00:00:00"/>
        <d v="2023-03-21T00:00:00"/>
        <d v="2021-08-25T00:00:00"/>
        <d v="2022-02-26T00:00:00"/>
        <d v="2022-09-29T00:00:00"/>
        <d v="2023-05-10T00:00:00"/>
        <d v="2020-09-06T00:00:00"/>
        <d v="2019-06-25T00:00:00"/>
        <d v="2022-04-11T00:00:00"/>
        <d v="2018-04-30T00:00:00"/>
        <d v="2019-07-15T00:00:00"/>
        <d v="2022-02-04T00:00:00"/>
        <d v="2021-05-13T00:00:00"/>
        <d v="2021-10-20T00:00:00"/>
        <d v="2022-04-27T00:00:00"/>
        <d v="2022-10-16T00:00:00"/>
        <d v="2024-04-01T00:00:00"/>
        <d v="2021-07-10T00:00:00"/>
        <d v="2023-09-07T00:00:00"/>
        <d v="2020-07-13T00:00:00"/>
        <d v="2023-04-08T00:00:00"/>
        <d v="2021-11-22T00:00:00"/>
        <d v="2018-07-25T00:00:00"/>
        <d v="2024-08-20T00:00:00"/>
        <d v="2019-03-22T00:00:00"/>
        <d v="2022-03-17T00:00:00"/>
        <d v="2018-03-13T00:00:00"/>
        <d v="2023-03-14T00:00:00"/>
        <d v="2022-10-24T00:00:00"/>
        <d v="2020-08-24T00:00:00"/>
        <d v="2024-05-13T00:00:00"/>
        <d v="2022-11-06T00:00:00"/>
        <d v="2023-05-19T00:00:00"/>
        <d v="2018-12-13T00:00:00"/>
        <d v="2019-05-05T00:00:00"/>
        <d v="2024-06-09T00:00:00"/>
        <d v="2023-11-07T00:00:00"/>
        <d v="2018-09-15T00:00:00"/>
        <d v="2022-12-31T00:00:00"/>
        <d v="2020-12-22T00:00:00"/>
        <d v="2022-09-13T00:00:00"/>
        <d v="2021-12-17T00:00:00"/>
        <d v="2021-09-24T00:00:00"/>
        <d v="2021-05-23T00:00:00"/>
        <d v="2024-05-07T00:00:00"/>
        <d v="2022-12-27T00:00:00"/>
        <d v="2023-05-25T00:00:00"/>
        <d v="2024-12-26T00:00:00"/>
        <d v="2022-02-16T00:00:00"/>
        <d v="2022-12-18T00:00:00"/>
        <d v="2023-01-12T00:00:00"/>
        <d v="2021-12-20T00:00:00"/>
        <d v="2023-12-31T00:00:00"/>
        <d v="2021-05-21T00:00:00"/>
        <d v="2022-06-08T00:00:00"/>
        <d v="2020-12-16T00:00:00"/>
        <d v="2022-10-13T00:00:00"/>
        <d v="2023-07-31T00:00:00"/>
        <d v="2021-08-07T00:00:00"/>
        <d v="2021-05-12T00:00:00"/>
        <d v="2023-12-08T00:00:00"/>
        <d v="2024-11-27T00:00:00"/>
        <d v="2023-03-27T00:00:00"/>
        <d v="2019-02-07T00:00:00"/>
        <d v="2023-11-13T00:00:00"/>
        <d v="2018-04-16T00:00:00"/>
        <d v="2021-06-12T00:00:00"/>
        <d v="2018-09-03T00:00:00"/>
        <d v="2023-09-02T00:00:00"/>
        <d v="2020-06-11T00:00:00"/>
        <d v="2023-02-14T00:00:00"/>
        <d v="2023-03-06T00:00:00"/>
        <d v="2019-09-08T00:00:00"/>
        <d v="2023-12-12T00:00:00"/>
        <d v="2023-06-06T00:00:00"/>
        <d v="2021-05-18T00:00:00"/>
        <d v="2020-01-29T00:00:00"/>
        <d v="2018-11-12T00:00:00"/>
        <d v="2019-03-10T00:00:00"/>
        <d v="2024-12-23T00:00:00"/>
        <d v="2022-08-28T00:00:00"/>
        <d v="2024-08-12T00:00:00"/>
        <d v="2019-03-28T00:00:00"/>
        <d v="2024-11-08T00:00:00"/>
        <d v="2019-01-27T00:00:00"/>
        <d v="2022-03-29T00:00:00"/>
        <d v="2024-11-21T00:00:00"/>
        <d v="2023-10-23T00:00:00"/>
        <d v="2016-10-01T00:00:00"/>
        <d v="2018-12-19T00:00:00"/>
        <d v="2019-05-04T00:00:00"/>
        <d v="2021-11-11T00:00:00"/>
        <d v="2018-07-26T00:00:00"/>
        <d v="2019-05-24T00:00:00"/>
        <d v="2016-12-14T00:00:00"/>
        <d v="2022-05-17T00:00:00"/>
        <d v="2021-08-28T00:00:00"/>
        <d v="2020-04-25T00:00:00"/>
        <d v="2023-04-09T00:00:00"/>
        <d v="2022-07-23T00:00:00"/>
        <d v="2022-07-22T00:00:00"/>
        <d v="2023-07-11T00:00:00"/>
        <d v="2018-01-05T00:00:00"/>
        <d v="2021-06-15T00:00:00"/>
        <d v="2021-09-18T00:00:00"/>
        <d v="2021-12-31T00:00:00"/>
        <d v="2019-05-02T00:00:00"/>
        <d v="2024-12-03T00:00:00"/>
        <d v="2021-02-09T00:00:00"/>
        <d v="2022-11-10T00:00:00"/>
        <d v="2019-11-05T00:00:00"/>
        <d v="2021-06-13T00:00:00"/>
        <d v="2023-06-26T00:00:00"/>
        <d v="2023-04-22T00:00:00"/>
        <d v="2018-04-11T00:00:00"/>
        <d v="2019-10-29T00:00:00"/>
        <d v="2024-08-07T00:00:00"/>
        <d v="2023-11-17T00:00:00"/>
        <d v="2020-01-23T00:00:00"/>
        <d v="2024-04-26T00:00:00"/>
        <d v="2023-08-22T00:00:00"/>
        <d v="2020-10-19T00:00:00"/>
        <d v="2021-04-11T00:00:00"/>
        <d v="2022-07-19T00:00:00"/>
        <d v="2023-07-03T00:00:00"/>
        <d v="2021-09-08T00:00:00"/>
        <d v="2020-08-26T00:00:00"/>
        <d v="2022-10-25T00:00:00"/>
        <d v="2019-01-31T00:00:00"/>
        <d v="2019-02-04T00:00:00"/>
        <d v="2024-10-15T00:00:00"/>
        <d v="2018-05-30T00:00:00"/>
        <d v="2018-04-12T00:00:00"/>
        <d v="2018-02-27T00:00:00"/>
        <d v="2019-05-18T00:00:00"/>
        <d v="2021-12-16T00:00:00"/>
        <d v="2019-02-14T00:00:00"/>
        <d v="2020-02-07T00:00:00"/>
        <d v="2022-12-23T00:00:00"/>
        <d v="2018-10-10T00:00:00"/>
        <d v="2019-03-12T00:00:00"/>
        <d v="2021-04-21T00:00:00"/>
        <d v="2024-07-22T00:00:00"/>
        <d v="2020-04-15T00:00:00"/>
        <d v="2021-04-22T00:00:00"/>
        <d v="2023-03-28T00:00:00"/>
        <d v="2021-07-15T00:00:00"/>
        <d v="2021-03-17T00:00:00"/>
        <d v="2023-07-01T00:00:00"/>
        <d v="2022-07-21T00:00:00"/>
        <d v="2022-10-12T00:00:00"/>
        <d v="2022-09-06T00:00:00"/>
        <d v="2018-06-19T00:00:00"/>
        <d v="2019-12-16T00:00:00"/>
        <d v="2020-08-03T00:00:00"/>
        <d v="2020-03-23T00:00:00"/>
        <d v="2023-07-06T00:00:00"/>
        <d v="2020-03-13T00:00:00"/>
        <d v="2022-03-24T00:00:00"/>
        <d v="2019-06-30T00:00:00"/>
        <d v="2018-01-16T00:00:00"/>
        <d v="2021-10-06T00:00:00"/>
        <d v="2024-01-22T00:00:00"/>
        <d v="2019-03-27T00:00:00"/>
        <d v="2022-12-05T00:00:00"/>
        <d v="2023-06-19T00:00:00"/>
        <d v="2018-03-07T00:00:00"/>
        <d v="2018-04-03T00:00:00"/>
        <d v="2022-12-08T00:00:00"/>
        <d v="2022-10-02T00:00:00"/>
        <d v="2018-11-17T00:00:00"/>
        <d v="2019-04-25T00:00:00"/>
        <d v="2018-06-26T00:00:00"/>
        <d v="2022-06-30T00:00:00"/>
        <d v="2019-02-11T00:00:00"/>
        <d v="2024-05-31T00:00:00"/>
        <d v="2022-04-25T00:00:00"/>
        <d v="2020-11-22T00:00:00"/>
        <d v="2022-09-11T00:00:00"/>
        <d v="2023-11-25T00:00:00"/>
        <d v="2024-06-18T00:00:00"/>
        <d v="2021-09-25T00:00:00"/>
        <d v="2024-08-27T00:00:00"/>
        <d v="2018-01-11T00:00:00"/>
        <d v="2020-01-20T00:00:00"/>
        <d v="2023-11-22T00:00:00"/>
        <d v="2020-04-27T00:00:00"/>
        <d v="2019-10-30T00:00:00"/>
        <d v="2024-10-05T00:00:00"/>
        <d v="2022-06-28T00:00:00"/>
        <d v="2022-03-18T00:00:00"/>
        <d v="2021-01-02T00:00:00"/>
        <d v="2024-03-25T00:00:00"/>
        <d v="2023-11-02T00:00:00"/>
        <d v="2019-01-04T00:00:00"/>
        <d v="2023-12-07T00:00:00"/>
        <d v="2023-09-04T00:00:00"/>
        <d v="2019-08-18T00:00:00"/>
        <d v="2022-10-09T00:00:00"/>
        <d v="2016-07-02T00:00:00"/>
        <d v="2023-03-12T00:00:00"/>
        <d v="2019-12-18T00:00:00"/>
        <d v="2023-10-24T00:00:00"/>
        <d v="2020-10-04T00:00:00"/>
        <d v="2021-11-10T00:00:00"/>
        <d v="2018-05-05T00:00:00"/>
        <d v="2018-09-23T00:00:00"/>
        <d v="2019-03-20T00:00:00"/>
        <d v="2023-11-19T00:00:00"/>
        <d v="2024-07-21T00:00:00"/>
        <d v="2022-06-17T00:00:00"/>
        <d v="2019-04-10T00:00:00"/>
        <d v="2023-11-03T00:00:00"/>
        <d v="2024-08-19T00:00:00"/>
        <d v="2018-06-17T00:00:00"/>
        <d v="2021-06-19T00:00:00"/>
        <d v="2023-06-03T00:00:00"/>
        <d v="2023-07-29T00:00:00"/>
        <d v="2021-05-29T00:00:00"/>
        <d v="2024-01-10T00:00:00"/>
        <d v="2024-11-18T00:00:00"/>
        <d v="2023-10-10T00:00:00"/>
        <d v="2024-02-11T00:00:00"/>
        <d v="2019-01-17T00:00:00"/>
        <d v="2022-09-20T00:00:00"/>
        <d v="2019-02-25T00:00:00"/>
        <d v="2024-06-04T00:00:00"/>
        <d v="2022-10-03T00:00:00"/>
        <d v="2023-01-07T00:00:00"/>
        <d v="2024-03-06T00:00:00"/>
        <d v="2020-04-16T00:00:00"/>
        <d v="2022-01-25T00:00:00"/>
        <d v="2021-04-18T00:00:00"/>
        <d v="2020-08-15T00:00:00"/>
        <d v="2019-08-04T00:00:00"/>
        <d v="2019-02-15T00:00:00"/>
        <d v="2019-11-06T00:00:00"/>
        <d v="2024-03-07T00:00:00"/>
        <d v="2023-05-04T00:00:00"/>
        <d v="2018-06-01T00:00:00"/>
        <d v="2021-01-20T00:00:00"/>
        <d v="2023-03-20T00:00:00"/>
        <d v="2018-09-27T00:00:00"/>
        <d v="2020-04-28T00:00:00"/>
        <d v="2022-11-02T00:00:00"/>
        <d v="2024-08-17T00:00:00"/>
        <d v="2023-04-15T00:00:00"/>
        <d v="2023-12-09T00:00:00"/>
        <d v="2019-01-11T00:00:00"/>
        <d v="2020-04-07T00:00:00"/>
        <d v="2021-01-17T00:00:00"/>
        <d v="2018-07-12T00:00:00"/>
        <d v="2022-05-21T00:00:00"/>
        <d v="2018-04-01T00:00:00"/>
        <d v="2018-01-28T00:00:00"/>
        <d v="2022-10-22T00:00:00"/>
        <d v="2019-02-19T00:00:00"/>
        <d v="2024-10-20T00:00:00"/>
        <d v="2024-12-13T00:00:00"/>
        <d v="2018-10-14T00:00:00"/>
        <d v="2021-01-16T00:00:00"/>
        <d v="2022-11-07T00:00:00"/>
        <d v="2020-02-27T00:00:00"/>
        <d v="2024-07-31T00:00:00"/>
        <d v="2019-04-14T00:00:00"/>
        <d v="2021-07-22T00:00:00"/>
        <d v="2019-02-02T00:00:00"/>
        <d v="2024-08-04T00:00:00"/>
        <d v="2023-10-19T00:00:00"/>
        <d v="2018-11-10T00:00:00"/>
        <d v="2021-07-17T00:00:00"/>
        <d v="2019-05-23T00:00:00"/>
        <d v="2022-08-30T00:00:00"/>
        <d v="2018-05-24T00:00:00"/>
        <d v="2018-02-26T00:00:00"/>
        <d v="2021-01-05T00:00:00"/>
        <d v="2018-03-28T00:00:00"/>
        <d v="2019-01-01T00:00:00"/>
        <d v="2019-02-03T00:00:00"/>
        <d v="2022-07-11T00:00:00"/>
        <d v="2018-04-14T00:00:00"/>
        <d v="2024-12-22T00:00:00"/>
        <d v="2018-04-05T00:00:00"/>
        <d v="2020-02-20T00:00:00"/>
        <d v="2024-08-11T00:00:00"/>
        <d v="2024-07-19T00:00:00"/>
        <d v="2023-12-13T00:00:00"/>
        <d v="2020-10-24T00:00:00"/>
        <d v="2023-07-17T00:00:00"/>
        <d v="2021-01-03T00:00:00"/>
        <d v="2020-12-17T00:00:00"/>
        <d v="2022-10-07T00:00:00"/>
        <d v="2022-05-28T00:00:00"/>
        <d v="2024-05-28T00:00:00"/>
        <d v="2019-06-19T00:00:00"/>
        <d v="2022-10-10T00:00:00"/>
        <d v="2020-10-28T00:00:00"/>
        <d v="2019-12-04T00:00:00"/>
        <d v="2023-05-23T00:00:00"/>
        <d v="2021-12-02T00:00:00"/>
        <d v="2020-06-02T00:00:00"/>
        <d v="2019-04-27T00:00:00"/>
        <d v="2020-04-26T00:00:00"/>
        <d v="2021-12-21T00:00:00"/>
        <d v="2023-02-18T00:00:00"/>
        <d v="2022-07-29T00:00:00"/>
        <d v="2019-01-07T00:00:00"/>
        <d v="2020-03-07T00:00:00"/>
        <d v="2016-02-19T00:00:00"/>
        <d v="2018-03-01T00:00:00"/>
        <d v="2024-07-02T00:00:00"/>
        <d v="2016-01-04T00:00:00"/>
        <d v="2018-12-26T00:00:00"/>
        <d v="2021-12-01T00:00:00"/>
        <d v="2023-11-26T00:00:00"/>
        <d v="2022-07-28T00:00:00"/>
        <d v="2018-06-18T00:00:00"/>
        <d v="2019-10-21T00:00:00"/>
        <d v="2024-12-27T00:00:00"/>
        <d v="2022-08-01T00:00:00"/>
        <d v="2022-01-11T00:00:00"/>
        <d v="2024-04-09T00:00:00"/>
        <d v="2022-03-04T00:00:00"/>
        <d v="2019-06-20T00:00:00"/>
        <d v="2019-11-08T00:00:00"/>
        <d v="2019-03-01T00:00:00"/>
        <d v="2022-08-05T00:00:00"/>
        <d v="2024-07-09T00:00:00"/>
        <d v="2024-03-22T00:00:00"/>
        <d v="2021-12-24T00:00:00"/>
        <d v="2021-05-06T00:00:00"/>
        <d v="2024-03-24T00:00:00"/>
        <d v="2021-05-02T00:00:00"/>
        <d v="2019-12-05T00:00:00"/>
        <d v="2019-11-17T00:00:00"/>
        <d v="2023-11-09T00:00:00"/>
        <d v="2022-09-25T00:00:00"/>
        <d v="2023-10-22T00:00:00"/>
        <d v="2021-08-22T00:00:00"/>
        <d v="2018-08-16T00:00:00"/>
        <d v="2020-08-27T00:00:00"/>
        <d v="2023-06-05T00:00:00"/>
        <d v="2022-05-01T00:00:00"/>
        <d v="2021-06-29T00:00:00"/>
        <d v="2018-05-19T00:00:00"/>
        <d v="2024-01-30T00:00:00"/>
        <d v="2024-12-17T00:00:00"/>
        <d v="2020-11-24T00:00:00"/>
        <d v="2021-07-27T00:00:00"/>
        <d v="2024-08-21T00:00:00"/>
        <d v="2018-01-02T00:00:00"/>
        <d v="2016-08-07T00:00:00"/>
        <d v="2021-04-12T00:00:00"/>
        <d v="2024-10-12T00:00:00"/>
        <d v="2022-05-18T00:00:00"/>
        <d v="2019-01-24T00:00:00"/>
        <d v="2018-01-10T00:00:00"/>
        <d v="2021-07-31T00:00:00"/>
        <d v="2023-06-18T00:00:00"/>
        <d v="2019-10-19T00:00:00"/>
        <d v="2021-09-17T00:00:00"/>
        <d v="2022-07-07T00:00:00"/>
        <d v="2024-08-10T00:00:00"/>
        <d v="2018-12-11T00:00:00"/>
        <d v="2020-08-25T00:00:00"/>
        <d v="2018-03-05T00:00:00"/>
        <d v="2019-08-12T00:00:00"/>
        <d v="2019-01-23T00:00:00"/>
        <d v="2022-10-01T00:00:00"/>
        <d v="2024-10-02T00:00:00"/>
        <d v="2023-04-01T00:00:00"/>
        <d v="2019-01-18T00:00:00"/>
        <d v="2021-01-21T00:00:00"/>
        <d v="2019-11-21T00:00:00"/>
        <d v="2023-05-02T00:00:00"/>
        <d v="2024-09-29T00:00:00"/>
        <d v="2024-10-27T00:00:00"/>
        <d v="2021-01-10T00:00:00"/>
        <d v="2022-09-05T00:00:00"/>
        <d v="2021-01-11T00:00:00"/>
        <d v="2022-08-21T00:00:00"/>
        <d v="2021-07-03T00:00:00"/>
        <d v="2021-10-01T00:00:00"/>
        <d v="2021-12-28T00:00:00"/>
        <d v="2021-08-30T00:00:00"/>
        <d v="2021-03-02T00:00:00"/>
        <d v="2023-06-12T00:00:00"/>
        <d v="2023-09-10T00:00:00"/>
        <d v="2016-06-22T00:00:00"/>
        <d v="2023-08-01T00:00:00"/>
        <d v="2023-04-02T00:00:00"/>
        <d v="2020-11-07T00:00:00"/>
        <d v="2021-04-03T00:00:00"/>
        <d v="2024-07-07T00:00:00"/>
        <d v="2020-06-18T00:00:00"/>
        <d v="2023-10-14T00:00:00"/>
        <d v="2020-05-31T00:00:00"/>
        <d v="2024-12-04T00:00:00"/>
        <d v="2021-07-06T00:00:00"/>
        <d v="2023-08-18T00:00:00"/>
        <d v="2022-04-03T00:00:00"/>
        <d v="2022-11-21T00:00:00"/>
        <d v="2019-01-16T00:00:00"/>
        <d v="2020-06-13T00:00:00"/>
        <d v="2024-09-20T00:00:00"/>
        <d v="2023-09-11T00:00:00"/>
        <d v="2023-06-14T00:00:00"/>
        <d v="2023-02-24T00:00:00"/>
        <d v="2021-04-07T00:00:00"/>
        <d v="2019-10-31T00:00:00"/>
        <d v="2022-05-03T00:00:00"/>
        <d v="2020-04-24T00:00:00"/>
        <d v="2019-02-21T00:00:00"/>
        <d v="2023-12-01T00:00:00"/>
        <d v="2018-01-20T00:00:00"/>
        <d v="2022-02-08T00:00:00"/>
        <d v="2019-03-05T00:00:00"/>
        <d v="2020-08-14T00:00:00"/>
        <d v="2022-05-09T00:00:00"/>
        <d v="2022-06-16T00:00:00"/>
        <d v="2018-01-17T00:00:00"/>
        <d v="2019-02-23T00:00:00"/>
        <d v="2021-07-19T00:00:00"/>
        <d v="2024-10-13T00:00:00"/>
        <d v="2018-10-09T00:00:00"/>
        <d v="2024-10-18T00:00:00"/>
        <d v="2024-09-28T00:00:00"/>
        <d v="2020-05-15T00:00:00"/>
        <d v="2021-09-19T00:00:00"/>
        <d v="2021-06-28T00:00:00"/>
        <d v="2018-01-03T00:00:00"/>
        <d v="2024-03-26T00:00:00"/>
        <d v="2020-07-22T00:00:00"/>
        <d v="2023-10-29T00:00:00"/>
        <d v="2023-04-14T00:00:00"/>
        <d v="2023-07-14T00:00:00"/>
        <d v="2021-12-30T00:00:00"/>
        <d v="2021-11-01T00:00:00"/>
        <d v="2022-12-09T00:00:00"/>
        <d v="2022-08-31T00:00:00"/>
        <d v="2021-01-04T00:00:00"/>
        <d v="2024-05-19T00:00:00"/>
        <d v="2021-08-23T00:00:00"/>
        <d v="2022-12-15T00:00:00"/>
        <d v="2022-12-03T00:00:00"/>
        <d v="2020-02-06T00:00:00"/>
        <d v="2022-10-28T00:00:00"/>
        <d v="2021-04-27T00:00:00"/>
        <d v="2018-09-11T00:00:00"/>
        <d v="2018-08-23T00:00:00"/>
        <d v="2021-02-24T00:00:00"/>
        <d v="2023-05-07T00:00:00"/>
        <d v="2024-10-19T00:00:00"/>
        <d v="2021-11-24T00:00:00"/>
        <d v="2023-02-16T00:00:00"/>
        <d v="2019-04-30T00:00:00"/>
        <d v="2024-09-25T00:00:00"/>
        <d v="2024-03-05T00:00:00"/>
        <d v="2022-06-18T00:00:00"/>
        <d v="2018-12-22T00:00:00"/>
        <d v="2023-07-21T00:00:00"/>
        <d v="2024-01-25T00:00:00"/>
        <d v="2019-04-23T00:00:00"/>
        <d v="2023-01-01T00:00:00"/>
        <d v="2021-09-06T00:00:00"/>
        <d v="2019-10-04T00:00:00"/>
        <d v="2023-10-03T00:00:00"/>
        <d v="2024-10-22T00:00:00"/>
        <d v="2019-03-16T00:00:00"/>
        <d v="2023-04-06T00:00:00"/>
        <d v="2019-03-19T00:00:00"/>
        <d v="2020-11-29T00:00:00"/>
        <d v="2021-10-15T00:00:00"/>
        <d v="2023-04-03T00:00:00"/>
        <d v="2020-09-19T00:00:00"/>
        <d v="2019-07-23T00:00:00"/>
        <d v="2021-11-30T00:00:00"/>
        <d v="2023-07-19T00:00:00"/>
        <d v="2018-10-07T00:00:00"/>
        <d v="2019-05-13T00:00:00"/>
        <d v="2019-04-24T00:00:00"/>
        <d v="2019-08-28T00:00:00"/>
        <d v="2024-09-14T00:00:00"/>
        <d v="2023-10-18T00:00:00"/>
        <d v="2020-08-02T00:00:00"/>
        <d v="2023-05-20T00:00:00"/>
        <d v="2023-06-28T00:00:00"/>
        <d v="2024-08-28T00:00:00"/>
        <d v="2021-01-25T00:00:00"/>
        <d v="2021-10-28T00:00:00"/>
        <d v="2018-05-26T00:00:00"/>
        <d v="2018-11-11T00:00:00"/>
        <d v="2023-10-26T00:00:00"/>
        <d v="2020-10-21T00:00:00"/>
        <d v="2024-09-05T00:00:00"/>
        <d v="2024-06-01T00:00:00"/>
        <d v="2023-05-22T00:00:00"/>
        <d v="2020-08-22T00:00:00"/>
        <d v="2019-07-02T00:00:00"/>
        <d v="2023-12-17T00:00:00"/>
        <d v="2016-02-11T00:00:00"/>
        <d v="2021-03-09T00:00:00"/>
        <d v="2020-03-15T00:00:00"/>
        <d v="2020-06-07T00:00:00"/>
        <d v="2023-06-09T00:00:00"/>
        <d v="2018-08-14T00:00:00"/>
        <d v="2021-01-23T00:00:00"/>
        <d v="2024-07-25T00:00:00"/>
        <d v="2020-03-28T00:00:00"/>
        <d v="2020-08-06T00:00:00"/>
        <d v="2020-07-16T00:00:00"/>
        <d v="2023-07-23T00:00:00"/>
        <d v="2021-06-25T00:00:00"/>
        <d v="2019-05-26T00:00:00"/>
        <d v="2020-11-30T00:00:00"/>
        <d v="2021-08-20T00:00:00"/>
        <d v="2021-07-01T00:00:00"/>
        <d v="2023-11-30T00:00:00"/>
        <d v="2024-11-09T00:00:00"/>
        <d v="2021-07-23T00:00:00"/>
        <d v="2019-06-27T00:00:00"/>
        <d v="2022-09-07T00:00:00"/>
        <d v="2018-05-07T00:00:00"/>
        <d v="2018-06-10T00:00:00"/>
        <d v="2019-06-16T00:00:00"/>
        <d v="2018-03-14T00:00:00"/>
        <d v="2019-05-29T00:00:00"/>
        <d v="2022-09-24T00:00:00"/>
        <d v="2018-09-22T00:00:00"/>
        <d v="2024-09-10T00:00:00"/>
        <d v="2021-10-18T00:00:00"/>
        <d v="2022-07-06T00:00:00"/>
        <d v="2024-08-24T00:00:00"/>
        <d v="2020-03-29T00:00:00"/>
        <d v="2020-09-21T00:00:00"/>
        <d v="2022-08-23T00:00:00"/>
        <d v="2020-05-11T00:00:00"/>
        <d v="2020-09-16T00:00:00"/>
        <d v="2019-03-13T00:00:00"/>
        <d v="2020-10-13T00:00:00"/>
        <d v="2020-06-05T00:00:00"/>
        <d v="2021-09-12T00:00:00"/>
        <d v="2023-05-01T00:00:00"/>
        <d v="2020-12-04T00:00:00"/>
        <d v="2021-04-17T00:00:00"/>
        <d v="2024-10-09T00:00:00"/>
        <d v="2020-05-07T00:00:00"/>
        <d v="2018-08-21T00:00:00"/>
        <d v="2020-09-26T00:00:00"/>
        <d v="2023-03-18T00:00:00"/>
        <d v="2020-12-12T00:00:00"/>
        <d v="2021-04-06T00:00:00"/>
        <d v="2019-06-17T00:00:00"/>
        <d v="2020-04-17T00:00:00"/>
        <d v="2022-01-30T00:00:00"/>
        <d v="2021-08-15T00:00:00"/>
        <d v="2019-01-30T00:00:00"/>
        <d v="2022-12-10T00:00:00"/>
        <d v="2018-02-20T00:00:00"/>
        <d v="2021-12-18T00:00:00"/>
        <d v="2024-08-26T00:00:00"/>
        <d v="2023-02-03T00:00:00"/>
        <d v="2019-07-06T00:00:00"/>
        <d v="2022-11-23T00:00:00"/>
        <d v="2019-04-09T00:00:00"/>
        <d v="2021-03-21T00:00:00"/>
        <d v="2019-12-03T00:00:00"/>
        <d v="2022-01-14T00:00:00"/>
        <d v="2024-11-24T00:00:00"/>
        <d v="2023-01-05T00:00:00"/>
        <d v="2020-05-20T00:00:00"/>
        <d v="2020-09-17T00:00:00"/>
        <d v="2020-04-21T00:00:00"/>
        <d v="2023-12-24T00:00:00"/>
        <d v="2022-03-22T00:00:00"/>
        <d v="2021-01-29T00:00:00"/>
        <d v="2024-04-07T00:00:00"/>
        <d v="2022-08-10T00:00:00"/>
        <d v="2023-07-30T00:00:00"/>
        <d v="2023-02-04T00:00:00"/>
        <d v="2018-03-09T00:00:00"/>
        <d v="2021-07-12T00:00:00"/>
        <d v="2018-01-30T00:00:00"/>
        <d v="2023-12-15T00:00:00"/>
        <d v="2019-03-08T00:00:00"/>
        <d v="2024-06-20T00:00:00"/>
        <d v="2022-06-02T00:00:00"/>
        <d v="2023-01-23T00:00:00"/>
        <d v="2018-03-11T00:00:00"/>
        <d v="2018-08-24T00:00:00"/>
        <d v="2019-12-01T00:00:00"/>
        <d v="2024-12-15T00:00:00"/>
        <d v="2021-07-21T00:00:00"/>
        <d v="2021-06-11T00:00:00"/>
        <d v="2024-11-10T00:00:00"/>
        <d v="2023-02-23T00:00:00"/>
        <d v="2020-06-09T00:00:00"/>
        <d v="2024-04-29T00:00:00"/>
        <d v="2024-12-09T00:00:00"/>
        <d v="2022-09-10T00:00:00"/>
        <d v="2021-08-02T00:00:00"/>
        <d v="2021-05-26T00:00:00"/>
        <d v="2020-11-15T00:00:00"/>
        <d v="2017-08-20T00:00:00"/>
        <d v="2018-02-01T00:00:00"/>
        <d v="2020-07-09T00:00:00"/>
        <d v="2023-01-28T00:00:00"/>
        <d v="2024-04-06T00:00:00"/>
        <d v="2017-04-27T00:00:00"/>
        <d v="2024-05-05T00:00:00"/>
        <d v="2018-09-04T00:00:00"/>
        <d v="2024-02-08T00:00:00"/>
        <d v="2024-05-29T00:00:00"/>
        <d v="2020-12-23T00:00:00"/>
        <d v="2016-11-29T00:00:00"/>
        <d v="2019-05-07T00:00:00"/>
        <d v="2020-01-18T00:00:00"/>
        <d v="2023-10-27T00:00:00"/>
        <d v="2024-05-04T00:00:00"/>
        <d v="2017-12-30T00:00:00"/>
        <d v="2022-03-26T00:00:00"/>
        <d v="2023-04-29T00:00:00"/>
        <d v="2021-07-08T00:00:00"/>
        <d v="2021-06-26T00:00:00"/>
        <d v="2018-01-27T00:00:00"/>
        <d v="2018-08-20T00:00:00"/>
        <d v="2018-01-19T00:00:00"/>
        <d v="2017-01-21T00:00:00"/>
        <d v="2017-07-30T00:00:00"/>
        <d v="2023-02-28T00:00:00"/>
        <d v="2018-06-22T00:00:00"/>
        <d v="2020-03-03T00:00:00"/>
        <d v="2024-10-03T00:00:00"/>
        <d v="2021-03-07T00:00:00"/>
        <d v="2021-07-04T00:00:00"/>
        <d v="2023-10-16T00:00:00"/>
        <d v="2019-07-20T00:00:00"/>
        <d v="2024-02-26T00:00:00"/>
        <d v="2019-03-24T00:00:00"/>
        <d v="2022-07-09T00:00:00"/>
        <d v="2019-06-21T00:00:00"/>
        <d v="2018-05-08T00:00:00"/>
        <d v="2024-12-05T00:00:00"/>
        <d v="2021-03-26T00:00:00"/>
        <d v="2020-02-17T00:00:00"/>
        <d v="2023-10-02T00:00:00"/>
        <d v="2024-12-12T00:00:00"/>
        <d v="2017-09-28T00:00:00"/>
        <d v="2019-07-11T00:00:00"/>
        <d v="2021-08-13T00:00:00"/>
        <d v="2020-02-22T00:00:00"/>
        <d v="2020-03-19T00:00:00"/>
        <d v="2017-03-28T00:00:00"/>
        <d v="2021-10-05T00:00:00"/>
        <d v="2022-11-29T00:00:00"/>
        <d v="2023-12-02T00:00:00"/>
        <d v="2023-09-09T00:00:00"/>
        <d v="2024-11-26T00:00:00"/>
        <d v="2023-06-01T00:00:00"/>
        <d v="2024-08-22T00:00:00"/>
        <d v="2020-02-25T00:00:00"/>
        <d v="2015-10-13T00:00:00"/>
        <d v="2021-12-22T00:00:00"/>
        <d v="2020-01-08T00:00:00"/>
        <d v="2022-04-01T00:00:00"/>
        <d v="2021-12-10T00:00:00"/>
        <d v="2018-05-12T00:00:00"/>
        <d v="2019-01-28T00:00:00"/>
        <d v="2020-10-11T00:00:00"/>
        <d v="2021-06-24T00:00:00"/>
        <d v="2018-10-25T00:00:00"/>
        <d v="2023-01-27T00:00:00"/>
        <d v="2019-03-06T00:00:00"/>
        <d v="2020-08-13T00:00:00"/>
        <d v="2022-12-28T00:00:00"/>
        <d v="2024-09-01T00:00:00"/>
        <d v="2019-05-10T00:00:00"/>
        <d v="2017-09-13T00:00:00"/>
        <d v="2021-09-07T00:00:00"/>
        <d v="2024-01-15T00:00:00"/>
        <d v="2019-12-11T00:00:00"/>
        <d v="2018-05-31T00:00:00"/>
        <d v="2022-08-20T00:00:00"/>
        <d v="2024-11-28T00:00:00"/>
        <d v="2024-10-11T00:00:00"/>
        <d v="2024-09-06T00:00:00"/>
        <d v="2023-08-05T00:00:00"/>
        <d v="2018-03-25T00:00:00"/>
        <d v="2021-11-04T00:00:00"/>
        <d v="2021-12-25T00:00:00"/>
        <d v="2021-05-25T00:00:00"/>
        <d v="2022-09-22T00:00:00"/>
        <d v="2021-07-30T00:00:00"/>
        <d v="2022-01-19T00:00:00"/>
        <d v="2023-01-15T00:00:00"/>
      </sharedItems>
      <fieldGroup par="15"/>
    </cacheField>
    <cacheField name="Department" numFmtId="0">
      <sharedItems count="7">
        <s v="Customer Service"/>
        <s v="IT"/>
        <s v="Operations"/>
        <s v="Finance"/>
        <s v="Marketing"/>
        <s v="HR"/>
        <s v="Sales"/>
      </sharedItems>
    </cacheField>
    <cacheField name="Job Title" numFmtId="0">
      <sharedItems/>
    </cacheField>
    <cacheField name="Salary" numFmtId="0">
      <sharedItems containsSemiMixedTypes="0" containsString="0" containsNumber="1" containsInteger="1" minValue="51865" maxValue="131494"/>
    </cacheField>
    <cacheField name="Performance Rating" numFmtId="0">
      <sharedItems count="4">
        <s v="Needs Improvement"/>
        <s v="Good"/>
        <s v="Satisfactory"/>
        <s v="Excellent"/>
      </sharedItems>
    </cacheField>
    <cacheField name="Months (Termdate)" numFmtId="0" databaseField="0">
      <fieldGroup base="9">
        <rangePr groupBy="months" startDate="2015-10-13T00:00:00" endDate="2024-12-28T00:00:00"/>
        <groupItems count="14">
          <s v="&lt;13-10-2015"/>
          <s v="Jan"/>
          <s v="Feb"/>
          <s v="Mar"/>
          <s v="Apr"/>
          <s v="May"/>
          <s v="Jun"/>
          <s v="Jul"/>
          <s v="Aug"/>
          <s v="Sep"/>
          <s v="Oct"/>
          <s v="Nov"/>
          <s v="Dec"/>
          <s v="&gt;28-12-2024"/>
        </groupItems>
      </fieldGroup>
    </cacheField>
    <cacheField name="Years (Termdate)" numFmtId="0" databaseField="0">
      <fieldGroup base="9">
        <rangePr groupBy="years" startDate="2015-10-13T00:00:00" endDate="2024-12-28T00:00:00"/>
        <groupItems count="12">
          <s v="&lt;13-10-2015"/>
          <s v="2015"/>
          <s v="2016"/>
          <s v="2017"/>
          <s v="2018"/>
          <s v="2019"/>
          <s v="2020"/>
          <s v="2021"/>
          <s v="2022"/>
          <s v="2023"/>
          <s v="2024"/>
          <s v="&gt;28-12-2024"/>
        </groupItems>
      </fieldGroup>
    </cacheField>
    <cacheField name="Months (Hiredate)" numFmtId="0" databaseField="0">
      <fieldGroup base="8">
        <rangePr groupBy="months" startDate="2015-01-04T00:00:00" endDate="2024-07-01T00:00:00"/>
        <groupItems count="14">
          <s v="&lt;04-01-2015"/>
          <s v="Jan"/>
          <s v="Feb"/>
          <s v="Mar"/>
          <s v="Apr"/>
          <s v="May"/>
          <s v="Jun"/>
          <s v="Jul"/>
          <s v="Aug"/>
          <s v="Sep"/>
          <s v="Oct"/>
          <s v="Nov"/>
          <s v="Dec"/>
          <s v="&gt;01-07-2024"/>
        </groupItems>
      </fieldGroup>
    </cacheField>
    <cacheField name="Years (Hiredate)" numFmtId="0" databaseField="0">
      <fieldGroup base="8">
        <rangePr groupBy="years" startDate="2015-01-04T00:00:00" endDate="2024-07-01T00:00:00"/>
        <groupItems count="12">
          <s v="&lt;04-01-2015"/>
          <s v="2015"/>
          <s v="2016"/>
          <s v="2017"/>
          <s v="2018"/>
          <s v="2019"/>
          <s v="2020"/>
          <s v="2021"/>
          <s v="2022"/>
          <s v="2023"/>
          <s v="2024"/>
          <s v="&gt;01-07-2024"/>
        </groupItems>
      </fieldGroup>
    </cacheField>
  </cacheFields>
  <extLst>
    <ext xmlns:x14="http://schemas.microsoft.com/office/spreadsheetml/2009/9/main" uri="{725AE2AE-9491-48be-B2B4-4EB974FC3084}">
      <x14:pivotCacheDefinition pivotCacheId="143942214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ulnath" refreshedDate="45758.055010300923" createdVersion="8" refreshedVersion="8" minRefreshableVersion="3" recordCount="966" xr:uid="{CC705970-B9F5-463D-B153-15AF264F111A}">
  <cacheSource type="worksheet">
    <worksheetSource ref="A1:R967" sheet="Human_Resources_2015_2024"/>
  </cacheSource>
  <cacheFields count="18">
    <cacheField name="Employee_ID" numFmtId="0">
      <sharedItems/>
    </cacheField>
    <cacheField name="First Name" numFmtId="0">
      <sharedItems/>
    </cacheField>
    <cacheField name="Last Name" numFmtId="0">
      <sharedItems/>
    </cacheField>
    <cacheField name="Gender" numFmtId="0">
      <sharedItems/>
    </cacheField>
    <cacheField name="State" numFmtId="0">
      <sharedItems/>
    </cacheField>
    <cacheField name="City" numFmtId="0">
      <sharedItems/>
    </cacheField>
    <cacheField name="Education Level" numFmtId="0">
      <sharedItems/>
    </cacheField>
    <cacheField name="Birthdate" numFmtId="14">
      <sharedItems containsSemiMixedTypes="0" containsNonDate="0" containsDate="1" containsString="0" minDate="1959-06-25T00:00:00" maxDate="2004-05-11T00:00:00"/>
    </cacheField>
    <cacheField name="Hiredate" numFmtId="14">
      <sharedItems containsSemiMixedTypes="0" containsNonDate="0" containsDate="1" containsString="0" minDate="2015-01-04T00:00:00" maxDate="2024-07-01T00:00:00"/>
    </cacheField>
    <cacheField name="Termdate" numFmtId="14">
      <sharedItems containsSemiMixedTypes="0" containsNonDate="0" containsDate="1" containsString="0" minDate="2015-10-13T00:00:00" maxDate="2024-12-28T00:00:00"/>
    </cacheField>
    <cacheField name="Department" numFmtId="0">
      <sharedItems count="7">
        <s v="Customer Service"/>
        <s v="IT"/>
        <s v="Operations"/>
        <s v="Finance"/>
        <s v="Marketing"/>
        <s v="HR"/>
        <s v="Sales"/>
      </sharedItems>
    </cacheField>
    <cacheField name="Job Title" numFmtId="0">
      <sharedItems/>
    </cacheField>
    <cacheField name="Salary" numFmtId="0">
      <sharedItems containsSemiMixedTypes="0" containsString="0" containsNumber="1" containsInteger="1" minValue="51865" maxValue="131494"/>
    </cacheField>
    <cacheField name="Performance Rating" numFmtId="0">
      <sharedItems/>
    </cacheField>
    <cacheField name="Tenure (Years)" numFmtId="0">
      <sharedItems containsSemiMixedTypes="0" containsString="0" containsNumber="1" minValue="0.48767123287671232" maxValue="10.24931506849315"/>
    </cacheField>
    <cacheField name="Employment Status" numFmtId="0">
      <sharedItems/>
    </cacheField>
    <cacheField name="AGE" numFmtId="0">
      <sharedItems containsSemiMixedTypes="0" containsString="0" containsNumber="1" containsInteger="1" minValue="20" maxValue="65" count="46">
        <n v="45"/>
        <n v="37"/>
        <n v="30"/>
        <n v="44"/>
        <n v="36"/>
        <n v="33"/>
        <n v="29"/>
        <n v="22"/>
        <n v="31"/>
        <n v="50"/>
        <n v="57"/>
        <n v="23"/>
        <n v="61"/>
        <n v="62"/>
        <n v="65"/>
        <n v="51"/>
        <n v="34"/>
        <n v="32"/>
        <n v="47"/>
        <n v="42"/>
        <n v="64"/>
        <n v="54"/>
        <n v="41"/>
        <n v="55"/>
        <n v="53"/>
        <n v="43"/>
        <n v="21"/>
        <n v="40"/>
        <n v="38"/>
        <n v="59"/>
        <n v="46"/>
        <n v="26"/>
        <n v="48"/>
        <n v="49"/>
        <n v="27"/>
        <n v="35"/>
        <n v="52"/>
        <n v="24"/>
        <n v="39"/>
        <n v="28"/>
        <n v="58"/>
        <n v="25"/>
        <n v="56"/>
        <n v="63"/>
        <n v="60"/>
        <n v="20"/>
      </sharedItems>
      <fieldGroup base="16">
        <rangePr startNum="20" endNum="65" groupInterval="5"/>
        <groupItems count="11">
          <s v="&lt;20"/>
          <s v="20-24"/>
          <s v="25-29"/>
          <s v="30-34"/>
          <s v="35-39"/>
          <s v="40-44"/>
          <s v="45-49"/>
          <s v="50-54"/>
          <s v="55-59"/>
          <s v="60-65"/>
          <s v="&gt;65"/>
        </groupItems>
      </fieldGroup>
    </cacheField>
    <cacheField name="Salary Distribution Lev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51">
  <r>
    <x v="0"/>
    <s v="Danielle"/>
    <s v="Johnson"/>
    <s v="Female"/>
    <s v="New York"/>
    <s v="New York City"/>
    <s v="High School"/>
    <d v="1980-02-13T00:00:00"/>
    <d v="2016-04-16T00:00:00"/>
    <d v="2021-07-05T00:00:00"/>
    <x v="0"/>
    <s v="Help Desk Technician"/>
    <x v="0"/>
    <s v="Needs Improvement"/>
    <n v="5.2219178082191782"/>
    <x v="0"/>
    <n v="45"/>
    <s v="Medium"/>
  </r>
  <r>
    <x v="1"/>
    <s v="John"/>
    <s v="Taylor"/>
    <s v="Male"/>
    <s v="North Carolina"/>
    <s v="Charlotte"/>
    <s v="Bachelor"/>
    <d v="1987-09-22T00:00:00"/>
    <d v="2017-02-09T00:00:00"/>
    <d v="2019-06-14T00:00:00"/>
    <x v="1"/>
    <s v="System Administrator"/>
    <x v="1"/>
    <s v="Good"/>
    <n v="2.342465753424658"/>
    <x v="0"/>
    <n v="37"/>
    <s v="High"/>
  </r>
  <r>
    <x v="2"/>
    <s v="Erica"/>
    <s v="Mcclain"/>
    <s v="Male"/>
    <s v="New York"/>
    <s v="New York City"/>
    <s v="Bachelor"/>
    <d v="1994-05-19T00:00:00"/>
    <d v="2016-02-03T00:00:00"/>
    <d v="2021-03-06T00:00:00"/>
    <x v="2"/>
    <s v="Logistics Coordinator"/>
    <x v="2"/>
    <s v="Good"/>
    <n v="5.0904109589041093"/>
    <x v="0"/>
    <n v="30"/>
    <s v="Medium"/>
  </r>
  <r>
    <x v="3"/>
    <s v="Brittany"/>
    <s v="Johnson"/>
    <s v="Male"/>
    <s v="New York"/>
    <s v="New York City"/>
    <s v="Bachelor"/>
    <d v="1980-04-18T00:00:00"/>
    <d v="2016-02-06T00:00:00"/>
    <d v="2018-11-06T00:00:00"/>
    <x v="2"/>
    <s v="Inventory Specialist"/>
    <x v="3"/>
    <s v="Good"/>
    <n v="2.7506849315068491"/>
    <x v="0"/>
    <n v="44"/>
    <s v="Medium"/>
  </r>
  <r>
    <x v="4"/>
    <s v="Anna"/>
    <s v="Baldwin"/>
    <s v="Female"/>
    <s v="New York"/>
    <s v="New York City"/>
    <s v="Bachelor"/>
    <d v="1988-05-31T00:00:00"/>
    <d v="2022-09-30T00:00:00"/>
    <d v="2023-03-29T00:00:00"/>
    <x v="2"/>
    <s v="Operations Analyst"/>
    <x v="4"/>
    <s v="Good"/>
    <n v="10.24931506849315"/>
    <x v="1"/>
    <n v="36"/>
    <s v="Medium"/>
  </r>
  <r>
    <x v="5"/>
    <s v="Amy"/>
    <s v="Robinson"/>
    <s v="Male"/>
    <s v="New York"/>
    <s v="New York City"/>
    <s v="Bachelor"/>
    <d v="1991-07-16T00:00:00"/>
    <d v="2020-08-16T00:00:00"/>
    <d v="2021-02-12T00:00:00"/>
    <x v="3"/>
    <s v="Accountant"/>
    <x v="5"/>
    <s v="Good"/>
    <n v="0.49315068493150682"/>
    <x v="0"/>
    <n v="33"/>
    <s v="Medium"/>
  </r>
  <r>
    <x v="6"/>
    <s v="Joshua"/>
    <s v="Booth"/>
    <s v="Female"/>
    <s v="New York"/>
    <s v="New York City"/>
    <s v="Bachelor"/>
    <d v="1995-09-19T00:00:00"/>
    <d v="2022-10-22T00:00:00"/>
    <d v="2023-04-20T00:00:00"/>
    <x v="3"/>
    <s v="Accounts Payable Specialist"/>
    <x v="6"/>
    <s v="Good"/>
    <n v="0.49315068493150682"/>
    <x v="0"/>
    <n v="29"/>
    <s v="Low"/>
  </r>
  <r>
    <x v="7"/>
    <s v="Linda"/>
    <s v="Wolfe"/>
    <s v="Male"/>
    <s v="New York"/>
    <s v="New York City"/>
    <s v="High School"/>
    <d v="2002-05-11T00:00:00"/>
    <d v="2017-05-13T00:00:00"/>
    <d v="2021-11-15T00:00:00"/>
    <x v="2"/>
    <s v="Inventory Specialist"/>
    <x v="7"/>
    <s v="Needs Improvement"/>
    <n v="0.49315068493150682"/>
    <x v="0"/>
    <n v="22"/>
    <s v="Low"/>
  </r>
  <r>
    <x v="8"/>
    <s v="Joshua"/>
    <s v="Lewis"/>
    <s v="Female"/>
    <s v="New York"/>
    <s v="New York City"/>
    <s v="Bachelor"/>
    <d v="1980-11-21T00:00:00"/>
    <d v="2018-10-24T00:00:00"/>
    <d v="2022-03-30T00:00:00"/>
    <x v="2"/>
    <s v="Logistics Coordinator"/>
    <x v="8"/>
    <s v="Good"/>
    <n v="4.5123287671232877"/>
    <x v="0"/>
    <n v="44"/>
    <s v="Low"/>
  </r>
  <r>
    <x v="9"/>
    <s v="Matthew"/>
    <s v="Davis"/>
    <s v="Female"/>
    <s v="New York"/>
    <s v="New York City"/>
    <s v="High School"/>
    <d v="1994-02-08T00:00:00"/>
    <d v="2021-02-07T00:00:00"/>
    <d v="2021-08-06T00:00:00"/>
    <x v="4"/>
    <s v="SEO Specialist"/>
    <x v="9"/>
    <s v="Needs Improvement"/>
    <n v="3.4328767123287669"/>
    <x v="0"/>
    <n v="31"/>
    <s v="Medium"/>
  </r>
  <r>
    <x v="10"/>
    <s v="Michael"/>
    <s v="Cooper"/>
    <s v="Female"/>
    <s v="New York"/>
    <s v="New York City"/>
    <s v="High School"/>
    <d v="1974-04-26T00:00:00"/>
    <d v="2020-04-12T00:00:00"/>
    <d v="2024-01-28T00:00:00"/>
    <x v="5"/>
    <s v="Recruiter"/>
    <x v="10"/>
    <s v="Needs Improvement"/>
    <n v="0.49315068493150682"/>
    <x v="0"/>
    <n v="50"/>
    <s v="Medium"/>
  </r>
  <r>
    <x v="11"/>
    <s v="Lindsay"/>
    <s v="Blair"/>
    <s v="Male"/>
    <s v="New York"/>
    <s v="New York City"/>
    <s v="Bachelor"/>
    <d v="1967-05-26T00:00:00"/>
    <d v="2017-07-28T00:00:00"/>
    <d v="2018-01-24T00:00:00"/>
    <x v="2"/>
    <s v="Operations Analyst"/>
    <x v="11"/>
    <s v="Good"/>
    <n v="3.7972602739726029"/>
    <x v="0"/>
    <n v="57"/>
    <s v="Medium"/>
  </r>
  <r>
    <x v="12"/>
    <s v="David"/>
    <s v="Nielsen"/>
    <s v="Female"/>
    <s v="New York"/>
    <s v="New York City"/>
    <s v="High School"/>
    <d v="2001-07-26T00:00:00"/>
    <d v="2020-01-31T00:00:00"/>
    <d v="2020-07-29T00:00:00"/>
    <x v="0"/>
    <s v="Help Desk Technician"/>
    <x v="12"/>
    <s v="Needs Improvement"/>
    <n v="0.49315068493150682"/>
    <x v="0"/>
    <n v="23"/>
    <s v="Medium"/>
  </r>
  <r>
    <x v="13"/>
    <s v="Andrea"/>
    <s v="Calderon"/>
    <s v="Male"/>
    <s v="Michigan"/>
    <s v="Grand Rapids"/>
    <s v="Bachelor"/>
    <d v="1987-05-22T00:00:00"/>
    <d v="2022-08-29T00:00:00"/>
    <d v="2023-02-25T00:00:00"/>
    <x v="1"/>
    <s v="IT Support Specialist"/>
    <x v="13"/>
    <s v="Good"/>
    <n v="0.49315068493150682"/>
    <x v="0"/>
    <n v="37"/>
    <s v="Medium"/>
  </r>
  <r>
    <x v="14"/>
    <s v="Nicole"/>
    <s v="Ward"/>
    <s v="Male"/>
    <s v="New York"/>
    <s v="New York City"/>
    <s v="Bachelor"/>
    <d v="1963-12-13T00:00:00"/>
    <d v="2023-03-16T00:00:00"/>
    <d v="2023-09-12T00:00:00"/>
    <x v="2"/>
    <s v="Logistics Coordinator"/>
    <x v="14"/>
    <s v="Satisfactory"/>
    <n v="0.49315068493150682"/>
    <x v="0"/>
    <n v="61"/>
    <s v="Medium"/>
  </r>
  <r>
    <x v="15"/>
    <s v="Janet"/>
    <s v="Williams"/>
    <s v="Male"/>
    <s v="Michigan"/>
    <s v="Grand Rapids"/>
    <s v="Bachelor"/>
    <d v="2002-12-26T00:00:00"/>
    <d v="2021-03-30T00:00:00"/>
    <d v="2021-09-26T00:00:00"/>
    <x v="2"/>
    <s v="Inventory Specialist"/>
    <x v="15"/>
    <s v="Good"/>
    <n v="0.49315068493150682"/>
    <x v="0"/>
    <n v="22"/>
    <s v="Low"/>
  </r>
  <r>
    <x v="16"/>
    <s v="Kendra"/>
    <s v="Galloway"/>
    <s v="Female"/>
    <s v="New York"/>
    <s v="New York City"/>
    <s v="PhD"/>
    <d v="1963-04-01T00:00:00"/>
    <d v="2018-11-29T00:00:00"/>
    <d v="2019-12-08T00:00:00"/>
    <x v="6"/>
    <s v="Sales Manager"/>
    <x v="16"/>
    <s v="Excellent"/>
    <n v="0.49315068493150682"/>
    <x v="0"/>
    <n v="62"/>
    <s v="High"/>
  </r>
  <r>
    <x v="17"/>
    <s v="Jesse"/>
    <s v="Garcia"/>
    <s v="Male"/>
    <s v="New York"/>
    <s v="New York City"/>
    <s v="Bachelor"/>
    <d v="1963-02-03T00:00:00"/>
    <d v="2016-04-17T00:00:00"/>
    <d v="2023-01-29T00:00:00"/>
    <x v="0"/>
    <s v="Customer Service Representative"/>
    <x v="17"/>
    <s v="Good"/>
    <n v="1.0246575342465749"/>
    <x v="0"/>
    <n v="62"/>
    <s v="Medium"/>
  </r>
  <r>
    <x v="18"/>
    <s v="Shawn"/>
    <s v="Flowers"/>
    <s v="Male"/>
    <s v="Michigan"/>
    <s v="Warren"/>
    <s v="Bachelor"/>
    <d v="1959-06-28T00:00:00"/>
    <d v="2022-03-05T00:00:00"/>
    <d v="2022-09-01T00:00:00"/>
    <x v="1"/>
    <s v="IT Support Specialist"/>
    <x v="18"/>
    <s v="Excellent"/>
    <n v="6.7890410958904113"/>
    <x v="0"/>
    <n v="65"/>
    <s v="Medium"/>
  </r>
  <r>
    <x v="19"/>
    <s v="Mitchell"/>
    <s v="Clark"/>
    <s v="Male"/>
    <s v="New York"/>
    <s v="New York City"/>
    <s v="Bachelor"/>
    <d v="1973-09-14T00:00:00"/>
    <d v="2017-04-14T00:00:00"/>
    <d v="2024-06-16T00:00:00"/>
    <x v="0"/>
    <s v="Support Specialist"/>
    <x v="19"/>
    <s v="Satisfactory"/>
    <n v="0.49315068493150682"/>
    <x v="0"/>
    <n v="51"/>
    <s v="Medium"/>
  </r>
  <r>
    <x v="20"/>
    <s v="Jacqueline"/>
    <s v="Sutton"/>
    <s v="Female"/>
    <s v="New York"/>
    <s v="New York City"/>
    <s v="Master"/>
    <d v="1979-06-29T00:00:00"/>
    <d v="2017-01-28T00:00:00"/>
    <d v="2022-08-06T00:00:00"/>
    <x v="6"/>
    <s v="Sales Manager"/>
    <x v="20"/>
    <s v="Good"/>
    <n v="7.1780821917808222"/>
    <x v="0"/>
    <n v="45"/>
    <s v="Medium"/>
  </r>
  <r>
    <x v="21"/>
    <s v="Chelsea"/>
    <s v="Jackson"/>
    <s v="Male"/>
    <s v="North Carolina"/>
    <s v="Raleigh"/>
    <s v="PhD"/>
    <d v="1994-07-10T00:00:00"/>
    <d v="2017-10-11T00:00:00"/>
    <d v="2018-04-09T00:00:00"/>
    <x v="6"/>
    <s v="Sales Specialist"/>
    <x v="21"/>
    <s v="Excellent"/>
    <n v="5.5232876712328771"/>
    <x v="0"/>
    <n v="30"/>
    <s v="Medium"/>
  </r>
  <r>
    <x v="22"/>
    <s v="John"/>
    <s v="Ford"/>
    <s v="Male"/>
    <s v="Pennsylvania"/>
    <s v="Philadelphia"/>
    <s v="Bachelor"/>
    <d v="2002-07-15T00:00:00"/>
    <d v="2019-04-15T00:00:00"/>
    <d v="2019-10-12T00:00:00"/>
    <x v="6"/>
    <s v="Sales Consultant"/>
    <x v="22"/>
    <s v="Satisfactory"/>
    <n v="0.49315068493150682"/>
    <x v="0"/>
    <n v="22"/>
    <s v="Medium"/>
  </r>
  <r>
    <x v="23"/>
    <s v="Veronica"/>
    <s v="Bowman"/>
    <s v="Male"/>
    <s v="New York"/>
    <s v="New York City"/>
    <s v="Bachelor"/>
    <d v="1990-04-16T00:00:00"/>
    <d v="2017-08-05T00:00:00"/>
    <d v="2018-02-06T00:00:00"/>
    <x v="2"/>
    <s v="Logistics Coordinator"/>
    <x v="23"/>
    <s v="Good"/>
    <n v="0.49315068493150682"/>
    <x v="0"/>
    <n v="34"/>
    <s v="Medium"/>
  </r>
  <r>
    <x v="24"/>
    <s v="Jeffrey"/>
    <s v="Nguyen"/>
    <s v="Male"/>
    <s v="New York"/>
    <s v="New York City"/>
    <s v="Bachelor"/>
    <d v="1992-12-18T00:00:00"/>
    <d v="2020-10-25T00:00:00"/>
    <d v="2021-10-27T00:00:00"/>
    <x v="2"/>
    <s v="Inventory Specialist"/>
    <x v="24"/>
    <s v="Good"/>
    <n v="0.50684931506849318"/>
    <x v="0"/>
    <n v="32"/>
    <s v="Medium"/>
  </r>
  <r>
    <x v="25"/>
    <s v="Linda"/>
    <s v="Morales"/>
    <s v="Male"/>
    <s v="New York"/>
    <s v="New York City"/>
    <s v="Bachelor"/>
    <d v="1993-04-20T00:00:00"/>
    <d v="2020-01-26T00:00:00"/>
    <d v="2021-04-09T00:00:00"/>
    <x v="6"/>
    <s v="Sales Specialist"/>
    <x v="25"/>
    <s v="Needs Improvement"/>
    <n v="1.0054794520547941"/>
    <x v="0"/>
    <n v="31"/>
    <s v="Medium"/>
  </r>
  <r>
    <x v="26"/>
    <s v="Jason"/>
    <s v="Hahn"/>
    <s v="Male"/>
    <s v="Ohio"/>
    <s v="Cleveland"/>
    <s v="Bachelor"/>
    <d v="1978-01-25T00:00:00"/>
    <d v="2017-12-07T00:00:00"/>
    <d v="2018-06-04T00:00:00"/>
    <x v="1"/>
    <s v="System Administrator"/>
    <x v="26"/>
    <s v="Excellent"/>
    <n v="8.2410958904109588"/>
    <x v="1"/>
    <n v="47"/>
    <s v="Medium"/>
  </r>
  <r>
    <x v="27"/>
    <s v="Jennifer"/>
    <s v="Lewis"/>
    <s v="Male"/>
    <s v="New York"/>
    <s v="New York City"/>
    <s v="Master"/>
    <d v="1982-09-18T00:00:00"/>
    <d v="2018-07-12T00:00:00"/>
    <d v="2019-01-08T00:00:00"/>
    <x v="6"/>
    <s v="Sales Specialist"/>
    <x v="27"/>
    <s v="Good"/>
    <n v="1.2027397260273971"/>
    <x v="0"/>
    <n v="42"/>
    <s v="Medium"/>
  </r>
  <r>
    <x v="28"/>
    <s v="Randall"/>
    <s v="Rocha"/>
    <s v="Male"/>
    <s v="New York"/>
    <s v="New York City"/>
    <s v="High School"/>
    <d v="1960-09-25T00:00:00"/>
    <d v="2016-06-27T00:00:00"/>
    <d v="2021-05-10T00:00:00"/>
    <x v="1"/>
    <s v="IT Support Specialist"/>
    <x v="28"/>
    <s v="Needs Improvement"/>
    <n v="0.49041095890410957"/>
    <x v="0"/>
    <n v="64"/>
    <s v="Low"/>
  </r>
  <r>
    <x v="29"/>
    <s v="Douglas"/>
    <s v="Taylor"/>
    <s v="Female"/>
    <s v="New York"/>
    <s v="New York City"/>
    <s v="Bachelor"/>
    <d v="1992-07-17T00:00:00"/>
    <d v="2017-10-17T00:00:00"/>
    <d v="2021-11-16T00:00:00"/>
    <x v="0"/>
    <s v="Customer Service Representative"/>
    <x v="29"/>
    <s v="Satisfactory"/>
    <n v="0.49315068493150682"/>
    <x v="0"/>
    <n v="32"/>
    <s v="Low"/>
  </r>
  <r>
    <x v="30"/>
    <s v="Anna"/>
    <s v="Baker"/>
    <s v="Male"/>
    <s v="New York"/>
    <s v="New York City"/>
    <s v="PhD"/>
    <d v="1970-05-12T00:00:00"/>
    <d v="2020-08-15T00:00:00"/>
    <d v="2022-11-17T00:00:00"/>
    <x v="6"/>
    <s v="Sales Specialist"/>
    <x v="30"/>
    <s v="Excellent"/>
    <n v="4.8712328767123294"/>
    <x v="0"/>
    <n v="54"/>
    <s v="Medium"/>
  </r>
  <r>
    <x v="31"/>
    <s v="Ross"/>
    <s v="Silva"/>
    <s v="Female"/>
    <s v="New York"/>
    <s v="New York City"/>
    <s v="Bachelor"/>
    <d v="2002-11-29T00:00:00"/>
    <d v="2024-05-20T00:00:00"/>
    <d v="2024-11-16T00:00:00"/>
    <x v="6"/>
    <s v="Sales Specialist"/>
    <x v="31"/>
    <s v="Excellent"/>
    <n v="4.0849315068493146"/>
    <x v="0"/>
    <n v="22"/>
    <s v="Medium"/>
  </r>
  <r>
    <x v="32"/>
    <s v="Jeffrey"/>
    <s v="Bright"/>
    <s v="Male"/>
    <s v="New York"/>
    <s v="New York City"/>
    <s v="Bachelor"/>
    <d v="1980-05-21T00:00:00"/>
    <d v="2017-07-17T00:00:00"/>
    <d v="2018-01-13T00:00:00"/>
    <x v="3"/>
    <s v="Accounts Payable Specialist"/>
    <x v="32"/>
    <s v="Satisfactory"/>
    <n v="2.257534246575343"/>
    <x v="0"/>
    <n v="44"/>
    <s v="Medium"/>
  </r>
  <r>
    <x v="33"/>
    <s v="Trevor"/>
    <s v="Campos"/>
    <s v="Male"/>
    <s v="New York"/>
    <s v="New York City"/>
    <s v="Master"/>
    <d v="1983-02-19T00:00:00"/>
    <d v="2022-12-01T00:00:00"/>
    <d v="2023-05-30T00:00:00"/>
    <x v="2"/>
    <s v="Operations Analyst"/>
    <x v="33"/>
    <s v="Excellent"/>
    <n v="0.49315068493150682"/>
    <x v="0"/>
    <n v="42"/>
    <s v="Medium"/>
  </r>
  <r>
    <x v="34"/>
    <s v="Daniel"/>
    <s v="Burton"/>
    <s v="Female"/>
    <s v="New York"/>
    <s v="New York City"/>
    <s v="Bachelor"/>
    <d v="2001-06-23T00:00:00"/>
    <d v="2022-11-04T00:00:00"/>
    <d v="2024-02-14T00:00:00"/>
    <x v="1"/>
    <s v="Software Developer"/>
    <x v="34"/>
    <s v="Excellent"/>
    <n v="0.49315068493150682"/>
    <x v="0"/>
    <n v="23"/>
    <s v="Medium"/>
  </r>
  <r>
    <x v="35"/>
    <s v="Erin"/>
    <s v="Carlson"/>
    <s v="Male"/>
    <s v="New York"/>
    <s v="New York City"/>
    <s v="Bachelor"/>
    <d v="1984-03-20T00:00:00"/>
    <d v="2019-05-30T00:00:00"/>
    <d v="2021-04-29T00:00:00"/>
    <x v="2"/>
    <s v="Logistics Coordinator"/>
    <x v="35"/>
    <s v="Excellent"/>
    <n v="0.49315068493150682"/>
    <x v="0"/>
    <n v="41"/>
    <s v="Medium"/>
  </r>
  <r>
    <x v="36"/>
    <s v="Patrick"/>
    <s v="Ferrell"/>
    <s v="Female"/>
    <s v="Michigan"/>
    <s v="Detroit"/>
    <s v="PhD"/>
    <d v="1969-05-20T00:00:00"/>
    <d v="2018-07-24T00:00:00"/>
    <d v="2019-01-20T00:00:00"/>
    <x v="6"/>
    <s v="Sales Consultant"/>
    <x v="36"/>
    <s v="Excellent"/>
    <n v="1.279452054794521"/>
    <x v="0"/>
    <n v="55"/>
    <s v="High"/>
  </r>
  <r>
    <x v="37"/>
    <s v="John"/>
    <s v="Tran"/>
    <s v="Male"/>
    <s v="Virginia"/>
    <s v="Norfolk"/>
    <s v="Bachelor"/>
    <d v="1972-01-15T00:00:00"/>
    <d v="2017-01-05T00:00:00"/>
    <d v="2018-01-25T00:00:00"/>
    <x v="2"/>
    <s v="Logistics Coordinator"/>
    <x v="37"/>
    <s v="Satisfactory"/>
    <n v="1.9178082191780821"/>
    <x v="0"/>
    <n v="53"/>
    <s v="Medium"/>
  </r>
  <r>
    <x v="38"/>
    <s v="Erin"/>
    <s v="Wilson"/>
    <s v="Female"/>
    <s v="New York"/>
    <s v="New York City"/>
    <s v="Bachelor"/>
    <d v="1981-08-15T00:00:00"/>
    <d v="2020-12-09T00:00:00"/>
    <d v="2021-12-11T00:00:00"/>
    <x v="2"/>
    <s v="Logistics Coordinator"/>
    <x v="38"/>
    <s v="Good"/>
    <n v="0.49315068493150682"/>
    <x v="0"/>
    <n v="43"/>
    <s v="Low"/>
  </r>
  <r>
    <x v="39"/>
    <s v="Amanda"/>
    <s v="Adams"/>
    <s v="Female"/>
    <s v="New York"/>
    <s v="New York City"/>
    <s v="Bachelor"/>
    <d v="2003-11-10T00:00:00"/>
    <d v="2022-09-06T00:00:00"/>
    <d v="2023-03-05T00:00:00"/>
    <x v="6"/>
    <s v="Sales Specialist"/>
    <x v="39"/>
    <s v="Good"/>
    <n v="1.054794520547945"/>
    <x v="0"/>
    <n v="21"/>
    <s v="Medium"/>
  </r>
  <r>
    <x v="40"/>
    <s v="Matthew"/>
    <s v="Carter"/>
    <s v="Male"/>
    <s v="New York"/>
    <s v="New York City"/>
    <s v="High School"/>
    <d v="1979-11-26T00:00:00"/>
    <d v="2024-03-02T00:00:00"/>
    <d v="2024-09-19T00:00:00"/>
    <x v="4"/>
    <s v="SEO Specialist"/>
    <x v="40"/>
    <s v="Needs Improvement"/>
    <n v="1.0054794520547941"/>
    <x v="0"/>
    <n v="45"/>
    <s v="Medium"/>
  </r>
  <r>
    <x v="41"/>
    <s v="Shawn"/>
    <s v="Mckay"/>
    <s v="Female"/>
    <s v="New York"/>
    <s v="New York City"/>
    <s v="Bachelor"/>
    <d v="1980-04-18T00:00:00"/>
    <d v="2015-12-07T00:00:00"/>
    <d v="2023-03-13T00:00:00"/>
    <x v="2"/>
    <s v="Inventory Specialist"/>
    <x v="41"/>
    <s v="Good"/>
    <n v="0.49315068493150682"/>
    <x v="0"/>
    <n v="44"/>
    <s v="Low"/>
  </r>
  <r>
    <x v="42"/>
    <s v="Jennifer"/>
    <s v="Stanton"/>
    <s v="Male"/>
    <s v="New York"/>
    <s v="New York City"/>
    <s v="Bachelor"/>
    <d v="1959-12-09T00:00:00"/>
    <d v="2017-10-23T00:00:00"/>
    <d v="2018-12-02T00:00:00"/>
    <x v="0"/>
    <s v="Support Specialist"/>
    <x v="42"/>
    <s v="Satisfactory"/>
    <n v="0.55068493150684927"/>
    <x v="0"/>
    <n v="65"/>
    <s v="Medium"/>
  </r>
  <r>
    <x v="43"/>
    <s v="Colleen"/>
    <s v="Skinner"/>
    <s v="Female"/>
    <s v="New York"/>
    <s v="New York City"/>
    <s v="Bachelor"/>
    <d v="1981-12-01T00:00:00"/>
    <d v="2018-07-16T00:00:00"/>
    <d v="2019-01-12T00:00:00"/>
    <x v="2"/>
    <s v="Inventory Specialist"/>
    <x v="43"/>
    <s v="Good"/>
    <n v="7.2684931506849324"/>
    <x v="0"/>
    <n v="43"/>
    <s v="Medium"/>
  </r>
  <r>
    <x v="44"/>
    <s v="Chelsea"/>
    <s v="Hernandez"/>
    <s v="Female"/>
    <s v="Pennsylvania"/>
    <s v="Philadelphia"/>
    <s v="Master"/>
    <d v="1982-10-19T00:00:00"/>
    <d v="2016-10-23T00:00:00"/>
    <d v="2019-06-05T00:00:00"/>
    <x v="6"/>
    <s v="Sales Consultant"/>
    <x v="44"/>
    <s v="Good"/>
    <n v="1.10958904109589"/>
    <x v="0"/>
    <n v="42"/>
    <s v="Medium"/>
  </r>
  <r>
    <x v="45"/>
    <s v="Evan"/>
    <s v="Ashley"/>
    <s v="Male"/>
    <s v="New York"/>
    <s v="New York City"/>
    <s v="High School"/>
    <d v="1983-09-16T00:00:00"/>
    <d v="2017-12-25T00:00:00"/>
    <d v="2018-12-07T00:00:00"/>
    <x v="2"/>
    <s v="Inventory Specialist"/>
    <x v="45"/>
    <s v="Needs Improvement"/>
    <n v="8.3506849315068497"/>
    <x v="1"/>
    <n v="41"/>
    <s v="Low"/>
  </r>
  <r>
    <x v="46"/>
    <s v="Alyssa"/>
    <s v="Smith"/>
    <s v="Female"/>
    <s v="Michigan"/>
    <s v="Grand Rapids"/>
    <s v="Bachelor"/>
    <d v="1970-04-24T00:00:00"/>
    <d v="2024-05-05T00:00:00"/>
    <d v="2024-11-01T00:00:00"/>
    <x v="0"/>
    <s v="Customer Service Representative"/>
    <x v="46"/>
    <s v="Satisfactory"/>
    <n v="0.49315068493150682"/>
    <x v="0"/>
    <n v="54"/>
    <s v="Medium"/>
  </r>
  <r>
    <x v="47"/>
    <s v="Tracy"/>
    <s v="Rodriguez"/>
    <s v="Female"/>
    <s v="New York"/>
    <s v="New York City"/>
    <s v="High School"/>
    <d v="1979-11-07T00:00:00"/>
    <d v="2022-05-21T00:00:00"/>
    <d v="2022-11-17T00:00:00"/>
    <x v="4"/>
    <s v="SEO Specialist"/>
    <x v="47"/>
    <s v="Needs Improvement"/>
    <n v="2.6164383561643829"/>
    <x v="0"/>
    <n v="45"/>
    <s v="Medium"/>
  </r>
  <r>
    <x v="48"/>
    <s v="Natasha"/>
    <s v="Decker"/>
    <s v="Male"/>
    <s v="New York"/>
    <s v="New York City"/>
    <s v="PhD"/>
    <d v="1959-08-05T00:00:00"/>
    <d v="2018-04-30T00:00:00"/>
    <d v="2023-11-16T00:00:00"/>
    <x v="6"/>
    <s v="Sales Consultant"/>
    <x v="48"/>
    <s v="Excellent"/>
    <n v="0.9506849315068493"/>
    <x v="0"/>
    <n v="65"/>
    <s v="Medium"/>
  </r>
  <r>
    <x v="49"/>
    <s v="John"/>
    <s v="Allen"/>
    <s v="Male"/>
    <s v="New York"/>
    <s v="New York City"/>
    <s v="Bachelor"/>
    <d v="1985-01-15T00:00:00"/>
    <d v="2017-08-09T00:00:00"/>
    <d v="2018-02-05T00:00:00"/>
    <x v="2"/>
    <s v="Logistics Coordinator"/>
    <x v="37"/>
    <s v="Excellent"/>
    <n v="0.49315068493150682"/>
    <x v="0"/>
    <n v="40"/>
    <s v="Medium"/>
  </r>
  <r>
    <x v="50"/>
    <s v="Stacey"/>
    <s v="Miller"/>
    <s v="Male"/>
    <s v="New York"/>
    <s v="New York City"/>
    <s v="Bachelor"/>
    <d v="1991-06-21T00:00:00"/>
    <d v="2020-07-07T00:00:00"/>
    <d v="2024-12-14T00:00:00"/>
    <x v="2"/>
    <s v="Inventory Specialist"/>
    <x v="49"/>
    <s v="Excellent"/>
    <n v="0.49315068493150682"/>
    <x v="0"/>
    <n v="33"/>
    <s v="Medium"/>
  </r>
  <r>
    <x v="51"/>
    <s v="Lisa"/>
    <s v="Spence"/>
    <s v="Male"/>
    <s v="New York"/>
    <s v="New York City"/>
    <s v="Master"/>
    <d v="1970-08-25T00:00:00"/>
    <d v="2015-07-26T00:00:00"/>
    <d v="2023-12-18T00:00:00"/>
    <x v="1"/>
    <s v="Software Developer"/>
    <x v="50"/>
    <s v="Excellent"/>
    <n v="5.5506849315068489"/>
    <x v="0"/>
    <n v="54"/>
    <s v="High"/>
  </r>
  <r>
    <x v="52"/>
    <s v="Katie"/>
    <s v="Anderson"/>
    <s v="Male"/>
    <s v="New York"/>
    <s v="New York City"/>
    <s v="Bachelor"/>
    <d v="1980-12-26T00:00:00"/>
    <d v="2017-07-04T00:00:00"/>
    <d v="2021-12-29T00:00:00"/>
    <x v="2"/>
    <s v="Logistics Coordinator"/>
    <x v="51"/>
    <s v="Excellent"/>
    <n v="0.49315068493150682"/>
    <x v="0"/>
    <n v="44"/>
    <s v="Medium"/>
  </r>
  <r>
    <x v="53"/>
    <s v="Monique"/>
    <s v="Henderson"/>
    <s v="Female"/>
    <s v="New York"/>
    <s v="New York City"/>
    <s v="Bachelor"/>
    <d v="1967-06-24T00:00:00"/>
    <d v="2019-03-24T00:00:00"/>
    <d v="2019-09-20T00:00:00"/>
    <x v="0"/>
    <s v="Help Desk Technician"/>
    <x v="52"/>
    <s v="Satisfactory"/>
    <n v="4.441095890410959"/>
    <x v="0"/>
    <n v="57"/>
    <s v="Medium"/>
  </r>
  <r>
    <x v="54"/>
    <s v="Sarah"/>
    <s v="Campos"/>
    <s v="Female"/>
    <s v="Pennsylvania"/>
    <s v="Philadelphia"/>
    <s v="High School"/>
    <d v="1983-06-08T00:00:00"/>
    <d v="2020-09-24T00:00:00"/>
    <d v="2022-09-02T00:00:00"/>
    <x v="4"/>
    <s v="Content Creator"/>
    <x v="53"/>
    <s v="Excellent"/>
    <n v="8.4027397260273968"/>
    <x v="0"/>
    <n v="41"/>
    <s v="Low"/>
  </r>
  <r>
    <x v="55"/>
    <s v="James"/>
    <s v="Collins"/>
    <s v="Female"/>
    <s v="New York"/>
    <s v="New York City"/>
    <s v="Bachelor"/>
    <d v="1977-05-16T00:00:00"/>
    <d v="2017-09-18T00:00:00"/>
    <d v="2018-03-16T00:00:00"/>
    <x v="2"/>
    <s v="Inventory Specialist"/>
    <x v="54"/>
    <s v="Good"/>
    <n v="4.4904109589041097"/>
    <x v="0"/>
    <n v="47"/>
    <s v="Medium"/>
  </r>
  <r>
    <x v="56"/>
    <s v="Debra"/>
    <s v="Kim"/>
    <s v="Female"/>
    <s v="Pennsylvania"/>
    <s v="Allentown"/>
    <s v="PhD"/>
    <d v="1980-01-27T00:00:00"/>
    <d v="2022-07-21T00:00:00"/>
    <d v="2023-01-17T00:00:00"/>
    <x v="6"/>
    <s v="Sales Specialist"/>
    <x v="55"/>
    <s v="Excellent"/>
    <n v="8.7178082191780817"/>
    <x v="1"/>
    <n v="45"/>
    <s v="Medium"/>
  </r>
  <r>
    <x v="57"/>
    <s v="Shannon"/>
    <s v="Wright"/>
    <s v="Female"/>
    <s v="Michigan"/>
    <s v="Grand Rapids"/>
    <s v="High School"/>
    <d v="2002-12-04T00:00:00"/>
    <d v="2019-01-25T00:00:00"/>
    <d v="2022-12-12T00:00:00"/>
    <x v="2"/>
    <s v="Inventory Specialist"/>
    <x v="56"/>
    <s v="Needs Improvement"/>
    <n v="0.49315068493150682"/>
    <x v="0"/>
    <n v="22"/>
    <s v="Low"/>
  </r>
  <r>
    <x v="58"/>
    <s v="Matthew"/>
    <s v="Chapman"/>
    <s v="Female"/>
    <s v="New York"/>
    <s v="New York City"/>
    <s v="Bachelor"/>
    <d v="1969-09-19T00:00:00"/>
    <d v="2024-03-30T00:00:00"/>
    <d v="2024-09-26T00:00:00"/>
    <x v="1"/>
    <s v="Software Developer"/>
    <x v="57"/>
    <s v="Needs Improvement"/>
    <n v="1.9397260273972601"/>
    <x v="0"/>
    <n v="55"/>
    <s v="Medium"/>
  </r>
  <r>
    <x v="59"/>
    <s v="Brianna"/>
    <s v="Smith"/>
    <s v="Male"/>
    <s v="New York"/>
    <s v="New York City"/>
    <s v="Bachelor"/>
    <d v="1974-01-18T00:00:00"/>
    <d v="2022-10-02T00:00:00"/>
    <d v="2023-03-31T00:00:00"/>
    <x v="2"/>
    <s v="Inventory Specialist"/>
    <x v="58"/>
    <s v="Excellent"/>
    <n v="0.49041095890410957"/>
    <x v="0"/>
    <n v="51"/>
    <s v="Medium"/>
  </r>
  <r>
    <x v="60"/>
    <s v="Crystal"/>
    <s v="Perez"/>
    <s v="Female"/>
    <s v="New York"/>
    <s v="New York City"/>
    <s v="Bachelor"/>
    <d v="1983-07-07T00:00:00"/>
    <d v="2017-12-18T00:00:00"/>
    <d v="2018-06-16T00:00:00"/>
    <x v="3"/>
    <s v="Financial Analyst"/>
    <x v="59"/>
    <s v="Satisfactory"/>
    <n v="0.49315068493150682"/>
    <x v="0"/>
    <n v="41"/>
    <s v="Medium"/>
  </r>
  <r>
    <x v="61"/>
    <s v="Anthony"/>
    <s v="Rivera"/>
    <s v="Male"/>
    <s v="New York"/>
    <s v="New York City"/>
    <s v="Bachelor"/>
    <d v="1992-02-04T00:00:00"/>
    <d v="2017-07-19T00:00:00"/>
    <d v="2021-05-16T00:00:00"/>
    <x v="2"/>
    <s v="Logistics Coordinator"/>
    <x v="60"/>
    <s v="Good"/>
    <n v="3.882191780821918"/>
    <x v="0"/>
    <n v="33"/>
    <s v="Low"/>
  </r>
  <r>
    <x v="62"/>
    <s v="John"/>
    <s v="Caldwell"/>
    <s v="Female"/>
    <s v="New York"/>
    <s v="New York City"/>
    <s v="Bachelor"/>
    <d v="1982-10-19T00:00:00"/>
    <d v="2019-03-25T00:00:00"/>
    <d v="2019-09-21T00:00:00"/>
    <x v="2"/>
    <s v="Operations Analyst"/>
    <x v="61"/>
    <s v="Needs Improvement"/>
    <n v="0.49315068493150682"/>
    <x v="0"/>
    <n v="42"/>
    <s v="Medium"/>
  </r>
  <r>
    <x v="63"/>
    <s v="Amber"/>
    <s v="Cummings"/>
    <s v="Male"/>
    <s v="New York"/>
    <s v="New York City"/>
    <s v="Master"/>
    <d v="1986-07-11T00:00:00"/>
    <d v="2022-12-09T00:00:00"/>
    <d v="2023-06-07T00:00:00"/>
    <x v="2"/>
    <s v="Operations Analyst"/>
    <x v="62"/>
    <s v="Excellent"/>
    <n v="0.49315068493150682"/>
    <x v="0"/>
    <n v="38"/>
    <s v="Medium"/>
  </r>
  <r>
    <x v="64"/>
    <s v="Ashley"/>
    <s v="Kennedy"/>
    <s v="Female"/>
    <s v="New York"/>
    <s v="New York City"/>
    <s v="Bachelor"/>
    <d v="2003-03-24T00:00:00"/>
    <d v="2018-10-31T00:00:00"/>
    <d v="2019-04-29T00:00:00"/>
    <x v="3"/>
    <s v="Accountant"/>
    <x v="63"/>
    <s v="Satisfactory"/>
    <n v="0.49315068493150682"/>
    <x v="0"/>
    <n v="22"/>
    <s v="Low"/>
  </r>
  <r>
    <x v="65"/>
    <s v="Thomas"/>
    <s v="Russell"/>
    <s v="Male"/>
    <s v="New York"/>
    <s v="New York City"/>
    <s v="Bachelor"/>
    <d v="1964-01-04T00:00:00"/>
    <d v="2019-02-06T00:00:00"/>
    <d v="2021-03-05T00:00:00"/>
    <x v="3"/>
    <s v="Accountant"/>
    <x v="64"/>
    <s v="Needs Improvement"/>
    <n v="3.827397260273973"/>
    <x v="0"/>
    <n v="61"/>
    <s v="Medium"/>
  </r>
  <r>
    <x v="66"/>
    <s v="Collin"/>
    <s v="Jordan"/>
    <s v="Female"/>
    <s v="New York"/>
    <s v="New York City"/>
    <s v="Master"/>
    <d v="1965-09-13T00:00:00"/>
    <d v="2023-06-14T00:00:00"/>
    <d v="2023-12-11T00:00:00"/>
    <x v="6"/>
    <s v="Sales Specialist"/>
    <x v="65"/>
    <s v="Excellent"/>
    <n v="0.49315068493150682"/>
    <x v="0"/>
    <n v="59"/>
    <s v="Medium"/>
  </r>
  <r>
    <x v="67"/>
    <s v="Robert"/>
    <s v="Shields"/>
    <s v="Female"/>
    <s v="New York"/>
    <s v="New York City"/>
    <s v="Bachelor"/>
    <d v="1978-07-29T00:00:00"/>
    <d v="2024-01-22T00:00:00"/>
    <d v="2024-07-20T00:00:00"/>
    <x v="0"/>
    <s v="Help Desk Technician"/>
    <x v="66"/>
    <s v="Good"/>
    <n v="0.49315068493150682"/>
    <x v="0"/>
    <n v="46"/>
    <s v="Medium"/>
  </r>
  <r>
    <x v="68"/>
    <s v="Emily"/>
    <s v="Joyce"/>
    <s v="Male"/>
    <s v="New York"/>
    <s v="New York City"/>
    <s v="Bachelor"/>
    <d v="1988-08-29T00:00:00"/>
    <d v="2017-02-08T00:00:00"/>
    <d v="2023-08-27T00:00:00"/>
    <x v="2"/>
    <s v="Inventory Specialist"/>
    <x v="67"/>
    <s v="Good"/>
    <n v="0.49315068493150682"/>
    <x v="0"/>
    <n v="36"/>
    <s v="Medium"/>
  </r>
  <r>
    <x v="69"/>
    <s v="Bruce"/>
    <s v="Chandler"/>
    <s v="Female"/>
    <s v="New York"/>
    <s v="New York City"/>
    <s v="High School"/>
    <d v="1966-01-29T00:00:00"/>
    <d v="2022-11-07T00:00:00"/>
    <d v="2023-05-06T00:00:00"/>
    <x v="2"/>
    <s v="Inventory Specialist"/>
    <x v="68"/>
    <s v="Excellent"/>
    <n v="2.076712328767123"/>
    <x v="0"/>
    <n v="59"/>
    <s v="Low"/>
  </r>
  <r>
    <x v="70"/>
    <s v="Michelle"/>
    <s v="Wright"/>
    <s v="Male"/>
    <s v="New York"/>
    <s v="New York City"/>
    <s v="Master"/>
    <d v="1963-07-22T00:00:00"/>
    <d v="2017-03-15T00:00:00"/>
    <d v="2018-05-06T00:00:00"/>
    <x v="2"/>
    <s v="Operations Manager"/>
    <x v="69"/>
    <s v="Excellent"/>
    <n v="0.49315068493150682"/>
    <x v="0"/>
    <n v="61"/>
    <s v="Medium"/>
  </r>
  <r>
    <x v="71"/>
    <s v="Amanda"/>
    <s v="Taylor"/>
    <s v="Female"/>
    <s v="New York"/>
    <s v="New York City"/>
    <s v="PhD"/>
    <d v="1988-07-10T00:00:00"/>
    <d v="2016-03-12T00:00:00"/>
    <d v="2016-11-17T00:00:00"/>
    <x v="3"/>
    <s v="Financial Analyst"/>
    <x v="70"/>
    <s v="Excellent"/>
    <n v="0.49315068493150682"/>
    <x v="0"/>
    <n v="36"/>
    <s v="Medium"/>
  </r>
  <r>
    <x v="72"/>
    <s v="Joshua"/>
    <s v="Wright"/>
    <s v="Male"/>
    <s v="New York"/>
    <s v="New York City"/>
    <s v="Bachelor"/>
    <d v="1991-10-07T00:00:00"/>
    <d v="2020-12-24T00:00:00"/>
    <d v="2024-07-30T00:00:00"/>
    <x v="3"/>
    <s v="Accountant"/>
    <x v="71"/>
    <s v="Good"/>
    <n v="6.5506849315068489"/>
    <x v="0"/>
    <n v="33"/>
    <s v="Medium"/>
  </r>
  <r>
    <x v="73"/>
    <s v="Charles"/>
    <s v="Morton"/>
    <s v="Male"/>
    <s v="New York"/>
    <s v="New York City"/>
    <s v="Bachelor"/>
    <d v="1984-09-12T00:00:00"/>
    <d v="2017-11-29T00:00:00"/>
    <d v="2018-05-28T00:00:00"/>
    <x v="3"/>
    <s v="Accountant"/>
    <x v="72"/>
    <s v="Satisfactory"/>
    <n v="0.49315068493150682"/>
    <x v="0"/>
    <n v="40"/>
    <s v="Medium"/>
  </r>
  <r>
    <x v="74"/>
    <s v="Mary"/>
    <s v="Novak"/>
    <s v="Female"/>
    <s v="New York"/>
    <s v="New York City"/>
    <s v="Bachelor"/>
    <d v="1981-06-12T00:00:00"/>
    <d v="2019-12-26T00:00:00"/>
    <d v="2020-06-23T00:00:00"/>
    <x v="2"/>
    <s v="Logistics Coordinator"/>
    <x v="73"/>
    <s v="Satisfactory"/>
    <n v="1.1424657534246581"/>
    <x v="0"/>
    <n v="43"/>
    <s v="Medium"/>
  </r>
  <r>
    <x v="75"/>
    <s v="Karen"/>
    <s v="Young"/>
    <s v="Male"/>
    <s v="New York"/>
    <s v="New York City"/>
    <s v="Bachelor"/>
    <d v="2001-06-23T00:00:00"/>
    <d v="2020-06-06T00:00:00"/>
    <d v="2020-12-03T00:00:00"/>
    <x v="1"/>
    <s v="IT Support Specialist"/>
    <x v="74"/>
    <s v="Excellent"/>
    <n v="0.68493150684931503"/>
    <x v="0"/>
    <n v="23"/>
    <s v="Low"/>
  </r>
  <r>
    <x v="76"/>
    <s v="Todd"/>
    <s v="Lewis"/>
    <s v="Female"/>
    <s v="Ohio"/>
    <s v="Cincinnati"/>
    <s v="Bachelor"/>
    <d v="1966-02-24T00:00:00"/>
    <d v="2022-06-05T00:00:00"/>
    <d v="2024-11-06T00:00:00"/>
    <x v="2"/>
    <s v="Logistics Coordinator"/>
    <x v="75"/>
    <s v="Good"/>
    <n v="3.6"/>
    <x v="0"/>
    <n v="59"/>
    <s v="Medium"/>
  </r>
  <r>
    <x v="77"/>
    <s v="Rachel"/>
    <s v="Martin"/>
    <s v="Male"/>
    <s v="New York"/>
    <s v="New York City"/>
    <s v="Bachelor"/>
    <d v="1984-08-25T00:00:00"/>
    <d v="2024-01-01T00:00:00"/>
    <d v="2024-06-29T00:00:00"/>
    <x v="6"/>
    <s v="Sales Consultant"/>
    <x v="76"/>
    <s v="Excellent"/>
    <n v="0.49315068493150682"/>
    <x v="0"/>
    <n v="40"/>
    <s v="Medium"/>
  </r>
  <r>
    <x v="78"/>
    <s v="Tricia"/>
    <s v="Baker"/>
    <s v="Female"/>
    <s v="New York"/>
    <s v="New York City"/>
    <s v="Bachelor"/>
    <d v="1998-06-26T00:00:00"/>
    <d v="2017-11-01T00:00:00"/>
    <d v="2021-03-06T00:00:00"/>
    <x v="0"/>
    <s v="Customer Service Representative"/>
    <x v="77"/>
    <s v="Good"/>
    <n v="8.7041095890410958"/>
    <x v="1"/>
    <n v="26"/>
    <s v="Low"/>
  </r>
  <r>
    <x v="79"/>
    <s v="Kristen"/>
    <s v="Mitchell"/>
    <s v="Male"/>
    <s v="North Carolina"/>
    <s v="Greensboro"/>
    <s v="Bachelor"/>
    <d v="1976-05-16T00:00:00"/>
    <d v="2017-09-28T00:00:00"/>
    <d v="2024-02-06T00:00:00"/>
    <x v="2"/>
    <s v="Logistics Coordinator"/>
    <x v="78"/>
    <s v="Good"/>
    <n v="0.49315068493150682"/>
    <x v="0"/>
    <n v="48"/>
    <s v="Medium"/>
  </r>
  <r>
    <x v="80"/>
    <s v="Dorothy"/>
    <s v="Tucker"/>
    <s v="Female"/>
    <s v="New York"/>
    <s v="New York City"/>
    <s v="Bachelor"/>
    <d v="1990-08-17T00:00:00"/>
    <d v="2016-03-14T00:00:00"/>
    <d v="2016-09-10T00:00:00"/>
    <x v="4"/>
    <s v="SEO Specialist"/>
    <x v="79"/>
    <s v="Excellent"/>
    <n v="0.49315068493150682"/>
    <x v="0"/>
    <n v="34"/>
    <s v="Medium"/>
  </r>
  <r>
    <x v="81"/>
    <s v="Kenneth"/>
    <s v="Novak"/>
    <s v="Female"/>
    <s v="New York"/>
    <s v="New York City"/>
    <s v="High School"/>
    <d v="1988-09-30T00:00:00"/>
    <d v="2017-08-13T00:00:00"/>
    <d v="2020-03-10T00:00:00"/>
    <x v="0"/>
    <s v="Customer Service Representative"/>
    <x v="80"/>
    <s v="Needs Improvement"/>
    <n v="2.4246575342465748"/>
    <x v="0"/>
    <n v="36"/>
    <s v="Low"/>
  </r>
  <r>
    <x v="82"/>
    <s v="Jill"/>
    <s v="Brown"/>
    <s v="Female"/>
    <s v="New York"/>
    <s v="New York City"/>
    <s v="Bachelor"/>
    <d v="1982-06-13T00:00:00"/>
    <d v="2018-05-02T00:00:00"/>
    <d v="2020-03-12T00:00:00"/>
    <x v="4"/>
    <s v="Content Creator"/>
    <x v="81"/>
    <s v="Satisfactory"/>
    <n v="0.49315068493150682"/>
    <x v="0"/>
    <n v="42"/>
    <s v="Medium"/>
  </r>
  <r>
    <x v="83"/>
    <s v="Brian"/>
    <s v="Silva"/>
    <s v="Female"/>
    <s v="New York"/>
    <s v="New York City"/>
    <s v="Bachelor"/>
    <d v="1975-10-31T00:00:00"/>
    <d v="2022-07-15T00:00:00"/>
    <d v="2023-01-11T00:00:00"/>
    <x v="2"/>
    <s v="Logistics Coordinator"/>
    <x v="82"/>
    <s v="Good"/>
    <n v="3.3452054794520549"/>
    <x v="0"/>
    <n v="49"/>
    <s v="Medium"/>
  </r>
  <r>
    <x v="84"/>
    <s v="Samantha"/>
    <s v="Schmidt"/>
    <s v="Female"/>
    <s v="New York"/>
    <s v="New York City"/>
    <s v="Bachelor"/>
    <d v="1999-01-11T00:00:00"/>
    <d v="2020-01-23T00:00:00"/>
    <d v="2022-07-30T00:00:00"/>
    <x v="0"/>
    <s v="Support Specialist"/>
    <x v="83"/>
    <s v="Good"/>
    <n v="6.3616438356164382"/>
    <x v="0"/>
    <n v="26"/>
    <s v="Low"/>
  </r>
  <r>
    <x v="85"/>
    <s v="Susan"/>
    <s v="Miller"/>
    <s v="Female"/>
    <s v="New York"/>
    <s v="New York City"/>
    <s v="Master"/>
    <d v="2002-02-06T00:00:00"/>
    <d v="2017-03-14T00:00:00"/>
    <d v="2023-04-20T00:00:00"/>
    <x v="5"/>
    <s v="HR Coordinator"/>
    <x v="84"/>
    <s v="Excellent"/>
    <n v="9.6876712328767116"/>
    <x v="1"/>
    <n v="23"/>
    <s v="Medium"/>
  </r>
  <r>
    <x v="86"/>
    <s v="Casey"/>
    <s v="Jones"/>
    <s v="Female"/>
    <s v="New York"/>
    <s v="New York City"/>
    <s v="High School"/>
    <d v="1979-11-09T00:00:00"/>
    <d v="2017-12-01T00:00:00"/>
    <d v="2021-02-11T00:00:00"/>
    <x v="0"/>
    <s v="Help Desk Technician"/>
    <x v="85"/>
    <s v="Excellent"/>
    <n v="0.49315068493150682"/>
    <x v="0"/>
    <n v="45"/>
    <s v="Low"/>
  </r>
  <r>
    <x v="87"/>
    <s v="Joe"/>
    <s v="Wilson"/>
    <s v="Male"/>
    <s v="New York"/>
    <s v="New York City"/>
    <s v="Bachelor"/>
    <d v="2003-02-06T00:00:00"/>
    <d v="2017-12-12T00:00:00"/>
    <d v="2022-09-27T00:00:00"/>
    <x v="6"/>
    <s v="Sales Representative"/>
    <x v="86"/>
    <s v="Satisfactory"/>
    <n v="2.5753424657534252"/>
    <x v="0"/>
    <n v="22"/>
    <s v="Medium"/>
  </r>
  <r>
    <x v="88"/>
    <s v="Ashley"/>
    <s v="Riley"/>
    <s v="Male"/>
    <s v="New York"/>
    <s v="New York City"/>
    <s v="Master"/>
    <d v="1967-08-05T00:00:00"/>
    <d v="2022-01-16T00:00:00"/>
    <d v="2022-07-15T00:00:00"/>
    <x v="6"/>
    <s v="Sales Consultant"/>
    <x v="87"/>
    <s v="Excellent"/>
    <n v="1.8630136986301371"/>
    <x v="0"/>
    <n v="57"/>
    <s v="Medium"/>
  </r>
  <r>
    <x v="89"/>
    <s v="Christine"/>
    <s v="Barnes"/>
    <s v="Male"/>
    <s v="New York"/>
    <s v="New York City"/>
    <s v="High School"/>
    <d v="1992-10-22T00:00:00"/>
    <d v="2017-08-15T00:00:00"/>
    <d v="2018-02-11T00:00:00"/>
    <x v="2"/>
    <s v="Inventory Specialist"/>
    <x v="88"/>
    <s v="Needs Improvement"/>
    <n v="0.49315068493150682"/>
    <x v="0"/>
    <n v="32"/>
    <s v="Low"/>
  </r>
  <r>
    <x v="90"/>
    <s v="Annette"/>
    <s v="Stewart"/>
    <s v="Male"/>
    <s v="New York"/>
    <s v="New York City"/>
    <s v="Bachelor"/>
    <d v="1997-06-19T00:00:00"/>
    <d v="2023-04-12T00:00:00"/>
    <d v="2023-10-09T00:00:00"/>
    <x v="6"/>
    <s v="Sales Representative"/>
    <x v="89"/>
    <s v="Good"/>
    <n v="2.517808219178082"/>
    <x v="0"/>
    <n v="27"/>
    <s v="Medium"/>
  </r>
  <r>
    <x v="91"/>
    <s v="James"/>
    <s v="Moran"/>
    <s v="Female"/>
    <s v="New York"/>
    <s v="New York City"/>
    <s v="Bachelor"/>
    <d v="1988-10-29T00:00:00"/>
    <d v="2019-04-03T00:00:00"/>
    <d v="2024-09-03T00:00:00"/>
    <x v="4"/>
    <s v="Marketing Coordinator"/>
    <x v="90"/>
    <s v="Good"/>
    <n v="6.1041095890410961"/>
    <x v="0"/>
    <n v="36"/>
    <s v="Low"/>
  </r>
  <r>
    <x v="92"/>
    <s v="Joseph"/>
    <s v="Anderson"/>
    <s v="Male"/>
    <s v="New York"/>
    <s v="New York City"/>
    <s v="Bachelor"/>
    <d v="1982-12-23T00:00:00"/>
    <d v="2018-09-08T00:00:00"/>
    <d v="2019-07-16T00:00:00"/>
    <x v="1"/>
    <s v="Software Developer"/>
    <x v="91"/>
    <s v="Good"/>
    <n v="3.2"/>
    <x v="0"/>
    <n v="42"/>
    <s v="Medium"/>
  </r>
  <r>
    <x v="93"/>
    <s v="Kevin"/>
    <s v="Stewart"/>
    <s v="Female"/>
    <s v="New York"/>
    <s v="New York City"/>
    <s v="Bachelor"/>
    <d v="1984-08-31T00:00:00"/>
    <d v="2017-10-19T00:00:00"/>
    <d v="2021-02-02T00:00:00"/>
    <x v="1"/>
    <s v="Software Developer"/>
    <x v="92"/>
    <s v="Good"/>
    <n v="4.7945205479452051"/>
    <x v="0"/>
    <n v="40"/>
    <s v="Medium"/>
  </r>
  <r>
    <x v="94"/>
    <s v="Shari"/>
    <s v="Smith"/>
    <s v="Male"/>
    <s v="Michigan"/>
    <s v="Detroit"/>
    <s v="Master"/>
    <d v="1984-04-05T00:00:00"/>
    <d v="2020-08-29T00:00:00"/>
    <d v="2021-02-25T00:00:00"/>
    <x v="2"/>
    <s v="Operations Analyst"/>
    <x v="93"/>
    <s v="Good"/>
    <n v="0.49315068493150682"/>
    <x v="0"/>
    <n v="41"/>
    <s v="Medium"/>
  </r>
  <r>
    <x v="95"/>
    <s v="Yolanda"/>
    <s v="Ferrell"/>
    <s v="Male"/>
    <s v="New York"/>
    <s v="New York City"/>
    <s v="Master"/>
    <d v="1982-10-05T00:00:00"/>
    <d v="2020-01-29T00:00:00"/>
    <d v="2020-07-27T00:00:00"/>
    <x v="2"/>
    <s v="Operations Analyst"/>
    <x v="94"/>
    <s v="Excellent"/>
    <n v="0.49315068493150682"/>
    <x v="0"/>
    <n v="42"/>
    <s v="Low"/>
  </r>
  <r>
    <x v="96"/>
    <s v="Sarah"/>
    <s v="Ibarra"/>
    <s v="Male"/>
    <s v="New York"/>
    <s v="New York City"/>
    <s v="High School"/>
    <d v="1976-07-28T00:00:00"/>
    <d v="2018-12-08T00:00:00"/>
    <d v="2021-04-25T00:00:00"/>
    <x v="0"/>
    <s v="Help Desk Technician"/>
    <x v="95"/>
    <s v="Needs Improvement"/>
    <n v="0.49315068493150682"/>
    <x v="0"/>
    <n v="48"/>
    <s v="Medium"/>
  </r>
  <r>
    <x v="97"/>
    <s v="John"/>
    <s v="Mitchell"/>
    <s v="Male"/>
    <s v="Michigan"/>
    <s v="Warren"/>
    <s v="Bachelor"/>
    <d v="1962-09-27T00:00:00"/>
    <d v="2022-06-20T00:00:00"/>
    <d v="2022-12-17T00:00:00"/>
    <x v="3"/>
    <s v="Accountant"/>
    <x v="96"/>
    <s v="Good"/>
    <n v="5.4246575342465757"/>
    <x v="0"/>
    <n v="62"/>
    <s v="Medium"/>
  </r>
  <r>
    <x v="98"/>
    <s v="Martha"/>
    <s v="Warner"/>
    <s v="Female"/>
    <s v="New York"/>
    <s v="New York City"/>
    <s v="Bachelor"/>
    <d v="1989-08-01T00:00:00"/>
    <d v="2017-08-26T00:00:00"/>
    <d v="2018-02-22T00:00:00"/>
    <x v="6"/>
    <s v="Sales Consultant"/>
    <x v="97"/>
    <s v="Satisfactory"/>
    <n v="0.852054794520548"/>
    <x v="0"/>
    <n v="35"/>
    <s v="Medium"/>
  </r>
  <r>
    <x v="99"/>
    <s v="Tonya"/>
    <s v="Roman"/>
    <s v="Female"/>
    <s v="Michigan"/>
    <s v="Grand Rapids"/>
    <s v="Bachelor"/>
    <d v="1971-03-15T00:00:00"/>
    <d v="2018-07-24T00:00:00"/>
    <d v="2019-01-20T00:00:00"/>
    <x v="0"/>
    <s v="Customer Service Representative"/>
    <x v="98"/>
    <s v="Good"/>
    <n v="3.2931506849315069"/>
    <x v="0"/>
    <n v="54"/>
    <s v="Medium"/>
  </r>
  <r>
    <x v="100"/>
    <s v="Alan"/>
    <s v="Montoya"/>
    <s v="Male"/>
    <s v="Virginia"/>
    <s v="Virginia Beach"/>
    <s v="Bachelor"/>
    <d v="1998-02-03T00:00:00"/>
    <d v="2024-04-26T00:00:00"/>
    <d v="2024-10-23T00:00:00"/>
    <x v="4"/>
    <s v="Content Creator"/>
    <x v="99"/>
    <s v="Needs Improvement"/>
    <n v="0.49315068493150682"/>
    <x v="0"/>
    <n v="27"/>
    <s v="Medium"/>
  </r>
  <r>
    <x v="101"/>
    <s v="Sarah"/>
    <s v="Garcia"/>
    <s v="Male"/>
    <s v="Michigan"/>
    <s v="Grand Rapids"/>
    <s v="Bachelor"/>
    <d v="1983-12-03T00:00:00"/>
    <d v="2017-12-08T00:00:00"/>
    <d v="2018-06-06T00:00:00"/>
    <x v="1"/>
    <s v="System Administrator"/>
    <x v="100"/>
    <s v="Good"/>
    <n v="0.49315068493150682"/>
    <x v="0"/>
    <n v="41"/>
    <s v="Medium"/>
  </r>
  <r>
    <x v="102"/>
    <s v="Dennis"/>
    <s v="Wilson"/>
    <s v="Female"/>
    <s v="New York"/>
    <s v="New York City"/>
    <s v="Bachelor"/>
    <d v="2002-03-08T00:00:00"/>
    <d v="2023-02-11T00:00:00"/>
    <d v="2023-08-10T00:00:00"/>
    <x v="6"/>
    <s v="Sales Representative"/>
    <x v="101"/>
    <s v="Good"/>
    <n v="8.1342465753424662"/>
    <x v="1"/>
    <n v="23"/>
    <s v="Low"/>
  </r>
  <r>
    <x v="103"/>
    <s v="Julia"/>
    <s v="Moore"/>
    <s v="Male"/>
    <s v="New York"/>
    <s v="New York City"/>
    <s v="Master"/>
    <d v="1970-09-23T00:00:00"/>
    <d v="2017-04-20T00:00:00"/>
    <d v="2024-12-19T00:00:00"/>
    <x v="1"/>
    <s v="System Administrator"/>
    <x v="102"/>
    <s v="Excellent"/>
    <n v="2.3808219178082188"/>
    <x v="0"/>
    <n v="54"/>
    <s v="Medium"/>
  </r>
  <r>
    <x v="104"/>
    <s v="Cassandra"/>
    <s v="Robbins"/>
    <s v="Female"/>
    <s v="Pennsylvania"/>
    <s v="Allentown"/>
    <s v="Bachelor"/>
    <d v="1992-05-05T00:00:00"/>
    <d v="2023-03-21T00:00:00"/>
    <d v="2023-09-17T00:00:00"/>
    <x v="0"/>
    <s v="Customer Service Representative"/>
    <x v="103"/>
    <s v="Good"/>
    <n v="0.49315068493150682"/>
    <x v="0"/>
    <n v="32"/>
    <s v="Low"/>
  </r>
  <r>
    <x v="105"/>
    <s v="Grace"/>
    <s v="Farrell"/>
    <s v="Female"/>
    <s v="Michigan"/>
    <s v="Detroit"/>
    <s v="Bachelor"/>
    <d v="1972-06-23T00:00:00"/>
    <d v="2023-07-16T00:00:00"/>
    <d v="2024-01-12T00:00:00"/>
    <x v="2"/>
    <s v="Inventory Specialist"/>
    <x v="104"/>
    <s v="Good"/>
    <n v="0.49315068493150682"/>
    <x v="0"/>
    <n v="52"/>
    <s v="Medium"/>
  </r>
  <r>
    <x v="106"/>
    <s v="Tracy"/>
    <s v="Whitehead"/>
    <s v="Male"/>
    <s v="New York"/>
    <s v="New York City"/>
    <s v="High School"/>
    <d v="1978-05-26T00:00:00"/>
    <d v="2017-11-25T00:00:00"/>
    <d v="2018-05-23T00:00:00"/>
    <x v="2"/>
    <s v="Inventory Specialist"/>
    <x v="105"/>
    <s v="Needs Improvement"/>
    <n v="0.49315068493150682"/>
    <x v="0"/>
    <n v="46"/>
    <s v="Medium"/>
  </r>
  <r>
    <x v="107"/>
    <s v="Brent"/>
    <s v="Walters"/>
    <s v="Female"/>
    <s v="New York"/>
    <s v="New York City"/>
    <s v="High School"/>
    <d v="1982-07-17T00:00:00"/>
    <d v="2022-11-19T00:00:00"/>
    <d v="2023-05-18T00:00:00"/>
    <x v="5"/>
    <s v="Recruiter"/>
    <x v="106"/>
    <s v="Needs Improvement"/>
    <n v="0.49315068493150682"/>
    <x v="0"/>
    <n v="42"/>
    <s v="Medium"/>
  </r>
  <r>
    <x v="108"/>
    <s v="Joshua"/>
    <s v="Smith"/>
    <s v="Female"/>
    <s v="Illinois"/>
    <s v="Aurora"/>
    <s v="Master"/>
    <d v="2001-01-25T00:00:00"/>
    <d v="2023-10-27T00:00:00"/>
    <d v="2024-04-24T00:00:00"/>
    <x v="6"/>
    <s v="Sales Manager"/>
    <x v="107"/>
    <s v="Good"/>
    <n v="0.49315068493150682"/>
    <x v="0"/>
    <n v="24"/>
    <s v="High"/>
  </r>
  <r>
    <x v="109"/>
    <s v="David"/>
    <s v="Whitney"/>
    <s v="Female"/>
    <s v="New York"/>
    <s v="New York City"/>
    <s v="High School"/>
    <d v="1975-10-13T00:00:00"/>
    <d v="2020-03-03T00:00:00"/>
    <d v="2020-08-30T00:00:00"/>
    <x v="0"/>
    <s v="Help Desk Technician"/>
    <x v="108"/>
    <s v="Excellent"/>
    <n v="0.49315068493150682"/>
    <x v="0"/>
    <n v="49"/>
    <s v="Medium"/>
  </r>
  <r>
    <x v="110"/>
    <s v="Joyce"/>
    <s v="Arnold"/>
    <s v="Male"/>
    <s v="Michigan"/>
    <s v="Grand Rapids"/>
    <s v="Bachelor"/>
    <d v="1989-09-11T00:00:00"/>
    <d v="2018-06-16T00:00:00"/>
    <d v="2022-04-07T00:00:00"/>
    <x v="0"/>
    <s v="Support Specialist"/>
    <x v="109"/>
    <s v="Satisfactory"/>
    <n v="7.6712328767123283"/>
    <x v="0"/>
    <n v="35"/>
    <s v="Medium"/>
  </r>
  <r>
    <x v="111"/>
    <s v="Ann"/>
    <s v="Rodriguez"/>
    <s v="Male"/>
    <s v="Michigan"/>
    <s v="Detroit"/>
    <s v="High School"/>
    <d v="1985-11-29T00:00:00"/>
    <d v="2017-12-09T00:00:00"/>
    <d v="2019-06-12T00:00:00"/>
    <x v="2"/>
    <s v="Inventory Specialist"/>
    <x v="110"/>
    <s v="Needs Improvement"/>
    <n v="0.49315068493150682"/>
    <x v="0"/>
    <n v="39"/>
    <s v="Low"/>
  </r>
  <r>
    <x v="112"/>
    <s v="Hannah"/>
    <s v="Hernandez"/>
    <s v="Female"/>
    <s v="New York"/>
    <s v="New York City"/>
    <s v="High School"/>
    <d v="1989-02-28T00:00:00"/>
    <d v="2020-01-14T00:00:00"/>
    <d v="2020-07-12T00:00:00"/>
    <x v="0"/>
    <s v="Support Specialist"/>
    <x v="111"/>
    <s v="Needs Improvement"/>
    <n v="0.49315068493150682"/>
    <x v="0"/>
    <n v="36"/>
    <s v="Low"/>
  </r>
  <r>
    <x v="113"/>
    <s v="Mary"/>
    <s v="Aguilar"/>
    <s v="Male"/>
    <s v="New York"/>
    <s v="New York City"/>
    <s v="Bachelor"/>
    <d v="2001-04-04T00:00:00"/>
    <d v="2019-02-27T00:00:00"/>
    <d v="2019-08-26T00:00:00"/>
    <x v="0"/>
    <s v="Support Specialist"/>
    <x v="112"/>
    <s v="Satisfactory"/>
    <n v="0.49041095890410957"/>
    <x v="0"/>
    <n v="24"/>
    <s v="Medium"/>
  </r>
  <r>
    <x v="114"/>
    <s v="Russell"/>
    <s v="Williams"/>
    <s v="Female"/>
    <s v="New York"/>
    <s v="New York City"/>
    <s v="High School"/>
    <d v="1970-06-19T00:00:00"/>
    <d v="2023-05-22T00:00:00"/>
    <d v="2023-11-18T00:00:00"/>
    <x v="5"/>
    <s v="Recruiter"/>
    <x v="113"/>
    <s v="Needs Improvement"/>
    <n v="0.49315068493150682"/>
    <x v="0"/>
    <n v="54"/>
    <s v="Low"/>
  </r>
  <r>
    <x v="115"/>
    <s v="Rachel"/>
    <s v="Flynn"/>
    <s v="Female"/>
    <s v="North Carolina"/>
    <s v="Raleigh"/>
    <s v="High School"/>
    <d v="1976-05-21T00:00:00"/>
    <d v="2022-12-01T00:00:00"/>
    <d v="2023-05-30T00:00:00"/>
    <x v="0"/>
    <s v="Help Desk Technician"/>
    <x v="114"/>
    <s v="Needs Improvement"/>
    <n v="0.49315068493150682"/>
    <x v="0"/>
    <n v="48"/>
    <s v="Medium"/>
  </r>
  <r>
    <x v="116"/>
    <s v="Bill"/>
    <s v="Howard"/>
    <s v="Female"/>
    <s v="New York"/>
    <s v="New York City"/>
    <s v="Bachelor"/>
    <d v="1972-02-23T00:00:00"/>
    <d v="2022-09-22T00:00:00"/>
    <d v="2023-03-21T00:00:00"/>
    <x v="4"/>
    <s v="Marketing Coordinator"/>
    <x v="115"/>
    <s v="Satisfactory"/>
    <n v="0.49315068493150682"/>
    <x v="0"/>
    <n v="53"/>
    <s v="Medium"/>
  </r>
  <r>
    <x v="117"/>
    <s v="John"/>
    <s v="Garcia"/>
    <s v="Male"/>
    <s v="North Carolina"/>
    <s v="Greensboro"/>
    <s v="PhD"/>
    <d v="1982-11-22T00:00:00"/>
    <d v="2018-10-30T00:00:00"/>
    <d v="2021-08-25T00:00:00"/>
    <x v="3"/>
    <s v="Financial Analyst"/>
    <x v="116"/>
    <s v="Excellent"/>
    <n v="3.8109589041095888"/>
    <x v="0"/>
    <n v="42"/>
    <s v="Medium"/>
  </r>
  <r>
    <x v="118"/>
    <s v="Anita"/>
    <s v="Baxter"/>
    <s v="Male"/>
    <s v="Ohio"/>
    <s v="Cleveland"/>
    <s v="High School"/>
    <d v="2002-01-06T00:00:00"/>
    <d v="2021-08-30T00:00:00"/>
    <d v="2022-02-26T00:00:00"/>
    <x v="0"/>
    <s v="Customer Service Representative"/>
    <x v="117"/>
    <s v="Needs Improvement"/>
    <n v="1.506849315068493"/>
    <x v="0"/>
    <n v="23"/>
    <s v="Low"/>
  </r>
  <r>
    <x v="119"/>
    <s v="Kara"/>
    <s v="Frost"/>
    <s v="Male"/>
    <s v="New York"/>
    <s v="New York City"/>
    <s v="Bachelor"/>
    <d v="1967-12-21T00:00:00"/>
    <d v="2022-04-02T00:00:00"/>
    <d v="2022-09-29T00:00:00"/>
    <x v="6"/>
    <s v="Sales Representative"/>
    <x v="118"/>
    <s v="Needs Improvement"/>
    <n v="0.49315068493150682"/>
    <x v="0"/>
    <n v="57"/>
    <s v="Medium"/>
  </r>
  <r>
    <x v="120"/>
    <s v="Michelle"/>
    <s v="Cherry"/>
    <s v="Male"/>
    <s v="New York"/>
    <s v="New York City"/>
    <s v="Bachelor"/>
    <d v="1980-01-11T00:00:00"/>
    <d v="2022-11-11T00:00:00"/>
    <d v="2023-05-10T00:00:00"/>
    <x v="4"/>
    <s v="Content Creator"/>
    <x v="119"/>
    <s v="Satisfactory"/>
    <n v="0.49315068493150682"/>
    <x v="0"/>
    <n v="45"/>
    <s v="Medium"/>
  </r>
  <r>
    <x v="121"/>
    <s v="Gregory"/>
    <s v="Gutierrez"/>
    <s v="Male"/>
    <s v="New York"/>
    <s v="New York City"/>
    <s v="Bachelor"/>
    <d v="1997-02-22T00:00:00"/>
    <d v="2020-03-10T00:00:00"/>
    <d v="2020-09-06T00:00:00"/>
    <x v="2"/>
    <s v="Logistics Coordinator"/>
    <x v="120"/>
    <s v="Needs Improvement"/>
    <n v="0.49315068493150682"/>
    <x v="0"/>
    <n v="28"/>
    <s v="Medium"/>
  </r>
  <r>
    <x v="122"/>
    <s v="Jill"/>
    <s v="Cook"/>
    <s v="Female"/>
    <s v="New York"/>
    <s v="New York City"/>
    <s v="High School"/>
    <d v="1967-01-18T00:00:00"/>
    <d v="2018-12-27T00:00:00"/>
    <d v="2019-06-25T00:00:00"/>
    <x v="0"/>
    <s v="Customer Service Representative"/>
    <x v="121"/>
    <s v="Needs Improvement"/>
    <n v="0.49315068493150682"/>
    <x v="0"/>
    <n v="58"/>
    <s v="Medium"/>
  </r>
  <r>
    <x v="123"/>
    <s v="Robert"/>
    <s v="Santiago"/>
    <s v="Male"/>
    <s v="New York"/>
    <s v="New York City"/>
    <s v="Master"/>
    <d v="1998-09-09T00:00:00"/>
    <d v="2021-10-13T00:00:00"/>
    <d v="2022-04-11T00:00:00"/>
    <x v="6"/>
    <s v="Sales Specialist"/>
    <x v="122"/>
    <s v="Excellent"/>
    <n v="0.49315068493150682"/>
    <x v="0"/>
    <n v="26"/>
    <s v="Medium"/>
  </r>
  <r>
    <x v="124"/>
    <s v="Lisa"/>
    <s v="Adams"/>
    <s v="Male"/>
    <s v="New York"/>
    <s v="New York City"/>
    <s v="High School"/>
    <d v="1995-12-13T00:00:00"/>
    <d v="2017-11-02T00:00:00"/>
    <d v="2018-04-30T00:00:00"/>
    <x v="0"/>
    <s v="Help Desk Technician"/>
    <x v="123"/>
    <s v="Excellent"/>
    <n v="2.8219178082191778"/>
    <x v="0"/>
    <n v="29"/>
    <s v="Medium"/>
  </r>
  <r>
    <x v="125"/>
    <s v="Jacqueline"/>
    <s v="Reyes"/>
    <s v="Female"/>
    <s v="New York"/>
    <s v="New York City"/>
    <s v="Bachelor"/>
    <d v="1973-12-15T00:00:00"/>
    <d v="2019-01-16T00:00:00"/>
    <d v="2019-07-15T00:00:00"/>
    <x v="2"/>
    <s v="Logistics Coordinator"/>
    <x v="124"/>
    <s v="Good"/>
    <n v="0.49315068493150682"/>
    <x v="0"/>
    <n v="51"/>
    <s v="Low"/>
  </r>
  <r>
    <x v="126"/>
    <s v="Michele"/>
    <s v="Walker"/>
    <s v="Male"/>
    <s v="New York"/>
    <s v="New York City"/>
    <s v="Bachelor"/>
    <d v="1979-05-15T00:00:00"/>
    <d v="2018-11-14T00:00:00"/>
    <d v="2022-02-04T00:00:00"/>
    <x v="6"/>
    <s v="Sales Representative"/>
    <x v="125"/>
    <s v="Good"/>
    <n v="0.49315068493150682"/>
    <x v="0"/>
    <n v="45"/>
    <s v="Medium"/>
  </r>
  <r>
    <x v="127"/>
    <s v="Samantha"/>
    <s v="Bailey"/>
    <s v="Female"/>
    <s v="New York"/>
    <s v="New York City"/>
    <s v="Bachelor"/>
    <d v="2000-05-12T00:00:00"/>
    <d v="2020-11-14T00:00:00"/>
    <d v="2021-05-13T00:00:00"/>
    <x v="2"/>
    <s v="Inventory Specialist"/>
    <x v="126"/>
    <s v="Good"/>
    <n v="0.49315068493150682"/>
    <x v="0"/>
    <n v="24"/>
    <s v="Low"/>
  </r>
  <r>
    <x v="128"/>
    <s v="Laura"/>
    <s v="Perez"/>
    <s v="Male"/>
    <s v="New York"/>
    <s v="New York City"/>
    <s v="PhD"/>
    <d v="1965-10-11T00:00:00"/>
    <d v="2016-01-10T00:00:00"/>
    <d v="2021-10-20T00:00:00"/>
    <x v="6"/>
    <s v="Sales Consultant"/>
    <x v="127"/>
    <s v="Excellent"/>
    <n v="0.49315068493150682"/>
    <x v="0"/>
    <n v="59"/>
    <s v="Medium"/>
  </r>
  <r>
    <x v="129"/>
    <s v="Donna"/>
    <s v="Ross"/>
    <s v="Female"/>
    <s v="New York"/>
    <s v="New York City"/>
    <s v="Bachelor"/>
    <d v="1969-11-06T00:00:00"/>
    <d v="2021-04-19T00:00:00"/>
    <d v="2022-04-27T00:00:00"/>
    <x v="6"/>
    <s v="Sales Representative"/>
    <x v="128"/>
    <s v="Good"/>
    <n v="0.49315068493150682"/>
    <x v="0"/>
    <n v="55"/>
    <s v="Medium"/>
  </r>
  <r>
    <x v="130"/>
    <s v="Michelle"/>
    <s v="Rasmussen"/>
    <s v="Female"/>
    <s v="North Carolina"/>
    <s v="Greensboro"/>
    <s v="Master"/>
    <d v="1999-10-23T00:00:00"/>
    <d v="2022-04-19T00:00:00"/>
    <d v="2022-10-16T00:00:00"/>
    <x v="1"/>
    <s v="Software Developer"/>
    <x v="129"/>
    <s v="Excellent"/>
    <n v="0.49315068493150682"/>
    <x v="0"/>
    <n v="25"/>
    <s v="Medium"/>
  </r>
  <r>
    <x v="131"/>
    <s v="Michael"/>
    <s v="Hicks"/>
    <s v="Male"/>
    <s v="Illinois"/>
    <s v="Chicago"/>
    <s v="Bachelor"/>
    <d v="1999-01-14T00:00:00"/>
    <d v="2017-09-21T00:00:00"/>
    <d v="2024-04-01T00:00:00"/>
    <x v="6"/>
    <s v="Sales Representative"/>
    <x v="130"/>
    <s v="Good"/>
    <n v="0.49041095890410957"/>
    <x v="0"/>
    <n v="26"/>
    <s v="Medium"/>
  </r>
  <r>
    <x v="132"/>
    <s v="Tina"/>
    <s v="Herrera"/>
    <s v="Male"/>
    <s v="New York"/>
    <s v="New York City"/>
    <s v="PhD"/>
    <d v="1991-09-11T00:00:00"/>
    <d v="2021-01-11T00:00:00"/>
    <d v="2021-07-10T00:00:00"/>
    <x v="3"/>
    <s v="Financial Analyst"/>
    <x v="131"/>
    <s v="Excellent"/>
    <n v="0.49315068493150682"/>
    <x v="0"/>
    <n v="33"/>
    <s v="Medium"/>
  </r>
  <r>
    <x v="133"/>
    <s v="Darrell"/>
    <s v="Waller"/>
    <s v="Male"/>
    <s v="New York"/>
    <s v="New York City"/>
    <s v="Bachelor"/>
    <d v="1973-12-07T00:00:00"/>
    <d v="2023-03-11T00:00:00"/>
    <d v="2023-09-07T00:00:00"/>
    <x v="6"/>
    <s v="Sales Representative"/>
    <x v="132"/>
    <s v="Satisfactory"/>
    <n v="3.227397260273972"/>
    <x v="0"/>
    <n v="51"/>
    <s v="Medium"/>
  </r>
  <r>
    <x v="134"/>
    <s v="Beverly"/>
    <s v="Terrell"/>
    <s v="Female"/>
    <s v="Michigan"/>
    <s v="Warren"/>
    <s v="Bachelor"/>
    <d v="1976-01-01T00:00:00"/>
    <d v="2020-01-15T00:00:00"/>
    <d v="2020-07-13T00:00:00"/>
    <x v="0"/>
    <s v="Customer Service Representative"/>
    <x v="133"/>
    <s v="Good"/>
    <n v="0.49315068493150682"/>
    <x v="0"/>
    <n v="49"/>
    <s v="Medium"/>
  </r>
  <r>
    <x v="135"/>
    <s v="Daniel"/>
    <s v="Hamilton"/>
    <s v="Male"/>
    <s v="New York"/>
    <s v="New York City"/>
    <s v="Bachelor"/>
    <d v="1982-01-12T00:00:00"/>
    <d v="2022-10-10T00:00:00"/>
    <d v="2023-04-08T00:00:00"/>
    <x v="6"/>
    <s v="Sales Representative"/>
    <x v="134"/>
    <s v="Good"/>
    <n v="5.7808219178082192"/>
    <x v="0"/>
    <n v="43"/>
    <s v="Medium"/>
  </r>
  <r>
    <x v="136"/>
    <s v="Kristin"/>
    <s v="Graham"/>
    <s v="Female"/>
    <s v="Michigan"/>
    <s v="Warren"/>
    <s v="Bachelor"/>
    <d v="1982-08-18T00:00:00"/>
    <d v="2017-07-18T00:00:00"/>
    <d v="2021-11-22T00:00:00"/>
    <x v="2"/>
    <s v="Inventory Specialist"/>
    <x v="135"/>
    <s v="Good"/>
    <n v="1.021917808219178"/>
    <x v="0"/>
    <n v="42"/>
    <s v="Low"/>
  </r>
  <r>
    <x v="137"/>
    <s v="Darrell"/>
    <s v="Lam"/>
    <s v="Female"/>
    <s v="New York"/>
    <s v="New York City"/>
    <s v="Bachelor"/>
    <d v="1993-06-16T00:00:00"/>
    <d v="2016-03-14T00:00:00"/>
    <d v="2018-07-25T00:00:00"/>
    <x v="1"/>
    <s v="IT Support Specialist"/>
    <x v="136"/>
    <s v="Excellent"/>
    <n v="0.49315068493150682"/>
    <x v="0"/>
    <n v="31"/>
    <s v="Low"/>
  </r>
  <r>
    <x v="138"/>
    <s v="Jonathan"/>
    <s v="Fletcher"/>
    <s v="Female"/>
    <s v="New York"/>
    <s v="New York City"/>
    <s v="Bachelor"/>
    <d v="1971-06-05T00:00:00"/>
    <d v="2019-01-01T00:00:00"/>
    <d v="2024-08-20T00:00:00"/>
    <x v="2"/>
    <s v="Inventory Specialist"/>
    <x v="137"/>
    <s v="Satisfactory"/>
    <n v="6.5315068493150683"/>
    <x v="0"/>
    <n v="53"/>
    <s v="Low"/>
  </r>
  <r>
    <x v="139"/>
    <s v="April"/>
    <s v="Drake"/>
    <s v="Female"/>
    <s v="New York"/>
    <s v="New York City"/>
    <s v="High School"/>
    <d v="1975-10-15T00:00:00"/>
    <d v="2018-09-23T00:00:00"/>
    <d v="2019-03-22T00:00:00"/>
    <x v="2"/>
    <s v="Inventory Specialist"/>
    <x v="138"/>
    <s v="Needs Improvement"/>
    <n v="0.49315068493150682"/>
    <x v="0"/>
    <n v="49"/>
    <s v="Low"/>
  </r>
  <r>
    <x v="140"/>
    <s v="Jennifer"/>
    <s v="Harmon"/>
    <s v="Male"/>
    <s v="New York"/>
    <s v="New York City"/>
    <s v="Bachelor"/>
    <d v="1975-07-05T00:00:00"/>
    <d v="2021-09-18T00:00:00"/>
    <d v="2022-03-17T00:00:00"/>
    <x v="6"/>
    <s v="Sales Representative"/>
    <x v="139"/>
    <s v="Good"/>
    <n v="0.49315068493150682"/>
    <x v="0"/>
    <n v="49"/>
    <s v="Medium"/>
  </r>
  <r>
    <x v="141"/>
    <s v="James"/>
    <s v="Reynolds"/>
    <s v="Male"/>
    <s v="New York"/>
    <s v="New York City"/>
    <s v="Bachelor"/>
    <d v="1997-01-09T00:00:00"/>
    <d v="2017-09-15T00:00:00"/>
    <d v="2018-03-13T00:00:00"/>
    <x v="2"/>
    <s v="Operations Analyst"/>
    <x v="140"/>
    <s v="Needs Improvement"/>
    <n v="0.49315068493150682"/>
    <x v="0"/>
    <n v="28"/>
    <s v="Medium"/>
  </r>
  <r>
    <x v="142"/>
    <s v="Samantha"/>
    <s v="Hanson"/>
    <s v="Female"/>
    <s v="New York"/>
    <s v="New York City"/>
    <s v="PhD"/>
    <d v="1983-01-24T00:00:00"/>
    <d v="2022-09-15T00:00:00"/>
    <d v="2023-03-14T00:00:00"/>
    <x v="6"/>
    <s v="Sales Consultant"/>
    <x v="141"/>
    <s v="Excellent"/>
    <n v="0.49315068493150682"/>
    <x v="0"/>
    <n v="42"/>
    <s v="Medium"/>
  </r>
  <r>
    <x v="143"/>
    <s v="Melanie"/>
    <s v="Cortez"/>
    <s v="Female"/>
    <s v="New York"/>
    <s v="New York City"/>
    <s v="Bachelor"/>
    <d v="1987-02-21T00:00:00"/>
    <d v="2022-04-27T00:00:00"/>
    <d v="2022-10-24T00:00:00"/>
    <x v="6"/>
    <s v="Sales Representative"/>
    <x v="142"/>
    <s v="Good"/>
    <n v="4.3506849315068497"/>
    <x v="0"/>
    <n v="38"/>
    <s v="Medium"/>
  </r>
  <r>
    <x v="144"/>
    <s v="William"/>
    <s v="Estrada"/>
    <s v="Male"/>
    <s v="New York"/>
    <s v="New York City"/>
    <s v="Bachelor"/>
    <d v="1985-03-04T00:00:00"/>
    <d v="2019-05-07T00:00:00"/>
    <d v="2020-08-24T00:00:00"/>
    <x v="2"/>
    <s v="Operations Manager"/>
    <x v="143"/>
    <s v="Good"/>
    <n v="2.364383561643836"/>
    <x v="0"/>
    <n v="40"/>
    <s v="High"/>
  </r>
  <r>
    <x v="145"/>
    <s v="James"/>
    <s v="Ortega"/>
    <s v="Male"/>
    <s v="New York"/>
    <s v="New York City"/>
    <s v="Bachelor"/>
    <d v="1980-11-09T00:00:00"/>
    <d v="2018-05-28T00:00:00"/>
    <d v="2024-05-13T00:00:00"/>
    <x v="6"/>
    <s v="Sales Specialist"/>
    <x v="144"/>
    <s v="Satisfactory"/>
    <n v="5.6383561643835618"/>
    <x v="0"/>
    <n v="44"/>
    <s v="Medium"/>
  </r>
  <r>
    <x v="146"/>
    <s v="Erica"/>
    <s v="Orr"/>
    <s v="Male"/>
    <s v="New York"/>
    <s v="New York City"/>
    <s v="Bachelor"/>
    <d v="1988-11-16T00:00:00"/>
    <d v="2017-08-28T00:00:00"/>
    <d v="2022-11-06T00:00:00"/>
    <x v="1"/>
    <s v="IT Support Specialist"/>
    <x v="145"/>
    <s v="Satisfactory"/>
    <n v="0.49315068493150682"/>
    <x v="0"/>
    <n v="36"/>
    <s v="Medium"/>
  </r>
  <r>
    <x v="147"/>
    <s v="Ashley"/>
    <s v="Sullivan"/>
    <s v="Male"/>
    <s v="New York"/>
    <s v="New York City"/>
    <s v="High School"/>
    <d v="1982-10-07T00:00:00"/>
    <d v="2022-11-20T00:00:00"/>
    <d v="2023-05-19T00:00:00"/>
    <x v="2"/>
    <s v="Inventory Specialist"/>
    <x v="146"/>
    <s v="Needs Improvement"/>
    <n v="0.49315068493150682"/>
    <x v="0"/>
    <n v="42"/>
    <s v="Medium"/>
  </r>
  <r>
    <x v="148"/>
    <s v="Aaron"/>
    <s v="Mitchell"/>
    <s v="Female"/>
    <s v="New York"/>
    <s v="New York City"/>
    <s v="Bachelor"/>
    <d v="1992-05-23T00:00:00"/>
    <d v="2018-06-16T00:00:00"/>
    <d v="2018-12-13T00:00:00"/>
    <x v="1"/>
    <s v="Software Developer"/>
    <x v="147"/>
    <s v="Satisfactory"/>
    <n v="0.49041095890410957"/>
    <x v="0"/>
    <n v="32"/>
    <s v="Medium"/>
  </r>
  <r>
    <x v="149"/>
    <s v="Steven"/>
    <s v="Ramos"/>
    <s v="Female"/>
    <s v="New York"/>
    <s v="New York City"/>
    <s v="Bachelor"/>
    <d v="1995-05-16T00:00:00"/>
    <d v="2024-03-23T00:00:00"/>
    <d v="2024-09-19T00:00:00"/>
    <x v="2"/>
    <s v="Logistics Coordinator"/>
    <x v="148"/>
    <s v="Satisfactory"/>
    <n v="0.49315068493150682"/>
    <x v="0"/>
    <n v="29"/>
    <s v="Medium"/>
  </r>
  <r>
    <x v="150"/>
    <s v="William"/>
    <s v="Leon"/>
    <s v="Female"/>
    <s v="New York"/>
    <s v="New York City"/>
    <s v="High School"/>
    <d v="1997-10-28T00:00:00"/>
    <d v="2018-11-06T00:00:00"/>
    <d v="2019-05-05T00:00:00"/>
    <x v="4"/>
    <s v="Content Creator"/>
    <x v="149"/>
    <s v="Needs Improvement"/>
    <n v="0.49315068493150682"/>
    <x v="0"/>
    <n v="27"/>
    <s v="Low"/>
  </r>
  <r>
    <x v="151"/>
    <s v="Jill"/>
    <s v="Hopkins"/>
    <s v="Male"/>
    <s v="New York"/>
    <s v="New York City"/>
    <s v="PhD"/>
    <d v="1993-08-13T00:00:00"/>
    <d v="2022-04-21T00:00:00"/>
    <d v="2024-06-09T00:00:00"/>
    <x v="6"/>
    <s v="Sales Specialist"/>
    <x v="150"/>
    <s v="Excellent"/>
    <n v="1.3013698630136989"/>
    <x v="0"/>
    <n v="31"/>
    <s v="Medium"/>
  </r>
  <r>
    <x v="152"/>
    <s v="Zachary"/>
    <s v="Schultz"/>
    <s v="Male"/>
    <s v="New York"/>
    <s v="New York City"/>
    <s v="Bachelor"/>
    <d v="1998-10-13T00:00:00"/>
    <d v="2023-05-11T00:00:00"/>
    <d v="2023-11-07T00:00:00"/>
    <x v="1"/>
    <s v="IT Support Specialist"/>
    <x v="151"/>
    <s v="Good"/>
    <n v="9.1424657534246574"/>
    <x v="1"/>
    <n v="26"/>
    <s v="Medium"/>
  </r>
  <r>
    <x v="153"/>
    <s v="Emily"/>
    <s v="Walker"/>
    <s v="Female"/>
    <s v="North Carolina"/>
    <s v="Charlotte"/>
    <s v="Master"/>
    <d v="1960-03-22T00:00:00"/>
    <d v="2018-03-19T00:00:00"/>
    <d v="2018-09-15T00:00:00"/>
    <x v="1"/>
    <s v="Software Developer"/>
    <x v="152"/>
    <s v="Good"/>
    <n v="5.9643835616438352"/>
    <x v="0"/>
    <n v="65"/>
    <s v="Medium"/>
  </r>
  <r>
    <x v="154"/>
    <s v="Dylan"/>
    <s v="Williams"/>
    <s v="Male"/>
    <s v="New York"/>
    <s v="New York City"/>
    <s v="High School"/>
    <d v="1985-12-07T00:00:00"/>
    <d v="2022-07-04T00:00:00"/>
    <d v="2022-12-31T00:00:00"/>
    <x v="2"/>
    <s v="Inventory Specialist"/>
    <x v="153"/>
    <s v="Needs Improvement"/>
    <n v="5.1945205479452046"/>
    <x v="0"/>
    <n v="39"/>
    <s v="Low"/>
  </r>
  <r>
    <x v="155"/>
    <s v="Cheryl"/>
    <s v="Mack"/>
    <s v="Female"/>
    <s v="Ohio"/>
    <s v="Cleveland"/>
    <s v="Bachelor"/>
    <d v="1996-09-17T00:00:00"/>
    <d v="2020-06-25T00:00:00"/>
    <d v="2020-12-22T00:00:00"/>
    <x v="0"/>
    <s v="Customer Service Representative"/>
    <x v="154"/>
    <s v="Satisfactory"/>
    <n v="0.49315068493150682"/>
    <x v="0"/>
    <n v="28"/>
    <s v="Low"/>
  </r>
  <r>
    <x v="156"/>
    <s v="Robert"/>
    <s v="Soto"/>
    <s v="Female"/>
    <s v="New York"/>
    <s v="New York City"/>
    <s v="Bachelor"/>
    <d v="1998-05-04T00:00:00"/>
    <d v="2022-03-17T00:00:00"/>
    <d v="2022-09-13T00:00:00"/>
    <x v="2"/>
    <s v="Inventory Specialist"/>
    <x v="155"/>
    <s v="Satisfactory"/>
    <n v="0.49315068493150682"/>
    <x v="0"/>
    <n v="26"/>
    <s v="Low"/>
  </r>
  <r>
    <x v="157"/>
    <s v="Jennifer"/>
    <s v="Cruz"/>
    <s v="Female"/>
    <s v="Ohio"/>
    <s v="Cincinnati"/>
    <s v="Bachelor"/>
    <d v="1972-07-20T00:00:00"/>
    <d v="2017-06-05T00:00:00"/>
    <d v="2021-12-17T00:00:00"/>
    <x v="2"/>
    <s v="Inventory Specialist"/>
    <x v="156"/>
    <s v="Good"/>
    <n v="7.9315068493150687"/>
    <x v="1"/>
    <n v="52"/>
    <s v="Medium"/>
  </r>
  <r>
    <x v="158"/>
    <s v="John"/>
    <s v="Douglas"/>
    <s v="Female"/>
    <s v="Michigan"/>
    <s v="Grand Rapids"/>
    <s v="High School"/>
    <d v="1996-04-19T00:00:00"/>
    <d v="2017-01-03T00:00:00"/>
    <d v="2021-09-24T00:00:00"/>
    <x v="0"/>
    <s v="Help Desk Technician"/>
    <x v="157"/>
    <s v="Needs Improvement"/>
    <n v="0.49315068493150682"/>
    <x v="0"/>
    <n v="28"/>
    <s v="Medium"/>
  </r>
  <r>
    <x v="159"/>
    <s v="Patricia"/>
    <s v="Dalton"/>
    <s v="Female"/>
    <s v="New York"/>
    <s v="New York City"/>
    <s v="High School"/>
    <d v="1971-08-04T00:00:00"/>
    <d v="2018-12-10T00:00:00"/>
    <d v="2021-05-23T00:00:00"/>
    <x v="0"/>
    <s v="Customer Service Representative"/>
    <x v="158"/>
    <s v="Excellent"/>
    <n v="0.49315068493150682"/>
    <x v="0"/>
    <n v="53"/>
    <s v="Medium"/>
  </r>
  <r>
    <x v="160"/>
    <s v="Daniel"/>
    <s v="Coleman"/>
    <s v="Male"/>
    <s v="Michigan"/>
    <s v="Warren"/>
    <s v="Bachelor"/>
    <d v="1983-11-15T00:00:00"/>
    <d v="2017-03-10T00:00:00"/>
    <d v="2024-05-07T00:00:00"/>
    <x v="4"/>
    <s v="Content Creator"/>
    <x v="159"/>
    <s v="Good"/>
    <n v="2.1369863013698631"/>
    <x v="0"/>
    <n v="41"/>
    <s v="Medium"/>
  </r>
  <r>
    <x v="161"/>
    <s v="Linda"/>
    <s v="Dominguez"/>
    <s v="Female"/>
    <s v="New York"/>
    <s v="New York City"/>
    <s v="Bachelor"/>
    <d v="1988-01-27T00:00:00"/>
    <d v="2022-06-30T00:00:00"/>
    <d v="2022-12-27T00:00:00"/>
    <x v="0"/>
    <s v="Customer Service Representative"/>
    <x v="160"/>
    <s v="Good"/>
    <n v="0.49315068493150682"/>
    <x v="0"/>
    <n v="37"/>
    <s v="Low"/>
  </r>
  <r>
    <x v="162"/>
    <s v="Brent"/>
    <s v="Wright"/>
    <s v="Male"/>
    <s v="New York"/>
    <s v="New York City"/>
    <s v="Master"/>
    <d v="1994-03-02T00:00:00"/>
    <d v="2022-11-26T00:00:00"/>
    <d v="2023-05-25T00:00:00"/>
    <x v="1"/>
    <s v="System Administrator"/>
    <x v="161"/>
    <s v="Excellent"/>
    <n v="8.0246575342465754"/>
    <x v="1"/>
    <n v="31"/>
    <s v="Medium"/>
  </r>
  <r>
    <x v="163"/>
    <s v="David"/>
    <s v="Anderson"/>
    <s v="Female"/>
    <s v="New York"/>
    <s v="New York City"/>
    <s v="Bachelor"/>
    <d v="1985-06-27T00:00:00"/>
    <d v="2024-06-29T00:00:00"/>
    <d v="2024-12-26T00:00:00"/>
    <x v="0"/>
    <s v="Customer Service Manager"/>
    <x v="162"/>
    <s v="Needs Improvement"/>
    <n v="0.49315068493150682"/>
    <x v="0"/>
    <n v="39"/>
    <s v="Medium"/>
  </r>
  <r>
    <x v="164"/>
    <s v="Elizabeth"/>
    <s v="Travis"/>
    <s v="Female"/>
    <s v="New York"/>
    <s v="New York City"/>
    <s v="Bachelor"/>
    <d v="2002-11-17T00:00:00"/>
    <d v="2021-08-20T00:00:00"/>
    <d v="2022-02-16T00:00:00"/>
    <x v="6"/>
    <s v="Sales Representative"/>
    <x v="163"/>
    <s v="Good"/>
    <n v="0.49315068493150682"/>
    <x v="0"/>
    <n v="22"/>
    <s v="Medium"/>
  </r>
  <r>
    <x v="165"/>
    <s v="Logan"/>
    <s v="Fischer"/>
    <s v="Male"/>
    <s v="New York"/>
    <s v="New York City"/>
    <s v="Bachelor"/>
    <d v="1971-07-24T00:00:00"/>
    <d v="2022-06-21T00:00:00"/>
    <d v="2022-12-18T00:00:00"/>
    <x v="6"/>
    <s v="Sales Representative"/>
    <x v="164"/>
    <s v="Satisfactory"/>
    <n v="0.49315068493150682"/>
    <x v="0"/>
    <n v="53"/>
    <s v="Medium"/>
  </r>
  <r>
    <x v="166"/>
    <s v="Cheyenne"/>
    <s v="Ball"/>
    <s v="Male"/>
    <s v="Michigan"/>
    <s v="Grand Rapids"/>
    <s v="Bachelor"/>
    <d v="1981-10-23T00:00:00"/>
    <d v="2022-07-16T00:00:00"/>
    <d v="2023-01-12T00:00:00"/>
    <x v="1"/>
    <s v="Software Developer"/>
    <x v="165"/>
    <s v="Good"/>
    <n v="0.49315068493150682"/>
    <x v="0"/>
    <n v="43"/>
    <s v="Medium"/>
  </r>
  <r>
    <x v="167"/>
    <s v="Ronald"/>
    <s v="Meadows"/>
    <s v="Male"/>
    <s v="New York"/>
    <s v="New York City"/>
    <s v="Bachelor"/>
    <d v="1973-10-28T00:00:00"/>
    <d v="2021-06-23T00:00:00"/>
    <d v="2021-12-20T00:00:00"/>
    <x v="4"/>
    <s v="SEO Specialist"/>
    <x v="166"/>
    <s v="Satisfactory"/>
    <n v="4.536986301369863"/>
    <x v="0"/>
    <n v="51"/>
    <s v="Medium"/>
  </r>
  <r>
    <x v="168"/>
    <s v="Phyllis"/>
    <s v="Manning"/>
    <s v="Male"/>
    <s v="New York"/>
    <s v="New York City"/>
    <s v="Bachelor"/>
    <d v="1997-07-15T00:00:00"/>
    <d v="2023-07-04T00:00:00"/>
    <d v="2023-12-31T00:00:00"/>
    <x v="2"/>
    <s v="Logistics Coordinator"/>
    <x v="167"/>
    <s v="Satisfactory"/>
    <n v="4.7260273972602738"/>
    <x v="0"/>
    <n v="27"/>
    <s v="Medium"/>
  </r>
  <r>
    <x v="169"/>
    <s v="Shannon"/>
    <s v="Walton"/>
    <s v="Male"/>
    <s v="New York"/>
    <s v="New York City"/>
    <s v="Bachelor"/>
    <d v="1972-03-15T00:00:00"/>
    <d v="2020-11-22T00:00:00"/>
    <d v="2021-05-21T00:00:00"/>
    <x v="1"/>
    <s v="Software Developer"/>
    <x v="168"/>
    <s v="Good"/>
    <n v="2.452054794520548"/>
    <x v="0"/>
    <n v="53"/>
    <s v="Medium"/>
  </r>
  <r>
    <x v="170"/>
    <s v="Dana"/>
    <s v="Cannon"/>
    <s v="Male"/>
    <s v="Michigan"/>
    <s v="Grand Rapids"/>
    <s v="Bachelor"/>
    <d v="1995-02-02T00:00:00"/>
    <d v="2019-07-22T00:00:00"/>
    <d v="2022-06-08T00:00:00"/>
    <x v="6"/>
    <s v="Sales Representative"/>
    <x v="169"/>
    <s v="Satisfactory"/>
    <n v="7.1643835616438354"/>
    <x v="0"/>
    <n v="30"/>
    <s v="Medium"/>
  </r>
  <r>
    <x v="171"/>
    <s v="Todd"/>
    <s v="Allen"/>
    <s v="Female"/>
    <s v="New York"/>
    <s v="New York City"/>
    <s v="Bachelor"/>
    <d v="1972-10-12T00:00:00"/>
    <d v="2020-06-19T00:00:00"/>
    <d v="2020-12-16T00:00:00"/>
    <x v="3"/>
    <s v="Financial Analyst"/>
    <x v="170"/>
    <s v="Good"/>
    <n v="0.49315068493150682"/>
    <x v="0"/>
    <n v="52"/>
    <s v="Medium"/>
  </r>
  <r>
    <x v="172"/>
    <s v="Chris"/>
    <s v="Mitchell"/>
    <s v="Female"/>
    <s v="New York"/>
    <s v="New York City"/>
    <s v="Bachelor"/>
    <d v="1962-10-29T00:00:00"/>
    <d v="2022-04-16T00:00:00"/>
    <d v="2022-10-13T00:00:00"/>
    <x v="4"/>
    <s v="SEO Specialist"/>
    <x v="171"/>
    <s v="Good"/>
    <n v="0.49315068493150682"/>
    <x v="0"/>
    <n v="62"/>
    <s v="Medium"/>
  </r>
  <r>
    <x v="173"/>
    <s v="Matthew"/>
    <s v="Orozco"/>
    <s v="Female"/>
    <s v="New York"/>
    <s v="New York City"/>
    <s v="Bachelor"/>
    <d v="2001-10-14T00:00:00"/>
    <d v="2023-02-01T00:00:00"/>
    <d v="2023-07-31T00:00:00"/>
    <x v="4"/>
    <s v="Content Creator"/>
    <x v="172"/>
    <s v="Excellent"/>
    <n v="0.49315068493150682"/>
    <x v="0"/>
    <n v="23"/>
    <s v="Low"/>
  </r>
  <r>
    <x v="174"/>
    <s v="Devon"/>
    <s v="Hall"/>
    <s v="Male"/>
    <s v="New York"/>
    <s v="New York City"/>
    <s v="Bachelor"/>
    <d v="1969-06-04T00:00:00"/>
    <d v="2018-09-27T00:00:00"/>
    <d v="2021-08-07T00:00:00"/>
    <x v="6"/>
    <s v="Sales Representative"/>
    <x v="173"/>
    <s v="Satisfactory"/>
    <n v="0.49315068493150682"/>
    <x v="0"/>
    <n v="55"/>
    <s v="Medium"/>
  </r>
  <r>
    <x v="175"/>
    <s v="Eric"/>
    <s v="Lewis"/>
    <s v="Male"/>
    <s v="New York"/>
    <s v="New York City"/>
    <s v="PhD"/>
    <d v="1968-09-02T00:00:00"/>
    <d v="2016-06-10T00:00:00"/>
    <d v="2021-05-12T00:00:00"/>
    <x v="6"/>
    <s v="Sales Specialist"/>
    <x v="174"/>
    <s v="Excellent"/>
    <n v="0.49315068493150682"/>
    <x v="0"/>
    <n v="56"/>
    <s v="Medium"/>
  </r>
  <r>
    <x v="176"/>
    <s v="Rick"/>
    <s v="Daniels"/>
    <s v="Male"/>
    <s v="New York"/>
    <s v="New York City"/>
    <s v="Bachelor"/>
    <d v="1993-10-20T00:00:00"/>
    <d v="2023-06-11T00:00:00"/>
    <d v="2023-12-08T00:00:00"/>
    <x v="0"/>
    <s v="Help Desk Technician"/>
    <x v="175"/>
    <s v="Satisfactory"/>
    <n v="0.49315068493150682"/>
    <x v="0"/>
    <n v="31"/>
    <s v="Medium"/>
  </r>
  <r>
    <x v="177"/>
    <s v="Bryan"/>
    <s v="Wall"/>
    <s v="Male"/>
    <s v="Illinois"/>
    <s v="Naperville"/>
    <s v="High School"/>
    <d v="1975-04-29T00:00:00"/>
    <d v="2024-05-31T00:00:00"/>
    <d v="2024-11-27T00:00:00"/>
    <x v="0"/>
    <s v="Customer Service Representative"/>
    <x v="176"/>
    <s v="Excellent"/>
    <n v="0.49315068493150682"/>
    <x v="0"/>
    <n v="49"/>
    <s v="Medium"/>
  </r>
  <r>
    <x v="178"/>
    <s v="Rebecca"/>
    <s v="Silva"/>
    <s v="Male"/>
    <s v="New York"/>
    <s v="New York City"/>
    <s v="Master"/>
    <d v="1970-05-28T00:00:00"/>
    <d v="2022-09-28T00:00:00"/>
    <d v="2023-03-27T00:00:00"/>
    <x v="1"/>
    <s v="System Administrator"/>
    <x v="177"/>
    <s v="Good"/>
    <n v="0.49315068493150682"/>
    <x v="0"/>
    <n v="54"/>
    <s v="Medium"/>
  </r>
  <r>
    <x v="179"/>
    <s v="Andrew"/>
    <s v="Gilmore"/>
    <s v="Male"/>
    <s v="New York"/>
    <s v="New York City"/>
    <s v="Bachelor"/>
    <d v="1983-11-26T00:00:00"/>
    <d v="2018-08-11T00:00:00"/>
    <d v="2019-02-07T00:00:00"/>
    <x v="2"/>
    <s v="Inventory Specialist"/>
    <x v="178"/>
    <s v="Good"/>
    <n v="0.49315068493150682"/>
    <x v="0"/>
    <n v="41"/>
    <s v="Medium"/>
  </r>
  <r>
    <x v="180"/>
    <s v="Omar"/>
    <s v="Smith"/>
    <s v="Female"/>
    <s v="New York"/>
    <s v="New York City"/>
    <s v="Master"/>
    <d v="1972-06-02T00:00:00"/>
    <d v="2023-05-17T00:00:00"/>
    <d v="2023-11-13T00:00:00"/>
    <x v="6"/>
    <s v="Sales Consultant"/>
    <x v="179"/>
    <s v="Excellent"/>
    <n v="2.882191780821918"/>
    <x v="0"/>
    <n v="52"/>
    <s v="Medium"/>
  </r>
  <r>
    <x v="181"/>
    <s v="Kenneth"/>
    <s v="Price"/>
    <s v="Female"/>
    <s v="North Carolina"/>
    <s v="Charlotte"/>
    <s v="High School"/>
    <d v="1981-02-06T00:00:00"/>
    <d v="2017-12-13T00:00:00"/>
    <d v="2019-06-14T00:00:00"/>
    <x v="0"/>
    <s v="Help Desk Technician"/>
    <x v="180"/>
    <s v="Needs Improvement"/>
    <n v="0.49315068493150682"/>
    <x v="0"/>
    <n v="44"/>
    <s v="Medium"/>
  </r>
  <r>
    <x v="182"/>
    <s v="Stephanie"/>
    <s v="Barnes"/>
    <s v="Male"/>
    <s v="Illinois"/>
    <s v="Naperville"/>
    <s v="Master"/>
    <d v="1987-06-10T00:00:00"/>
    <d v="2017-10-18T00:00:00"/>
    <d v="2018-04-16T00:00:00"/>
    <x v="6"/>
    <s v="Sales Manager"/>
    <x v="181"/>
    <s v="Excellent"/>
    <n v="0.49315068493150682"/>
    <x v="0"/>
    <n v="37"/>
    <s v="High"/>
  </r>
  <r>
    <x v="183"/>
    <s v="Jessica"/>
    <s v="Marsh"/>
    <s v="Female"/>
    <s v="New York"/>
    <s v="New York City"/>
    <s v="Bachelor"/>
    <d v="1973-06-26T00:00:00"/>
    <d v="2020-12-14T00:00:00"/>
    <d v="2021-06-12T00:00:00"/>
    <x v="6"/>
    <s v="Sales Consultant"/>
    <x v="182"/>
    <s v="Good"/>
    <n v="0.49315068493150682"/>
    <x v="0"/>
    <n v="51"/>
    <s v="Medium"/>
  </r>
  <r>
    <x v="184"/>
    <s v="Jeffrey"/>
    <s v="Robinson"/>
    <s v="Male"/>
    <s v="New York"/>
    <s v="New York City"/>
    <s v="Bachelor"/>
    <d v="1983-09-16T00:00:00"/>
    <d v="2015-06-19T00:00:00"/>
    <d v="2018-09-03T00:00:00"/>
    <x v="0"/>
    <s v="Customer Service Representative"/>
    <x v="183"/>
    <s v="Satisfactory"/>
    <n v="2.8630136986301369"/>
    <x v="0"/>
    <n v="41"/>
    <s v="Medium"/>
  </r>
  <r>
    <x v="185"/>
    <s v="Todd"/>
    <s v="Price"/>
    <s v="Male"/>
    <s v="Michigan"/>
    <s v="Detroit"/>
    <s v="High School"/>
    <d v="1986-04-23T00:00:00"/>
    <d v="2017-09-17T00:00:00"/>
    <d v="2018-03-16T00:00:00"/>
    <x v="1"/>
    <s v="IT Support Specialist"/>
    <x v="184"/>
    <s v="Needs Improvement"/>
    <n v="4.9232876712328766"/>
    <x v="0"/>
    <n v="38"/>
    <s v="Low"/>
  </r>
  <r>
    <x v="186"/>
    <s v="Erin"/>
    <s v="Powell"/>
    <s v="Male"/>
    <s v="New York"/>
    <s v="New York City"/>
    <s v="Master"/>
    <d v="1992-02-02T00:00:00"/>
    <d v="2023-03-06T00:00:00"/>
    <d v="2023-09-02T00:00:00"/>
    <x v="6"/>
    <s v="Sales Consultant"/>
    <x v="185"/>
    <s v="Excellent"/>
    <n v="0.49315068493150682"/>
    <x v="0"/>
    <n v="33"/>
    <s v="Medium"/>
  </r>
  <r>
    <x v="187"/>
    <s v="Mary"/>
    <s v="Calhoun"/>
    <s v="Female"/>
    <s v="New York"/>
    <s v="New York City"/>
    <s v="Bachelor"/>
    <d v="1980-05-16T00:00:00"/>
    <d v="2015-08-30T00:00:00"/>
    <d v="2020-06-11T00:00:00"/>
    <x v="2"/>
    <s v="Inventory Specialist"/>
    <x v="186"/>
    <s v="Needs Improvement"/>
    <n v="0.49315068493150682"/>
    <x v="0"/>
    <n v="44"/>
    <s v="Medium"/>
  </r>
  <r>
    <x v="188"/>
    <s v="Amanda"/>
    <s v="Meadows"/>
    <s v="Female"/>
    <s v="North Carolina"/>
    <s v="Charlotte"/>
    <s v="Bachelor"/>
    <d v="1969-09-08T00:00:00"/>
    <d v="2022-08-18T00:00:00"/>
    <d v="2023-02-14T00:00:00"/>
    <x v="3"/>
    <s v="Accountant"/>
    <x v="187"/>
    <s v="Good"/>
    <n v="0.49315068493150682"/>
    <x v="0"/>
    <n v="55"/>
    <s v="Medium"/>
  </r>
  <r>
    <x v="189"/>
    <s v="Anne"/>
    <s v="Johnson"/>
    <s v="Male"/>
    <s v="New York"/>
    <s v="New York City"/>
    <s v="Bachelor"/>
    <d v="1960-07-07T00:00:00"/>
    <d v="2022-09-07T00:00:00"/>
    <d v="2023-03-06T00:00:00"/>
    <x v="1"/>
    <s v="Software Developer"/>
    <x v="188"/>
    <s v="Good"/>
    <n v="0.49315068493150682"/>
    <x v="0"/>
    <n v="64"/>
    <s v="Medium"/>
  </r>
  <r>
    <x v="190"/>
    <s v="Roy"/>
    <s v="Camacho"/>
    <s v="Female"/>
    <s v="New York"/>
    <s v="New York City"/>
    <s v="Bachelor"/>
    <d v="1966-04-15T00:00:00"/>
    <d v="2019-03-12T00:00:00"/>
    <d v="2019-09-08T00:00:00"/>
    <x v="0"/>
    <s v="Support Specialist"/>
    <x v="189"/>
    <s v="Good"/>
    <n v="0.49315068493150682"/>
    <x v="0"/>
    <n v="58"/>
    <s v="Medium"/>
  </r>
  <r>
    <x v="191"/>
    <s v="Brent"/>
    <s v="Gray"/>
    <s v="Female"/>
    <s v="Michigan"/>
    <s v="Detroit"/>
    <s v="Bachelor"/>
    <d v="1989-08-19T00:00:00"/>
    <d v="2017-03-24T00:00:00"/>
    <d v="2023-12-12T00:00:00"/>
    <x v="4"/>
    <s v="Content Creator"/>
    <x v="190"/>
    <s v="Satisfactory"/>
    <n v="1.5013698630136989"/>
    <x v="0"/>
    <n v="35"/>
    <s v="Low"/>
  </r>
  <r>
    <x v="192"/>
    <s v="Shawn"/>
    <s v="Rogers"/>
    <s v="Female"/>
    <s v="Pennsylvania"/>
    <s v="Philadelphia"/>
    <s v="Bachelor"/>
    <d v="1969-05-26T00:00:00"/>
    <d v="2022-12-08T00:00:00"/>
    <d v="2023-06-06T00:00:00"/>
    <x v="6"/>
    <s v="Sales Representative"/>
    <x v="191"/>
    <s v="Satisfactory"/>
    <n v="0.49315068493150682"/>
    <x v="0"/>
    <n v="55"/>
    <s v="Medium"/>
  </r>
  <r>
    <x v="193"/>
    <s v="Nicholas"/>
    <s v="Walton"/>
    <s v="Female"/>
    <s v="Michigan"/>
    <s v="Grand Rapids"/>
    <s v="PhD"/>
    <d v="1990-04-07T00:00:00"/>
    <d v="2020-11-19T00:00:00"/>
    <d v="2021-05-18T00:00:00"/>
    <x v="6"/>
    <s v="Sales Specialist"/>
    <x v="192"/>
    <s v="Excellent"/>
    <n v="0.49315068493150682"/>
    <x v="0"/>
    <n v="35"/>
    <s v="Medium"/>
  </r>
  <r>
    <x v="194"/>
    <s v="Robert"/>
    <s v="Conley"/>
    <s v="Female"/>
    <s v="New York"/>
    <s v="New York City"/>
    <s v="Bachelor"/>
    <d v="1961-10-18T00:00:00"/>
    <d v="2018-07-02T00:00:00"/>
    <d v="2020-01-29T00:00:00"/>
    <x v="0"/>
    <s v="Customer Service Representative"/>
    <x v="193"/>
    <s v="Good"/>
    <n v="3.2109589041095892"/>
    <x v="0"/>
    <n v="63"/>
    <s v="Low"/>
  </r>
  <r>
    <x v="195"/>
    <s v="Andrew"/>
    <s v="Ryan"/>
    <s v="Male"/>
    <s v="New York"/>
    <s v="New York City"/>
    <s v="Bachelor"/>
    <d v="1977-12-08T00:00:00"/>
    <d v="2018-05-16T00:00:00"/>
    <d v="2018-11-12T00:00:00"/>
    <x v="6"/>
    <s v="Sales Consultant"/>
    <x v="194"/>
    <s v="Good"/>
    <n v="0.49315068493150682"/>
    <x v="0"/>
    <n v="47"/>
    <s v="Medium"/>
  </r>
  <r>
    <x v="196"/>
    <s v="Jeffrey"/>
    <s v="Jones"/>
    <s v="Female"/>
    <s v="New York"/>
    <s v="New York City"/>
    <s v="Bachelor"/>
    <d v="1992-01-31T00:00:00"/>
    <d v="2018-09-11T00:00:00"/>
    <d v="2019-03-10T00:00:00"/>
    <x v="4"/>
    <s v="Marketing Coordinator"/>
    <x v="195"/>
    <s v="Satisfactory"/>
    <n v="0.49315068493150682"/>
    <x v="0"/>
    <n v="33"/>
    <s v="Low"/>
  </r>
  <r>
    <x v="197"/>
    <s v="Billy"/>
    <s v="Johnson"/>
    <s v="Female"/>
    <s v="Pennsylvania"/>
    <s v="Philadelphia"/>
    <s v="Bachelor"/>
    <d v="1976-11-04T00:00:00"/>
    <d v="2017-04-07T00:00:00"/>
    <d v="2024-12-23T00:00:00"/>
    <x v="6"/>
    <s v="Sales Representative"/>
    <x v="196"/>
    <s v="Good"/>
    <n v="4.7863013698630139"/>
    <x v="0"/>
    <n v="48"/>
    <s v="Low"/>
  </r>
  <r>
    <x v="198"/>
    <s v="James"/>
    <s v="Smith"/>
    <s v="Female"/>
    <s v="New York"/>
    <s v="New York City"/>
    <s v="Master"/>
    <d v="1990-04-24T00:00:00"/>
    <d v="2022-03-01T00:00:00"/>
    <d v="2022-08-28T00:00:00"/>
    <x v="1"/>
    <s v="System Administrator"/>
    <x v="197"/>
    <s v="Excellent"/>
    <n v="0.49315068493150682"/>
    <x v="0"/>
    <n v="34"/>
    <s v="Medium"/>
  </r>
  <r>
    <x v="199"/>
    <s v="John"/>
    <s v="Wells"/>
    <s v="Female"/>
    <s v="North Carolina"/>
    <s v="Charlotte"/>
    <s v="Master"/>
    <d v="1980-08-02T00:00:00"/>
    <d v="2024-02-14T00:00:00"/>
    <d v="2024-08-12T00:00:00"/>
    <x v="6"/>
    <s v="Sales Consultant"/>
    <x v="198"/>
    <s v="Good"/>
    <n v="0.49315068493150682"/>
    <x v="0"/>
    <n v="44"/>
    <s v="Medium"/>
  </r>
  <r>
    <x v="200"/>
    <s v="Anne"/>
    <s v="Robinson"/>
    <s v="Female"/>
    <s v="New York"/>
    <s v="New York City"/>
    <s v="Bachelor"/>
    <d v="1962-09-03T00:00:00"/>
    <d v="2018-09-29T00:00:00"/>
    <d v="2019-03-28T00:00:00"/>
    <x v="0"/>
    <s v="Customer Service Representative"/>
    <x v="199"/>
    <s v="Good"/>
    <n v="0.49315068493150682"/>
    <x v="0"/>
    <n v="62"/>
    <s v="Medium"/>
  </r>
  <r>
    <x v="201"/>
    <s v="Catherine"/>
    <s v="Adkins"/>
    <s v="Male"/>
    <s v="New York"/>
    <s v="New York City"/>
    <s v="Bachelor"/>
    <d v="1996-03-25T00:00:00"/>
    <d v="2017-02-14T00:00:00"/>
    <d v="2024-11-08T00:00:00"/>
    <x v="2"/>
    <s v="Inventory Specialist"/>
    <x v="200"/>
    <s v="Good"/>
    <n v="6.7232876712328764"/>
    <x v="0"/>
    <n v="29"/>
    <s v="Medium"/>
  </r>
  <r>
    <x v="202"/>
    <s v="Kimberly"/>
    <s v="Martin"/>
    <s v="Female"/>
    <s v="New York"/>
    <s v="New York City"/>
    <s v="High School"/>
    <d v="1994-02-21T00:00:00"/>
    <d v="2016-04-30T00:00:00"/>
    <d v="2019-01-27T00:00:00"/>
    <x v="2"/>
    <s v="Inventory Specialist"/>
    <x v="201"/>
    <s v="Needs Improvement"/>
    <n v="0.49315068493150682"/>
    <x v="0"/>
    <n v="31"/>
    <s v="Medium"/>
  </r>
  <r>
    <x v="203"/>
    <s v="Daniel"/>
    <s v="Johnson"/>
    <s v="Male"/>
    <s v="New York"/>
    <s v="New York City"/>
    <s v="Master"/>
    <d v="1990-12-09T00:00:00"/>
    <d v="2019-05-02T00:00:00"/>
    <d v="2022-03-29T00:00:00"/>
    <x v="1"/>
    <s v="Software Developer"/>
    <x v="202"/>
    <s v="Good"/>
    <n v="0.49315068493150682"/>
    <x v="0"/>
    <n v="34"/>
    <s v="High"/>
  </r>
  <r>
    <x v="204"/>
    <s v="Barbara"/>
    <s v="Odonnell"/>
    <s v="Male"/>
    <s v="Illinois"/>
    <s v="Chicago"/>
    <s v="Bachelor"/>
    <d v="1996-11-13T00:00:00"/>
    <d v="2024-05-25T00:00:00"/>
    <d v="2024-11-21T00:00:00"/>
    <x v="4"/>
    <s v="Marketing Coordinator"/>
    <x v="203"/>
    <s v="Good"/>
    <n v="1.5780821917808221"/>
    <x v="0"/>
    <n v="28"/>
    <s v="Medium"/>
  </r>
  <r>
    <x v="205"/>
    <s v="Randy"/>
    <s v="Espinoza"/>
    <s v="Male"/>
    <s v="Ohio"/>
    <s v="Cleveland"/>
    <s v="Bachelor"/>
    <d v="1996-03-22T00:00:00"/>
    <d v="2016-01-30T00:00:00"/>
    <d v="2023-10-23T00:00:00"/>
    <x v="6"/>
    <s v="Sales Representative"/>
    <x v="204"/>
    <s v="Satisfactory"/>
    <n v="0.49315068493150682"/>
    <x v="0"/>
    <n v="29"/>
    <s v="Medium"/>
  </r>
  <r>
    <x v="206"/>
    <s v="Brittany"/>
    <s v="Rivas"/>
    <s v="Male"/>
    <s v="New York"/>
    <s v="New York City"/>
    <s v="Bachelor"/>
    <d v="1986-04-03T00:00:00"/>
    <d v="2016-04-04T00:00:00"/>
    <d v="2016-10-01T00:00:00"/>
    <x v="3"/>
    <s v="Accountant"/>
    <x v="205"/>
    <s v="Satisfactory"/>
    <n v="0.49315068493150682"/>
    <x v="0"/>
    <n v="39"/>
    <s v="Medium"/>
  </r>
  <r>
    <x v="207"/>
    <s v="Curtis"/>
    <s v="Barton"/>
    <s v="Female"/>
    <s v="New York"/>
    <s v="New York City"/>
    <s v="High School"/>
    <d v="1989-07-03T00:00:00"/>
    <d v="2017-11-27T00:00:00"/>
    <d v="2018-12-19T00:00:00"/>
    <x v="4"/>
    <s v="Content Creator"/>
    <x v="206"/>
    <s v="Needs Improvement"/>
    <n v="7.7178082191780826"/>
    <x v="0"/>
    <n v="35"/>
    <s v="Low"/>
  </r>
  <r>
    <x v="208"/>
    <s v="Gabrielle"/>
    <s v="Trujillo"/>
    <s v="Female"/>
    <s v="New York"/>
    <s v="New York City"/>
    <s v="Bachelor"/>
    <d v="1970-04-30T00:00:00"/>
    <d v="2018-11-05T00:00:00"/>
    <d v="2019-05-04T00:00:00"/>
    <x v="0"/>
    <s v="Support Specialist"/>
    <x v="207"/>
    <s v="Satisfactory"/>
    <n v="0.49315068493150682"/>
    <x v="0"/>
    <n v="54"/>
    <s v="Low"/>
  </r>
  <r>
    <x v="209"/>
    <s v="Tonya"/>
    <s v="Patton"/>
    <s v="Female"/>
    <s v="New York"/>
    <s v="New York City"/>
    <s v="High School"/>
    <d v="1999-05-26T00:00:00"/>
    <d v="2021-05-15T00:00:00"/>
    <d v="2021-11-11T00:00:00"/>
    <x v="0"/>
    <s v="Help Desk Technician"/>
    <x v="208"/>
    <s v="Needs Improvement"/>
    <n v="0.49315068493150682"/>
    <x v="0"/>
    <n v="25"/>
    <s v="Medium"/>
  </r>
  <r>
    <x v="210"/>
    <s v="Amanda"/>
    <s v="Stanley"/>
    <s v="Male"/>
    <s v="New York"/>
    <s v="New York City"/>
    <s v="Bachelor"/>
    <d v="1973-05-26T00:00:00"/>
    <d v="2018-01-27T00:00:00"/>
    <d v="2018-07-26T00:00:00"/>
    <x v="6"/>
    <s v="Sales Representative"/>
    <x v="209"/>
    <s v="Good"/>
    <n v="0.49315068493150682"/>
    <x v="0"/>
    <n v="51"/>
    <s v="Medium"/>
  </r>
  <r>
    <x v="211"/>
    <s v="William"/>
    <s v="Peterson"/>
    <s v="Male"/>
    <s v="Illinois"/>
    <s v="Chicago"/>
    <s v="Bachelor"/>
    <d v="1977-01-27T00:00:00"/>
    <d v="2018-11-25T00:00:00"/>
    <d v="2019-05-24T00:00:00"/>
    <x v="2"/>
    <s v="Logistics Coordinator"/>
    <x v="210"/>
    <s v="Excellent"/>
    <n v="8.632876712328768"/>
    <x v="1"/>
    <n v="48"/>
    <s v="Low"/>
  </r>
  <r>
    <x v="212"/>
    <s v="Robert"/>
    <s v="Henry"/>
    <s v="Male"/>
    <s v="New York"/>
    <s v="New York City"/>
    <s v="High School"/>
    <d v="1970-04-05T00:00:00"/>
    <d v="2016-06-17T00:00:00"/>
    <d v="2016-12-14T00:00:00"/>
    <x v="0"/>
    <s v="Help Desk Technician"/>
    <x v="211"/>
    <s v="Needs Improvement"/>
    <n v="7.7369863013698632"/>
    <x v="0"/>
    <n v="55"/>
    <s v="Medium"/>
  </r>
  <r>
    <x v="213"/>
    <s v="Susan"/>
    <s v="Reid"/>
    <s v="Male"/>
    <s v="New York"/>
    <s v="New York City"/>
    <s v="Master"/>
    <d v="1977-10-31T00:00:00"/>
    <d v="2021-11-18T00:00:00"/>
    <d v="2022-05-17T00:00:00"/>
    <x v="1"/>
    <s v="System Administrator"/>
    <x v="212"/>
    <s v="Good"/>
    <n v="2.7452054794520548"/>
    <x v="0"/>
    <n v="47"/>
    <s v="Medium"/>
  </r>
  <r>
    <x v="214"/>
    <s v="Steve"/>
    <s v="Hernandez"/>
    <s v="Male"/>
    <s v="Ohio"/>
    <s v="Columbus"/>
    <s v="Bachelor"/>
    <d v="1993-10-30T00:00:00"/>
    <d v="2017-03-10T00:00:00"/>
    <d v="2021-08-28T00:00:00"/>
    <x v="3"/>
    <s v="Accounts Payable Specialist"/>
    <x v="213"/>
    <s v="Good"/>
    <n v="2.9095890410958898"/>
    <x v="0"/>
    <n v="31"/>
    <s v="Medium"/>
  </r>
  <r>
    <x v="215"/>
    <s v="Christina"/>
    <s v="Gillespie"/>
    <s v="Male"/>
    <s v="New York"/>
    <s v="New York City"/>
    <s v="Bachelor"/>
    <d v="1964-01-12T00:00:00"/>
    <d v="2019-10-28T00:00:00"/>
    <d v="2020-04-25T00:00:00"/>
    <x v="0"/>
    <s v="Help Desk Technician"/>
    <x v="214"/>
    <s v="Excellent"/>
    <n v="0.49315068493150682"/>
    <x v="0"/>
    <n v="61"/>
    <s v="Medium"/>
  </r>
  <r>
    <x v="216"/>
    <s v="Timothy"/>
    <s v="Graham"/>
    <s v="Female"/>
    <s v="New York"/>
    <s v="New York City"/>
    <s v="High School"/>
    <d v="1981-06-16T00:00:00"/>
    <d v="2022-10-11T00:00:00"/>
    <d v="2023-04-09T00:00:00"/>
    <x v="2"/>
    <s v="Inventory Specialist"/>
    <x v="215"/>
    <s v="Needs Improvement"/>
    <n v="7.7342465753424658"/>
    <x v="0"/>
    <n v="43"/>
    <s v="Low"/>
  </r>
  <r>
    <x v="217"/>
    <s v="Brittany"/>
    <s v="Morris"/>
    <s v="Female"/>
    <s v="New York"/>
    <s v="New York City"/>
    <s v="Bachelor"/>
    <d v="1975-02-10T00:00:00"/>
    <d v="2016-04-05T00:00:00"/>
    <d v="2024-04-01T00:00:00"/>
    <x v="2"/>
    <s v="Inventory Specialist"/>
    <x v="216"/>
    <s v="Excellent"/>
    <n v="0.49315068493150682"/>
    <x v="0"/>
    <n v="50"/>
    <s v="Low"/>
  </r>
  <r>
    <x v="218"/>
    <s v="Mariah"/>
    <s v="Miller"/>
    <s v="Male"/>
    <s v="New York"/>
    <s v="New York City"/>
    <s v="Bachelor"/>
    <d v="1997-09-07T00:00:00"/>
    <d v="2020-12-08T00:00:00"/>
    <d v="2022-07-23T00:00:00"/>
    <x v="6"/>
    <s v="Sales Representative"/>
    <x v="217"/>
    <s v="Good"/>
    <n v="1.0602739726027399"/>
    <x v="0"/>
    <n v="27"/>
    <s v="Medium"/>
  </r>
  <r>
    <x v="219"/>
    <s v="Shannon"/>
    <s v="Christensen"/>
    <s v="Male"/>
    <s v="New York"/>
    <s v="New York City"/>
    <s v="High School"/>
    <d v="1996-04-01T00:00:00"/>
    <d v="2020-08-09T00:00:00"/>
    <d v="2022-07-22T00:00:00"/>
    <x v="2"/>
    <s v="Inventory Specialist"/>
    <x v="218"/>
    <s v="Needs Improvement"/>
    <n v="0.49315068493150682"/>
    <x v="0"/>
    <n v="29"/>
    <s v="Medium"/>
  </r>
  <r>
    <x v="220"/>
    <s v="Cheryl"/>
    <s v="Gray"/>
    <s v="Female"/>
    <s v="Michigan"/>
    <s v="Warren"/>
    <s v="Bachelor"/>
    <d v="1961-03-16T00:00:00"/>
    <d v="2023-01-12T00:00:00"/>
    <d v="2023-07-11T00:00:00"/>
    <x v="2"/>
    <s v="Inventory Specialist"/>
    <x v="219"/>
    <s v="Good"/>
    <n v="0.49315068493150682"/>
    <x v="0"/>
    <n v="64"/>
    <s v="Medium"/>
  </r>
  <r>
    <x v="221"/>
    <s v="Troy"/>
    <s v="Nguyen"/>
    <s v="Male"/>
    <s v="New York"/>
    <s v="New York City"/>
    <s v="Bachelor"/>
    <d v="1992-07-02T00:00:00"/>
    <d v="2017-07-09T00:00:00"/>
    <d v="2018-01-05T00:00:00"/>
    <x v="4"/>
    <s v="Marketing Coordinator"/>
    <x v="220"/>
    <s v="Good"/>
    <n v="0.49315068493150682"/>
    <x v="0"/>
    <n v="32"/>
    <s v="Medium"/>
  </r>
  <r>
    <x v="222"/>
    <s v="Jason"/>
    <s v="Salinas"/>
    <s v="Female"/>
    <s v="New York"/>
    <s v="New York City"/>
    <s v="PhD"/>
    <d v="1966-11-29T00:00:00"/>
    <d v="2024-05-12T00:00:00"/>
    <d v="2024-11-08T00:00:00"/>
    <x v="3"/>
    <s v="Financial Analyst"/>
    <x v="221"/>
    <s v="Excellent"/>
    <n v="0.49315068493150682"/>
    <x v="0"/>
    <n v="58"/>
    <s v="High"/>
  </r>
  <r>
    <x v="223"/>
    <s v="Joshua"/>
    <s v="Carlson"/>
    <s v="Female"/>
    <s v="New York"/>
    <s v="New York City"/>
    <s v="High School"/>
    <d v="1999-07-16T00:00:00"/>
    <d v="2022-12-08T00:00:00"/>
    <d v="2023-06-06T00:00:00"/>
    <x v="1"/>
    <s v="IT Support Specialist"/>
    <x v="222"/>
    <s v="Needs Improvement"/>
    <n v="0.49315068493150682"/>
    <x v="0"/>
    <n v="25"/>
    <s v="Low"/>
  </r>
  <r>
    <x v="224"/>
    <s v="Joshua"/>
    <s v="Smith"/>
    <s v="Female"/>
    <s v="New York"/>
    <s v="New York City"/>
    <s v="Bachelor"/>
    <d v="1986-12-19T00:00:00"/>
    <d v="2020-03-15T00:00:00"/>
    <d v="2021-06-15T00:00:00"/>
    <x v="2"/>
    <s v="Operations Analyst"/>
    <x v="223"/>
    <s v="Excellent"/>
    <n v="0.49315068493150682"/>
    <x v="0"/>
    <n v="38"/>
    <s v="Medium"/>
  </r>
  <r>
    <x v="225"/>
    <s v="Christopher"/>
    <s v="Cortez"/>
    <s v="Female"/>
    <s v="Michigan"/>
    <s v="Detroit"/>
    <s v="Bachelor"/>
    <d v="1982-07-18T00:00:00"/>
    <d v="2020-07-08T00:00:00"/>
    <d v="2021-09-18T00:00:00"/>
    <x v="1"/>
    <s v="Software Developer"/>
    <x v="224"/>
    <s v="Satisfactory"/>
    <n v="4.4712328767123291"/>
    <x v="0"/>
    <n v="42"/>
    <s v="High"/>
  </r>
  <r>
    <x v="226"/>
    <s v="Angela"/>
    <s v="Allen"/>
    <s v="Male"/>
    <s v="New York"/>
    <s v="New York City"/>
    <s v="Master"/>
    <d v="1986-05-27T00:00:00"/>
    <d v="2021-07-04T00:00:00"/>
    <d v="2021-12-31T00:00:00"/>
    <x v="1"/>
    <s v="System Administrator"/>
    <x v="225"/>
    <s v="Excellent"/>
    <n v="7.9890410958904106"/>
    <x v="1"/>
    <n v="38"/>
    <s v="Medium"/>
  </r>
  <r>
    <x v="227"/>
    <s v="Debbie"/>
    <s v="Henry"/>
    <s v="Female"/>
    <s v="New York"/>
    <s v="New York City"/>
    <s v="Bachelor"/>
    <d v="1983-11-24T00:00:00"/>
    <d v="2018-11-03T00:00:00"/>
    <d v="2019-05-02T00:00:00"/>
    <x v="2"/>
    <s v="Operations Analyst"/>
    <x v="226"/>
    <s v="Satisfactory"/>
    <n v="0.49315068493150682"/>
    <x v="0"/>
    <n v="41"/>
    <s v="Medium"/>
  </r>
  <r>
    <x v="228"/>
    <s v="Andre"/>
    <s v="Phillips"/>
    <s v="Female"/>
    <s v="New York"/>
    <s v="New York City"/>
    <s v="High School"/>
    <d v="1972-10-30T00:00:00"/>
    <d v="2024-06-06T00:00:00"/>
    <d v="2024-12-03T00:00:00"/>
    <x v="0"/>
    <s v="Customer Service Representative"/>
    <x v="227"/>
    <s v="Needs Improvement"/>
    <n v="0.49315068493150682"/>
    <x v="0"/>
    <n v="52"/>
    <s v="Medium"/>
  </r>
  <r>
    <x v="229"/>
    <s v="Heather"/>
    <s v="Torres"/>
    <s v="Female"/>
    <s v="New York"/>
    <s v="New York City"/>
    <s v="Bachelor"/>
    <d v="1976-07-29T00:00:00"/>
    <d v="2020-08-13T00:00:00"/>
    <d v="2021-02-09T00:00:00"/>
    <x v="2"/>
    <s v="Logistics Coordinator"/>
    <x v="228"/>
    <s v="Satisfactory"/>
    <n v="7.9945205479452053"/>
    <x v="0"/>
    <n v="48"/>
    <s v="Low"/>
  </r>
  <r>
    <x v="230"/>
    <s v="Miguel"/>
    <s v="Tran"/>
    <s v="Female"/>
    <s v="New York"/>
    <s v="New York City"/>
    <s v="High School"/>
    <d v="1999-08-07T00:00:00"/>
    <d v="2022-05-14T00:00:00"/>
    <d v="2022-11-10T00:00:00"/>
    <x v="0"/>
    <s v="Support Specialist"/>
    <x v="229"/>
    <s v="Needs Improvement"/>
    <n v="1.6219178082191781"/>
    <x v="0"/>
    <n v="25"/>
    <s v="Low"/>
  </r>
  <r>
    <x v="231"/>
    <s v="Ronald"/>
    <s v="Reese"/>
    <s v="Male"/>
    <s v="New York"/>
    <s v="New York City"/>
    <s v="Bachelor"/>
    <d v="1972-12-05T00:00:00"/>
    <d v="2019-05-09T00:00:00"/>
    <d v="2019-11-05T00:00:00"/>
    <x v="2"/>
    <s v="Logistics Coordinator"/>
    <x v="230"/>
    <s v="Satisfactory"/>
    <n v="1.9506849315068491"/>
    <x v="0"/>
    <n v="52"/>
    <s v="Medium"/>
  </r>
  <r>
    <x v="232"/>
    <s v="Michael"/>
    <s v="Chavez"/>
    <s v="Female"/>
    <s v="New York"/>
    <s v="New York City"/>
    <s v="Bachelor"/>
    <d v="1981-02-28T00:00:00"/>
    <d v="2018-04-30T00:00:00"/>
    <d v="2021-06-13T00:00:00"/>
    <x v="2"/>
    <s v="Inventory Specialist"/>
    <x v="231"/>
    <s v="Satisfactory"/>
    <n v="0.49315068493150682"/>
    <x v="0"/>
    <n v="44"/>
    <s v="Low"/>
  </r>
  <r>
    <x v="233"/>
    <s v="John"/>
    <s v="Martinez"/>
    <s v="Male"/>
    <s v="New York"/>
    <s v="New York City"/>
    <s v="Bachelor"/>
    <d v="1990-07-07T00:00:00"/>
    <d v="2016-03-15T00:00:00"/>
    <d v="2023-06-26T00:00:00"/>
    <x v="0"/>
    <s v="Help Desk Technician"/>
    <x v="232"/>
    <s v="Good"/>
    <n v="0.49315068493150682"/>
    <x v="0"/>
    <n v="34"/>
    <s v="Medium"/>
  </r>
  <r>
    <x v="234"/>
    <s v="Leslie"/>
    <s v="Newton"/>
    <s v="Female"/>
    <s v="New York"/>
    <s v="New York City"/>
    <s v="Bachelor"/>
    <d v="1978-07-11T00:00:00"/>
    <d v="2022-10-24T00:00:00"/>
    <d v="2023-04-22T00:00:00"/>
    <x v="6"/>
    <s v="Sales Representative"/>
    <x v="233"/>
    <s v="Good"/>
    <n v="0.49315068493150682"/>
    <x v="0"/>
    <n v="46"/>
    <s v="Medium"/>
  </r>
  <r>
    <x v="235"/>
    <s v="Hannah"/>
    <s v="Lee"/>
    <s v="Male"/>
    <s v="New York"/>
    <s v="New York City"/>
    <s v="High School"/>
    <d v="1980-10-08T00:00:00"/>
    <d v="2017-10-14T00:00:00"/>
    <d v="2018-04-11T00:00:00"/>
    <x v="2"/>
    <s v="Inventory Specialist"/>
    <x v="234"/>
    <s v="Needs Improvement"/>
    <n v="0.49315068493150682"/>
    <x v="0"/>
    <n v="44"/>
    <s v="Medium"/>
  </r>
  <r>
    <x v="236"/>
    <s v="Todd"/>
    <s v="Hardy"/>
    <s v="Male"/>
    <s v="New York"/>
    <s v="New York City"/>
    <s v="High School"/>
    <d v="1990-04-27T00:00:00"/>
    <d v="2016-10-22T00:00:00"/>
    <d v="2019-10-29T00:00:00"/>
    <x v="0"/>
    <s v="Support Specialist"/>
    <x v="235"/>
    <s v="Excellent"/>
    <n v="1.252054794520548"/>
    <x v="0"/>
    <n v="34"/>
    <s v="Medium"/>
  </r>
  <r>
    <x v="237"/>
    <s v="Alicia"/>
    <s v="Campbell"/>
    <s v="Male"/>
    <s v="New York"/>
    <s v="New York City"/>
    <s v="Bachelor"/>
    <d v="1989-03-28T00:00:00"/>
    <d v="2024-02-09T00:00:00"/>
    <d v="2024-08-07T00:00:00"/>
    <x v="0"/>
    <s v="Customer Service Representative"/>
    <x v="236"/>
    <s v="Good"/>
    <n v="1.197260273972603"/>
    <x v="0"/>
    <n v="36"/>
    <s v="Medium"/>
  </r>
  <r>
    <x v="238"/>
    <s v="Marissa"/>
    <s v="Phillips"/>
    <s v="Male"/>
    <s v="New York"/>
    <s v="New York City"/>
    <s v="Master"/>
    <d v="1983-02-05T00:00:00"/>
    <d v="2023-05-21T00:00:00"/>
    <d v="2023-11-17T00:00:00"/>
    <x v="6"/>
    <s v="Sales Specialist"/>
    <x v="237"/>
    <s v="Excellent"/>
    <n v="0.49315068493150682"/>
    <x v="0"/>
    <n v="42"/>
    <s v="Medium"/>
  </r>
  <r>
    <x v="239"/>
    <s v="Harry"/>
    <s v="Smith"/>
    <s v="Male"/>
    <s v="New York"/>
    <s v="New York City"/>
    <s v="Bachelor"/>
    <d v="1970-07-26T00:00:00"/>
    <d v="2019-07-27T00:00:00"/>
    <d v="2020-01-23T00:00:00"/>
    <x v="6"/>
    <s v="Sales Representative"/>
    <x v="238"/>
    <s v="Good"/>
    <n v="0.49315068493150682"/>
    <x v="0"/>
    <n v="54"/>
    <s v="Medium"/>
  </r>
  <r>
    <x v="240"/>
    <s v="David"/>
    <s v="Williams"/>
    <s v="Female"/>
    <s v="New York"/>
    <s v="New York City"/>
    <s v="Bachelor"/>
    <d v="1971-07-18T00:00:00"/>
    <d v="2018-01-22T00:00:00"/>
    <d v="2024-04-26T00:00:00"/>
    <x v="6"/>
    <s v="Sales Representative"/>
    <x v="239"/>
    <s v="Good"/>
    <n v="0.49315068493150682"/>
    <x v="0"/>
    <n v="53"/>
    <s v="Medium"/>
  </r>
  <r>
    <x v="241"/>
    <s v="Angela"/>
    <s v="Terry"/>
    <s v="Female"/>
    <s v="New York"/>
    <s v="New York City"/>
    <s v="Bachelor"/>
    <d v="1978-08-22T00:00:00"/>
    <d v="2022-02-19T00:00:00"/>
    <d v="2023-08-22T00:00:00"/>
    <x v="0"/>
    <s v="Help Desk Technician"/>
    <x v="240"/>
    <s v="Good"/>
    <n v="0.49315068493150682"/>
    <x v="0"/>
    <n v="46"/>
    <s v="Medium"/>
  </r>
  <r>
    <x v="242"/>
    <s v="Dana"/>
    <s v="Mullins"/>
    <s v="Male"/>
    <s v="Virginia"/>
    <s v="Richmond"/>
    <s v="Bachelor"/>
    <d v="1965-07-19T00:00:00"/>
    <d v="2017-02-09T00:00:00"/>
    <d v="2020-10-19T00:00:00"/>
    <x v="2"/>
    <s v="Logistics Coordinator"/>
    <x v="241"/>
    <s v="Good"/>
    <n v="0.49315068493150682"/>
    <x v="0"/>
    <n v="59"/>
    <s v="Medium"/>
  </r>
  <r>
    <x v="243"/>
    <s v="Monique"/>
    <s v="Andrews"/>
    <s v="Male"/>
    <s v="New York"/>
    <s v="New York City"/>
    <s v="Bachelor"/>
    <d v="1984-12-25T00:00:00"/>
    <d v="2016-07-01T00:00:00"/>
    <d v="2021-04-11T00:00:00"/>
    <x v="6"/>
    <s v="Sales Representative"/>
    <x v="242"/>
    <s v="Excellent"/>
    <n v="0.49315068493150682"/>
    <x v="0"/>
    <n v="40"/>
    <s v="Medium"/>
  </r>
  <r>
    <x v="244"/>
    <s v="Timothy"/>
    <s v="Peterson"/>
    <s v="Female"/>
    <s v="West Virginia"/>
    <s v="Charleston"/>
    <s v="Bachelor"/>
    <d v="1991-07-21T00:00:00"/>
    <d v="2022-01-20T00:00:00"/>
    <d v="2022-07-19T00:00:00"/>
    <x v="6"/>
    <s v="Sales Representative"/>
    <x v="243"/>
    <s v="Good"/>
    <n v="3.1232876712328772"/>
    <x v="0"/>
    <n v="33"/>
    <s v="Low"/>
  </r>
  <r>
    <x v="245"/>
    <s v="Johnny"/>
    <s v="Hensley"/>
    <s v="Female"/>
    <s v="New York"/>
    <s v="New York City"/>
    <s v="Master"/>
    <d v="1986-08-03T00:00:00"/>
    <d v="2020-02-14T00:00:00"/>
    <d v="2023-07-03T00:00:00"/>
    <x v="1"/>
    <s v="Software Developer"/>
    <x v="244"/>
    <s v="Good"/>
    <n v="7.2849315068493148"/>
    <x v="0"/>
    <n v="38"/>
    <s v="Medium"/>
  </r>
  <r>
    <x v="246"/>
    <s v="Lynn"/>
    <s v="Morales"/>
    <s v="Male"/>
    <s v="New York"/>
    <s v="New York City"/>
    <s v="Bachelor"/>
    <d v="1966-07-31T00:00:00"/>
    <d v="2019-01-29T00:00:00"/>
    <d v="2021-09-08T00:00:00"/>
    <x v="0"/>
    <s v="Support Specialist"/>
    <x v="245"/>
    <s v="Good"/>
    <n v="0.49315068493150682"/>
    <x v="0"/>
    <n v="58"/>
    <s v="Medium"/>
  </r>
  <r>
    <x v="247"/>
    <s v="Barbara"/>
    <s v="Parks"/>
    <s v="Female"/>
    <s v="New York"/>
    <s v="New York City"/>
    <s v="Bachelor"/>
    <d v="1980-12-26T00:00:00"/>
    <d v="2020-02-28T00:00:00"/>
    <d v="2020-08-26T00:00:00"/>
    <x v="6"/>
    <s v="Sales Representative"/>
    <x v="246"/>
    <s v="Satisfactory"/>
    <n v="0.49041095890410957"/>
    <x v="0"/>
    <n v="44"/>
    <s v="Medium"/>
  </r>
  <r>
    <x v="248"/>
    <s v="Edward"/>
    <s v="Hart"/>
    <s v="Male"/>
    <s v="Illinois"/>
    <s v="Chicago"/>
    <s v="Bachelor"/>
    <d v="1978-07-24T00:00:00"/>
    <d v="2022-04-28T00:00:00"/>
    <d v="2022-10-25T00:00:00"/>
    <x v="0"/>
    <s v="Customer Service Representative"/>
    <x v="247"/>
    <s v="Needs Improvement"/>
    <n v="3.0191780821917811"/>
    <x v="0"/>
    <n v="46"/>
    <s v="Medium"/>
  </r>
  <r>
    <x v="249"/>
    <s v="Christopher"/>
    <s v="Wright"/>
    <s v="Male"/>
    <s v="North Carolina"/>
    <s v="Raleigh"/>
    <s v="Bachelor"/>
    <d v="1980-09-12T00:00:00"/>
    <d v="2018-08-04T00:00:00"/>
    <d v="2019-01-31T00:00:00"/>
    <x v="4"/>
    <s v="Content Creator"/>
    <x v="248"/>
    <s v="Good"/>
    <n v="0.49315068493150682"/>
    <x v="0"/>
    <n v="44"/>
    <s v="Medium"/>
  </r>
  <r>
    <x v="250"/>
    <s v="Kathy"/>
    <s v="Obrien"/>
    <s v="Male"/>
    <s v="Michigan"/>
    <s v="Grand Rapids"/>
    <s v="Bachelor"/>
    <d v="2000-05-30T00:00:00"/>
    <d v="2017-11-04T00:00:00"/>
    <d v="2019-02-04T00:00:00"/>
    <x v="0"/>
    <s v="Customer Service Representative"/>
    <x v="249"/>
    <s v="Satisfactory"/>
    <n v="0.49315068493150682"/>
    <x v="0"/>
    <n v="24"/>
    <s v="Medium"/>
  </r>
  <r>
    <x v="251"/>
    <s v="Christine"/>
    <s v="Rowe"/>
    <s v="Male"/>
    <s v="New York"/>
    <s v="New York City"/>
    <s v="Bachelor"/>
    <d v="1960-12-19T00:00:00"/>
    <d v="2022-05-28T00:00:00"/>
    <d v="2024-10-15T00:00:00"/>
    <x v="0"/>
    <s v="Customer Service Representative"/>
    <x v="250"/>
    <s v="Good"/>
    <n v="0.49315068493150682"/>
    <x v="0"/>
    <n v="64"/>
    <s v="Medium"/>
  </r>
  <r>
    <x v="252"/>
    <s v="Shannon"/>
    <s v="Ramos"/>
    <s v="Female"/>
    <s v="New York"/>
    <s v="New York City"/>
    <s v="High School"/>
    <d v="1992-09-09T00:00:00"/>
    <d v="2017-12-01T00:00:00"/>
    <d v="2018-05-30T00:00:00"/>
    <x v="0"/>
    <s v="Customer Service Representative"/>
    <x v="251"/>
    <s v="Excellent"/>
    <n v="6.2630136986301368"/>
    <x v="0"/>
    <n v="32"/>
    <s v="Low"/>
  </r>
  <r>
    <x v="253"/>
    <s v="Brianna"/>
    <s v="Patterson"/>
    <s v="Male"/>
    <s v="New York"/>
    <s v="New York City"/>
    <s v="Bachelor"/>
    <d v="1974-11-23T00:00:00"/>
    <d v="2017-08-09T00:00:00"/>
    <d v="2018-02-05T00:00:00"/>
    <x v="4"/>
    <s v="Marketing Coordinator"/>
    <x v="252"/>
    <s v="Excellent"/>
    <n v="1.504109589041096"/>
    <x v="0"/>
    <n v="50"/>
    <s v="Medium"/>
  </r>
  <r>
    <x v="254"/>
    <s v="Christine"/>
    <s v="Lynch"/>
    <s v="Male"/>
    <s v="New York"/>
    <s v="New York City"/>
    <s v="High School"/>
    <d v="1975-09-28T00:00:00"/>
    <d v="2017-10-15T00:00:00"/>
    <d v="2018-04-12T00:00:00"/>
    <x v="2"/>
    <s v="Inventory Specialist"/>
    <x v="253"/>
    <s v="Needs Improvement"/>
    <n v="3.6931506849315072"/>
    <x v="0"/>
    <n v="49"/>
    <s v="Low"/>
  </r>
  <r>
    <x v="255"/>
    <s v="Cory"/>
    <s v="Farmer"/>
    <s v="Female"/>
    <s v="New York"/>
    <s v="New York City"/>
    <s v="Bachelor"/>
    <d v="1988-04-25T00:00:00"/>
    <d v="2017-08-31T00:00:00"/>
    <d v="2018-02-27T00:00:00"/>
    <x v="2"/>
    <s v="Logistics Coordinator"/>
    <x v="254"/>
    <s v="Excellent"/>
    <n v="4.7808219178082192"/>
    <x v="0"/>
    <n v="36"/>
    <s v="Low"/>
  </r>
  <r>
    <x v="256"/>
    <s v="Jason"/>
    <s v="Guerrero"/>
    <s v="Male"/>
    <s v="Virginia"/>
    <s v="Richmond"/>
    <s v="Bachelor"/>
    <d v="1967-07-24T00:00:00"/>
    <d v="2018-03-02T00:00:00"/>
    <d v="2019-05-18T00:00:00"/>
    <x v="6"/>
    <s v="Sales Representative"/>
    <x v="255"/>
    <s v="Good"/>
    <n v="0.49315068493150682"/>
    <x v="0"/>
    <n v="57"/>
    <s v="Medium"/>
  </r>
  <r>
    <x v="257"/>
    <s v="John"/>
    <s v="Arnold"/>
    <s v="Female"/>
    <s v="New York"/>
    <s v="New York City"/>
    <s v="Bachelor"/>
    <d v="1975-12-15T00:00:00"/>
    <d v="2018-03-02T00:00:00"/>
    <d v="2021-12-16T00:00:00"/>
    <x v="2"/>
    <s v="Logistics Coordinator"/>
    <x v="8"/>
    <s v="Satisfactory"/>
    <n v="3.3835616438356171"/>
    <x v="0"/>
    <n v="49"/>
    <s v="Low"/>
  </r>
  <r>
    <x v="258"/>
    <s v="Aaron"/>
    <s v="Hayes"/>
    <s v="Female"/>
    <s v="Michigan"/>
    <s v="Detroit"/>
    <s v="Bachelor"/>
    <d v="1987-08-07T00:00:00"/>
    <d v="2018-08-18T00:00:00"/>
    <d v="2019-02-14T00:00:00"/>
    <x v="3"/>
    <s v="Accounts Payable Specialist"/>
    <x v="256"/>
    <s v="Needs Improvement"/>
    <n v="2.6109589041095891"/>
    <x v="0"/>
    <n v="37"/>
    <s v="Medium"/>
  </r>
  <r>
    <x v="259"/>
    <s v="Terry"/>
    <s v="Johnson"/>
    <s v="Male"/>
    <s v="New York"/>
    <s v="New York City"/>
    <s v="Bachelor"/>
    <d v="1977-10-11T00:00:00"/>
    <d v="2017-04-22T00:00:00"/>
    <d v="2020-02-07T00:00:00"/>
    <x v="0"/>
    <s v="Help Desk Technician"/>
    <x v="257"/>
    <s v="Good"/>
    <n v="0.49315068493150682"/>
    <x v="0"/>
    <n v="47"/>
    <s v="Medium"/>
  </r>
  <r>
    <x v="260"/>
    <s v="Jasmine"/>
    <s v="Warner"/>
    <s v="Female"/>
    <s v="New York"/>
    <s v="New York City"/>
    <s v="PhD"/>
    <d v="1986-01-15T00:00:00"/>
    <d v="2022-06-26T00:00:00"/>
    <d v="2022-12-23T00:00:00"/>
    <x v="6"/>
    <s v="Sales Specialist"/>
    <x v="258"/>
    <s v="Excellent"/>
    <n v="0.49315068493150682"/>
    <x v="0"/>
    <n v="39"/>
    <s v="Medium"/>
  </r>
  <r>
    <x v="261"/>
    <s v="Charles"/>
    <s v="Hall"/>
    <s v="Female"/>
    <s v="New York"/>
    <s v="New York City"/>
    <s v="Bachelor"/>
    <d v="1988-01-09T00:00:00"/>
    <d v="2018-04-13T00:00:00"/>
    <d v="2018-10-10T00:00:00"/>
    <x v="3"/>
    <s v="Accountant"/>
    <x v="259"/>
    <s v="Excellent"/>
    <n v="0.49315068493150682"/>
    <x v="0"/>
    <n v="37"/>
    <s v="Medium"/>
  </r>
  <r>
    <x v="262"/>
    <s v="Kristin"/>
    <s v="Weber"/>
    <s v="Female"/>
    <s v="New York"/>
    <s v="New York City"/>
    <s v="Master"/>
    <d v="1986-01-11T00:00:00"/>
    <d v="2018-09-13T00:00:00"/>
    <d v="2019-03-12T00:00:00"/>
    <x v="2"/>
    <s v="Operations Analyst"/>
    <x v="260"/>
    <s v="Excellent"/>
    <n v="1.252054794520548"/>
    <x v="0"/>
    <n v="39"/>
    <s v="Medium"/>
  </r>
  <r>
    <x v="263"/>
    <s v="Linda"/>
    <s v="Gonzalez"/>
    <s v="Male"/>
    <s v="New York"/>
    <s v="New York City"/>
    <s v="Bachelor"/>
    <d v="1988-09-17T00:00:00"/>
    <d v="2020-02-14T00:00:00"/>
    <d v="2021-04-21T00:00:00"/>
    <x v="6"/>
    <s v="Sales Specialist"/>
    <x v="261"/>
    <s v="Good"/>
    <n v="2.386301369863014"/>
    <x v="0"/>
    <n v="36"/>
    <s v="Medium"/>
  </r>
  <r>
    <x v="264"/>
    <s v="Amy"/>
    <s v="Holland"/>
    <s v="Female"/>
    <s v="New York"/>
    <s v="New York City"/>
    <s v="Bachelor"/>
    <d v="2000-06-06T00:00:00"/>
    <d v="2017-12-19T00:00:00"/>
    <d v="2018-06-16T00:00:00"/>
    <x v="2"/>
    <s v="Logistics Coordinator"/>
    <x v="262"/>
    <s v="Good"/>
    <n v="0.49315068493150682"/>
    <x v="0"/>
    <n v="24"/>
    <s v="Low"/>
  </r>
  <r>
    <x v="265"/>
    <s v="Joseph"/>
    <s v="Thomas"/>
    <s v="Male"/>
    <s v="Virginia"/>
    <s v="Norfolk"/>
    <s v="Bachelor"/>
    <d v="1982-05-26T00:00:00"/>
    <d v="2024-01-24T00:00:00"/>
    <d v="2024-07-22T00:00:00"/>
    <x v="2"/>
    <s v="Logistics Coordinator"/>
    <x v="263"/>
    <s v="Good"/>
    <n v="0.49315068493150682"/>
    <x v="0"/>
    <n v="42"/>
    <s v="Medium"/>
  </r>
  <r>
    <x v="266"/>
    <s v="Gabriel"/>
    <s v="Parker"/>
    <s v="Female"/>
    <s v="Pennsylvania"/>
    <s v="Allentown"/>
    <s v="Master"/>
    <d v="1975-09-07T00:00:00"/>
    <d v="2019-10-18T00:00:00"/>
    <d v="2020-04-15T00:00:00"/>
    <x v="6"/>
    <s v="Sales Consultant"/>
    <x v="264"/>
    <s v="Excellent"/>
    <n v="0.49041095890410957"/>
    <x v="0"/>
    <n v="49"/>
    <s v="Medium"/>
  </r>
  <r>
    <x v="267"/>
    <s v="Madison"/>
    <s v="Morse"/>
    <s v="Female"/>
    <s v="Illinois"/>
    <s v="Naperville"/>
    <s v="High School"/>
    <d v="1959-06-29T00:00:00"/>
    <d v="2019-06-20T00:00:00"/>
    <d v="2021-04-22T00:00:00"/>
    <x v="0"/>
    <s v="Help Desk Technician"/>
    <x v="265"/>
    <s v="Needs Improvement"/>
    <n v="0.49315068493150682"/>
    <x v="0"/>
    <n v="65"/>
    <s v="Low"/>
  </r>
  <r>
    <x v="268"/>
    <s v="David"/>
    <s v="Barker"/>
    <s v="Male"/>
    <s v="New York"/>
    <s v="New York City"/>
    <s v="High School"/>
    <d v="1993-06-09T00:00:00"/>
    <d v="2022-09-29T00:00:00"/>
    <d v="2023-03-28T00:00:00"/>
    <x v="1"/>
    <s v="IT Support Specialist"/>
    <x v="266"/>
    <s v="Needs Improvement"/>
    <n v="1.210958904109589"/>
    <x v="0"/>
    <n v="31"/>
    <s v="Medium"/>
  </r>
  <r>
    <x v="269"/>
    <s v="Richard"/>
    <s v="Nelson"/>
    <s v="Male"/>
    <s v="Ohio"/>
    <s v="Cleveland"/>
    <s v="High School"/>
    <d v="1992-03-02T00:00:00"/>
    <d v="2017-07-29T00:00:00"/>
    <d v="2018-01-25T00:00:00"/>
    <x v="0"/>
    <s v="Customer Service Representative"/>
    <x v="267"/>
    <s v="Needs Improvement"/>
    <n v="3.794520547945206"/>
    <x v="0"/>
    <n v="33"/>
    <s v="Medium"/>
  </r>
  <r>
    <x v="270"/>
    <s v="Troy"/>
    <s v="Miller"/>
    <s v="Female"/>
    <s v="New York"/>
    <s v="New York City"/>
    <s v="Bachelor"/>
    <d v="1986-03-12T00:00:00"/>
    <d v="2021-01-16T00:00:00"/>
    <d v="2021-07-15T00:00:00"/>
    <x v="6"/>
    <s v="Sales Representative"/>
    <x v="268"/>
    <s v="Satisfactory"/>
    <n v="0.49315068493150682"/>
    <x v="0"/>
    <n v="39"/>
    <s v="Medium"/>
  </r>
  <r>
    <x v="271"/>
    <s v="Pamela"/>
    <s v="Navarro"/>
    <s v="Female"/>
    <s v="New York"/>
    <s v="New York City"/>
    <s v="Bachelor"/>
    <d v="1977-12-26T00:00:00"/>
    <d v="2015-08-23T00:00:00"/>
    <d v="2021-03-17T00:00:00"/>
    <x v="0"/>
    <s v="Help Desk Technician"/>
    <x v="269"/>
    <s v="Needs Improvement"/>
    <n v="2.7972602739726029"/>
    <x v="0"/>
    <n v="47"/>
    <s v="Medium"/>
  </r>
  <r>
    <x v="272"/>
    <s v="John"/>
    <s v="Davis"/>
    <s v="Female"/>
    <s v="New York"/>
    <s v="New York City"/>
    <s v="Bachelor"/>
    <d v="1990-09-06T00:00:00"/>
    <d v="2022-09-19T00:00:00"/>
    <d v="2023-07-01T00:00:00"/>
    <x v="0"/>
    <s v="Help Desk Technician"/>
    <x v="270"/>
    <s v="Excellent"/>
    <n v="0.49315068493150682"/>
    <x v="0"/>
    <n v="34"/>
    <s v="Medium"/>
  </r>
  <r>
    <x v="273"/>
    <s v="Mary"/>
    <s v="Johnston"/>
    <s v="Male"/>
    <s v="New York"/>
    <s v="New York City"/>
    <s v="Bachelor"/>
    <d v="1986-11-16T00:00:00"/>
    <d v="2019-01-09T00:00:00"/>
    <d v="2022-07-21T00:00:00"/>
    <x v="2"/>
    <s v="Inventory Specialist"/>
    <x v="271"/>
    <s v="Good"/>
    <n v="0.49315068493150682"/>
    <x v="0"/>
    <n v="38"/>
    <s v="Low"/>
  </r>
  <r>
    <x v="274"/>
    <s v="Yvonne"/>
    <s v="Chambers"/>
    <s v="Female"/>
    <s v="New York"/>
    <s v="New York City"/>
    <s v="Bachelor"/>
    <d v="1967-01-15T00:00:00"/>
    <d v="2022-04-15T00:00:00"/>
    <d v="2022-10-12T00:00:00"/>
    <x v="0"/>
    <s v="Support Specialist"/>
    <x v="272"/>
    <s v="Good"/>
    <n v="0.49315068493150682"/>
    <x v="0"/>
    <n v="58"/>
    <s v="Medium"/>
  </r>
  <r>
    <x v="275"/>
    <s v="Barbara"/>
    <s v="Hines"/>
    <s v="Male"/>
    <s v="West Virginia"/>
    <s v="Huntington"/>
    <s v="High School"/>
    <d v="1981-04-01T00:00:00"/>
    <d v="2022-03-10T00:00:00"/>
    <d v="2022-09-06T00:00:00"/>
    <x v="0"/>
    <s v="Help Desk Technician"/>
    <x v="273"/>
    <s v="Needs Improvement"/>
    <n v="1.183561643835616"/>
    <x v="0"/>
    <n v="44"/>
    <s v="Medium"/>
  </r>
  <r>
    <x v="276"/>
    <s v="Thomas"/>
    <s v="Pearson"/>
    <s v="Female"/>
    <s v="New York"/>
    <s v="New York City"/>
    <s v="Bachelor"/>
    <d v="1985-07-08T00:00:00"/>
    <d v="2017-12-22T00:00:00"/>
    <d v="2018-06-19T00:00:00"/>
    <x v="2"/>
    <s v="Logistics Coordinator"/>
    <x v="274"/>
    <s v="Satisfactory"/>
    <n v="0.49041095890410957"/>
    <x v="0"/>
    <n v="39"/>
    <s v="Low"/>
  </r>
  <r>
    <x v="277"/>
    <s v="Joshua"/>
    <s v="Shea"/>
    <s v="Male"/>
    <s v="New York"/>
    <s v="New York City"/>
    <s v="Bachelor"/>
    <d v="1980-08-21T00:00:00"/>
    <d v="2019-06-19T00:00:00"/>
    <d v="2019-12-16T00:00:00"/>
    <x v="4"/>
    <s v="Marketing Coordinator"/>
    <x v="275"/>
    <s v="Satisfactory"/>
    <n v="0.49315068493150682"/>
    <x v="0"/>
    <n v="44"/>
    <s v="Medium"/>
  </r>
  <r>
    <x v="278"/>
    <s v="Cynthia"/>
    <s v="Vasquez"/>
    <s v="Male"/>
    <s v="New York"/>
    <s v="New York City"/>
    <s v="Master"/>
    <d v="1982-10-16T00:00:00"/>
    <d v="2020-02-05T00:00:00"/>
    <d v="2020-08-03T00:00:00"/>
    <x v="4"/>
    <s v="Marketing Manager"/>
    <x v="276"/>
    <s v="Excellent"/>
    <n v="0.49315068493150682"/>
    <x v="0"/>
    <n v="42"/>
    <s v="Medium"/>
  </r>
  <r>
    <x v="279"/>
    <s v="Theodore"/>
    <s v="Ortiz"/>
    <s v="Male"/>
    <s v="New York"/>
    <s v="New York City"/>
    <s v="Bachelor"/>
    <d v="1975-05-05T00:00:00"/>
    <d v="2016-05-04T00:00:00"/>
    <d v="2020-03-23T00:00:00"/>
    <x v="0"/>
    <s v="Customer Service Representative"/>
    <x v="277"/>
    <s v="Needs Improvement"/>
    <n v="1.8410958904109589"/>
    <x v="0"/>
    <n v="49"/>
    <s v="Medium"/>
  </r>
  <r>
    <x v="280"/>
    <s v="Elizabeth"/>
    <s v="Hodge"/>
    <s v="Female"/>
    <s v="New York"/>
    <s v="New York City"/>
    <s v="Bachelor"/>
    <d v="1982-03-24T00:00:00"/>
    <d v="2020-05-08T00:00:00"/>
    <d v="2023-07-06T00:00:00"/>
    <x v="6"/>
    <s v="Sales Representative"/>
    <x v="278"/>
    <s v="Satisfactory"/>
    <n v="0.49315068493150682"/>
    <x v="0"/>
    <n v="43"/>
    <s v="Medium"/>
  </r>
  <r>
    <x v="281"/>
    <s v="Robert"/>
    <s v="Simpson"/>
    <s v="Male"/>
    <s v="New York"/>
    <s v="New York City"/>
    <s v="Bachelor"/>
    <d v="1983-07-03T00:00:00"/>
    <d v="2019-09-15T00:00:00"/>
    <d v="2020-03-13T00:00:00"/>
    <x v="2"/>
    <s v="Logistics Coordinator"/>
    <x v="279"/>
    <s v="Good"/>
    <n v="0.49315068493150682"/>
    <x v="0"/>
    <n v="41"/>
    <s v="Medium"/>
  </r>
  <r>
    <x v="282"/>
    <s v="Sierra"/>
    <s v="Cervantes"/>
    <s v="Female"/>
    <s v="New York"/>
    <s v="New York City"/>
    <s v="Bachelor"/>
    <d v="1987-02-22T00:00:00"/>
    <d v="2022-08-02T00:00:00"/>
    <d v="2023-05-30T00:00:00"/>
    <x v="2"/>
    <s v="Inventory Specialist"/>
    <x v="280"/>
    <s v="Satisfactory"/>
    <n v="0.49315068493150682"/>
    <x v="0"/>
    <n v="38"/>
    <s v="Low"/>
  </r>
  <r>
    <x v="283"/>
    <s v="Benjamin"/>
    <s v="Miller"/>
    <s v="Male"/>
    <s v="Illinois"/>
    <s v="Chicago"/>
    <s v="High School"/>
    <d v="1992-07-08T00:00:00"/>
    <d v="2017-04-09T00:00:00"/>
    <d v="2022-03-24T00:00:00"/>
    <x v="0"/>
    <s v="Customer Service Representative"/>
    <x v="281"/>
    <s v="Needs Improvement"/>
    <n v="5.5698630136986296"/>
    <x v="0"/>
    <n v="32"/>
    <s v="Medium"/>
  </r>
  <r>
    <x v="284"/>
    <s v="Marcus"/>
    <s v="Cordova"/>
    <s v="Female"/>
    <s v="New York"/>
    <s v="New York City"/>
    <s v="Bachelor"/>
    <d v="1970-05-23T00:00:00"/>
    <d v="2017-06-06T00:00:00"/>
    <d v="2020-04-15T00:00:00"/>
    <x v="6"/>
    <s v="Sales Representative"/>
    <x v="282"/>
    <s v="Needs Improvement"/>
    <n v="0.78082191780821919"/>
    <x v="0"/>
    <n v="54"/>
    <s v="Medium"/>
  </r>
  <r>
    <x v="285"/>
    <s v="Michelle"/>
    <s v="Bryan"/>
    <s v="Female"/>
    <s v="New York"/>
    <s v="New York City"/>
    <s v="High School"/>
    <d v="1996-08-28T00:00:00"/>
    <d v="2019-01-01T00:00:00"/>
    <d v="2019-06-30T00:00:00"/>
    <x v="4"/>
    <s v="SEO Specialist"/>
    <x v="283"/>
    <s v="Needs Improvement"/>
    <n v="3.5315068493150679"/>
    <x v="0"/>
    <n v="28"/>
    <s v="Medium"/>
  </r>
  <r>
    <x v="286"/>
    <s v="Diane"/>
    <s v="Daniels"/>
    <s v="Female"/>
    <s v="New York"/>
    <s v="New York City"/>
    <s v="Bachelor"/>
    <d v="1983-10-06T00:00:00"/>
    <d v="2017-06-10T00:00:00"/>
    <d v="2018-01-16T00:00:00"/>
    <x v="6"/>
    <s v="Sales Representative"/>
    <x v="284"/>
    <s v="Excellent"/>
    <n v="0.49315068493150682"/>
    <x v="0"/>
    <n v="41"/>
    <s v="Medium"/>
  </r>
  <r>
    <x v="287"/>
    <s v="Brian"/>
    <s v="Stone"/>
    <s v="Male"/>
    <s v="New York"/>
    <s v="New York City"/>
    <s v="Bachelor"/>
    <d v="1964-02-08T00:00:00"/>
    <d v="2020-08-29T00:00:00"/>
    <d v="2021-02-25T00:00:00"/>
    <x v="2"/>
    <s v="Operations Analyst"/>
    <x v="285"/>
    <s v="Good"/>
    <n v="0.49315068493150682"/>
    <x v="0"/>
    <n v="61"/>
    <s v="Medium"/>
  </r>
  <r>
    <x v="288"/>
    <s v="Katherine"/>
    <s v="Garrett"/>
    <s v="Female"/>
    <s v="North Carolina"/>
    <s v="Raleigh"/>
    <s v="Bachelor"/>
    <d v="1981-06-05T00:00:00"/>
    <d v="2015-10-23T00:00:00"/>
    <d v="2021-10-06T00:00:00"/>
    <x v="2"/>
    <s v="Logistics Coordinator"/>
    <x v="286"/>
    <s v="Excellent"/>
    <n v="0.49041095890410957"/>
    <x v="0"/>
    <n v="43"/>
    <s v="Low"/>
  </r>
  <r>
    <x v="289"/>
    <s v="Brett"/>
    <s v="Adams"/>
    <s v="Male"/>
    <s v="North Carolina"/>
    <s v="Charlotte"/>
    <s v="Bachelor"/>
    <d v="1975-04-10T00:00:00"/>
    <d v="2015-02-20T00:00:00"/>
    <d v="2024-01-22T00:00:00"/>
    <x v="6"/>
    <s v="Sales Representative"/>
    <x v="287"/>
    <s v="Good"/>
    <n v="0.49315068493150682"/>
    <x v="0"/>
    <n v="50"/>
    <s v="Medium"/>
  </r>
  <r>
    <x v="290"/>
    <s v="Sara"/>
    <s v="Kim"/>
    <s v="Female"/>
    <s v="New York"/>
    <s v="New York City"/>
    <s v="Bachelor"/>
    <d v="1984-04-20T00:00:00"/>
    <d v="2018-09-28T00:00:00"/>
    <d v="2019-03-27T00:00:00"/>
    <x v="6"/>
    <s v="Sales Representative"/>
    <x v="142"/>
    <s v="Satisfactory"/>
    <n v="0.49315068493150682"/>
    <x v="0"/>
    <n v="40"/>
    <s v="Medium"/>
  </r>
  <r>
    <x v="291"/>
    <s v="Todd"/>
    <s v="Johnson"/>
    <s v="Male"/>
    <s v="New York"/>
    <s v="New York City"/>
    <s v="Master"/>
    <d v="1973-03-21T00:00:00"/>
    <d v="2017-09-02T00:00:00"/>
    <d v="2018-02-27T00:00:00"/>
    <x v="1"/>
    <s v="System Administrator"/>
    <x v="288"/>
    <s v="Excellent"/>
    <n v="3.8876712328767118"/>
    <x v="0"/>
    <n v="52"/>
    <s v="Medium"/>
  </r>
  <r>
    <x v="292"/>
    <s v="Lance"/>
    <s v="Smith"/>
    <s v="Male"/>
    <s v="New York"/>
    <s v="New York City"/>
    <s v="Master"/>
    <d v="1982-08-08T00:00:00"/>
    <d v="2022-06-08T00:00:00"/>
    <d v="2022-12-05T00:00:00"/>
    <x v="6"/>
    <s v="Sales Consultant"/>
    <x v="289"/>
    <s v="Excellent"/>
    <n v="3.161643835616438"/>
    <x v="0"/>
    <n v="42"/>
    <s v="Medium"/>
  </r>
  <r>
    <x v="293"/>
    <s v="Christopher"/>
    <s v="Gay"/>
    <s v="Male"/>
    <s v="Michigan"/>
    <s v="Grand Rapids"/>
    <s v="Bachelor"/>
    <d v="1959-09-25T00:00:00"/>
    <d v="2022-12-21T00:00:00"/>
    <d v="2023-06-19T00:00:00"/>
    <x v="2"/>
    <s v="Logistics Coordinator"/>
    <x v="290"/>
    <s v="Good"/>
    <n v="0.49315068493150682"/>
    <x v="0"/>
    <n v="65"/>
    <s v="Medium"/>
  </r>
  <r>
    <x v="294"/>
    <s v="Daniel"/>
    <s v="Valentine"/>
    <s v="Male"/>
    <s v="New York"/>
    <s v="New York City"/>
    <s v="Bachelor"/>
    <d v="1983-03-23T00:00:00"/>
    <d v="2017-09-09T00:00:00"/>
    <d v="2018-03-07T00:00:00"/>
    <x v="2"/>
    <s v="Inventory Specialist"/>
    <x v="291"/>
    <s v="Good"/>
    <n v="0.8246575342465754"/>
    <x v="0"/>
    <n v="42"/>
    <s v="Medium"/>
  </r>
  <r>
    <x v="295"/>
    <s v="Marilyn"/>
    <s v="Jimenez"/>
    <s v="Male"/>
    <s v="New York"/>
    <s v="New York City"/>
    <s v="Bachelor"/>
    <d v="1977-11-13T00:00:00"/>
    <d v="2017-10-06T00:00:00"/>
    <d v="2018-04-03T00:00:00"/>
    <x v="2"/>
    <s v="Inventory Specialist"/>
    <x v="292"/>
    <s v="Good"/>
    <n v="4.9589041095890414"/>
    <x v="0"/>
    <n v="47"/>
    <s v="Medium"/>
  </r>
  <r>
    <x v="296"/>
    <s v="Kelly"/>
    <s v="Thornton"/>
    <s v="Female"/>
    <s v="New York"/>
    <s v="New York City"/>
    <s v="Bachelor"/>
    <d v="1974-05-20T00:00:00"/>
    <d v="2022-06-11T00:00:00"/>
    <d v="2022-12-08T00:00:00"/>
    <x v="2"/>
    <s v="Logistics Coordinator"/>
    <x v="293"/>
    <s v="Excellent"/>
    <n v="2.86027397260274"/>
    <x v="0"/>
    <n v="50"/>
    <s v="Low"/>
  </r>
  <r>
    <x v="297"/>
    <s v="Mary"/>
    <s v="Baird"/>
    <s v="Male"/>
    <s v="New York"/>
    <s v="New York City"/>
    <s v="Bachelor"/>
    <d v="1981-07-20T00:00:00"/>
    <d v="2022-04-05T00:00:00"/>
    <d v="2022-10-02T00:00:00"/>
    <x v="2"/>
    <s v="Logistics Coordinator"/>
    <x v="294"/>
    <s v="Satisfactory"/>
    <n v="0.49315068493150682"/>
    <x v="0"/>
    <n v="43"/>
    <s v="Medium"/>
  </r>
  <r>
    <x v="298"/>
    <s v="Stephen"/>
    <s v="Thomas"/>
    <s v="Male"/>
    <s v="New York"/>
    <s v="New York City"/>
    <s v="Master"/>
    <d v="1969-07-27T00:00:00"/>
    <d v="2017-03-16T00:00:00"/>
    <d v="2018-11-17T00:00:00"/>
    <x v="6"/>
    <s v="Sales Specialist"/>
    <x v="295"/>
    <s v="Excellent"/>
    <n v="0.60273972602739723"/>
    <x v="0"/>
    <n v="55"/>
    <s v="Low"/>
  </r>
  <r>
    <x v="299"/>
    <s v="Sandra"/>
    <s v="Romero"/>
    <s v="Female"/>
    <s v="Pennsylvania"/>
    <s v="Philadelphia"/>
    <s v="Bachelor"/>
    <d v="1985-03-18T00:00:00"/>
    <d v="2018-12-07T00:00:00"/>
    <d v="2019-06-05T00:00:00"/>
    <x v="2"/>
    <s v="Logistics Coordinator"/>
    <x v="296"/>
    <s v="Good"/>
    <n v="0.49315068493150682"/>
    <x v="0"/>
    <n v="40"/>
    <s v="Medium"/>
  </r>
  <r>
    <x v="300"/>
    <s v="Derek"/>
    <s v="Jones"/>
    <s v="Male"/>
    <s v="Michigan"/>
    <s v="Detroit"/>
    <s v="Bachelor"/>
    <d v="1973-01-29T00:00:00"/>
    <d v="2018-10-27T00:00:00"/>
    <d v="2019-04-25T00:00:00"/>
    <x v="0"/>
    <s v="Support Specialist"/>
    <x v="297"/>
    <s v="Excellent"/>
    <n v="5.9589041095890414"/>
    <x v="0"/>
    <n v="52"/>
    <s v="Medium"/>
  </r>
  <r>
    <x v="301"/>
    <s v="Kristy"/>
    <s v="Perry"/>
    <s v="Female"/>
    <s v="New York"/>
    <s v="New York City"/>
    <s v="High School"/>
    <d v="2003-12-17T00:00:00"/>
    <d v="2017-12-29T00:00:00"/>
    <d v="2018-06-26T00:00:00"/>
    <x v="2"/>
    <s v="Inventory Specialist"/>
    <x v="298"/>
    <s v="Excellent"/>
    <n v="8.9260273972602739"/>
    <x v="0"/>
    <n v="21"/>
    <s v="Low"/>
  </r>
  <r>
    <x v="302"/>
    <s v="Kristin"/>
    <s v="Adams"/>
    <s v="Female"/>
    <s v="Pennsylvania"/>
    <s v="Philadelphia"/>
    <s v="High School"/>
    <d v="1970-01-09T00:00:00"/>
    <d v="2022-01-01T00:00:00"/>
    <d v="2022-06-30T00:00:00"/>
    <x v="0"/>
    <s v="Help Desk Technician"/>
    <x v="299"/>
    <s v="Needs Improvement"/>
    <n v="0.49315068493150682"/>
    <x v="0"/>
    <n v="55"/>
    <s v="Medium"/>
  </r>
  <r>
    <x v="303"/>
    <s v="Justin"/>
    <s v="Evans"/>
    <s v="Male"/>
    <s v="New York"/>
    <s v="New York City"/>
    <s v="Bachelor"/>
    <d v="1987-07-14T00:00:00"/>
    <d v="2018-08-15T00:00:00"/>
    <d v="2019-02-11T00:00:00"/>
    <x v="2"/>
    <s v="Logistics Coordinator"/>
    <x v="300"/>
    <s v="Good"/>
    <n v="0.48767123287671232"/>
    <x v="0"/>
    <n v="37"/>
    <s v="Medium"/>
  </r>
  <r>
    <x v="304"/>
    <s v="Bethany"/>
    <s v="Keller"/>
    <s v="Male"/>
    <s v="West Virginia"/>
    <s v="Charleston"/>
    <s v="Master"/>
    <d v="1977-05-18T00:00:00"/>
    <d v="2023-12-03T00:00:00"/>
    <d v="2024-05-31T00:00:00"/>
    <x v="2"/>
    <s v="Operations Analyst"/>
    <x v="301"/>
    <s v="Excellent"/>
    <n v="8.1068493150684926"/>
    <x v="1"/>
    <n v="47"/>
    <s v="Medium"/>
  </r>
  <r>
    <x v="305"/>
    <s v="Edgar"/>
    <s v="Ryan"/>
    <s v="Female"/>
    <s v="New York"/>
    <s v="New York City"/>
    <s v="Bachelor"/>
    <d v="1990-04-10T00:00:00"/>
    <d v="2016-05-14T00:00:00"/>
    <d v="2022-04-25T00:00:00"/>
    <x v="1"/>
    <s v="IT Support Specialist"/>
    <x v="302"/>
    <s v="Good"/>
    <n v="0.49315068493150682"/>
    <x v="0"/>
    <n v="35"/>
    <s v="Low"/>
  </r>
  <r>
    <x v="306"/>
    <s v="Martin"/>
    <s v="Hines"/>
    <s v="Male"/>
    <s v="New York"/>
    <s v="New York City"/>
    <s v="Bachelor"/>
    <d v="1964-05-27T00:00:00"/>
    <d v="2020-05-26T00:00:00"/>
    <d v="2020-11-22T00:00:00"/>
    <x v="2"/>
    <s v="Logistics Coordinator"/>
    <x v="303"/>
    <s v="Good"/>
    <n v="0.49315068493150682"/>
    <x v="0"/>
    <n v="60"/>
    <s v="Medium"/>
  </r>
  <r>
    <x v="307"/>
    <s v="Stanley"/>
    <s v="Morris"/>
    <s v="Female"/>
    <s v="New York"/>
    <s v="New York City"/>
    <s v="Bachelor"/>
    <d v="1972-03-27T00:00:00"/>
    <d v="2022-03-15T00:00:00"/>
    <d v="2022-09-11T00:00:00"/>
    <x v="6"/>
    <s v="Sales Representative"/>
    <x v="304"/>
    <s v="Satisfactory"/>
    <n v="0.49041095890410957"/>
    <x v="0"/>
    <n v="53"/>
    <s v="Medium"/>
  </r>
  <r>
    <x v="308"/>
    <s v="Tina"/>
    <s v="Allen"/>
    <s v="Female"/>
    <s v="New York"/>
    <s v="New York City"/>
    <s v="Master"/>
    <d v="1967-05-20T00:00:00"/>
    <d v="2023-05-29T00:00:00"/>
    <d v="2023-11-25T00:00:00"/>
    <x v="0"/>
    <s v="Customer Service Manager"/>
    <x v="305"/>
    <s v="Good"/>
    <n v="0.49041095890410957"/>
    <x v="0"/>
    <n v="57"/>
    <s v="Medium"/>
  </r>
  <r>
    <x v="309"/>
    <s v="Louis"/>
    <s v="Kennedy"/>
    <s v="Male"/>
    <s v="Michigan"/>
    <s v="Grand Rapids"/>
    <s v="Master"/>
    <d v="1990-09-14T00:00:00"/>
    <d v="2023-12-21T00:00:00"/>
    <d v="2024-06-18T00:00:00"/>
    <x v="1"/>
    <s v="Software Developer"/>
    <x v="306"/>
    <s v="Excellent"/>
    <n v="0.49315068493150682"/>
    <x v="0"/>
    <n v="34"/>
    <s v="Medium"/>
  </r>
  <r>
    <x v="310"/>
    <s v="Lisa"/>
    <s v="Hughes"/>
    <s v="Male"/>
    <s v="Michigan"/>
    <s v="Grand Rapids"/>
    <s v="Bachelor"/>
    <d v="1976-07-09T00:00:00"/>
    <d v="2016-09-14T00:00:00"/>
    <d v="2021-09-25T00:00:00"/>
    <x v="0"/>
    <s v="Customer Service Representative"/>
    <x v="307"/>
    <s v="Excellent"/>
    <n v="0.49315068493150682"/>
    <x v="0"/>
    <n v="48"/>
    <s v="Medium"/>
  </r>
  <r>
    <x v="311"/>
    <s v="Laura"/>
    <s v="Pearson"/>
    <s v="Female"/>
    <s v="New York"/>
    <s v="New York City"/>
    <s v="Master"/>
    <d v="1999-01-28T00:00:00"/>
    <d v="2024-02-29T00:00:00"/>
    <d v="2024-08-27T00:00:00"/>
    <x v="6"/>
    <s v="Sales Consultant"/>
    <x v="308"/>
    <s v="Excellent"/>
    <n v="1.6739726027397259"/>
    <x v="0"/>
    <n v="26"/>
    <s v="Medium"/>
  </r>
  <r>
    <x v="312"/>
    <s v="Tyler"/>
    <s v="Johnson"/>
    <s v="Female"/>
    <s v="New York"/>
    <s v="New York City"/>
    <s v="Bachelor"/>
    <d v="1989-02-20T00:00:00"/>
    <d v="2017-07-15T00:00:00"/>
    <d v="2018-01-11T00:00:00"/>
    <x v="1"/>
    <s v="System Administrator"/>
    <x v="309"/>
    <s v="Needs Improvement"/>
    <n v="0.49315068493150682"/>
    <x v="0"/>
    <n v="36"/>
    <s v="Medium"/>
  </r>
  <r>
    <x v="313"/>
    <s v="Tammy"/>
    <s v="Rivera"/>
    <s v="Male"/>
    <s v="New York"/>
    <s v="New York City"/>
    <s v="Bachelor"/>
    <d v="1995-05-23T00:00:00"/>
    <d v="2018-02-08T00:00:00"/>
    <d v="2021-02-12T00:00:00"/>
    <x v="3"/>
    <s v="Accounts Payable Specialist"/>
    <x v="310"/>
    <s v="Good"/>
    <n v="0.49315068493150682"/>
    <x v="0"/>
    <n v="29"/>
    <s v="Medium"/>
  </r>
  <r>
    <x v="314"/>
    <s v="Morgan"/>
    <s v="Alexander"/>
    <s v="Male"/>
    <s v="Ohio"/>
    <s v="Columbus"/>
    <s v="Bachelor"/>
    <d v="1976-02-07T00:00:00"/>
    <d v="2019-07-24T00:00:00"/>
    <d v="2020-01-20T00:00:00"/>
    <x v="6"/>
    <s v="Sales Consultant"/>
    <x v="311"/>
    <s v="Satisfactory"/>
    <n v="0.49041095890410957"/>
    <x v="0"/>
    <n v="49"/>
    <s v="Medium"/>
  </r>
  <r>
    <x v="315"/>
    <s v="Renee"/>
    <s v="Smith"/>
    <s v="Male"/>
    <s v="New York"/>
    <s v="New York City"/>
    <s v="High School"/>
    <d v="1981-10-11T00:00:00"/>
    <d v="2023-02-25T00:00:00"/>
    <d v="2023-11-22T00:00:00"/>
    <x v="0"/>
    <s v="Support Specialist"/>
    <x v="312"/>
    <s v="Needs Improvement"/>
    <n v="0.49315068493150682"/>
    <x v="0"/>
    <n v="43"/>
    <s v="Medium"/>
  </r>
  <r>
    <x v="316"/>
    <s v="Robert"/>
    <s v="Pena"/>
    <s v="Female"/>
    <s v="New York"/>
    <s v="New York City"/>
    <s v="Bachelor"/>
    <d v="2002-12-01T00:00:00"/>
    <d v="2021-03-01T00:00:00"/>
    <d v="2021-08-28T00:00:00"/>
    <x v="3"/>
    <s v="Accountant"/>
    <x v="313"/>
    <s v="Good"/>
    <n v="0.49315068493150682"/>
    <x v="0"/>
    <n v="22"/>
    <s v="Medium"/>
  </r>
  <r>
    <x v="317"/>
    <s v="Charles"/>
    <s v="Harrington"/>
    <s v="Female"/>
    <s v="Illinois"/>
    <s v="Chicago"/>
    <s v="High School"/>
    <d v="1964-12-27T00:00:00"/>
    <d v="2017-04-13T00:00:00"/>
    <d v="2020-04-27T00:00:00"/>
    <x v="0"/>
    <s v="Support Specialist"/>
    <x v="314"/>
    <s v="Needs Improvement"/>
    <n v="0.49315068493150682"/>
    <x v="0"/>
    <n v="60"/>
    <s v="Medium"/>
  </r>
  <r>
    <x v="318"/>
    <s v="Matthew"/>
    <s v="Schwartz"/>
    <s v="Male"/>
    <s v="New York"/>
    <s v="New York City"/>
    <s v="Bachelor"/>
    <d v="1964-06-09T00:00:00"/>
    <d v="2016-09-09T00:00:00"/>
    <d v="2021-08-07T00:00:00"/>
    <x v="2"/>
    <s v="Inventory Specialist"/>
    <x v="315"/>
    <s v="Good"/>
    <n v="5.9506849315068493"/>
    <x v="0"/>
    <n v="60"/>
    <s v="Medium"/>
  </r>
  <r>
    <x v="319"/>
    <s v="Christopher"/>
    <s v="Murphy"/>
    <s v="Female"/>
    <s v="Illinois"/>
    <s v="Aurora"/>
    <s v="High School"/>
    <d v="1982-01-12T00:00:00"/>
    <d v="2023-09-19T00:00:00"/>
    <d v="2024-06-29T00:00:00"/>
    <x v="0"/>
    <s v="Support Specialist"/>
    <x v="316"/>
    <s v="Needs Improvement"/>
    <n v="0.49315068493150682"/>
    <x v="0"/>
    <n v="43"/>
    <s v="Medium"/>
  </r>
  <r>
    <x v="320"/>
    <s v="Michele"/>
    <s v="James"/>
    <s v="Female"/>
    <s v="New York"/>
    <s v="New York City"/>
    <s v="Bachelor"/>
    <d v="1977-03-15T00:00:00"/>
    <d v="2019-05-03T00:00:00"/>
    <d v="2019-10-30T00:00:00"/>
    <x v="4"/>
    <s v="Marketing Coordinator"/>
    <x v="317"/>
    <s v="Good"/>
    <n v="0.49315068493150682"/>
    <x v="0"/>
    <n v="48"/>
    <s v="Medium"/>
  </r>
  <r>
    <x v="321"/>
    <s v="Courtney"/>
    <s v="Clay"/>
    <s v="Male"/>
    <s v="New York"/>
    <s v="New York City"/>
    <s v="Bachelor"/>
    <d v="1974-11-21T00:00:00"/>
    <d v="2016-07-08T00:00:00"/>
    <d v="2024-10-05T00:00:00"/>
    <x v="1"/>
    <s v="Software Developer"/>
    <x v="318"/>
    <s v="Good"/>
    <n v="0.49315068493150682"/>
    <x v="0"/>
    <n v="50"/>
    <s v="Medium"/>
  </r>
  <r>
    <x v="322"/>
    <s v="Monique"/>
    <s v="Johnson"/>
    <s v="Female"/>
    <s v="New York"/>
    <s v="New York City"/>
    <s v="Bachelor"/>
    <d v="1995-12-14T00:00:00"/>
    <d v="2020-01-27T00:00:00"/>
    <d v="2022-06-28T00:00:00"/>
    <x v="6"/>
    <s v="Sales Specialist"/>
    <x v="319"/>
    <s v="Good"/>
    <n v="8.2301369863013694"/>
    <x v="1"/>
    <n v="29"/>
    <s v="Medium"/>
  </r>
  <r>
    <x v="323"/>
    <s v="Jimmy"/>
    <s v="Cohen"/>
    <s v="Female"/>
    <s v="New York"/>
    <s v="New York City"/>
    <s v="Bachelor"/>
    <d v="1962-08-26T00:00:00"/>
    <d v="2017-04-22T00:00:00"/>
    <d v="2022-03-18T00:00:00"/>
    <x v="4"/>
    <s v="Content Creator"/>
    <x v="320"/>
    <s v="Satisfactory"/>
    <n v="0.49315068493150682"/>
    <x v="0"/>
    <n v="62"/>
    <s v="Medium"/>
  </r>
  <r>
    <x v="324"/>
    <s v="Tiffany"/>
    <s v="Hodges"/>
    <s v="Male"/>
    <s v="New York"/>
    <s v="New York City"/>
    <s v="High School"/>
    <d v="1985-07-13T00:00:00"/>
    <d v="2017-10-01T00:00:00"/>
    <d v="2021-01-02T00:00:00"/>
    <x v="2"/>
    <s v="Inventory Specialist"/>
    <x v="321"/>
    <s v="Needs Improvement"/>
    <n v="5.0328767123287674"/>
    <x v="0"/>
    <n v="39"/>
    <s v="Medium"/>
  </r>
  <r>
    <x v="325"/>
    <s v="Monique"/>
    <s v="Wallace"/>
    <s v="Female"/>
    <s v="Illinois"/>
    <s v="Naperville"/>
    <s v="Bachelor"/>
    <d v="1972-05-18T00:00:00"/>
    <d v="2023-09-27T00:00:00"/>
    <d v="2024-03-25T00:00:00"/>
    <x v="3"/>
    <s v="Accountant"/>
    <x v="322"/>
    <s v="Good"/>
    <n v="0.49315068493150682"/>
    <x v="0"/>
    <n v="52"/>
    <s v="Medium"/>
  </r>
  <r>
    <x v="326"/>
    <s v="Kevin"/>
    <s v="Johnson"/>
    <s v="Male"/>
    <s v="New York"/>
    <s v="New York City"/>
    <s v="Bachelor"/>
    <d v="1983-12-20T00:00:00"/>
    <d v="2023-05-06T00:00:00"/>
    <d v="2023-11-02T00:00:00"/>
    <x v="6"/>
    <s v="Sales Consultant"/>
    <x v="323"/>
    <s v="Excellent"/>
    <n v="0.49315068493150682"/>
    <x v="0"/>
    <n v="41"/>
    <s v="Medium"/>
  </r>
  <r>
    <x v="327"/>
    <s v="Laura"/>
    <s v="Carter"/>
    <s v="Male"/>
    <s v="North Carolina"/>
    <s v="Greensboro"/>
    <s v="High School"/>
    <d v="1990-05-31T00:00:00"/>
    <d v="2017-05-26T00:00:00"/>
    <d v="2019-01-04T00:00:00"/>
    <x v="4"/>
    <s v="Content Creator"/>
    <x v="324"/>
    <s v="Needs Improvement"/>
    <n v="3.0136986301369859"/>
    <x v="0"/>
    <n v="34"/>
    <s v="Medium"/>
  </r>
  <r>
    <x v="328"/>
    <s v="Ryan"/>
    <s v="Sanchez"/>
    <s v="Male"/>
    <s v="New York"/>
    <s v="New York City"/>
    <s v="Master"/>
    <d v="1966-04-20T00:00:00"/>
    <d v="2023-06-10T00:00:00"/>
    <d v="2023-12-07T00:00:00"/>
    <x v="2"/>
    <s v="Operations Analyst"/>
    <x v="325"/>
    <s v="Good"/>
    <n v="0.49315068493150682"/>
    <x v="0"/>
    <n v="58"/>
    <s v="Medium"/>
  </r>
  <r>
    <x v="329"/>
    <s v="Ashlee"/>
    <s v="Sparks"/>
    <s v="Female"/>
    <s v="North Carolina"/>
    <s v="Greensboro"/>
    <s v="Bachelor"/>
    <d v="1981-06-22T00:00:00"/>
    <d v="2023-03-08T00:00:00"/>
    <d v="2023-09-04T00:00:00"/>
    <x v="2"/>
    <s v="Operations Analyst"/>
    <x v="326"/>
    <s v="Excellent"/>
    <n v="0.73972602739726023"/>
    <x v="0"/>
    <n v="43"/>
    <s v="Medium"/>
  </r>
  <r>
    <x v="330"/>
    <s v="Gregory"/>
    <s v="Lynch"/>
    <s v="Female"/>
    <s v="New York"/>
    <s v="New York City"/>
    <s v="Bachelor"/>
    <d v="1980-06-03T00:00:00"/>
    <d v="2015-05-29T00:00:00"/>
    <d v="2019-08-18T00:00:00"/>
    <x v="2"/>
    <s v="Inventory Specialist"/>
    <x v="327"/>
    <s v="Excellent"/>
    <n v="0.49315068493150682"/>
    <x v="0"/>
    <n v="44"/>
    <s v="Medium"/>
  </r>
  <r>
    <x v="331"/>
    <s v="Christine"/>
    <s v="Allen"/>
    <s v="Male"/>
    <s v="New York"/>
    <s v="New York City"/>
    <s v="Bachelor"/>
    <d v="1978-05-07T00:00:00"/>
    <d v="2022-12-21T00:00:00"/>
    <d v="2023-06-19T00:00:00"/>
    <x v="2"/>
    <s v="Logistics Coordinator"/>
    <x v="328"/>
    <s v="Excellent"/>
    <n v="3.0410958904109591"/>
    <x v="0"/>
    <n v="46"/>
    <s v="Medium"/>
  </r>
  <r>
    <x v="332"/>
    <s v="Brandy"/>
    <s v="Hall"/>
    <s v="Male"/>
    <s v="North Carolina"/>
    <s v="Charlotte"/>
    <s v="Bachelor"/>
    <d v="2002-09-18T00:00:00"/>
    <d v="2019-09-05T00:00:00"/>
    <d v="2022-10-09T00:00:00"/>
    <x v="0"/>
    <s v="Support Specialist"/>
    <x v="329"/>
    <s v="Good"/>
    <n v="4.912328767123288"/>
    <x v="0"/>
    <n v="22"/>
    <s v="Medium"/>
  </r>
  <r>
    <x v="333"/>
    <s v="Jonathan"/>
    <s v="Scott"/>
    <s v="Male"/>
    <s v="New York"/>
    <s v="New York City"/>
    <s v="Bachelor"/>
    <d v="1988-07-03T00:00:00"/>
    <d v="2016-01-04T00:00:00"/>
    <d v="2016-07-02T00:00:00"/>
    <x v="3"/>
    <s v="Accounts Payable Specialist"/>
    <x v="330"/>
    <s v="Good"/>
    <n v="0.77808219178082194"/>
    <x v="0"/>
    <n v="36"/>
    <s v="Medium"/>
  </r>
  <r>
    <x v="334"/>
    <s v="Rachel"/>
    <s v="Marshall"/>
    <s v="Male"/>
    <s v="New York"/>
    <s v="New York City"/>
    <s v="High School"/>
    <d v="1992-01-21T00:00:00"/>
    <d v="2015-04-22T00:00:00"/>
    <d v="2023-03-12T00:00:00"/>
    <x v="0"/>
    <s v="Customer Service Representative"/>
    <x v="331"/>
    <s v="Excellent"/>
    <n v="0.49315068493150682"/>
    <x v="0"/>
    <n v="33"/>
    <s v="Low"/>
  </r>
  <r>
    <x v="335"/>
    <s v="Erica"/>
    <s v="Moore"/>
    <s v="Male"/>
    <s v="New York"/>
    <s v="New York City"/>
    <s v="Bachelor"/>
    <d v="1974-09-13T00:00:00"/>
    <d v="2019-06-21T00:00:00"/>
    <d v="2019-12-18T00:00:00"/>
    <x v="2"/>
    <s v="Operations Manager"/>
    <x v="332"/>
    <s v="Good"/>
    <n v="8.24931506849315"/>
    <x v="0"/>
    <n v="50"/>
    <s v="High"/>
  </r>
  <r>
    <x v="336"/>
    <s v="Sierra"/>
    <s v="Huerta"/>
    <s v="Female"/>
    <s v="Michigan"/>
    <s v="Warren"/>
    <s v="Bachelor"/>
    <d v="1983-05-13T00:00:00"/>
    <d v="2023-04-27T00:00:00"/>
    <d v="2023-10-24T00:00:00"/>
    <x v="2"/>
    <s v="Logistics Coordinator"/>
    <x v="333"/>
    <s v="Satisfactory"/>
    <n v="2.419178082191781"/>
    <x v="0"/>
    <n v="41"/>
    <s v="Low"/>
  </r>
  <r>
    <x v="337"/>
    <s v="Danielle"/>
    <s v="Coleman"/>
    <s v="Male"/>
    <s v="Pennsylvania"/>
    <s v="Philadelphia"/>
    <s v="Bachelor"/>
    <d v="2003-04-26T00:00:00"/>
    <d v="2020-04-07T00:00:00"/>
    <d v="2020-10-04T00:00:00"/>
    <x v="1"/>
    <s v="Software Developer"/>
    <x v="334"/>
    <s v="Good"/>
    <n v="4.9068493150684933"/>
    <x v="0"/>
    <n v="21"/>
    <s v="High"/>
  </r>
  <r>
    <x v="338"/>
    <s v="Stephen"/>
    <s v="Turner"/>
    <s v="Male"/>
    <s v="New York"/>
    <s v="New York City"/>
    <s v="Bachelor"/>
    <d v="1987-02-25T00:00:00"/>
    <d v="2018-05-30T00:00:00"/>
    <d v="2023-12-11T00:00:00"/>
    <x v="2"/>
    <s v="Logistics Coordinator"/>
    <x v="335"/>
    <s v="Satisfactory"/>
    <n v="7.8136986301369866"/>
    <x v="1"/>
    <n v="38"/>
    <s v="Medium"/>
  </r>
  <r>
    <x v="339"/>
    <s v="Ashley"/>
    <s v="Andrews"/>
    <s v="Female"/>
    <s v="Michigan"/>
    <s v="Warren"/>
    <s v="Master"/>
    <d v="1989-08-27T00:00:00"/>
    <d v="2022-09-29T00:00:00"/>
    <d v="2023-03-28T00:00:00"/>
    <x v="2"/>
    <s v="Operations Analyst"/>
    <x v="336"/>
    <s v="Excellent"/>
    <n v="3.257534246575343"/>
    <x v="0"/>
    <n v="35"/>
    <s v="Medium"/>
  </r>
  <r>
    <x v="340"/>
    <s v="Kenneth"/>
    <s v="Spence"/>
    <s v="Female"/>
    <s v="New York"/>
    <s v="New York City"/>
    <s v="High School"/>
    <d v="1984-09-19T00:00:00"/>
    <d v="2017-09-13T00:00:00"/>
    <d v="2021-12-16T00:00:00"/>
    <x v="0"/>
    <s v="Support Specialist"/>
    <x v="337"/>
    <s v="Needs Improvement"/>
    <n v="0.49315068493150682"/>
    <x v="0"/>
    <n v="40"/>
    <s v="Low"/>
  </r>
  <r>
    <x v="341"/>
    <s v="Randy"/>
    <s v="Smith"/>
    <s v="Female"/>
    <s v="New York"/>
    <s v="New York City"/>
    <s v="Bachelor"/>
    <d v="1972-06-23T00:00:00"/>
    <d v="2016-12-01T00:00:00"/>
    <d v="2020-03-23T00:00:00"/>
    <x v="0"/>
    <s v="Help Desk Technician"/>
    <x v="338"/>
    <s v="Good"/>
    <n v="0.49315068493150682"/>
    <x v="0"/>
    <n v="52"/>
    <s v="Medium"/>
  </r>
  <r>
    <x v="342"/>
    <s v="Gina"/>
    <s v="Garner"/>
    <s v="Female"/>
    <s v="New York"/>
    <s v="New York City"/>
    <s v="Bachelor"/>
    <d v="1996-01-18T00:00:00"/>
    <d v="2022-01-20T00:00:00"/>
    <d v="2022-07-19T00:00:00"/>
    <x v="6"/>
    <s v="Sales Representative"/>
    <x v="339"/>
    <s v="Good"/>
    <n v="1.6109589041095891"/>
    <x v="0"/>
    <n v="29"/>
    <s v="Medium"/>
  </r>
  <r>
    <x v="343"/>
    <s v="Renee"/>
    <s v="Mcgee"/>
    <s v="Female"/>
    <s v="Illinois"/>
    <s v="Chicago"/>
    <s v="Master"/>
    <d v="1979-10-01T00:00:00"/>
    <d v="2019-11-20T00:00:00"/>
    <d v="2021-11-10T00:00:00"/>
    <x v="1"/>
    <s v="System Administrator"/>
    <x v="340"/>
    <s v="Excellent"/>
    <n v="0.49315068493150682"/>
    <x v="0"/>
    <n v="45"/>
    <s v="Medium"/>
  </r>
  <r>
    <x v="344"/>
    <s v="Rebecca"/>
    <s v="Mitchell"/>
    <s v="Male"/>
    <s v="New York"/>
    <s v="New York City"/>
    <s v="High School"/>
    <d v="1973-04-28T00:00:00"/>
    <d v="2017-11-07T00:00:00"/>
    <d v="2018-05-05T00:00:00"/>
    <x v="0"/>
    <s v="Help Desk Technician"/>
    <x v="341"/>
    <s v="Needs Improvement"/>
    <n v="0.49315068493150682"/>
    <x v="0"/>
    <n v="51"/>
    <s v="Medium"/>
  </r>
  <r>
    <x v="345"/>
    <s v="Jerry"/>
    <s v="Pham"/>
    <s v="Male"/>
    <s v="New York"/>
    <s v="New York City"/>
    <s v="Bachelor"/>
    <d v="1991-03-15T00:00:00"/>
    <d v="2018-03-27T00:00:00"/>
    <d v="2018-09-23T00:00:00"/>
    <x v="2"/>
    <s v="Logistics Coordinator"/>
    <x v="342"/>
    <s v="Good"/>
    <n v="4.2246575342465764"/>
    <x v="0"/>
    <n v="34"/>
    <s v="Medium"/>
  </r>
  <r>
    <x v="346"/>
    <s v="Dana"/>
    <s v="Oliver"/>
    <s v="Female"/>
    <s v="New York"/>
    <s v="New York City"/>
    <s v="Master"/>
    <d v="1986-07-13T00:00:00"/>
    <d v="2018-09-21T00:00:00"/>
    <d v="2019-03-20T00:00:00"/>
    <x v="1"/>
    <s v="Software Developer"/>
    <x v="343"/>
    <s v="Good"/>
    <n v="0.49315068493150682"/>
    <x v="0"/>
    <n v="38"/>
    <s v="High"/>
  </r>
  <r>
    <x v="347"/>
    <s v="Karla"/>
    <s v="Saunders"/>
    <s v="Female"/>
    <s v="Pennsylvania"/>
    <s v="Allentown"/>
    <s v="High School"/>
    <d v="1988-03-25T00:00:00"/>
    <d v="2016-09-21T00:00:00"/>
    <d v="2023-11-19T00:00:00"/>
    <x v="2"/>
    <s v="Inventory Specialist"/>
    <x v="344"/>
    <s v="Excellent"/>
    <n v="3.095890410958904"/>
    <x v="0"/>
    <n v="37"/>
    <s v="Low"/>
  </r>
  <r>
    <x v="348"/>
    <s v="Mary"/>
    <s v="Fuller"/>
    <s v="Male"/>
    <s v="New York"/>
    <s v="New York City"/>
    <s v="Master"/>
    <d v="1966-03-16T00:00:00"/>
    <d v="2016-12-16T00:00:00"/>
    <d v="2024-07-21T00:00:00"/>
    <x v="1"/>
    <s v="System Administrator"/>
    <x v="345"/>
    <s v="Good"/>
    <n v="0.49315068493150682"/>
    <x v="0"/>
    <n v="59"/>
    <s v="Medium"/>
  </r>
  <r>
    <x v="349"/>
    <s v="Courtney"/>
    <s v="Williams"/>
    <s v="Male"/>
    <s v="New York"/>
    <s v="New York City"/>
    <s v="Bachelor"/>
    <d v="1992-12-09T00:00:00"/>
    <d v="2020-11-02T00:00:00"/>
    <d v="2022-06-17T00:00:00"/>
    <x v="3"/>
    <s v="Accountant"/>
    <x v="346"/>
    <s v="Good"/>
    <n v="7.8931506849315074"/>
    <x v="0"/>
    <n v="32"/>
    <s v="Medium"/>
  </r>
  <r>
    <x v="350"/>
    <s v="Scott"/>
    <s v="Riley"/>
    <s v="Male"/>
    <s v="New York"/>
    <s v="New York City"/>
    <s v="Bachelor"/>
    <d v="1973-03-16T00:00:00"/>
    <d v="2018-10-12T00:00:00"/>
    <d v="2019-04-10T00:00:00"/>
    <x v="1"/>
    <s v="Software Developer"/>
    <x v="347"/>
    <s v="Good"/>
    <n v="0.49315068493150682"/>
    <x v="0"/>
    <n v="52"/>
    <s v="Medium"/>
  </r>
  <r>
    <x v="351"/>
    <s v="David"/>
    <s v="Browning"/>
    <s v="Male"/>
    <s v="Michigan"/>
    <s v="Detroit"/>
    <s v="Bachelor"/>
    <d v="1971-05-12T00:00:00"/>
    <d v="2023-05-07T00:00:00"/>
    <d v="2023-11-03T00:00:00"/>
    <x v="1"/>
    <s v="IT Support Specialist"/>
    <x v="348"/>
    <s v="Satisfactory"/>
    <n v="0.49315068493150682"/>
    <x v="0"/>
    <n v="53"/>
    <s v="Medium"/>
  </r>
  <r>
    <x v="352"/>
    <s v="Julie"/>
    <s v="Thompson"/>
    <s v="Female"/>
    <s v="New York"/>
    <s v="New York City"/>
    <s v="Master"/>
    <d v="1967-07-01T00:00:00"/>
    <d v="2024-02-21T00:00:00"/>
    <d v="2024-08-19T00:00:00"/>
    <x v="1"/>
    <s v="System Administrator"/>
    <x v="349"/>
    <s v="Excellent"/>
    <n v="0.49315068493150682"/>
    <x v="0"/>
    <n v="57"/>
    <s v="Medium"/>
  </r>
  <r>
    <x v="353"/>
    <s v="Kristin"/>
    <s v="Walter"/>
    <s v="Male"/>
    <s v="New York"/>
    <s v="New York City"/>
    <s v="Bachelor"/>
    <d v="1997-05-21T00:00:00"/>
    <d v="2016-05-22T00:00:00"/>
    <d v="2018-06-17T00:00:00"/>
    <x v="3"/>
    <s v="Accountant"/>
    <x v="350"/>
    <s v="Good"/>
    <n v="5.536986301369863"/>
    <x v="0"/>
    <n v="27"/>
    <s v="Medium"/>
  </r>
  <r>
    <x v="354"/>
    <s v="Alyssa"/>
    <s v="Mcintyre"/>
    <s v="Male"/>
    <s v="Michigan"/>
    <s v="Detroit"/>
    <s v="Bachelor"/>
    <d v="1988-02-03T00:00:00"/>
    <d v="2022-11-19T00:00:00"/>
    <d v="2023-05-18T00:00:00"/>
    <x v="3"/>
    <s v="Accountant"/>
    <x v="351"/>
    <s v="Good"/>
    <n v="7.8684931506849312"/>
    <x v="1"/>
    <n v="37"/>
    <s v="Medium"/>
  </r>
  <r>
    <x v="355"/>
    <s v="Franklin"/>
    <s v="Sloan"/>
    <s v="Male"/>
    <s v="New York"/>
    <s v="New York City"/>
    <s v="Bachelor"/>
    <d v="1973-09-03T00:00:00"/>
    <d v="2018-07-07T00:00:00"/>
    <d v="2021-06-19T00:00:00"/>
    <x v="2"/>
    <s v="Operations Analyst"/>
    <x v="352"/>
    <s v="Satisfactory"/>
    <n v="0.49315068493150682"/>
    <x v="0"/>
    <n v="51"/>
    <s v="Medium"/>
  </r>
  <r>
    <x v="356"/>
    <s v="Tammy"/>
    <s v="Phillips"/>
    <s v="Female"/>
    <s v="New York"/>
    <s v="New York City"/>
    <s v="High School"/>
    <d v="1977-09-13T00:00:00"/>
    <d v="2022-12-05T00:00:00"/>
    <d v="2023-06-03T00:00:00"/>
    <x v="0"/>
    <s v="Support Specialist"/>
    <x v="353"/>
    <s v="Needs Improvement"/>
    <n v="4.2602739726027394"/>
    <x v="0"/>
    <n v="47"/>
    <s v="Medium"/>
  </r>
  <r>
    <x v="357"/>
    <s v="Matthew"/>
    <s v="Wilson"/>
    <s v="Female"/>
    <s v="Illinois"/>
    <s v="Aurora"/>
    <s v="Bachelor"/>
    <d v="1993-11-23T00:00:00"/>
    <d v="2023-01-30T00:00:00"/>
    <d v="2023-07-29T00:00:00"/>
    <x v="4"/>
    <s v="Content Creator"/>
    <x v="354"/>
    <s v="Good"/>
    <n v="3.309589041095891"/>
    <x v="0"/>
    <n v="31"/>
    <s v="Low"/>
  </r>
  <r>
    <x v="358"/>
    <s v="Donald"/>
    <s v="Levy"/>
    <s v="Female"/>
    <s v="Michigan"/>
    <s v="Grand Rapids"/>
    <s v="Bachelor"/>
    <d v="1995-12-26T00:00:00"/>
    <d v="2020-11-30T00:00:00"/>
    <d v="2021-05-29T00:00:00"/>
    <x v="0"/>
    <s v="Help Desk Technician"/>
    <x v="355"/>
    <s v="Good"/>
    <n v="0.49315068493150682"/>
    <x v="0"/>
    <n v="29"/>
    <s v="Medium"/>
  </r>
  <r>
    <x v="359"/>
    <s v="Erica"/>
    <s v="Craig"/>
    <s v="Female"/>
    <s v="New York"/>
    <s v="New York City"/>
    <s v="Bachelor"/>
    <d v="1975-10-31T00:00:00"/>
    <d v="2015-06-04T00:00:00"/>
    <d v="2024-01-10T00:00:00"/>
    <x v="6"/>
    <s v="Sales Representative"/>
    <x v="356"/>
    <s v="Excellent"/>
    <n v="1.9753424657534251"/>
    <x v="0"/>
    <n v="49"/>
    <s v="Medium"/>
  </r>
  <r>
    <x v="360"/>
    <s v="Tammy"/>
    <s v="Ballard"/>
    <s v="Female"/>
    <s v="New York"/>
    <s v="New York City"/>
    <s v="High School"/>
    <d v="1970-03-31T00:00:00"/>
    <d v="2024-05-22T00:00:00"/>
    <d v="2024-11-18T00:00:00"/>
    <x v="1"/>
    <s v="IT Support Specialist"/>
    <x v="357"/>
    <s v="Needs Improvement"/>
    <n v="0.49041095890410957"/>
    <x v="0"/>
    <n v="55"/>
    <s v="Medium"/>
  </r>
  <r>
    <x v="361"/>
    <s v="Christopher"/>
    <s v="Foster"/>
    <s v="Male"/>
    <s v="New York"/>
    <s v="New York City"/>
    <s v="Bachelor"/>
    <d v="1992-11-17T00:00:00"/>
    <d v="2023-04-13T00:00:00"/>
    <d v="2023-10-10T00:00:00"/>
    <x v="5"/>
    <s v="HR Coordinator"/>
    <x v="358"/>
    <s v="Good"/>
    <n v="0.49315068493150682"/>
    <x v="0"/>
    <n v="32"/>
    <s v="Medium"/>
  </r>
  <r>
    <x v="362"/>
    <s v="Amanda"/>
    <s v="Gibson"/>
    <s v="Female"/>
    <s v="New York"/>
    <s v="New York City"/>
    <s v="High School"/>
    <d v="1972-09-13T00:00:00"/>
    <d v="2016-09-18T00:00:00"/>
    <d v="2024-02-11T00:00:00"/>
    <x v="0"/>
    <s v="Support Specialist"/>
    <x v="359"/>
    <s v="Needs Improvement"/>
    <n v="0.49315068493150682"/>
    <x v="0"/>
    <n v="52"/>
    <s v="Medium"/>
  </r>
  <r>
    <x v="363"/>
    <s v="Kaitlyn"/>
    <s v="Baker"/>
    <s v="Male"/>
    <s v="Illinois"/>
    <s v="Chicago"/>
    <s v="Bachelor"/>
    <d v="1973-03-05T00:00:00"/>
    <d v="2016-05-27T00:00:00"/>
    <d v="2019-01-17T00:00:00"/>
    <x v="6"/>
    <s v="Sales Representative"/>
    <x v="360"/>
    <s v="Good"/>
    <n v="7.1643835616438354"/>
    <x v="0"/>
    <n v="52"/>
    <s v="Medium"/>
  </r>
  <r>
    <x v="364"/>
    <s v="Lynn"/>
    <s v="Bentley"/>
    <s v="Male"/>
    <s v="New York"/>
    <s v="New York City"/>
    <s v="Bachelor"/>
    <d v="1979-05-03T00:00:00"/>
    <d v="2019-02-12T00:00:00"/>
    <d v="2022-09-20T00:00:00"/>
    <x v="4"/>
    <s v="Marketing Coordinator"/>
    <x v="361"/>
    <s v="Good"/>
    <n v="7.6"/>
    <x v="0"/>
    <n v="45"/>
    <s v="Medium"/>
  </r>
  <r>
    <x v="365"/>
    <s v="Emily"/>
    <s v="Ruiz"/>
    <s v="Female"/>
    <s v="Pennsylvania"/>
    <s v="Pittsburgh"/>
    <s v="Bachelor"/>
    <d v="1974-01-24T00:00:00"/>
    <d v="2018-08-29T00:00:00"/>
    <d v="2019-02-25T00:00:00"/>
    <x v="2"/>
    <s v="Inventory Specialist"/>
    <x v="362"/>
    <s v="Excellent"/>
    <n v="1.6219178082191781"/>
    <x v="0"/>
    <n v="51"/>
    <s v="Low"/>
  </r>
  <r>
    <x v="366"/>
    <s v="Nicole"/>
    <s v="Hoffman"/>
    <s v="Male"/>
    <s v="New York"/>
    <s v="New York City"/>
    <s v="Bachelor"/>
    <d v="1982-07-14T00:00:00"/>
    <d v="2020-12-21T00:00:00"/>
    <d v="2021-06-19T00:00:00"/>
    <x v="6"/>
    <s v="Sales Representative"/>
    <x v="363"/>
    <s v="Good"/>
    <n v="0.49315068493150682"/>
    <x v="0"/>
    <n v="42"/>
    <s v="Medium"/>
  </r>
  <r>
    <x v="367"/>
    <s v="Chelsea"/>
    <s v="Holland"/>
    <s v="Male"/>
    <s v="Illinois"/>
    <s v="Chicago"/>
    <s v="High School"/>
    <d v="1960-12-24T00:00:00"/>
    <d v="2022-09-04T00:00:00"/>
    <d v="2024-06-04T00:00:00"/>
    <x v="0"/>
    <s v="Customer Service Representative"/>
    <x v="364"/>
    <s v="Needs Improvement"/>
    <n v="0.49315068493150682"/>
    <x v="0"/>
    <n v="64"/>
    <s v="Medium"/>
  </r>
  <r>
    <x v="368"/>
    <s v="Madison"/>
    <s v="Blankenship"/>
    <s v="Male"/>
    <s v="New York"/>
    <s v="New York City"/>
    <s v="Bachelor"/>
    <d v="1961-06-08T00:00:00"/>
    <d v="2017-04-28T00:00:00"/>
    <d v="2018-12-19T00:00:00"/>
    <x v="6"/>
    <s v="Sales Representative"/>
    <x v="365"/>
    <s v="Excellent"/>
    <n v="0.49315068493150682"/>
    <x v="0"/>
    <n v="63"/>
    <s v="Medium"/>
  </r>
  <r>
    <x v="369"/>
    <s v="Debra"/>
    <s v="Wilson"/>
    <s v="Male"/>
    <s v="New York"/>
    <s v="New York City"/>
    <s v="Bachelor"/>
    <d v="1983-08-01T00:00:00"/>
    <d v="2021-01-18T00:00:00"/>
    <d v="2022-10-03T00:00:00"/>
    <x v="6"/>
    <s v="Sales Representative"/>
    <x v="366"/>
    <s v="Excellent"/>
    <n v="2.0712328767123291"/>
    <x v="0"/>
    <n v="41"/>
    <s v="Medium"/>
  </r>
  <r>
    <x v="370"/>
    <s v="Sophia"/>
    <s v="Torres"/>
    <s v="Female"/>
    <s v="New York"/>
    <s v="New York City"/>
    <s v="High School"/>
    <d v="1981-06-27T00:00:00"/>
    <d v="2022-07-11T00:00:00"/>
    <d v="2023-01-07T00:00:00"/>
    <x v="0"/>
    <s v="Help Desk Technician"/>
    <x v="367"/>
    <s v="Needs Improvement"/>
    <n v="0.49315068493150682"/>
    <x v="0"/>
    <n v="43"/>
    <s v="Low"/>
  </r>
  <r>
    <x v="371"/>
    <s v="Derek"/>
    <s v="Chavez"/>
    <s v="Male"/>
    <s v="New York"/>
    <s v="New York City"/>
    <s v="Bachelor"/>
    <d v="1997-12-09T00:00:00"/>
    <d v="2019-09-18T00:00:00"/>
    <d v="2024-03-06T00:00:00"/>
    <x v="3"/>
    <s v="Accounts Payable Specialist"/>
    <x v="368"/>
    <s v="Needs Improvement"/>
    <n v="2.9534246575342471"/>
    <x v="0"/>
    <n v="27"/>
    <s v="Medium"/>
  </r>
  <r>
    <x v="372"/>
    <s v="Stacy"/>
    <s v="Horton"/>
    <s v="Female"/>
    <s v="New York"/>
    <s v="New York City"/>
    <s v="Bachelor"/>
    <d v="1986-02-10T00:00:00"/>
    <d v="2017-07-29T00:00:00"/>
    <d v="2024-03-06T00:00:00"/>
    <x v="4"/>
    <s v="SEO Specialist"/>
    <x v="369"/>
    <s v="Satisfactory"/>
    <n v="0.49315068493150682"/>
    <x v="0"/>
    <n v="39"/>
    <s v="Medium"/>
  </r>
  <r>
    <x v="373"/>
    <s v="Nicole"/>
    <s v="Pena"/>
    <s v="Female"/>
    <s v="New York"/>
    <s v="New York City"/>
    <s v="Bachelor"/>
    <d v="1979-05-19T00:00:00"/>
    <d v="2022-11-20T00:00:00"/>
    <d v="2023-05-19T00:00:00"/>
    <x v="3"/>
    <s v="Accounts Payable Specialist"/>
    <x v="370"/>
    <s v="Good"/>
    <n v="0.49315068493150682"/>
    <x v="0"/>
    <n v="45"/>
    <s v="Low"/>
  </r>
  <r>
    <x v="374"/>
    <s v="Tracy"/>
    <s v="Russell"/>
    <s v="Female"/>
    <s v="Illinois"/>
    <s v="Chicago"/>
    <s v="High School"/>
    <d v="1982-01-16T00:00:00"/>
    <d v="2015-04-19T00:00:00"/>
    <d v="2020-04-16T00:00:00"/>
    <x v="0"/>
    <s v="Help Desk Technician"/>
    <x v="371"/>
    <s v="Needs Improvement"/>
    <n v="0.49315068493150682"/>
    <x v="0"/>
    <n v="43"/>
    <s v="Medium"/>
  </r>
  <r>
    <x v="375"/>
    <s v="Sean"/>
    <s v="Young"/>
    <s v="Female"/>
    <s v="New York"/>
    <s v="New York City"/>
    <s v="Bachelor"/>
    <d v="1964-06-02T00:00:00"/>
    <d v="2020-05-20T00:00:00"/>
    <d v="2022-01-25T00:00:00"/>
    <x v="6"/>
    <s v="Sales Representative"/>
    <x v="372"/>
    <s v="Satisfactory"/>
    <n v="8.6082191780821926"/>
    <x v="0"/>
    <n v="60"/>
    <s v="Medium"/>
  </r>
  <r>
    <x v="376"/>
    <s v="Rachel"/>
    <s v="Newman"/>
    <s v="Female"/>
    <s v="New York"/>
    <s v="New York City"/>
    <s v="Bachelor"/>
    <d v="1977-08-19T00:00:00"/>
    <d v="2015-01-24T00:00:00"/>
    <d v="2021-04-18T00:00:00"/>
    <x v="6"/>
    <s v="Sales Representative"/>
    <x v="373"/>
    <s v="Good"/>
    <n v="0.49315068493150682"/>
    <x v="0"/>
    <n v="47"/>
    <s v="Low"/>
  </r>
  <r>
    <x v="377"/>
    <s v="Raymond"/>
    <s v="Lopez"/>
    <s v="Male"/>
    <s v="New York"/>
    <s v="New York City"/>
    <s v="Bachelor"/>
    <d v="1966-03-14T00:00:00"/>
    <d v="2020-02-17T00:00:00"/>
    <d v="2020-08-15T00:00:00"/>
    <x v="1"/>
    <s v="System Administrator"/>
    <x v="374"/>
    <s v="Good"/>
    <n v="0.49315068493150682"/>
    <x v="0"/>
    <n v="59"/>
    <s v="Medium"/>
  </r>
  <r>
    <x v="378"/>
    <s v="Stacy"/>
    <s v="Holloway"/>
    <s v="Female"/>
    <s v="New York"/>
    <s v="New York City"/>
    <s v="High School"/>
    <d v="1995-10-05T00:00:00"/>
    <d v="2019-02-05T00:00:00"/>
    <d v="2019-08-04T00:00:00"/>
    <x v="2"/>
    <s v="Inventory Specialist"/>
    <x v="375"/>
    <s v="Needs Improvement"/>
    <n v="7.4027397260273968"/>
    <x v="0"/>
    <n v="29"/>
    <s v="Low"/>
  </r>
  <r>
    <x v="379"/>
    <s v="Elizabeth"/>
    <s v="May"/>
    <s v="Female"/>
    <s v="New York"/>
    <s v="New York City"/>
    <s v="Bachelor"/>
    <d v="1983-12-04T00:00:00"/>
    <d v="2018-08-19T00:00:00"/>
    <d v="2019-02-15T00:00:00"/>
    <x v="1"/>
    <s v="Software Developer"/>
    <x v="376"/>
    <s v="Satisfactory"/>
    <n v="2.6438356164383561"/>
    <x v="0"/>
    <n v="41"/>
    <s v="Medium"/>
  </r>
  <r>
    <x v="380"/>
    <s v="Tasha"/>
    <s v="Williams"/>
    <s v="Male"/>
    <s v="Michigan"/>
    <s v="Detroit"/>
    <s v="Bachelor"/>
    <d v="1967-05-14T00:00:00"/>
    <d v="2019-05-10T00:00:00"/>
    <d v="2019-11-06T00:00:00"/>
    <x v="6"/>
    <s v="Sales Representative"/>
    <x v="377"/>
    <s v="Good"/>
    <n v="3.6054794520547939"/>
    <x v="0"/>
    <n v="57"/>
    <s v="Medium"/>
  </r>
  <r>
    <x v="381"/>
    <s v="John"/>
    <s v="Martinez"/>
    <s v="Female"/>
    <s v="Illinois"/>
    <s v="Aurora"/>
    <s v="Master"/>
    <d v="1997-12-28T00:00:00"/>
    <d v="2019-08-08T00:00:00"/>
    <d v="2024-03-07T00:00:00"/>
    <x v="6"/>
    <s v="Sales Manager"/>
    <x v="378"/>
    <s v="Excellent"/>
    <n v="0.49315068493150682"/>
    <x v="0"/>
    <n v="27"/>
    <s v="Medium"/>
  </r>
  <r>
    <x v="382"/>
    <s v="Jamie"/>
    <s v="Gallegos"/>
    <s v="Male"/>
    <s v="Illinois"/>
    <s v="Aurora"/>
    <s v="PhD"/>
    <d v="1982-01-29T00:00:00"/>
    <d v="2020-08-03T00:00:00"/>
    <d v="2023-05-04T00:00:00"/>
    <x v="6"/>
    <s v="Sales Specialist"/>
    <x v="379"/>
    <s v="Excellent"/>
    <n v="0.49315068493150682"/>
    <x v="0"/>
    <n v="43"/>
    <s v="Medium"/>
  </r>
  <r>
    <x v="383"/>
    <s v="Jamie"/>
    <s v="Robinson"/>
    <s v="Female"/>
    <s v="New York"/>
    <s v="New York City"/>
    <s v="Bachelor"/>
    <d v="1968-02-24T00:00:00"/>
    <d v="2017-12-04T00:00:00"/>
    <d v="2018-06-01T00:00:00"/>
    <x v="1"/>
    <s v="Software Developer"/>
    <x v="380"/>
    <s v="Good"/>
    <n v="1.7506849315068489"/>
    <x v="0"/>
    <n v="57"/>
    <s v="Medium"/>
  </r>
  <r>
    <x v="384"/>
    <s v="Jesse"/>
    <s v="Schroeder"/>
    <s v="Female"/>
    <s v="Ohio"/>
    <s v="Cincinnati"/>
    <s v="Bachelor"/>
    <d v="1984-06-03T00:00:00"/>
    <d v="2018-11-03T00:00:00"/>
    <d v="2021-01-20T00:00:00"/>
    <x v="3"/>
    <s v="Accounts Payable Specialist"/>
    <x v="381"/>
    <s v="Satisfactory"/>
    <n v="1.6438356164383561"/>
    <x v="0"/>
    <n v="40"/>
    <s v="Low"/>
  </r>
  <r>
    <x v="385"/>
    <s v="Rachel"/>
    <s v="Smith"/>
    <s v="Female"/>
    <s v="New York"/>
    <s v="New York City"/>
    <s v="Bachelor"/>
    <d v="1979-02-10T00:00:00"/>
    <d v="2021-11-30T00:00:00"/>
    <d v="2023-03-20T00:00:00"/>
    <x v="3"/>
    <s v="Accountant"/>
    <x v="382"/>
    <s v="Good"/>
    <n v="1.7068493150684929"/>
    <x v="0"/>
    <n v="46"/>
    <s v="Medium"/>
  </r>
  <r>
    <x v="386"/>
    <s v="Tracey"/>
    <s v="Huerta"/>
    <s v="Male"/>
    <s v="Pennsylvania"/>
    <s v="Pittsburgh"/>
    <s v="Bachelor"/>
    <d v="1984-08-21T00:00:00"/>
    <d v="2017-07-29T00:00:00"/>
    <d v="2018-01-25T00:00:00"/>
    <x v="6"/>
    <s v="Sales Representative"/>
    <x v="383"/>
    <s v="Excellent"/>
    <n v="0.49315068493150682"/>
    <x v="0"/>
    <n v="40"/>
    <s v="Medium"/>
  </r>
  <r>
    <x v="387"/>
    <s v="John"/>
    <s v="Thompson"/>
    <s v="Female"/>
    <s v="New York"/>
    <s v="New York City"/>
    <s v="Bachelor"/>
    <d v="1990-11-21T00:00:00"/>
    <d v="2017-09-14T00:00:00"/>
    <d v="2018-09-27T00:00:00"/>
    <x v="2"/>
    <s v="Operations Analyst"/>
    <x v="384"/>
    <s v="Good"/>
    <n v="8.706849315068494"/>
    <x v="1"/>
    <n v="34"/>
    <s v="Medium"/>
  </r>
  <r>
    <x v="388"/>
    <s v="Michelle"/>
    <s v="Anderson"/>
    <s v="Male"/>
    <s v="New York"/>
    <s v="New York City"/>
    <s v="PhD"/>
    <d v="1993-12-27T00:00:00"/>
    <d v="2017-05-20T00:00:00"/>
    <d v="2020-04-28T00:00:00"/>
    <x v="0"/>
    <s v="Customer Service Manager"/>
    <x v="385"/>
    <s v="Excellent"/>
    <n v="4.4684931506849317"/>
    <x v="0"/>
    <n v="31"/>
    <s v="Medium"/>
  </r>
  <r>
    <x v="389"/>
    <s v="Kristy"/>
    <s v="Young"/>
    <s v="Male"/>
    <s v="New York"/>
    <s v="New York City"/>
    <s v="Bachelor"/>
    <d v="1992-01-07T00:00:00"/>
    <d v="2022-05-06T00:00:00"/>
    <d v="2022-11-02T00:00:00"/>
    <x v="6"/>
    <s v="Sales Consultant"/>
    <x v="386"/>
    <s v="Satisfactory"/>
    <n v="6.6082191780821917"/>
    <x v="0"/>
    <n v="33"/>
    <s v="Medium"/>
  </r>
  <r>
    <x v="390"/>
    <s v="Alfred"/>
    <s v="Baker"/>
    <s v="Female"/>
    <s v="New York"/>
    <s v="New York City"/>
    <s v="High School"/>
    <d v="1971-03-21T00:00:00"/>
    <d v="2024-02-19T00:00:00"/>
    <d v="2024-08-17T00:00:00"/>
    <x v="0"/>
    <s v="Customer Service Representative"/>
    <x v="387"/>
    <s v="Needs Improvement"/>
    <n v="8.1095890410958908"/>
    <x v="1"/>
    <n v="54"/>
    <s v="Medium"/>
  </r>
  <r>
    <x v="391"/>
    <s v="Judy"/>
    <s v="Fox"/>
    <s v="Male"/>
    <s v="New York"/>
    <s v="New York City"/>
    <s v="High School"/>
    <d v="1998-07-08T00:00:00"/>
    <d v="2022-10-17T00:00:00"/>
    <d v="2023-04-15T00:00:00"/>
    <x v="0"/>
    <s v="Support Specialist"/>
    <x v="388"/>
    <s v="Needs Improvement"/>
    <n v="0.49315068493150682"/>
    <x v="0"/>
    <n v="26"/>
    <s v="Low"/>
  </r>
  <r>
    <x v="392"/>
    <s v="Bryce"/>
    <s v="West"/>
    <s v="Male"/>
    <s v="New York"/>
    <s v="New York City"/>
    <s v="Bachelor"/>
    <d v="2000-02-08T00:00:00"/>
    <d v="2021-05-21T00:00:00"/>
    <d v="2023-12-09T00:00:00"/>
    <x v="2"/>
    <s v="Logistics Coordinator"/>
    <x v="389"/>
    <s v="Good"/>
    <n v="4.9972602739726026"/>
    <x v="0"/>
    <n v="25"/>
    <s v="Medium"/>
  </r>
  <r>
    <x v="393"/>
    <s v="William"/>
    <s v="Rodriguez"/>
    <s v="Male"/>
    <s v="New York"/>
    <s v="New York City"/>
    <s v="Bachelor"/>
    <d v="1965-07-20T00:00:00"/>
    <d v="2018-07-15T00:00:00"/>
    <d v="2019-01-11T00:00:00"/>
    <x v="2"/>
    <s v="Logistics Coordinator"/>
    <x v="390"/>
    <s v="Satisfactory"/>
    <n v="8.8054794520547937"/>
    <x v="1"/>
    <n v="59"/>
    <s v="Medium"/>
  </r>
  <r>
    <x v="394"/>
    <s v="Jeffrey"/>
    <s v="Gilbert"/>
    <s v="Male"/>
    <s v="New York"/>
    <s v="New York City"/>
    <s v="Bachelor"/>
    <d v="1985-07-01T00:00:00"/>
    <d v="2019-10-10T00:00:00"/>
    <d v="2020-04-07T00:00:00"/>
    <x v="2"/>
    <s v="Logistics Coordinator"/>
    <x v="391"/>
    <s v="Good"/>
    <n v="1.6849315068493149"/>
    <x v="0"/>
    <n v="39"/>
    <s v="Medium"/>
  </r>
  <r>
    <x v="395"/>
    <s v="Krista"/>
    <s v="Camacho"/>
    <s v="Female"/>
    <s v="New York"/>
    <s v="New York City"/>
    <s v="Bachelor"/>
    <d v="2002-08-19T00:00:00"/>
    <d v="2020-07-21T00:00:00"/>
    <d v="2021-01-17T00:00:00"/>
    <x v="4"/>
    <s v="Marketing Coordinator"/>
    <x v="392"/>
    <s v="Excellent"/>
    <n v="8.6986301369863011"/>
    <x v="1"/>
    <n v="22"/>
    <s v="Medium"/>
  </r>
  <r>
    <x v="396"/>
    <s v="Kevin"/>
    <s v="Schneider"/>
    <s v="Female"/>
    <s v="New York"/>
    <s v="New York City"/>
    <s v="Bachelor"/>
    <d v="1996-04-08T00:00:00"/>
    <d v="2018-01-13T00:00:00"/>
    <d v="2018-07-12T00:00:00"/>
    <x v="2"/>
    <s v="Logistics Coordinator"/>
    <x v="393"/>
    <s v="Satisfactory"/>
    <n v="6.2356164383561641"/>
    <x v="0"/>
    <n v="29"/>
    <s v="Low"/>
  </r>
  <r>
    <x v="397"/>
    <s v="Bruce"/>
    <s v="Mendoza"/>
    <s v="Male"/>
    <s v="Ohio"/>
    <s v="Columbus"/>
    <s v="Bachelor"/>
    <d v="1974-02-05T00:00:00"/>
    <d v="2018-06-05T00:00:00"/>
    <d v="2022-05-21T00:00:00"/>
    <x v="1"/>
    <s v="System Administrator"/>
    <x v="394"/>
    <s v="Satisfactory"/>
    <n v="0.49315068493150682"/>
    <x v="0"/>
    <n v="51"/>
    <s v="High"/>
  </r>
  <r>
    <x v="398"/>
    <s v="Ronald"/>
    <s v="Rodriguez"/>
    <s v="Male"/>
    <s v="New York"/>
    <s v="New York City"/>
    <s v="Bachelor"/>
    <d v="1980-01-21T00:00:00"/>
    <d v="2017-10-04T00:00:00"/>
    <d v="2018-04-01T00:00:00"/>
    <x v="4"/>
    <s v="Content Creator"/>
    <x v="395"/>
    <s v="Satisfactory"/>
    <n v="0.49315068493150682"/>
    <x v="0"/>
    <n v="45"/>
    <s v="Low"/>
  </r>
  <r>
    <x v="399"/>
    <s v="Renee"/>
    <s v="Jones"/>
    <s v="Male"/>
    <s v="New York"/>
    <s v="New York City"/>
    <s v="Bachelor"/>
    <d v="1986-03-02T00:00:00"/>
    <d v="2020-02-01T00:00:00"/>
    <d v="2023-08-22T00:00:00"/>
    <x v="2"/>
    <s v="Inventory Specialist"/>
    <x v="396"/>
    <s v="Good"/>
    <n v="0.49315068493150682"/>
    <x v="0"/>
    <n v="39"/>
    <s v="Medium"/>
  </r>
  <r>
    <x v="400"/>
    <s v="Marc"/>
    <s v="Hernandez"/>
    <s v="Male"/>
    <s v="New York"/>
    <s v="New York City"/>
    <s v="High School"/>
    <d v="2004-05-10T00:00:00"/>
    <d v="2024-02-19T00:00:00"/>
    <d v="2024-08-17T00:00:00"/>
    <x v="0"/>
    <s v="Support Specialist"/>
    <x v="397"/>
    <s v="Needs Improvement"/>
    <n v="0.49315068493150682"/>
    <x v="0"/>
    <n v="20"/>
    <s v="Low"/>
  </r>
  <r>
    <x v="401"/>
    <s v="Joshua"/>
    <s v="Schultz"/>
    <s v="Female"/>
    <s v="New York"/>
    <s v="New York City"/>
    <s v="High School"/>
    <d v="1996-02-28T00:00:00"/>
    <d v="2017-08-01T00:00:00"/>
    <d v="2018-01-28T00:00:00"/>
    <x v="0"/>
    <s v="Customer Service Representative"/>
    <x v="398"/>
    <s v="Needs Improvement"/>
    <n v="4.5835616438356164"/>
    <x v="0"/>
    <n v="29"/>
    <s v="Low"/>
  </r>
  <r>
    <x v="402"/>
    <s v="Jennifer"/>
    <s v="James"/>
    <s v="Male"/>
    <s v="North Carolina"/>
    <s v="Raleigh"/>
    <s v="High School"/>
    <d v="1983-11-13T00:00:00"/>
    <d v="2018-08-21T00:00:00"/>
    <d v="2022-10-22T00:00:00"/>
    <x v="0"/>
    <s v="Customer Service Representative"/>
    <x v="399"/>
    <s v="Excellent"/>
    <n v="2.7506849315068491"/>
    <x v="0"/>
    <n v="41"/>
    <s v="Medium"/>
  </r>
  <r>
    <x v="403"/>
    <s v="Alyssa"/>
    <s v="Chavez"/>
    <s v="Female"/>
    <s v="New York"/>
    <s v="New York City"/>
    <s v="Bachelor"/>
    <d v="1974-08-30T00:00:00"/>
    <d v="2018-08-23T00:00:00"/>
    <d v="2019-02-19T00:00:00"/>
    <x v="4"/>
    <s v="Marketing Coordinator"/>
    <x v="400"/>
    <s v="Good"/>
    <n v="0.49041095890410957"/>
    <x v="0"/>
    <n v="50"/>
    <s v="Medium"/>
  </r>
  <r>
    <x v="404"/>
    <s v="Russell"/>
    <s v="Mcguire"/>
    <s v="Male"/>
    <s v="New York"/>
    <s v="New York City"/>
    <s v="PhD"/>
    <d v="1986-05-21T00:00:00"/>
    <d v="2024-02-14T00:00:00"/>
    <d v="2024-08-12T00:00:00"/>
    <x v="6"/>
    <s v="Sales Consultant"/>
    <x v="401"/>
    <s v="Excellent"/>
    <n v="2.216438356164383"/>
    <x v="0"/>
    <n v="38"/>
    <s v="Medium"/>
  </r>
  <r>
    <x v="405"/>
    <s v="Melissa"/>
    <s v="Curtis"/>
    <s v="Male"/>
    <s v="West Virginia"/>
    <s v="Huntington"/>
    <s v="Bachelor"/>
    <d v="1996-05-15T00:00:00"/>
    <d v="2017-10-26T00:00:00"/>
    <d v="2024-10-20T00:00:00"/>
    <x v="2"/>
    <s v="Operations Analyst"/>
    <x v="402"/>
    <s v="Satisfactory"/>
    <n v="1.3013698630136989"/>
    <x v="0"/>
    <n v="28"/>
    <s v="Medium"/>
  </r>
  <r>
    <x v="406"/>
    <s v="Andrea"/>
    <s v="Glenn"/>
    <s v="Female"/>
    <s v="New York"/>
    <s v="New York City"/>
    <s v="Bachelor"/>
    <d v="1987-05-11T00:00:00"/>
    <d v="2024-06-16T00:00:00"/>
    <d v="2024-12-13T00:00:00"/>
    <x v="0"/>
    <s v="Support Specialist"/>
    <x v="403"/>
    <s v="Needs Improvement"/>
    <n v="0.49315068493150682"/>
    <x v="0"/>
    <n v="37"/>
    <s v="Medium"/>
  </r>
  <r>
    <x v="407"/>
    <s v="Shannon"/>
    <s v="Perez"/>
    <s v="Female"/>
    <s v="West Virginia"/>
    <s v="Charleston"/>
    <s v="Master"/>
    <d v="1988-08-26T00:00:00"/>
    <d v="2017-05-12T00:00:00"/>
    <d v="2018-10-14T00:00:00"/>
    <x v="2"/>
    <s v="Operations Analyst"/>
    <x v="404"/>
    <s v="Excellent"/>
    <n v="1.0356164383561639"/>
    <x v="0"/>
    <n v="36"/>
    <s v="Low"/>
  </r>
  <r>
    <x v="408"/>
    <s v="Maria"/>
    <s v="Ross"/>
    <s v="Male"/>
    <s v="Virginia"/>
    <s v="Norfolk"/>
    <s v="High School"/>
    <d v="1999-04-09T00:00:00"/>
    <d v="2019-10-11T00:00:00"/>
    <d v="2021-01-16T00:00:00"/>
    <x v="0"/>
    <s v="Customer Service Representative"/>
    <x v="405"/>
    <s v="Needs Improvement"/>
    <n v="2.9424657534246581"/>
    <x v="0"/>
    <n v="26"/>
    <s v="Low"/>
  </r>
  <r>
    <x v="409"/>
    <s v="Cody"/>
    <s v="Simmons"/>
    <s v="Male"/>
    <s v="New York"/>
    <s v="New York City"/>
    <s v="Bachelor"/>
    <d v="1988-02-28T00:00:00"/>
    <d v="2016-09-15T00:00:00"/>
    <d v="2022-11-07T00:00:00"/>
    <x v="2"/>
    <s v="Logistics Coordinator"/>
    <x v="406"/>
    <s v="Satisfactory"/>
    <n v="0.49315068493150682"/>
    <x v="0"/>
    <n v="37"/>
    <s v="Medium"/>
  </r>
  <r>
    <x v="410"/>
    <s v="Jonathan"/>
    <s v="Mckay"/>
    <s v="Female"/>
    <s v="New York"/>
    <s v="New York City"/>
    <s v="High School"/>
    <d v="2000-10-28T00:00:00"/>
    <d v="2016-09-23T00:00:00"/>
    <d v="2020-02-27T00:00:00"/>
    <x v="0"/>
    <s v="Customer Service Representative"/>
    <x v="407"/>
    <s v="Excellent"/>
    <n v="0.49315068493150682"/>
    <x v="0"/>
    <n v="24"/>
    <s v="Medium"/>
  </r>
  <r>
    <x v="411"/>
    <s v="Sandra"/>
    <s v="Jones"/>
    <s v="Female"/>
    <s v="New York"/>
    <s v="New York City"/>
    <s v="High School"/>
    <d v="1978-01-11T00:00:00"/>
    <d v="2017-11-20T00:00:00"/>
    <d v="2024-07-31T00:00:00"/>
    <x v="2"/>
    <s v="Inventory Specialist"/>
    <x v="408"/>
    <s v="Needs Improvement"/>
    <n v="0.49315068493150682"/>
    <x v="0"/>
    <n v="47"/>
    <s v="Medium"/>
  </r>
  <r>
    <x v="412"/>
    <s v="Christopher"/>
    <s v="Reynolds"/>
    <s v="Female"/>
    <s v="New York"/>
    <s v="New York City"/>
    <s v="Bachelor"/>
    <d v="1963-01-03T00:00:00"/>
    <d v="2018-10-16T00:00:00"/>
    <d v="2019-04-14T00:00:00"/>
    <x v="4"/>
    <s v="SEO Specialist"/>
    <x v="409"/>
    <s v="Needs Improvement"/>
    <n v="2.5534246575342472"/>
    <x v="0"/>
    <n v="62"/>
    <s v="Medium"/>
  </r>
  <r>
    <x v="413"/>
    <s v="Joanne"/>
    <s v="Cain"/>
    <s v="Female"/>
    <s v="New York"/>
    <s v="New York City"/>
    <s v="Master"/>
    <d v="2001-05-30T00:00:00"/>
    <d v="2018-08-05T00:00:00"/>
    <d v="2021-07-22T00:00:00"/>
    <x v="1"/>
    <s v="Software Developer"/>
    <x v="410"/>
    <s v="Excellent"/>
    <n v="0.49315068493150682"/>
    <x v="0"/>
    <n v="23"/>
    <s v="Medium"/>
  </r>
  <r>
    <x v="414"/>
    <s v="Brian"/>
    <s v="Frye"/>
    <s v="Female"/>
    <s v="New York"/>
    <s v="New York City"/>
    <s v="Bachelor"/>
    <d v="2002-09-25T00:00:00"/>
    <d v="2018-08-06T00:00:00"/>
    <d v="2019-02-02T00:00:00"/>
    <x v="2"/>
    <s v="Logistics Coordinator"/>
    <x v="411"/>
    <s v="Good"/>
    <n v="0.49315068493150682"/>
    <x v="0"/>
    <n v="22"/>
    <s v="Low"/>
  </r>
  <r>
    <x v="415"/>
    <s v="Mark"/>
    <s v="Martinez"/>
    <s v="Female"/>
    <s v="New York"/>
    <s v="New York City"/>
    <s v="Master"/>
    <d v="1985-04-06T00:00:00"/>
    <d v="2019-05-18T00:00:00"/>
    <d v="2021-03-05T00:00:00"/>
    <x v="6"/>
    <s v="Sales Specialist"/>
    <x v="412"/>
    <s v="Excellent"/>
    <n v="0.49315068493150682"/>
    <x v="0"/>
    <n v="40"/>
    <s v="Medium"/>
  </r>
  <r>
    <x v="416"/>
    <s v="Morgan"/>
    <s v="Pugh"/>
    <s v="Male"/>
    <s v="Illinois"/>
    <s v="Aurora"/>
    <s v="Bachelor"/>
    <d v="1966-09-30T00:00:00"/>
    <d v="2018-06-14T00:00:00"/>
    <d v="2024-08-04T00:00:00"/>
    <x v="3"/>
    <s v="Financial Analyst"/>
    <x v="413"/>
    <s v="Good"/>
    <n v="0.49315068493150682"/>
    <x v="0"/>
    <n v="58"/>
    <s v="Medium"/>
  </r>
  <r>
    <x v="417"/>
    <s v="Miranda"/>
    <s v="Griffith"/>
    <s v="Male"/>
    <s v="New York"/>
    <s v="New York City"/>
    <s v="High School"/>
    <d v="1966-12-25T00:00:00"/>
    <d v="2023-04-22T00:00:00"/>
    <d v="2023-10-19T00:00:00"/>
    <x v="4"/>
    <s v="Content Creator"/>
    <x v="414"/>
    <s v="Needs Improvement"/>
    <n v="3.9616438356164378"/>
    <x v="0"/>
    <n v="58"/>
    <s v="Medium"/>
  </r>
  <r>
    <x v="418"/>
    <s v="Caroline"/>
    <s v="Bell"/>
    <s v="Male"/>
    <s v="New York"/>
    <s v="New York City"/>
    <s v="High School"/>
    <d v="1966-09-27T00:00:00"/>
    <d v="2016-08-12T00:00:00"/>
    <d v="2018-11-10T00:00:00"/>
    <x v="1"/>
    <s v="IT Support Specialist"/>
    <x v="415"/>
    <s v="Needs Improvement"/>
    <n v="0.49041095890410957"/>
    <x v="0"/>
    <n v="58"/>
    <s v="Medium"/>
  </r>
  <r>
    <x v="419"/>
    <s v="William"/>
    <s v="Moore"/>
    <s v="Female"/>
    <s v="New York"/>
    <s v="New York City"/>
    <s v="Master"/>
    <d v="1977-10-05T00:00:00"/>
    <d v="2018-07-07T00:00:00"/>
    <d v="2021-07-17T00:00:00"/>
    <x v="1"/>
    <s v="System Administrator"/>
    <x v="416"/>
    <s v="Good"/>
    <n v="3.5561643835616441"/>
    <x v="0"/>
    <n v="47"/>
    <s v="High"/>
  </r>
  <r>
    <x v="420"/>
    <s v="Jeffrey"/>
    <s v="Rodriguez"/>
    <s v="Male"/>
    <s v="New York"/>
    <s v="New York City"/>
    <s v="Master"/>
    <d v="1985-05-15T00:00:00"/>
    <d v="2018-11-24T00:00:00"/>
    <d v="2019-05-23T00:00:00"/>
    <x v="3"/>
    <s v="Financial Analyst"/>
    <x v="417"/>
    <s v="Excellent"/>
    <n v="0.49315068493150682"/>
    <x v="0"/>
    <n v="39"/>
    <s v="Medium"/>
  </r>
  <r>
    <x v="421"/>
    <s v="Angela"/>
    <s v="Wilson"/>
    <s v="Female"/>
    <s v="New York"/>
    <s v="New York City"/>
    <s v="High School"/>
    <d v="2002-12-02T00:00:00"/>
    <d v="2017-04-19T00:00:00"/>
    <d v="2022-08-30T00:00:00"/>
    <x v="1"/>
    <s v="IT Support Specialist"/>
    <x v="418"/>
    <s v="Excellent"/>
    <n v="0.49315068493150682"/>
    <x v="0"/>
    <n v="22"/>
    <s v="Low"/>
  </r>
  <r>
    <x v="422"/>
    <s v="Audrey"/>
    <s v="Aguirre"/>
    <s v="Male"/>
    <s v="New York"/>
    <s v="New York City"/>
    <s v="Bachelor"/>
    <d v="1980-03-24T00:00:00"/>
    <d v="2017-11-25T00:00:00"/>
    <d v="2018-05-24T00:00:00"/>
    <x v="4"/>
    <s v="SEO Specialist"/>
    <x v="419"/>
    <s v="Excellent"/>
    <n v="4.1726027397260266"/>
    <x v="0"/>
    <n v="45"/>
    <s v="Medium"/>
  </r>
  <r>
    <x v="423"/>
    <s v="Ann"/>
    <s v="Saunders"/>
    <s v="Female"/>
    <s v="New York"/>
    <s v="New York City"/>
    <s v="Bachelor"/>
    <d v="1972-10-16T00:00:00"/>
    <d v="2017-08-30T00:00:00"/>
    <d v="2018-02-26T00:00:00"/>
    <x v="0"/>
    <s v="Customer Service Representative"/>
    <x v="420"/>
    <s v="Good"/>
    <n v="0.49315068493150682"/>
    <x v="0"/>
    <n v="52"/>
    <s v="Low"/>
  </r>
  <r>
    <x v="424"/>
    <s v="Christina"/>
    <s v="Day"/>
    <s v="Female"/>
    <s v="Virginia"/>
    <s v="Virginia Beach"/>
    <s v="Bachelor"/>
    <d v="1983-01-10T00:00:00"/>
    <d v="2018-01-11T00:00:00"/>
    <d v="2021-01-05T00:00:00"/>
    <x v="2"/>
    <s v="Logistics Coordinator"/>
    <x v="421"/>
    <s v="Needs Improvement"/>
    <n v="0.49315068493150682"/>
    <x v="0"/>
    <n v="42"/>
    <s v="Low"/>
  </r>
  <r>
    <x v="425"/>
    <s v="Chelsea"/>
    <s v="Barrett"/>
    <s v="Female"/>
    <s v="Ohio"/>
    <s v="Columbus"/>
    <s v="PhD"/>
    <d v="1985-01-02T00:00:00"/>
    <d v="2018-09-27T00:00:00"/>
    <d v="2024-05-07T00:00:00"/>
    <x v="6"/>
    <s v="Sales Specialist"/>
    <x v="422"/>
    <s v="Excellent"/>
    <n v="6.9890410958904106"/>
    <x v="0"/>
    <n v="40"/>
    <s v="Medium"/>
  </r>
  <r>
    <x v="426"/>
    <s v="Joseph"/>
    <s v="White"/>
    <s v="Male"/>
    <s v="New York"/>
    <s v="New York City"/>
    <s v="Bachelor"/>
    <d v="1997-09-20T00:00:00"/>
    <d v="2017-09-30T00:00:00"/>
    <d v="2018-03-28T00:00:00"/>
    <x v="3"/>
    <s v="Accountant"/>
    <x v="423"/>
    <s v="Good"/>
    <n v="0.49315068493150682"/>
    <x v="0"/>
    <n v="27"/>
    <s v="Medium"/>
  </r>
  <r>
    <x v="427"/>
    <s v="Kathryn"/>
    <s v="Dorsey"/>
    <s v="Female"/>
    <s v="New York"/>
    <s v="New York City"/>
    <s v="Bachelor"/>
    <d v="2004-02-20T00:00:00"/>
    <d v="2015-05-17T00:00:00"/>
    <d v="2019-01-01T00:00:00"/>
    <x v="1"/>
    <s v="IT Support Specialist"/>
    <x v="424"/>
    <s v="Good"/>
    <n v="1.424657534246575"/>
    <x v="0"/>
    <n v="21"/>
    <s v="Medium"/>
  </r>
  <r>
    <x v="428"/>
    <s v="Adam"/>
    <s v="Kane"/>
    <s v="Male"/>
    <s v="New York"/>
    <s v="New York City"/>
    <s v="Bachelor"/>
    <d v="1990-03-19T00:00:00"/>
    <d v="2018-08-07T00:00:00"/>
    <d v="2019-02-03T00:00:00"/>
    <x v="1"/>
    <s v="Software Developer"/>
    <x v="425"/>
    <s v="Good"/>
    <n v="1.268493150684932"/>
    <x v="0"/>
    <n v="35"/>
    <s v="Medium"/>
  </r>
  <r>
    <x v="429"/>
    <s v="Diane"/>
    <s v="Jones"/>
    <s v="Male"/>
    <s v="New York"/>
    <s v="New York City"/>
    <s v="High School"/>
    <d v="1985-06-02T00:00:00"/>
    <d v="2017-10-15T00:00:00"/>
    <d v="2022-07-11T00:00:00"/>
    <x v="2"/>
    <s v="Inventory Specialist"/>
    <x v="426"/>
    <s v="Needs Improvement"/>
    <n v="6.1479452054794521"/>
    <x v="0"/>
    <n v="39"/>
    <s v="Low"/>
  </r>
  <r>
    <x v="430"/>
    <s v="Cynthia"/>
    <s v="Johnson"/>
    <s v="Male"/>
    <s v="New York"/>
    <s v="New York City"/>
    <s v="Bachelor"/>
    <d v="1995-12-22T00:00:00"/>
    <d v="2017-10-17T00:00:00"/>
    <d v="2018-04-14T00:00:00"/>
    <x v="2"/>
    <s v="Logistics Coordinator"/>
    <x v="43"/>
    <s v="Good"/>
    <n v="3.43013698630137"/>
    <x v="0"/>
    <n v="29"/>
    <s v="Medium"/>
  </r>
  <r>
    <x v="431"/>
    <s v="Alyssa"/>
    <s v="Bennett"/>
    <s v="Female"/>
    <s v="New York"/>
    <s v="New York City"/>
    <s v="Bachelor"/>
    <d v="1983-03-15T00:00:00"/>
    <d v="2024-06-25T00:00:00"/>
    <d v="2024-12-22T00:00:00"/>
    <x v="4"/>
    <s v="SEO Specialist"/>
    <x v="427"/>
    <s v="Good"/>
    <n v="6.6986301369863011"/>
    <x v="0"/>
    <n v="42"/>
    <s v="Medium"/>
  </r>
  <r>
    <x v="432"/>
    <s v="Matthew"/>
    <s v="Wood"/>
    <s v="Male"/>
    <s v="New York"/>
    <s v="New York City"/>
    <s v="Bachelor"/>
    <d v="1969-09-10T00:00:00"/>
    <d v="2017-10-08T00:00:00"/>
    <d v="2018-04-05T00:00:00"/>
    <x v="6"/>
    <s v="Sales Representative"/>
    <x v="428"/>
    <s v="Good"/>
    <n v="0.49315068493150682"/>
    <x v="0"/>
    <n v="55"/>
    <s v="Medium"/>
  </r>
  <r>
    <x v="433"/>
    <s v="Mark"/>
    <s v="Pugh"/>
    <s v="Female"/>
    <s v="Michigan"/>
    <s v="Detroit"/>
    <s v="Master"/>
    <d v="1996-08-05T00:00:00"/>
    <d v="2018-08-19T00:00:00"/>
    <d v="2019-02-15T00:00:00"/>
    <x v="2"/>
    <s v="Operations Analyst"/>
    <x v="429"/>
    <s v="Good"/>
    <n v="2.9643835616438361"/>
    <x v="0"/>
    <n v="28"/>
    <s v="Medium"/>
  </r>
  <r>
    <x v="434"/>
    <s v="Karen"/>
    <s v="Williams"/>
    <s v="Female"/>
    <s v="New York"/>
    <s v="New York City"/>
    <s v="Bachelor"/>
    <d v="1990-05-07T00:00:00"/>
    <d v="2019-02-01T00:00:00"/>
    <d v="2020-02-20T00:00:00"/>
    <x v="6"/>
    <s v="Sales Representative"/>
    <x v="430"/>
    <s v="Good"/>
    <n v="0.49315068493150682"/>
    <x v="0"/>
    <n v="34"/>
    <s v="Medium"/>
  </r>
  <r>
    <x v="435"/>
    <s v="Joseph"/>
    <s v="Stanley"/>
    <s v="Female"/>
    <s v="New York"/>
    <s v="New York City"/>
    <s v="Master"/>
    <d v="1965-03-07T00:00:00"/>
    <d v="2022-07-08T00:00:00"/>
    <d v="2024-08-11T00:00:00"/>
    <x v="6"/>
    <s v="Sales Specialist"/>
    <x v="431"/>
    <s v="Excellent"/>
    <n v="1.8"/>
    <x v="0"/>
    <n v="60"/>
    <s v="Medium"/>
  </r>
  <r>
    <x v="436"/>
    <s v="Catherine"/>
    <s v="Perry"/>
    <s v="Male"/>
    <s v="Pennsylvania"/>
    <s v="Pittsburgh"/>
    <s v="High School"/>
    <d v="1971-05-26T00:00:00"/>
    <d v="2017-03-25T00:00:00"/>
    <d v="2024-07-19T00:00:00"/>
    <x v="0"/>
    <s v="Help Desk Technician"/>
    <x v="432"/>
    <s v="Excellent"/>
    <n v="6.1452054794520548"/>
    <x v="0"/>
    <n v="53"/>
    <s v="Medium"/>
  </r>
  <r>
    <x v="437"/>
    <s v="Kari"/>
    <s v="Wilson"/>
    <s v="Male"/>
    <s v="New York"/>
    <s v="New York City"/>
    <s v="Bachelor"/>
    <d v="2002-04-13T00:00:00"/>
    <d v="2023-06-16T00:00:00"/>
    <d v="2023-12-13T00:00:00"/>
    <x v="1"/>
    <s v="IT Support Specialist"/>
    <x v="433"/>
    <s v="Satisfactory"/>
    <n v="0.49315068493150682"/>
    <x v="0"/>
    <n v="22"/>
    <s v="Medium"/>
  </r>
  <r>
    <x v="438"/>
    <s v="Daniel"/>
    <s v="Gregory"/>
    <s v="Female"/>
    <s v="New York"/>
    <s v="New York City"/>
    <s v="Master"/>
    <d v="1978-11-03T00:00:00"/>
    <d v="2016-08-18T00:00:00"/>
    <d v="2020-10-24T00:00:00"/>
    <x v="1"/>
    <s v="Software Developer"/>
    <x v="434"/>
    <s v="Good"/>
    <n v="2.246575342465754"/>
    <x v="0"/>
    <n v="46"/>
    <s v="High"/>
  </r>
  <r>
    <x v="439"/>
    <s v="Tommy"/>
    <s v="Estrada"/>
    <s v="Male"/>
    <s v="New York"/>
    <s v="New York City"/>
    <s v="Bachelor"/>
    <d v="1967-01-14T00:00:00"/>
    <d v="2023-01-18T00:00:00"/>
    <d v="2023-07-17T00:00:00"/>
    <x v="6"/>
    <s v="Sales Representative"/>
    <x v="435"/>
    <s v="Satisfactory"/>
    <n v="3.0301369863013701"/>
    <x v="0"/>
    <n v="58"/>
    <s v="Medium"/>
  </r>
  <r>
    <x v="440"/>
    <s v="Jeffrey"/>
    <s v="Joyce"/>
    <s v="Female"/>
    <s v="New York"/>
    <s v="New York City"/>
    <s v="PhD"/>
    <d v="1964-11-07T00:00:00"/>
    <d v="2019-01-22T00:00:00"/>
    <d v="2021-01-03T00:00:00"/>
    <x v="6"/>
    <s v="Sales Specialist"/>
    <x v="436"/>
    <s v="Excellent"/>
    <n v="0.49315068493150682"/>
    <x v="0"/>
    <n v="60"/>
    <s v="Medium"/>
  </r>
  <r>
    <x v="441"/>
    <s v="Adrian"/>
    <s v="Turner"/>
    <s v="Female"/>
    <s v="New York"/>
    <s v="New York City"/>
    <s v="High School"/>
    <d v="1988-12-30T00:00:00"/>
    <d v="2024-03-23T00:00:00"/>
    <d v="2024-09-19T00:00:00"/>
    <x v="2"/>
    <s v="Inventory Specialist"/>
    <x v="437"/>
    <s v="Needs Improvement"/>
    <n v="5.3671232876712329"/>
    <x v="0"/>
    <n v="36"/>
    <s v="Low"/>
  </r>
  <r>
    <x v="442"/>
    <s v="Katrina"/>
    <s v="Duran"/>
    <s v="Male"/>
    <s v="New York"/>
    <s v="New York City"/>
    <s v="Bachelor"/>
    <d v="1996-01-27T00:00:00"/>
    <d v="2018-04-23T00:00:00"/>
    <d v="2020-12-17T00:00:00"/>
    <x v="2"/>
    <s v="Inventory Specialist"/>
    <x v="438"/>
    <s v="Good"/>
    <n v="0.49315068493150682"/>
    <x v="0"/>
    <n v="29"/>
    <s v="Medium"/>
  </r>
  <r>
    <x v="443"/>
    <s v="Mark"/>
    <s v="Smith"/>
    <s v="Female"/>
    <s v="New York"/>
    <s v="New York City"/>
    <s v="Bachelor"/>
    <d v="1997-06-12T00:00:00"/>
    <d v="2018-10-18T00:00:00"/>
    <d v="2022-10-07T00:00:00"/>
    <x v="0"/>
    <s v="Customer Service Representative"/>
    <x v="439"/>
    <s v="Needs Improvement"/>
    <n v="0.49315068493150682"/>
    <x v="0"/>
    <n v="27"/>
    <s v="Low"/>
  </r>
  <r>
    <x v="444"/>
    <s v="Ryan"/>
    <s v="Anderson"/>
    <s v="Female"/>
    <s v="Michigan"/>
    <s v="Grand Rapids"/>
    <s v="Bachelor"/>
    <d v="1992-02-16T00:00:00"/>
    <d v="2017-07-26T00:00:00"/>
    <d v="2022-05-28T00:00:00"/>
    <x v="3"/>
    <s v="Accounts Payable Specialist"/>
    <x v="440"/>
    <s v="Needs Improvement"/>
    <n v="2.9863013698630141"/>
    <x v="0"/>
    <n v="33"/>
    <s v="Low"/>
  </r>
  <r>
    <x v="445"/>
    <s v="Jane"/>
    <s v="Mason"/>
    <s v="Male"/>
    <s v="New York"/>
    <s v="New York City"/>
    <s v="High School"/>
    <d v="1986-09-17T00:00:00"/>
    <d v="2022-11-20T00:00:00"/>
    <d v="2024-05-28T00:00:00"/>
    <x v="2"/>
    <s v="Inventory Specialist"/>
    <x v="441"/>
    <s v="Needs Improvement"/>
    <n v="5.6136986301369856"/>
    <x v="0"/>
    <n v="38"/>
    <s v="Medium"/>
  </r>
  <r>
    <x v="446"/>
    <s v="Elizabeth"/>
    <s v="Gomez"/>
    <s v="Male"/>
    <s v="New York"/>
    <s v="New York City"/>
    <s v="Bachelor"/>
    <d v="1974-10-11T00:00:00"/>
    <d v="2015-06-04T00:00:00"/>
    <d v="2019-06-19T00:00:00"/>
    <x v="1"/>
    <s v="System Administrator"/>
    <x v="442"/>
    <s v="Satisfactory"/>
    <n v="0.49041095890410957"/>
    <x v="0"/>
    <n v="50"/>
    <s v="Medium"/>
  </r>
  <r>
    <x v="447"/>
    <s v="Michelle"/>
    <s v="Williams"/>
    <s v="Female"/>
    <s v="Michigan"/>
    <s v="Warren"/>
    <s v="Bachelor"/>
    <d v="1960-05-06T00:00:00"/>
    <d v="2017-01-08T00:00:00"/>
    <d v="2022-10-10T00:00:00"/>
    <x v="0"/>
    <s v="Customer Service Representative"/>
    <x v="443"/>
    <s v="Excellent"/>
    <n v="3.6301369863013702"/>
    <x v="0"/>
    <n v="64"/>
    <s v="Low"/>
  </r>
  <r>
    <x v="448"/>
    <s v="Steve"/>
    <s v="Miller"/>
    <s v="Female"/>
    <s v="New York"/>
    <s v="New York City"/>
    <s v="Master"/>
    <d v="2000-07-23T00:00:00"/>
    <d v="2020-05-01T00:00:00"/>
    <d v="2020-10-28T00:00:00"/>
    <x v="1"/>
    <s v="System Administrator"/>
    <x v="444"/>
    <s v="Good"/>
    <n v="0.49315068493150682"/>
    <x v="0"/>
    <n v="24"/>
    <s v="Medium"/>
  </r>
  <r>
    <x v="449"/>
    <s v="Barbara"/>
    <s v="Berry"/>
    <s v="Female"/>
    <s v="Pennsylvania"/>
    <s v="Philadelphia"/>
    <s v="High School"/>
    <d v="1990-12-12T00:00:00"/>
    <d v="2017-10-03T00:00:00"/>
    <d v="2018-04-01T00:00:00"/>
    <x v="0"/>
    <s v="Support Specialist"/>
    <x v="445"/>
    <s v="Needs Improvement"/>
    <n v="4.7397260273972606"/>
    <x v="0"/>
    <n v="34"/>
    <s v="Low"/>
  </r>
  <r>
    <x v="450"/>
    <s v="Danielle"/>
    <s v="Roberts"/>
    <s v="Male"/>
    <s v="New York"/>
    <s v="New York City"/>
    <s v="Master"/>
    <d v="1990-01-16T00:00:00"/>
    <d v="2019-06-07T00:00:00"/>
    <d v="2019-12-04T00:00:00"/>
    <x v="6"/>
    <s v="Sales Consultant"/>
    <x v="446"/>
    <s v="Good"/>
    <n v="0.49041095890410957"/>
    <x v="0"/>
    <n v="35"/>
    <s v="Medium"/>
  </r>
  <r>
    <x v="451"/>
    <s v="Samantha"/>
    <s v="Davis"/>
    <s v="Female"/>
    <s v="New York"/>
    <s v="New York City"/>
    <s v="High School"/>
    <d v="1977-11-07T00:00:00"/>
    <d v="2022-11-24T00:00:00"/>
    <d v="2023-05-23T00:00:00"/>
    <x v="2"/>
    <s v="Inventory Specialist"/>
    <x v="447"/>
    <s v="Needs Improvement"/>
    <n v="0.49315068493150682"/>
    <x v="0"/>
    <n v="47"/>
    <s v="Low"/>
  </r>
  <r>
    <x v="452"/>
    <s v="Daniel"/>
    <s v="Graham"/>
    <s v="Male"/>
    <s v="New York"/>
    <s v="New York City"/>
    <s v="Bachelor"/>
    <d v="1989-05-30T00:00:00"/>
    <d v="2021-06-05T00:00:00"/>
    <d v="2021-12-02T00:00:00"/>
    <x v="6"/>
    <s v="Sales Representative"/>
    <x v="448"/>
    <s v="Good"/>
    <n v="0.49041095890410957"/>
    <x v="0"/>
    <n v="35"/>
    <s v="Medium"/>
  </r>
  <r>
    <x v="453"/>
    <s v="Alexandria"/>
    <s v="Foster"/>
    <s v="Male"/>
    <s v="New York"/>
    <s v="New York City"/>
    <s v="Bachelor"/>
    <d v="1982-10-18T00:00:00"/>
    <d v="2017-05-01T00:00:00"/>
    <d v="2020-06-02T00:00:00"/>
    <x v="5"/>
    <s v="HR Coordinator"/>
    <x v="449"/>
    <s v="Satisfactory"/>
    <n v="0.49315068493150682"/>
    <x v="0"/>
    <n v="42"/>
    <s v="Medium"/>
  </r>
  <r>
    <x v="454"/>
    <s v="Julie"/>
    <s v="Walker"/>
    <s v="Female"/>
    <s v="Michigan"/>
    <s v="Detroit"/>
    <s v="Bachelor"/>
    <d v="1980-06-19T00:00:00"/>
    <d v="2018-10-29T00:00:00"/>
    <d v="2019-04-27T00:00:00"/>
    <x v="5"/>
    <s v="HR Coordinator"/>
    <x v="450"/>
    <s v="Excellent"/>
    <n v="8.1068493150684926"/>
    <x v="1"/>
    <n v="44"/>
    <s v="Low"/>
  </r>
  <r>
    <x v="455"/>
    <s v="Gary"/>
    <s v="Dixon"/>
    <s v="Male"/>
    <s v="Michigan"/>
    <s v="Warren"/>
    <s v="PhD"/>
    <d v="1960-03-02T00:00:00"/>
    <d v="2020-02-14T00:00:00"/>
    <d v="2020-10-24T00:00:00"/>
    <x v="6"/>
    <s v="Sales Consultant"/>
    <x v="451"/>
    <s v="Excellent"/>
    <n v="1.0520547945205481"/>
    <x v="0"/>
    <n v="65"/>
    <s v="Medium"/>
  </r>
  <r>
    <x v="456"/>
    <s v="Alyssa"/>
    <s v="Lee"/>
    <s v="Male"/>
    <s v="Michigan"/>
    <s v="Detroit"/>
    <s v="Bachelor"/>
    <d v="1969-06-12T00:00:00"/>
    <d v="2019-10-29T00:00:00"/>
    <d v="2020-04-26T00:00:00"/>
    <x v="2"/>
    <s v="Inventory Specialist"/>
    <x v="452"/>
    <s v="Good"/>
    <n v="2.095890410958904"/>
    <x v="0"/>
    <n v="55"/>
    <s v="Medium"/>
  </r>
  <r>
    <x v="457"/>
    <s v="Michael"/>
    <s v="Luna"/>
    <s v="Male"/>
    <s v="New York"/>
    <s v="New York City"/>
    <s v="Bachelor"/>
    <d v="1997-10-22T00:00:00"/>
    <d v="2018-11-15T00:00:00"/>
    <d v="2021-12-21T00:00:00"/>
    <x v="1"/>
    <s v="Software Developer"/>
    <x v="453"/>
    <s v="Satisfactory"/>
    <n v="7.3232876712328769"/>
    <x v="0"/>
    <n v="27"/>
    <s v="Medium"/>
  </r>
  <r>
    <x v="458"/>
    <s v="Debbie"/>
    <s v="Hernandez"/>
    <s v="Male"/>
    <s v="New York"/>
    <s v="New York City"/>
    <s v="Bachelor"/>
    <d v="1969-09-30T00:00:00"/>
    <d v="2018-02-09T00:00:00"/>
    <d v="2023-03-29T00:00:00"/>
    <x v="1"/>
    <s v="IT Support Specialist"/>
    <x v="454"/>
    <s v="Satisfactory"/>
    <n v="0.49315068493150682"/>
    <x v="0"/>
    <n v="55"/>
    <s v="Medium"/>
  </r>
  <r>
    <x v="459"/>
    <s v="Dwayne"/>
    <s v="Gonzalez"/>
    <s v="Male"/>
    <s v="New York"/>
    <s v="New York City"/>
    <s v="Bachelor"/>
    <d v="1986-11-04T00:00:00"/>
    <d v="2022-08-22T00:00:00"/>
    <d v="2023-02-18T00:00:00"/>
    <x v="2"/>
    <s v="Logistics Coordinator"/>
    <x v="455"/>
    <s v="Good"/>
    <n v="4.1863013698630134"/>
    <x v="0"/>
    <n v="38"/>
    <s v="Medium"/>
  </r>
  <r>
    <x v="460"/>
    <s v="Eric"/>
    <s v="Malone"/>
    <s v="Male"/>
    <s v="New York"/>
    <s v="New York City"/>
    <s v="PhD"/>
    <d v="1978-11-19T00:00:00"/>
    <d v="2022-01-30T00:00:00"/>
    <d v="2022-07-29T00:00:00"/>
    <x v="6"/>
    <s v="Sales Consultant"/>
    <x v="456"/>
    <s v="Excellent"/>
    <n v="0.49315068493150682"/>
    <x v="0"/>
    <n v="46"/>
    <s v="Medium"/>
  </r>
  <r>
    <x v="461"/>
    <s v="Gregory"/>
    <s v="Mejia"/>
    <s v="Female"/>
    <s v="Illinois"/>
    <s v="Chicago"/>
    <s v="Bachelor"/>
    <d v="2003-08-26T00:00:00"/>
    <d v="2018-07-11T00:00:00"/>
    <d v="2019-01-07T00:00:00"/>
    <x v="2"/>
    <s v="Inventory Specialist"/>
    <x v="457"/>
    <s v="Satisfactory"/>
    <n v="1.9506849315068491"/>
    <x v="0"/>
    <n v="21"/>
    <s v="Low"/>
  </r>
  <r>
    <x v="462"/>
    <s v="Steven"/>
    <s v="Elliott"/>
    <s v="Male"/>
    <s v="New York"/>
    <s v="New York City"/>
    <s v="High School"/>
    <d v="1994-08-23T00:00:00"/>
    <d v="2017-08-14T00:00:00"/>
    <d v="2020-03-07T00:00:00"/>
    <x v="1"/>
    <s v="IT Support Specialist"/>
    <x v="458"/>
    <s v="Needs Improvement"/>
    <n v="0.49315068493150682"/>
    <x v="0"/>
    <n v="30"/>
    <s v="Low"/>
  </r>
  <r>
    <x v="463"/>
    <s v="Shane"/>
    <s v="Glass"/>
    <s v="Male"/>
    <s v="New York"/>
    <s v="New York City"/>
    <s v="Bachelor"/>
    <d v="1976-11-16T00:00:00"/>
    <d v="2021-08-08T00:00:00"/>
    <d v="2022-02-04T00:00:00"/>
    <x v="0"/>
    <s v="Customer Service Representative"/>
    <x v="32"/>
    <s v="Excellent"/>
    <n v="2.6547945205479451"/>
    <x v="0"/>
    <n v="48"/>
    <s v="Medium"/>
  </r>
  <r>
    <x v="464"/>
    <s v="Dawn"/>
    <s v="Downs"/>
    <s v="Female"/>
    <s v="New York"/>
    <s v="New York City"/>
    <s v="Bachelor"/>
    <d v="1996-03-13T00:00:00"/>
    <d v="2015-05-06T00:00:00"/>
    <d v="2016-02-19T00:00:00"/>
    <x v="1"/>
    <s v="Software Developer"/>
    <x v="459"/>
    <s v="Satisfactory"/>
    <n v="3.9726027397260268"/>
    <x v="0"/>
    <n v="29"/>
    <s v="Medium"/>
  </r>
  <r>
    <x v="465"/>
    <s v="Michelle"/>
    <s v="Burton"/>
    <s v="Male"/>
    <s v="New York"/>
    <s v="New York City"/>
    <s v="PhD"/>
    <d v="1978-09-08T00:00:00"/>
    <d v="2017-02-28T00:00:00"/>
    <d v="2018-03-01T00:00:00"/>
    <x v="3"/>
    <s v="Finance Manager"/>
    <x v="460"/>
    <s v="Excellent"/>
    <n v="4.8410958904109593"/>
    <x v="0"/>
    <n v="46"/>
    <s v="High"/>
  </r>
  <r>
    <x v="466"/>
    <s v="Scott"/>
    <s v="Harrison"/>
    <s v="Male"/>
    <s v="Michigan"/>
    <s v="Detroit"/>
    <s v="Bachelor"/>
    <d v="1959-10-16T00:00:00"/>
    <d v="2019-09-03T00:00:00"/>
    <d v="2024-07-02T00:00:00"/>
    <x v="2"/>
    <s v="Logistics Coordinator"/>
    <x v="461"/>
    <s v="Good"/>
    <n v="1.52054794520548"/>
    <x v="0"/>
    <n v="65"/>
    <s v="Medium"/>
  </r>
  <r>
    <x v="467"/>
    <s v="Kevin"/>
    <s v="Hill"/>
    <s v="Male"/>
    <s v="New York"/>
    <s v="New York City"/>
    <s v="Bachelor"/>
    <d v="1987-11-13T00:00:00"/>
    <d v="2015-01-22T00:00:00"/>
    <d v="2016-01-04T00:00:00"/>
    <x v="2"/>
    <s v="Inventory Specialist"/>
    <x v="462"/>
    <s v="Satisfactory"/>
    <n v="4.043835616438356"/>
    <x v="0"/>
    <n v="37"/>
    <s v="Medium"/>
  </r>
  <r>
    <x v="468"/>
    <s v="Michael"/>
    <s v="Jones"/>
    <s v="Male"/>
    <s v="New York"/>
    <s v="New York City"/>
    <s v="High School"/>
    <d v="1977-05-07T00:00:00"/>
    <d v="2018-06-29T00:00:00"/>
    <d v="2018-12-26T00:00:00"/>
    <x v="0"/>
    <s v="Customer Service Representative"/>
    <x v="463"/>
    <s v="Excellent"/>
    <n v="5.7561643835616438"/>
    <x v="0"/>
    <n v="47"/>
    <s v="Medium"/>
  </r>
  <r>
    <x v="469"/>
    <s v="Shannon"/>
    <s v="Brown"/>
    <s v="Male"/>
    <s v="Michigan"/>
    <s v="Grand Rapids"/>
    <s v="Master"/>
    <d v="1970-06-10T00:00:00"/>
    <d v="2018-11-19T00:00:00"/>
    <d v="2019-05-18T00:00:00"/>
    <x v="1"/>
    <s v="System Administrator"/>
    <x v="464"/>
    <s v="Excellent"/>
    <n v="0.49315068493150682"/>
    <x v="0"/>
    <n v="54"/>
    <s v="Medium"/>
  </r>
  <r>
    <x v="470"/>
    <s v="Justin"/>
    <s v="Newman"/>
    <s v="Female"/>
    <s v="Pennsylvania"/>
    <s v="Pittsburgh"/>
    <s v="Bachelor"/>
    <d v="2003-06-26T00:00:00"/>
    <d v="2019-11-29T00:00:00"/>
    <d v="2021-12-01T00:00:00"/>
    <x v="2"/>
    <s v="Logistics Coordinator"/>
    <x v="465"/>
    <s v="Good"/>
    <n v="0.49315068493150682"/>
    <x v="0"/>
    <n v="21"/>
    <s v="Low"/>
  </r>
  <r>
    <x v="471"/>
    <s v="Christopher"/>
    <s v="Wheeler"/>
    <s v="Female"/>
    <s v="New York"/>
    <s v="New York City"/>
    <s v="Bachelor"/>
    <d v="1969-10-26T00:00:00"/>
    <d v="2023-05-30T00:00:00"/>
    <d v="2023-11-26T00:00:00"/>
    <x v="2"/>
    <s v="Logistics Coordinator"/>
    <x v="466"/>
    <s v="Good"/>
    <n v="0.49315068493150682"/>
    <x v="0"/>
    <n v="55"/>
    <s v="Low"/>
  </r>
  <r>
    <x v="472"/>
    <s v="Steven"/>
    <s v="Spencer"/>
    <s v="Male"/>
    <s v="New York"/>
    <s v="New York City"/>
    <s v="Bachelor"/>
    <d v="1992-09-25T00:00:00"/>
    <d v="2020-11-03T00:00:00"/>
    <d v="2022-07-28T00:00:00"/>
    <x v="4"/>
    <s v="Content Creator"/>
    <x v="467"/>
    <s v="Satisfactory"/>
    <n v="8.4246575342465757"/>
    <x v="1"/>
    <n v="32"/>
    <s v="Medium"/>
  </r>
  <r>
    <x v="473"/>
    <s v="Joanne"/>
    <s v="Williams"/>
    <s v="Male"/>
    <s v="North Carolina"/>
    <s v="Charlotte"/>
    <s v="High School"/>
    <d v="2003-07-19T00:00:00"/>
    <d v="2017-12-20T00:00:00"/>
    <d v="2018-06-18T00:00:00"/>
    <x v="0"/>
    <s v="Support Specialist"/>
    <x v="468"/>
    <s v="Needs Improvement"/>
    <n v="9.5452054794520542"/>
    <x v="1"/>
    <n v="21"/>
    <s v="Medium"/>
  </r>
  <r>
    <x v="474"/>
    <s v="Lisa"/>
    <s v="Pearson"/>
    <s v="Female"/>
    <s v="New York"/>
    <s v="New York City"/>
    <s v="Bachelor"/>
    <d v="1978-11-13T00:00:00"/>
    <d v="2016-05-04T00:00:00"/>
    <d v="2019-10-21T00:00:00"/>
    <x v="5"/>
    <s v="Recruiter"/>
    <x v="469"/>
    <s v="Satisfactory"/>
    <n v="0.49315068493150682"/>
    <x v="0"/>
    <n v="46"/>
    <s v="Medium"/>
  </r>
  <r>
    <x v="475"/>
    <s v="Cassidy"/>
    <s v="Mason"/>
    <s v="Female"/>
    <s v="New York"/>
    <s v="New York City"/>
    <s v="Bachelor"/>
    <d v="2001-11-01T00:00:00"/>
    <d v="2020-01-25T00:00:00"/>
    <d v="2024-12-27T00:00:00"/>
    <x v="2"/>
    <s v="Logistics Coordinator"/>
    <x v="470"/>
    <s v="Good"/>
    <n v="0.49315068493150682"/>
    <x v="0"/>
    <n v="23"/>
    <s v="Medium"/>
  </r>
  <r>
    <x v="476"/>
    <s v="Shannon"/>
    <s v="Shepherd"/>
    <s v="Male"/>
    <s v="Pennsylvania"/>
    <s v="Allentown"/>
    <s v="Bachelor"/>
    <d v="1996-06-30T00:00:00"/>
    <d v="2018-11-22T00:00:00"/>
    <d v="2022-08-01T00:00:00"/>
    <x v="1"/>
    <s v="System Administrator"/>
    <x v="471"/>
    <s v="Excellent"/>
    <n v="3.0904109589041102"/>
    <x v="0"/>
    <n v="28"/>
    <s v="Medium"/>
  </r>
  <r>
    <x v="477"/>
    <s v="Matthew"/>
    <s v="Klein"/>
    <s v="Female"/>
    <s v="New York"/>
    <s v="New York City"/>
    <s v="Bachelor"/>
    <d v="1978-05-19T00:00:00"/>
    <d v="2021-07-15T00:00:00"/>
    <d v="2022-01-11T00:00:00"/>
    <x v="2"/>
    <s v="Inventory Specialist"/>
    <x v="274"/>
    <s v="Needs Improvement"/>
    <n v="0.49315068493150682"/>
    <x v="0"/>
    <n v="46"/>
    <s v="Low"/>
  </r>
  <r>
    <x v="478"/>
    <s v="Debbie"/>
    <s v="Williams"/>
    <s v="Male"/>
    <s v="New York"/>
    <s v="New York City"/>
    <s v="Master"/>
    <d v="1970-08-19T00:00:00"/>
    <d v="2018-10-02T00:00:00"/>
    <d v="2024-04-09T00:00:00"/>
    <x v="6"/>
    <s v="Sales Consultant"/>
    <x v="472"/>
    <s v="Excellent"/>
    <n v="0.69315068493150689"/>
    <x v="0"/>
    <n v="54"/>
    <s v="Medium"/>
  </r>
  <r>
    <x v="479"/>
    <s v="Samuel"/>
    <s v="Gonzales"/>
    <s v="Male"/>
    <s v="New York"/>
    <s v="New York City"/>
    <s v="Bachelor"/>
    <d v="1981-11-03T00:00:00"/>
    <d v="2021-07-23T00:00:00"/>
    <d v="2022-03-04T00:00:00"/>
    <x v="1"/>
    <s v="Software Developer"/>
    <x v="473"/>
    <s v="Satisfactory"/>
    <n v="0.49315068493150682"/>
    <x v="0"/>
    <n v="43"/>
    <s v="High"/>
  </r>
  <r>
    <x v="480"/>
    <s v="Chelsea"/>
    <s v="Cox"/>
    <s v="Male"/>
    <s v="Michigan"/>
    <s v="Warren"/>
    <s v="Master"/>
    <d v="1967-02-06T00:00:00"/>
    <d v="2018-12-22T00:00:00"/>
    <d v="2019-06-20T00:00:00"/>
    <x v="6"/>
    <s v="Sales Specialist"/>
    <x v="474"/>
    <s v="Good"/>
    <n v="3.1013698630136992"/>
    <x v="0"/>
    <n v="58"/>
    <s v="Medium"/>
  </r>
  <r>
    <x v="481"/>
    <s v="Justin"/>
    <s v="Ortiz"/>
    <s v="Female"/>
    <s v="Michigan"/>
    <s v="Detroit"/>
    <s v="Bachelor"/>
    <d v="1996-12-28T00:00:00"/>
    <d v="2019-05-12T00:00:00"/>
    <d v="2019-11-08T00:00:00"/>
    <x v="6"/>
    <s v="Sales Representative"/>
    <x v="475"/>
    <s v="Satisfactory"/>
    <n v="5.1342465753424653"/>
    <x v="0"/>
    <n v="28"/>
    <s v="Medium"/>
  </r>
  <r>
    <x v="482"/>
    <s v="Erika"/>
    <s v="Williams"/>
    <s v="Male"/>
    <s v="New York"/>
    <s v="New York City"/>
    <s v="Master"/>
    <d v="1990-06-20T00:00:00"/>
    <d v="2018-09-02T00:00:00"/>
    <d v="2019-03-01T00:00:00"/>
    <x v="6"/>
    <s v="Sales Specialist"/>
    <x v="476"/>
    <s v="Excellent"/>
    <n v="0.49315068493150682"/>
    <x v="0"/>
    <n v="34"/>
    <s v="Medium"/>
  </r>
  <r>
    <x v="483"/>
    <s v="Deborah"/>
    <s v="Jones"/>
    <s v="Male"/>
    <s v="New York"/>
    <s v="New York City"/>
    <s v="High School"/>
    <d v="1962-09-18T00:00:00"/>
    <d v="2022-02-06T00:00:00"/>
    <d v="2022-08-05T00:00:00"/>
    <x v="4"/>
    <s v="Content Creator"/>
    <x v="477"/>
    <s v="Needs Improvement"/>
    <n v="0.49315068493150682"/>
    <x v="0"/>
    <n v="62"/>
    <s v="Medium"/>
  </r>
  <r>
    <x v="484"/>
    <s v="Angela"/>
    <s v="Hughes"/>
    <s v="Male"/>
    <s v="New York"/>
    <s v="New York City"/>
    <s v="Master"/>
    <d v="1976-01-08T00:00:00"/>
    <d v="2016-04-07T00:00:00"/>
    <d v="2024-07-09T00:00:00"/>
    <x v="6"/>
    <s v="Sales Specialist"/>
    <x v="478"/>
    <s v="Good"/>
    <n v="0.49315068493150682"/>
    <x v="0"/>
    <n v="49"/>
    <s v="Medium"/>
  </r>
  <r>
    <x v="485"/>
    <s v="Jennifer"/>
    <s v="Douglas"/>
    <s v="Female"/>
    <s v="New York"/>
    <s v="New York City"/>
    <s v="Bachelor"/>
    <d v="1997-05-09T00:00:00"/>
    <d v="2018-12-18T00:00:00"/>
    <d v="2024-03-22T00:00:00"/>
    <x v="6"/>
    <s v="Sales Representative"/>
    <x v="479"/>
    <s v="Needs Improvement"/>
    <n v="2.5643835616438362"/>
    <x v="0"/>
    <n v="27"/>
    <s v="Medium"/>
  </r>
  <r>
    <x v="486"/>
    <s v="Carrie"/>
    <s v="Hernandez"/>
    <s v="Female"/>
    <s v="Michigan"/>
    <s v="Grand Rapids"/>
    <s v="High School"/>
    <d v="2002-12-25T00:00:00"/>
    <d v="2017-02-01T00:00:00"/>
    <d v="2021-12-24T00:00:00"/>
    <x v="4"/>
    <s v="SEO Specialist"/>
    <x v="480"/>
    <s v="Needs Improvement"/>
    <n v="0.49315068493150682"/>
    <x v="0"/>
    <n v="22"/>
    <s v="Low"/>
  </r>
  <r>
    <x v="487"/>
    <s v="Brandi"/>
    <s v="Thomas"/>
    <s v="Female"/>
    <s v="Michigan"/>
    <s v="Grand Rapids"/>
    <s v="High School"/>
    <d v="1975-06-16T00:00:00"/>
    <d v="2019-05-16T00:00:00"/>
    <d v="2021-05-06T00:00:00"/>
    <x v="1"/>
    <s v="IT Support Specialist"/>
    <x v="481"/>
    <s v="Needs Improvement"/>
    <n v="0.79178082191780819"/>
    <x v="0"/>
    <n v="49"/>
    <s v="Low"/>
  </r>
  <r>
    <x v="488"/>
    <s v="Kyle"/>
    <s v="Douglas"/>
    <s v="Male"/>
    <s v="New York"/>
    <s v="New York City"/>
    <s v="PhD"/>
    <d v="1985-07-18T00:00:00"/>
    <d v="2020-09-14T00:00:00"/>
    <d v="2022-12-23T00:00:00"/>
    <x v="3"/>
    <s v="Financial Analyst"/>
    <x v="482"/>
    <s v="Excellent"/>
    <n v="1.0027397260273969"/>
    <x v="0"/>
    <n v="39"/>
    <s v="Medium"/>
  </r>
  <r>
    <x v="489"/>
    <s v="Philip"/>
    <s v="Larson"/>
    <s v="Male"/>
    <s v="New York"/>
    <s v="New York City"/>
    <s v="PhD"/>
    <d v="1991-10-10T00:00:00"/>
    <d v="2017-02-02T00:00:00"/>
    <d v="2024-03-24T00:00:00"/>
    <x v="6"/>
    <s v="Sales Manager"/>
    <x v="483"/>
    <s v="Excellent"/>
    <n v="4.8328767123287673"/>
    <x v="0"/>
    <n v="33"/>
    <s v="Medium"/>
  </r>
  <r>
    <x v="490"/>
    <s v="Kyle"/>
    <s v="Bennett"/>
    <s v="Male"/>
    <s v="New York"/>
    <s v="New York City"/>
    <s v="Bachelor"/>
    <d v="1984-08-18T00:00:00"/>
    <d v="2020-11-03T00:00:00"/>
    <d v="2021-05-02T00:00:00"/>
    <x v="2"/>
    <s v="Inventory Specialist"/>
    <x v="484"/>
    <s v="Satisfactory"/>
    <n v="0.9506849315068493"/>
    <x v="0"/>
    <n v="40"/>
    <s v="Medium"/>
  </r>
  <r>
    <x v="491"/>
    <s v="Mark"/>
    <s v="Anderson"/>
    <s v="Female"/>
    <s v="New York"/>
    <s v="New York City"/>
    <s v="Bachelor"/>
    <d v="1986-01-26T00:00:00"/>
    <d v="2017-09-30T00:00:00"/>
    <d v="2019-12-05T00:00:00"/>
    <x v="2"/>
    <s v="Logistics Coordinator"/>
    <x v="485"/>
    <s v="Good"/>
    <n v="0.49315068493150682"/>
    <x v="0"/>
    <n v="39"/>
    <s v="Medium"/>
  </r>
  <r>
    <x v="492"/>
    <s v="Maria"/>
    <s v="Rodgers"/>
    <s v="Male"/>
    <s v="New York"/>
    <s v="New York City"/>
    <s v="High School"/>
    <d v="1997-06-01T00:00:00"/>
    <d v="2017-09-24T00:00:00"/>
    <d v="2018-10-10T00:00:00"/>
    <x v="2"/>
    <s v="Inventory Specialist"/>
    <x v="486"/>
    <s v="Needs Improvement"/>
    <n v="0.49315068493150682"/>
    <x v="0"/>
    <n v="27"/>
    <s v="Low"/>
  </r>
  <r>
    <x v="493"/>
    <s v="Rita"/>
    <s v="Davis"/>
    <s v="Female"/>
    <s v="New York"/>
    <s v="New York City"/>
    <s v="Bachelor"/>
    <d v="1970-12-09T00:00:00"/>
    <d v="2017-09-18T00:00:00"/>
    <d v="2022-01-25T00:00:00"/>
    <x v="6"/>
    <s v="Sales Representative"/>
    <x v="487"/>
    <s v="Satisfactory"/>
    <n v="2.0082191780821921"/>
    <x v="0"/>
    <n v="54"/>
    <s v="Medium"/>
  </r>
  <r>
    <x v="494"/>
    <s v="Rodney"/>
    <s v="Cox"/>
    <s v="Female"/>
    <s v="New York"/>
    <s v="New York City"/>
    <s v="Bachelor"/>
    <d v="1975-09-10T00:00:00"/>
    <d v="2019-05-21T00:00:00"/>
    <d v="2019-11-17T00:00:00"/>
    <x v="2"/>
    <s v="Inventory Specialist"/>
    <x v="488"/>
    <s v="Satisfactory"/>
    <n v="0.49315068493150682"/>
    <x v="0"/>
    <n v="49"/>
    <s v="Medium"/>
  </r>
  <r>
    <x v="495"/>
    <s v="Kyle"/>
    <s v="Bean"/>
    <s v="Female"/>
    <s v="New York"/>
    <s v="New York City"/>
    <s v="Bachelor"/>
    <d v="1994-08-08T00:00:00"/>
    <d v="2023-05-13T00:00:00"/>
    <d v="2023-11-09T00:00:00"/>
    <x v="6"/>
    <s v="Sales Representative"/>
    <x v="489"/>
    <s v="Good"/>
    <n v="1.731506849315068"/>
    <x v="0"/>
    <n v="30"/>
    <s v="Medium"/>
  </r>
  <r>
    <x v="496"/>
    <s v="Stacey"/>
    <s v="Tucker"/>
    <s v="Female"/>
    <s v="New York"/>
    <s v="New York City"/>
    <s v="Bachelor"/>
    <d v="1996-11-26T00:00:00"/>
    <d v="2022-03-29T00:00:00"/>
    <d v="2022-09-25T00:00:00"/>
    <x v="2"/>
    <s v="Logistics Coordinator"/>
    <x v="490"/>
    <s v="Good"/>
    <n v="0.49315068493150682"/>
    <x v="0"/>
    <n v="28"/>
    <s v="Low"/>
  </r>
  <r>
    <x v="497"/>
    <s v="Zoe"/>
    <s v="Moore"/>
    <s v="Female"/>
    <s v="New York"/>
    <s v="New York City"/>
    <s v="Bachelor"/>
    <d v="1973-03-01T00:00:00"/>
    <d v="2023-04-25T00:00:00"/>
    <d v="2023-10-22T00:00:00"/>
    <x v="2"/>
    <s v="Inventory Specialist"/>
    <x v="491"/>
    <s v="Good"/>
    <n v="3.4657534246575339"/>
    <x v="0"/>
    <n v="52"/>
    <s v="Medium"/>
  </r>
  <r>
    <x v="498"/>
    <s v="Megan"/>
    <s v="Garcia"/>
    <s v="Male"/>
    <s v="Michigan"/>
    <s v="Warren"/>
    <s v="Master"/>
    <d v="1979-10-26T00:00:00"/>
    <d v="2017-10-27T00:00:00"/>
    <d v="2021-08-22T00:00:00"/>
    <x v="6"/>
    <s v="Sales Specialist"/>
    <x v="492"/>
    <s v="Good"/>
    <n v="4.9260273972602739"/>
    <x v="0"/>
    <n v="45"/>
    <s v="Low"/>
  </r>
  <r>
    <x v="499"/>
    <s v="Amber"/>
    <s v="Rodgers"/>
    <s v="Female"/>
    <s v="New York"/>
    <s v="New York City"/>
    <s v="PhD"/>
    <d v="1996-01-19T00:00:00"/>
    <d v="2016-07-23T00:00:00"/>
    <d v="2024-11-27T00:00:00"/>
    <x v="6"/>
    <s v="Sales Consultant"/>
    <x v="493"/>
    <s v="Excellent"/>
    <n v="3.6931506849315072"/>
    <x v="0"/>
    <n v="29"/>
    <s v="High"/>
  </r>
  <r>
    <x v="500"/>
    <s v="Benjamin"/>
    <s v="Rogers"/>
    <s v="Male"/>
    <s v="New York"/>
    <s v="New York City"/>
    <s v="Bachelor"/>
    <d v="1995-01-18T00:00:00"/>
    <d v="2017-10-25T00:00:00"/>
    <d v="2018-08-16T00:00:00"/>
    <x v="2"/>
    <s v="Logistics Coordinator"/>
    <x v="494"/>
    <s v="Good"/>
    <n v="0.49315068493150682"/>
    <x v="0"/>
    <n v="30"/>
    <s v="Medium"/>
  </r>
  <r>
    <x v="501"/>
    <s v="Christine"/>
    <s v="Harper"/>
    <s v="Female"/>
    <s v="Pennsylvania"/>
    <s v="Allentown"/>
    <s v="Bachelor"/>
    <d v="1985-07-26T00:00:00"/>
    <d v="2020-02-29T00:00:00"/>
    <d v="2020-08-27T00:00:00"/>
    <x v="2"/>
    <s v="Operations Manager"/>
    <x v="495"/>
    <s v="Excellent"/>
    <n v="5.5232876712328771"/>
    <x v="0"/>
    <n v="39"/>
    <s v="Medium"/>
  </r>
  <r>
    <x v="502"/>
    <s v="Francis"/>
    <s v="Guerra"/>
    <s v="Female"/>
    <s v="New York"/>
    <s v="New York City"/>
    <s v="Bachelor"/>
    <d v="1980-01-28T00:00:00"/>
    <d v="2016-10-26T00:00:00"/>
    <d v="2023-06-05T00:00:00"/>
    <x v="3"/>
    <s v="Accountant"/>
    <x v="496"/>
    <s v="Excellent"/>
    <n v="0.61369863013698633"/>
    <x v="0"/>
    <n v="45"/>
    <s v="Medium"/>
  </r>
  <r>
    <x v="503"/>
    <s v="Colleen"/>
    <s v="Orr"/>
    <s v="Male"/>
    <s v="New York"/>
    <s v="New York City"/>
    <s v="Bachelor"/>
    <d v="1982-01-18T00:00:00"/>
    <d v="2019-10-08T00:00:00"/>
    <d v="2022-05-01T00:00:00"/>
    <x v="2"/>
    <s v="Operations Analyst"/>
    <x v="497"/>
    <s v="Satisfactory"/>
    <n v="0.49315068493150682"/>
    <x v="0"/>
    <n v="43"/>
    <s v="Medium"/>
  </r>
  <r>
    <x v="504"/>
    <s v="Samuel"/>
    <s v="Jenkins"/>
    <s v="Female"/>
    <s v="West Virginia"/>
    <s v="Charleston"/>
    <s v="Bachelor"/>
    <d v="1995-04-19T00:00:00"/>
    <d v="2020-09-19T00:00:00"/>
    <d v="2021-06-29T00:00:00"/>
    <x v="2"/>
    <s v="Inventory Specialist"/>
    <x v="498"/>
    <s v="Good"/>
    <n v="0.49315068493150682"/>
    <x v="0"/>
    <n v="29"/>
    <s v="Low"/>
  </r>
  <r>
    <x v="505"/>
    <s v="Jennifer"/>
    <s v="Montes"/>
    <s v="Male"/>
    <s v="New York"/>
    <s v="New York City"/>
    <s v="Bachelor"/>
    <d v="1972-10-26T00:00:00"/>
    <d v="2016-08-25T00:00:00"/>
    <d v="2018-05-19T00:00:00"/>
    <x v="1"/>
    <s v="Software Developer"/>
    <x v="499"/>
    <s v="Needs Improvement"/>
    <n v="0.49315068493150682"/>
    <x v="0"/>
    <n v="52"/>
    <s v="Medium"/>
  </r>
  <r>
    <x v="506"/>
    <s v="Justin"/>
    <s v="Goodman"/>
    <s v="Female"/>
    <s v="New York"/>
    <s v="New York City"/>
    <s v="Bachelor"/>
    <d v="1983-09-16T00:00:00"/>
    <d v="2019-06-24T00:00:00"/>
    <d v="2024-01-30T00:00:00"/>
    <x v="0"/>
    <s v="Customer Service Representative"/>
    <x v="500"/>
    <s v="Good"/>
    <n v="0.49315068493150682"/>
    <x v="0"/>
    <n v="41"/>
    <s v="Medium"/>
  </r>
  <r>
    <x v="507"/>
    <s v="Micheal"/>
    <s v="Valentine"/>
    <s v="Female"/>
    <s v="New York"/>
    <s v="New York City"/>
    <s v="Bachelor"/>
    <d v="1993-11-19T00:00:00"/>
    <d v="2024-06-20T00:00:00"/>
    <d v="2024-12-17T00:00:00"/>
    <x v="3"/>
    <s v="Financial Analyst"/>
    <x v="501"/>
    <s v="Satisfactory"/>
    <n v="8.2602739726027394"/>
    <x v="0"/>
    <n v="31"/>
    <s v="Medium"/>
  </r>
  <r>
    <x v="508"/>
    <s v="Steven"/>
    <s v="Campbell"/>
    <s v="Male"/>
    <s v="New York"/>
    <s v="New York City"/>
    <s v="Master"/>
    <d v="1989-03-21T00:00:00"/>
    <d v="2020-05-28T00:00:00"/>
    <d v="2020-11-24T00:00:00"/>
    <x v="6"/>
    <s v="Sales Consultant"/>
    <x v="502"/>
    <s v="Excellent"/>
    <n v="5.2630136986301368"/>
    <x v="0"/>
    <n v="36"/>
    <s v="Medium"/>
  </r>
  <r>
    <x v="509"/>
    <s v="Wesley"/>
    <s v="Barnes"/>
    <s v="Male"/>
    <s v="North Carolina"/>
    <s v="Greensboro"/>
    <s v="Master"/>
    <d v="1999-04-15T00:00:00"/>
    <d v="2018-03-04T00:00:00"/>
    <d v="2021-07-27T00:00:00"/>
    <x v="6"/>
    <s v="Sales Consultant"/>
    <x v="503"/>
    <s v="Excellent"/>
    <n v="4.8958904109589039"/>
    <x v="0"/>
    <n v="25"/>
    <s v="Medium"/>
  </r>
  <r>
    <x v="510"/>
    <s v="Lisa"/>
    <s v="Solis"/>
    <s v="Male"/>
    <s v="New York"/>
    <s v="New York City"/>
    <s v="Bachelor"/>
    <d v="1994-12-04T00:00:00"/>
    <d v="2024-02-23T00:00:00"/>
    <d v="2024-08-21T00:00:00"/>
    <x v="1"/>
    <s v="IT Support Specialist"/>
    <x v="504"/>
    <s v="Good"/>
    <n v="1.9753424657534251"/>
    <x v="0"/>
    <n v="30"/>
    <s v="Medium"/>
  </r>
  <r>
    <x v="511"/>
    <s v="Monique"/>
    <s v="Williams"/>
    <s v="Male"/>
    <s v="New York"/>
    <s v="New York City"/>
    <s v="Bachelor"/>
    <d v="1981-04-23T00:00:00"/>
    <d v="2017-07-06T00:00:00"/>
    <d v="2018-01-02T00:00:00"/>
    <x v="6"/>
    <s v="Sales Representative"/>
    <x v="505"/>
    <s v="Excellent"/>
    <n v="2.2739726027397258"/>
    <x v="0"/>
    <n v="43"/>
    <s v="Medium"/>
  </r>
  <r>
    <x v="512"/>
    <s v="Morgan"/>
    <s v="Spencer"/>
    <s v="Female"/>
    <s v="Pennsylvania"/>
    <s v="Philadelphia"/>
    <s v="Bachelor"/>
    <d v="1995-05-13T00:00:00"/>
    <d v="2016-02-09T00:00:00"/>
    <d v="2016-08-07T00:00:00"/>
    <x v="6"/>
    <s v="Sales Representative"/>
    <x v="506"/>
    <s v="Good"/>
    <n v="7.1424657534246574"/>
    <x v="0"/>
    <n v="29"/>
    <s v="Medium"/>
  </r>
  <r>
    <x v="513"/>
    <s v="Jennifer"/>
    <s v="Black"/>
    <s v="Female"/>
    <s v="Michigan"/>
    <s v="Grand Rapids"/>
    <s v="High School"/>
    <d v="1986-08-03T00:00:00"/>
    <d v="2016-02-18T00:00:00"/>
    <d v="2021-04-12T00:00:00"/>
    <x v="1"/>
    <s v="IT Support Specialist"/>
    <x v="507"/>
    <s v="Needs Improvement"/>
    <n v="0.49315068493150682"/>
    <x v="0"/>
    <n v="38"/>
    <s v="Medium"/>
  </r>
  <r>
    <x v="514"/>
    <s v="Justin"/>
    <s v="Hines"/>
    <s v="Male"/>
    <s v="New York"/>
    <s v="New York City"/>
    <s v="Bachelor"/>
    <d v="1971-09-27T00:00:00"/>
    <d v="2024-04-15T00:00:00"/>
    <d v="2024-10-12T00:00:00"/>
    <x v="2"/>
    <s v="Inventory Specialist"/>
    <x v="508"/>
    <s v="Good"/>
    <n v="2.1808219178082191"/>
    <x v="0"/>
    <n v="53"/>
    <s v="Medium"/>
  </r>
  <r>
    <x v="515"/>
    <s v="Shannon"/>
    <s v="Palmer"/>
    <s v="Male"/>
    <s v="New York"/>
    <s v="New York City"/>
    <s v="Bachelor"/>
    <d v="1997-04-01T00:00:00"/>
    <d v="2021-11-19T00:00:00"/>
    <d v="2022-05-18T00:00:00"/>
    <x v="3"/>
    <s v="Accountant"/>
    <x v="509"/>
    <s v="Good"/>
    <n v="1.043835616438356"/>
    <x v="0"/>
    <n v="28"/>
    <s v="Medium"/>
  </r>
  <r>
    <x v="516"/>
    <s v="Samuel"/>
    <s v="Potts"/>
    <s v="Female"/>
    <s v="New York"/>
    <s v="New York City"/>
    <s v="Bachelor"/>
    <d v="1973-04-30T00:00:00"/>
    <d v="2015-03-28T00:00:00"/>
    <d v="2019-01-24T00:00:00"/>
    <x v="1"/>
    <s v="IT Support Specialist"/>
    <x v="510"/>
    <s v="Good"/>
    <n v="4.3561643835616426"/>
    <x v="0"/>
    <n v="51"/>
    <s v="Low"/>
  </r>
  <r>
    <x v="517"/>
    <s v="Lisa"/>
    <s v="Wilkerson"/>
    <s v="Male"/>
    <s v="Michigan"/>
    <s v="Grand Rapids"/>
    <s v="High School"/>
    <d v="1985-04-05T00:00:00"/>
    <d v="2018-12-27T00:00:00"/>
    <d v="2019-06-25T00:00:00"/>
    <x v="5"/>
    <s v="HR Assistant"/>
    <x v="511"/>
    <s v="Needs Improvement"/>
    <n v="0.49315068493150682"/>
    <x v="0"/>
    <n v="40"/>
    <s v="Medium"/>
  </r>
  <r>
    <x v="518"/>
    <s v="Anthony"/>
    <s v="Brown"/>
    <s v="Female"/>
    <s v="North Carolina"/>
    <s v="Greensboro"/>
    <s v="High School"/>
    <d v="1971-05-28T00:00:00"/>
    <d v="2017-07-14T00:00:00"/>
    <d v="2018-01-10T00:00:00"/>
    <x v="0"/>
    <s v="Help Desk Technician"/>
    <x v="512"/>
    <s v="Needs Improvement"/>
    <n v="0.49315068493150682"/>
    <x v="0"/>
    <n v="53"/>
    <s v="Medium"/>
  </r>
  <r>
    <x v="519"/>
    <s v="Nathaniel"/>
    <s v="Hughes"/>
    <s v="Female"/>
    <s v="New York"/>
    <s v="New York City"/>
    <s v="Bachelor"/>
    <d v="1973-12-17T00:00:00"/>
    <d v="2021-02-01T00:00:00"/>
    <d v="2021-07-31T00:00:00"/>
    <x v="4"/>
    <s v="Marketing Manager"/>
    <x v="513"/>
    <s v="Excellent"/>
    <n v="0.49315068493150682"/>
    <x v="0"/>
    <n v="51"/>
    <s v="Medium"/>
  </r>
  <r>
    <x v="520"/>
    <s v="Nicholas"/>
    <s v="Johnson"/>
    <s v="Male"/>
    <s v="New York"/>
    <s v="New York City"/>
    <s v="Master"/>
    <d v="1970-09-11T00:00:00"/>
    <d v="2017-12-28T00:00:00"/>
    <d v="2023-06-18T00:00:00"/>
    <x v="1"/>
    <s v="System Administrator"/>
    <x v="514"/>
    <s v="Excellent"/>
    <n v="0.49315068493150682"/>
    <x v="0"/>
    <n v="54"/>
    <s v="Medium"/>
  </r>
  <r>
    <x v="521"/>
    <s v="Cory"/>
    <s v="Espinoza"/>
    <s v="Male"/>
    <s v="New York"/>
    <s v="New York City"/>
    <s v="Bachelor"/>
    <d v="1994-02-11T00:00:00"/>
    <d v="2023-05-11T00:00:00"/>
    <d v="2023-11-07T00:00:00"/>
    <x v="2"/>
    <s v="Logistics Coordinator"/>
    <x v="515"/>
    <s v="Good"/>
    <n v="3.8219178082191778"/>
    <x v="0"/>
    <n v="31"/>
    <s v="Medium"/>
  </r>
  <r>
    <x v="522"/>
    <s v="Lacey"/>
    <s v="Taylor"/>
    <s v="Male"/>
    <s v="New York"/>
    <s v="New York City"/>
    <s v="Bachelor"/>
    <d v="1996-08-04T00:00:00"/>
    <d v="2019-04-22T00:00:00"/>
    <d v="2019-10-19T00:00:00"/>
    <x v="2"/>
    <s v="Logistics Coordinator"/>
    <x v="516"/>
    <s v="Good"/>
    <n v="8.3534246575342461"/>
    <x v="0"/>
    <n v="28"/>
    <s v="Medium"/>
  </r>
  <r>
    <x v="523"/>
    <s v="Samantha"/>
    <s v="Kennedy"/>
    <s v="Male"/>
    <s v="New York"/>
    <s v="New York City"/>
    <s v="Master"/>
    <d v="1992-08-26T00:00:00"/>
    <d v="2019-11-19T00:00:00"/>
    <d v="2021-06-13T00:00:00"/>
    <x v="3"/>
    <s v="Financial Analyst"/>
    <x v="517"/>
    <s v="Good"/>
    <n v="0.80821917808219179"/>
    <x v="0"/>
    <n v="32"/>
    <s v="Medium"/>
  </r>
  <r>
    <x v="524"/>
    <s v="Dominic"/>
    <s v="Thornton"/>
    <s v="Female"/>
    <s v="Ohio"/>
    <s v="Columbus"/>
    <s v="High School"/>
    <d v="1993-03-09T00:00:00"/>
    <d v="2018-06-24T00:00:00"/>
    <d v="2021-09-17T00:00:00"/>
    <x v="0"/>
    <s v="Help Desk Technician"/>
    <x v="518"/>
    <s v="Needs Improvement"/>
    <n v="0.49315068493150682"/>
    <x v="0"/>
    <n v="32"/>
    <s v="Medium"/>
  </r>
  <r>
    <x v="525"/>
    <s v="Christina"/>
    <s v="Bullock"/>
    <s v="Female"/>
    <s v="New York"/>
    <s v="New York City"/>
    <s v="Bachelor"/>
    <d v="1984-07-18T00:00:00"/>
    <d v="2022-01-08T00:00:00"/>
    <d v="2022-07-07T00:00:00"/>
    <x v="2"/>
    <s v="Inventory Specialist"/>
    <x v="519"/>
    <s v="Good"/>
    <n v="6.6109589041095891"/>
    <x v="0"/>
    <n v="40"/>
    <s v="Medium"/>
  </r>
  <r>
    <x v="526"/>
    <s v="Jonathan"/>
    <s v="Conley"/>
    <s v="Female"/>
    <s v="New York"/>
    <s v="New York City"/>
    <s v="Bachelor"/>
    <d v="2003-05-09T00:00:00"/>
    <d v="2022-08-02T00:00:00"/>
    <d v="2024-08-10T00:00:00"/>
    <x v="1"/>
    <s v="IT Support Specialist"/>
    <x v="520"/>
    <s v="Good"/>
    <n v="2.5643835616438362"/>
    <x v="0"/>
    <n v="21"/>
    <s v="Low"/>
  </r>
  <r>
    <x v="527"/>
    <s v="Shelby"/>
    <s v="Lynch"/>
    <s v="Male"/>
    <s v="Ohio"/>
    <s v="Cleveland"/>
    <s v="Bachelor"/>
    <d v="1984-08-30T00:00:00"/>
    <d v="2018-06-14T00:00:00"/>
    <d v="2018-12-11T00:00:00"/>
    <x v="2"/>
    <s v="Inventory Specialist"/>
    <x v="521"/>
    <s v="Good"/>
    <n v="0.77534246575342469"/>
    <x v="0"/>
    <n v="40"/>
    <s v="Medium"/>
  </r>
  <r>
    <x v="528"/>
    <s v="Daniel"/>
    <s v="Roberts"/>
    <s v="Male"/>
    <s v="New York"/>
    <s v="New York City"/>
    <s v="Bachelor"/>
    <d v="1959-07-31T00:00:00"/>
    <d v="2019-04-27T00:00:00"/>
    <d v="2020-08-25T00:00:00"/>
    <x v="4"/>
    <s v="SEO Specialist"/>
    <x v="522"/>
    <s v="Excellent"/>
    <n v="1.731506849315068"/>
    <x v="0"/>
    <n v="65"/>
    <s v="Medium"/>
  </r>
  <r>
    <x v="529"/>
    <s v="David"/>
    <s v="Allen"/>
    <s v="Female"/>
    <s v="New York"/>
    <s v="New York City"/>
    <s v="High School"/>
    <d v="1990-08-15T00:00:00"/>
    <d v="2017-09-06T00:00:00"/>
    <d v="2018-03-05T00:00:00"/>
    <x v="4"/>
    <s v="Content Creator"/>
    <x v="523"/>
    <s v="Needs Improvement"/>
    <n v="4.6054794520547944"/>
    <x v="0"/>
    <n v="34"/>
    <s v="Medium"/>
  </r>
  <r>
    <x v="530"/>
    <s v="Laura"/>
    <s v="Bryant"/>
    <s v="Male"/>
    <s v="New York"/>
    <s v="New York City"/>
    <s v="Bachelor"/>
    <d v="1995-09-19T00:00:00"/>
    <d v="2019-02-13T00:00:00"/>
    <d v="2019-08-12T00:00:00"/>
    <x v="2"/>
    <s v="Logistics Coordinator"/>
    <x v="524"/>
    <s v="Satisfactory"/>
    <n v="8.4164383561643827"/>
    <x v="1"/>
    <n v="29"/>
    <s v="Medium"/>
  </r>
  <r>
    <x v="531"/>
    <s v="Mary"/>
    <s v="Porter"/>
    <s v="Male"/>
    <s v="New York"/>
    <s v="New York City"/>
    <s v="High School"/>
    <d v="1967-12-09T00:00:00"/>
    <d v="2018-07-27T00:00:00"/>
    <d v="2019-01-23T00:00:00"/>
    <x v="0"/>
    <s v="Support Specialist"/>
    <x v="525"/>
    <s v="Needs Improvement"/>
    <n v="8.0684931506849313"/>
    <x v="1"/>
    <n v="57"/>
    <s v="Medium"/>
  </r>
  <r>
    <x v="532"/>
    <s v="Allen"/>
    <s v="Robertson"/>
    <s v="Male"/>
    <s v="New York"/>
    <s v="New York City"/>
    <s v="High School"/>
    <d v="1970-05-26T00:00:00"/>
    <d v="2022-04-04T00:00:00"/>
    <d v="2022-10-01T00:00:00"/>
    <x v="2"/>
    <s v="Inventory Specialist"/>
    <x v="526"/>
    <s v="Needs Improvement"/>
    <n v="0.49315068493150682"/>
    <x v="0"/>
    <n v="54"/>
    <s v="Medium"/>
  </r>
  <r>
    <x v="533"/>
    <s v="Jennifer"/>
    <s v="Carter"/>
    <s v="Male"/>
    <s v="West Virginia"/>
    <s v="Huntington"/>
    <s v="Master"/>
    <d v="1995-03-18T00:00:00"/>
    <d v="2020-01-01T00:00:00"/>
    <d v="2024-10-02T00:00:00"/>
    <x v="1"/>
    <s v="System Administrator"/>
    <x v="4"/>
    <s v="Excellent"/>
    <n v="0.49315068493150682"/>
    <x v="0"/>
    <n v="30"/>
    <s v="Medium"/>
  </r>
  <r>
    <x v="534"/>
    <s v="Christina"/>
    <s v="Allen"/>
    <s v="Female"/>
    <s v="Michigan"/>
    <s v="Grand Rapids"/>
    <s v="Bachelor"/>
    <d v="1982-06-06T00:00:00"/>
    <d v="2016-06-10T00:00:00"/>
    <d v="2023-04-01T00:00:00"/>
    <x v="6"/>
    <s v="Sales Consultant"/>
    <x v="527"/>
    <s v="Satisfactory"/>
    <n v="3.4"/>
    <x v="0"/>
    <n v="42"/>
    <s v="Medium"/>
  </r>
  <r>
    <x v="535"/>
    <s v="Jacob"/>
    <s v="Barnett"/>
    <s v="Female"/>
    <s v="Michigan"/>
    <s v="Detroit"/>
    <s v="Bachelor"/>
    <d v="1973-09-08T00:00:00"/>
    <d v="2018-07-22T00:00:00"/>
    <d v="2019-01-18T00:00:00"/>
    <x v="6"/>
    <s v="Sales Representative"/>
    <x v="528"/>
    <s v="Satisfactory"/>
    <n v="0.49315068493150682"/>
    <x v="0"/>
    <n v="51"/>
    <s v="Medium"/>
  </r>
  <r>
    <x v="536"/>
    <s v="Theresa"/>
    <s v="Jones"/>
    <s v="Female"/>
    <s v="Virginia"/>
    <s v="Virginia Beach"/>
    <s v="Bachelor"/>
    <d v="1996-06-25T00:00:00"/>
    <d v="2015-07-24T00:00:00"/>
    <d v="2021-01-21T00:00:00"/>
    <x v="1"/>
    <s v="Software Developer"/>
    <x v="529"/>
    <s v="Good"/>
    <n v="0.49315068493150682"/>
    <x v="0"/>
    <n v="28"/>
    <s v="Medium"/>
  </r>
  <r>
    <x v="537"/>
    <s v="Amy"/>
    <s v="Hartman"/>
    <s v="Female"/>
    <s v="North Carolina"/>
    <s v="Charlotte"/>
    <s v="Bachelor"/>
    <d v="1994-11-17T00:00:00"/>
    <d v="2017-07-17T00:00:00"/>
    <d v="2018-01-13T00:00:00"/>
    <x v="2"/>
    <s v="Logistics Coordinator"/>
    <x v="530"/>
    <s v="Satisfactory"/>
    <n v="0.49315068493150682"/>
    <x v="0"/>
    <n v="30"/>
    <s v="Low"/>
  </r>
  <r>
    <x v="538"/>
    <s v="Bradley"/>
    <s v="Hughes"/>
    <s v="Male"/>
    <s v="New York"/>
    <s v="New York City"/>
    <s v="Bachelor"/>
    <d v="1969-07-12T00:00:00"/>
    <d v="2019-05-25T00:00:00"/>
    <d v="2019-11-21T00:00:00"/>
    <x v="0"/>
    <s v="Help Desk Technician"/>
    <x v="531"/>
    <s v="Good"/>
    <n v="5.1506849315068486"/>
    <x v="0"/>
    <n v="55"/>
    <s v="Medium"/>
  </r>
  <r>
    <x v="539"/>
    <s v="Jon"/>
    <s v="Smith"/>
    <s v="Female"/>
    <s v="New York"/>
    <s v="New York City"/>
    <s v="Bachelor"/>
    <d v="1959-09-21T00:00:00"/>
    <d v="2022-11-03T00:00:00"/>
    <d v="2023-05-02T00:00:00"/>
    <x v="0"/>
    <s v="Help Desk Technician"/>
    <x v="532"/>
    <s v="Good"/>
    <n v="0.49315068493150682"/>
    <x v="0"/>
    <n v="65"/>
    <s v="Medium"/>
  </r>
  <r>
    <x v="540"/>
    <s v="Carlos"/>
    <s v="Allen"/>
    <s v="Male"/>
    <s v="New York"/>
    <s v="New York City"/>
    <s v="Bachelor"/>
    <d v="1995-07-06T00:00:00"/>
    <d v="2016-09-12T00:00:00"/>
    <d v="2024-09-29T00:00:00"/>
    <x v="2"/>
    <s v="Operations Manager"/>
    <x v="533"/>
    <s v="Satisfactory"/>
    <n v="0.49315068493150682"/>
    <x v="0"/>
    <n v="29"/>
    <s v="High"/>
  </r>
  <r>
    <x v="541"/>
    <s v="Courtney"/>
    <s v="Ingram"/>
    <s v="Male"/>
    <s v="New York"/>
    <s v="New York City"/>
    <s v="High School"/>
    <d v="1987-02-28T00:00:00"/>
    <d v="2020-10-12T00:00:00"/>
    <d v="2024-10-27T00:00:00"/>
    <x v="2"/>
    <s v="Inventory Specialist"/>
    <x v="534"/>
    <s v="Needs Improvement"/>
    <n v="3.8301369863013699"/>
    <x v="0"/>
    <n v="38"/>
    <s v="Low"/>
  </r>
  <r>
    <x v="542"/>
    <s v="Katherine"/>
    <s v="Anderson"/>
    <s v="Male"/>
    <s v="New York"/>
    <s v="New York City"/>
    <s v="Bachelor"/>
    <d v="2001-09-30T00:00:00"/>
    <d v="2019-05-17T00:00:00"/>
    <d v="2021-01-10T00:00:00"/>
    <x v="6"/>
    <s v="Sales Representative"/>
    <x v="535"/>
    <s v="Good"/>
    <n v="0.49315068493150682"/>
    <x v="0"/>
    <n v="23"/>
    <s v="Medium"/>
  </r>
  <r>
    <x v="543"/>
    <s v="Amy"/>
    <s v="Li"/>
    <s v="Female"/>
    <s v="New York"/>
    <s v="New York City"/>
    <s v="High School"/>
    <d v="1994-10-04T00:00:00"/>
    <d v="2022-03-09T00:00:00"/>
    <d v="2022-09-05T00:00:00"/>
    <x v="4"/>
    <s v="Content Creator"/>
    <x v="536"/>
    <s v="Excellent"/>
    <n v="0.49315068493150682"/>
    <x v="0"/>
    <n v="30"/>
    <s v="Medium"/>
  </r>
  <r>
    <x v="544"/>
    <s v="Maria"/>
    <s v="Cohen"/>
    <s v="Female"/>
    <s v="New York"/>
    <s v="New York City"/>
    <s v="High School"/>
    <d v="1991-08-28T00:00:00"/>
    <d v="2019-09-28T00:00:00"/>
    <d v="2021-01-11T00:00:00"/>
    <x v="1"/>
    <s v="IT Support Specialist"/>
    <x v="537"/>
    <s v="Needs Improvement"/>
    <n v="0.49315068493150682"/>
    <x v="0"/>
    <n v="33"/>
    <s v="Medium"/>
  </r>
  <r>
    <x v="545"/>
    <s v="Timothy"/>
    <s v="White"/>
    <s v="Male"/>
    <s v="Michigan"/>
    <s v="Grand Rapids"/>
    <s v="High School"/>
    <d v="1973-04-29T00:00:00"/>
    <d v="2022-02-22T00:00:00"/>
    <d v="2022-08-21T00:00:00"/>
    <x v="1"/>
    <s v="IT Support Specialist"/>
    <x v="538"/>
    <s v="Needs Improvement"/>
    <n v="5.4739726027397264"/>
    <x v="0"/>
    <n v="51"/>
    <s v="Medium"/>
  </r>
  <r>
    <x v="546"/>
    <s v="Bryan"/>
    <s v="Parsons"/>
    <s v="Female"/>
    <s v="New York"/>
    <s v="New York City"/>
    <s v="High School"/>
    <d v="1999-10-26T00:00:00"/>
    <d v="2019-06-27T00:00:00"/>
    <d v="2021-07-03T00:00:00"/>
    <x v="5"/>
    <s v="Recruiter"/>
    <x v="539"/>
    <s v="Needs Improvement"/>
    <n v="0.49315068493150682"/>
    <x v="0"/>
    <n v="25"/>
    <s v="Medium"/>
  </r>
  <r>
    <x v="547"/>
    <s v="Benjamin"/>
    <s v="Harris"/>
    <s v="Female"/>
    <s v="New York"/>
    <s v="New York City"/>
    <s v="Bachelor"/>
    <d v="1984-01-13T00:00:00"/>
    <d v="2017-11-04T00:00:00"/>
    <d v="2021-10-01T00:00:00"/>
    <x v="6"/>
    <s v="Sales Representative"/>
    <x v="540"/>
    <s v="Good"/>
    <n v="0.49315068493150682"/>
    <x v="0"/>
    <n v="41"/>
    <s v="Medium"/>
  </r>
  <r>
    <x v="548"/>
    <s v="James"/>
    <s v="Williams"/>
    <s v="Female"/>
    <s v="New York"/>
    <s v="New York City"/>
    <s v="Master"/>
    <d v="1995-07-05T00:00:00"/>
    <d v="2020-12-28T00:00:00"/>
    <d v="2021-09-17T00:00:00"/>
    <x v="1"/>
    <s v="Software Developer"/>
    <x v="541"/>
    <s v="Excellent"/>
    <n v="1.5671232876712331"/>
    <x v="0"/>
    <n v="29"/>
    <s v="Medium"/>
  </r>
  <r>
    <x v="549"/>
    <s v="Kyle"/>
    <s v="Sanders"/>
    <s v="Male"/>
    <s v="Michigan"/>
    <s v="Warren"/>
    <s v="High School"/>
    <d v="1964-09-29T00:00:00"/>
    <d v="2017-11-13T00:00:00"/>
    <d v="2019-01-04T00:00:00"/>
    <x v="0"/>
    <s v="Customer Service Representative"/>
    <x v="542"/>
    <s v="Needs Improvement"/>
    <n v="3.235616438356165"/>
    <x v="0"/>
    <n v="60"/>
    <s v="Low"/>
  </r>
  <r>
    <x v="550"/>
    <s v="Amy"/>
    <s v="King"/>
    <s v="Female"/>
    <s v="New York"/>
    <s v="New York City"/>
    <s v="High School"/>
    <d v="2003-12-18T00:00:00"/>
    <d v="2019-10-20T00:00:00"/>
    <d v="2021-12-28T00:00:00"/>
    <x v="5"/>
    <s v="Recruiter"/>
    <x v="543"/>
    <s v="Needs Improvement"/>
    <n v="0.49315068493150682"/>
    <x v="0"/>
    <n v="21"/>
    <s v="Medium"/>
  </r>
  <r>
    <x v="551"/>
    <s v="Deborah"/>
    <s v="Mitchell"/>
    <s v="Female"/>
    <s v="North Carolina"/>
    <s v="Charlotte"/>
    <s v="Bachelor"/>
    <d v="1980-10-03T00:00:00"/>
    <d v="2020-11-30T00:00:00"/>
    <d v="2021-05-29T00:00:00"/>
    <x v="6"/>
    <s v="Sales Specialist"/>
    <x v="544"/>
    <s v="Needs Improvement"/>
    <n v="2.0246575342465749"/>
    <x v="0"/>
    <n v="44"/>
    <s v="Medium"/>
  </r>
  <r>
    <x v="552"/>
    <s v="Kimberly"/>
    <s v="Glenn"/>
    <s v="Male"/>
    <s v="Pennsylvania"/>
    <s v="Philadelphia"/>
    <s v="Bachelor"/>
    <d v="1986-09-24T00:00:00"/>
    <d v="2020-05-08T00:00:00"/>
    <d v="2021-08-30T00:00:00"/>
    <x v="0"/>
    <s v="Help Desk Technician"/>
    <x v="545"/>
    <s v="Good"/>
    <n v="0.49315068493150682"/>
    <x v="0"/>
    <n v="38"/>
    <s v="Medium"/>
  </r>
  <r>
    <x v="553"/>
    <s v="Joshua"/>
    <s v="Lloyd"/>
    <s v="Female"/>
    <s v="New York"/>
    <s v="New York City"/>
    <s v="Bachelor"/>
    <d v="1989-11-19T00:00:00"/>
    <d v="2019-06-19T00:00:00"/>
    <d v="2021-03-02T00:00:00"/>
    <x v="3"/>
    <s v="Accounts Payable Specialist"/>
    <x v="546"/>
    <s v="Good"/>
    <n v="1.331506849315069"/>
    <x v="0"/>
    <n v="35"/>
    <s v="Low"/>
  </r>
  <r>
    <x v="554"/>
    <s v="Pamela"/>
    <s v="Paul"/>
    <s v="Male"/>
    <s v="New York"/>
    <s v="New York City"/>
    <s v="Bachelor"/>
    <d v="1988-09-11T00:00:00"/>
    <d v="2022-12-14T00:00:00"/>
    <d v="2023-06-12T00:00:00"/>
    <x v="0"/>
    <s v="Support Specialist"/>
    <x v="547"/>
    <s v="Excellent"/>
    <n v="0.49315068493150682"/>
    <x v="0"/>
    <n v="36"/>
    <s v="Medium"/>
  </r>
  <r>
    <x v="555"/>
    <s v="Stephanie"/>
    <s v="Morgan"/>
    <s v="Male"/>
    <s v="New York"/>
    <s v="New York City"/>
    <s v="Bachelor"/>
    <d v="1991-04-18T00:00:00"/>
    <d v="2023-03-14T00:00:00"/>
    <d v="2023-09-10T00:00:00"/>
    <x v="6"/>
    <s v="Sales Consultant"/>
    <x v="548"/>
    <s v="Excellent"/>
    <n v="0.49315068493150682"/>
    <x v="0"/>
    <n v="33"/>
    <s v="Medium"/>
  </r>
  <r>
    <x v="556"/>
    <s v="Tyler"/>
    <s v="Jimenez"/>
    <s v="Female"/>
    <s v="Pennsylvania"/>
    <s v="Pittsburgh"/>
    <s v="Master"/>
    <d v="1963-01-07T00:00:00"/>
    <d v="2015-12-25T00:00:00"/>
    <d v="2016-06-22T00:00:00"/>
    <x v="1"/>
    <s v="System Administrator"/>
    <x v="549"/>
    <s v="Good"/>
    <n v="0.49315068493150682"/>
    <x v="0"/>
    <n v="62"/>
    <s v="High"/>
  </r>
  <r>
    <x v="557"/>
    <s v="Laura"/>
    <s v="Adams"/>
    <s v="Female"/>
    <s v="New York"/>
    <s v="New York City"/>
    <s v="High School"/>
    <d v="1990-05-20T00:00:00"/>
    <d v="2023-02-02T00:00:00"/>
    <d v="2023-08-01T00:00:00"/>
    <x v="0"/>
    <s v="Support Specialist"/>
    <x v="550"/>
    <s v="Needs Improvement"/>
    <n v="0.49315068493150682"/>
    <x v="0"/>
    <n v="34"/>
    <s v="Low"/>
  </r>
  <r>
    <x v="558"/>
    <s v="Jessica"/>
    <s v="Miller"/>
    <s v="Female"/>
    <s v="Illinois"/>
    <s v="Aurora"/>
    <s v="Bachelor"/>
    <d v="1993-06-05T00:00:00"/>
    <d v="2022-08-22T00:00:00"/>
    <d v="2023-02-18T00:00:00"/>
    <x v="6"/>
    <s v="Sales Specialist"/>
    <x v="551"/>
    <s v="Satisfactory"/>
    <n v="4.7561643835616438"/>
    <x v="0"/>
    <n v="31"/>
    <s v="Low"/>
  </r>
  <r>
    <x v="559"/>
    <s v="Wanda"/>
    <s v="White"/>
    <s v="Male"/>
    <s v="New York"/>
    <s v="New York City"/>
    <s v="Bachelor"/>
    <d v="1986-10-21T00:00:00"/>
    <d v="2020-04-24T00:00:00"/>
    <d v="2023-04-02T00:00:00"/>
    <x v="2"/>
    <s v="Logistics Coordinator"/>
    <x v="552"/>
    <s v="Excellent"/>
    <n v="6.8109589041095893"/>
    <x v="0"/>
    <n v="38"/>
    <s v="Medium"/>
  </r>
  <r>
    <x v="560"/>
    <s v="Manuel"/>
    <s v="Miller"/>
    <s v="Female"/>
    <s v="Michigan"/>
    <s v="Grand Rapids"/>
    <s v="Bachelor"/>
    <d v="1995-07-31T00:00:00"/>
    <d v="2017-09-14T00:00:00"/>
    <d v="2020-11-07T00:00:00"/>
    <x v="0"/>
    <s v="Support Specialist"/>
    <x v="553"/>
    <s v="Good"/>
    <n v="0.49315068493150682"/>
    <x v="0"/>
    <n v="29"/>
    <s v="Medium"/>
  </r>
  <r>
    <x v="561"/>
    <s v="Kenneth"/>
    <s v="Griffin"/>
    <s v="Male"/>
    <s v="New York"/>
    <s v="New York City"/>
    <s v="Master"/>
    <d v="1990-04-13T00:00:00"/>
    <d v="2020-10-05T00:00:00"/>
    <d v="2021-04-03T00:00:00"/>
    <x v="1"/>
    <s v="IT Manager"/>
    <x v="554"/>
    <s v="Excellent"/>
    <n v="5.5013698630136982"/>
    <x v="0"/>
    <n v="34"/>
    <s v="High"/>
  </r>
  <r>
    <x v="562"/>
    <s v="Ronald"/>
    <s v="Norris"/>
    <s v="Male"/>
    <s v="Michigan"/>
    <s v="Grand Rapids"/>
    <s v="Bachelor"/>
    <d v="1998-12-04T00:00:00"/>
    <d v="2015-05-17T00:00:00"/>
    <d v="2024-07-07T00:00:00"/>
    <x v="1"/>
    <s v="Software Developer"/>
    <x v="555"/>
    <s v="Satisfactory"/>
    <n v="0.49315068493150682"/>
    <x v="0"/>
    <n v="26"/>
    <s v="Medium"/>
  </r>
  <r>
    <x v="563"/>
    <s v="Sergio"/>
    <s v="Acosta"/>
    <s v="Male"/>
    <s v="New York"/>
    <s v="New York City"/>
    <s v="Bachelor"/>
    <d v="1983-12-29T00:00:00"/>
    <d v="2019-12-21T00:00:00"/>
    <d v="2020-06-18T00:00:00"/>
    <x v="6"/>
    <s v="Sales Representative"/>
    <x v="556"/>
    <s v="Good"/>
    <n v="7.7753424657534236"/>
    <x v="1"/>
    <n v="41"/>
    <s v="Medium"/>
  </r>
  <r>
    <x v="564"/>
    <s v="Michael"/>
    <s v="Bolton"/>
    <s v="Female"/>
    <s v="New York"/>
    <s v="New York City"/>
    <s v="High School"/>
    <d v="2003-04-04T00:00:00"/>
    <d v="2023-04-17T00:00:00"/>
    <d v="2023-10-14T00:00:00"/>
    <x v="4"/>
    <s v="Content Creator"/>
    <x v="557"/>
    <s v="Needs Improvement"/>
    <n v="0.49315068493150682"/>
    <x v="0"/>
    <n v="22"/>
    <s v="Low"/>
  </r>
  <r>
    <x v="565"/>
    <s v="Danielle"/>
    <s v="Moody"/>
    <s v="Male"/>
    <s v="Michigan"/>
    <s v="Warren"/>
    <s v="Bachelor"/>
    <d v="1990-10-19T00:00:00"/>
    <d v="2022-01-23T00:00:00"/>
    <d v="2022-07-22T00:00:00"/>
    <x v="0"/>
    <s v="Support Specialist"/>
    <x v="558"/>
    <s v="Satisfactory"/>
    <n v="0.49315068493150682"/>
    <x v="0"/>
    <n v="34"/>
    <s v="Medium"/>
  </r>
  <r>
    <x v="566"/>
    <s v="Charles"/>
    <s v="Walsh"/>
    <s v="Female"/>
    <s v="Michigan"/>
    <s v="Detroit"/>
    <s v="Bachelor"/>
    <d v="1983-05-30T00:00:00"/>
    <d v="2018-05-22T00:00:00"/>
    <d v="2020-05-31T00:00:00"/>
    <x v="6"/>
    <s v="Sales Representative"/>
    <x v="559"/>
    <s v="Good"/>
    <n v="8.0520547945205472"/>
    <x v="0"/>
    <n v="41"/>
    <s v="Low"/>
  </r>
  <r>
    <x v="567"/>
    <s v="William"/>
    <s v="Brady"/>
    <s v="Female"/>
    <s v="New York"/>
    <s v="New York City"/>
    <s v="PhD"/>
    <d v="1995-07-26T00:00:00"/>
    <d v="2018-03-04T00:00:00"/>
    <d v="2024-12-04T00:00:00"/>
    <x v="3"/>
    <s v="Financial Analyst"/>
    <x v="560"/>
    <s v="Excellent"/>
    <n v="4.043835616438356"/>
    <x v="0"/>
    <n v="29"/>
    <s v="Medium"/>
  </r>
  <r>
    <x v="568"/>
    <s v="Stephanie"/>
    <s v="Thomas"/>
    <s v="Male"/>
    <s v="Michigan"/>
    <s v="Warren"/>
    <s v="High School"/>
    <d v="1981-09-09T00:00:00"/>
    <d v="2018-08-24T00:00:00"/>
    <d v="2021-07-06T00:00:00"/>
    <x v="4"/>
    <s v="Content Creator"/>
    <x v="561"/>
    <s v="Excellent"/>
    <n v="1.6547945205479451"/>
    <x v="0"/>
    <n v="43"/>
    <s v="Low"/>
  </r>
  <r>
    <x v="569"/>
    <s v="Erika"/>
    <s v="Kim"/>
    <s v="Male"/>
    <s v="New York"/>
    <s v="New York City"/>
    <s v="Master"/>
    <d v="1987-07-27T00:00:00"/>
    <d v="2023-02-19T00:00:00"/>
    <d v="2023-08-18T00:00:00"/>
    <x v="1"/>
    <s v="System Administrator"/>
    <x v="562"/>
    <s v="Excellent"/>
    <n v="0.49315068493150682"/>
    <x v="0"/>
    <n v="37"/>
    <s v="Medium"/>
  </r>
  <r>
    <x v="570"/>
    <s v="Carlos"/>
    <s v="Osborne"/>
    <s v="Male"/>
    <s v="New York"/>
    <s v="New York City"/>
    <s v="Bachelor"/>
    <d v="2000-10-15T00:00:00"/>
    <d v="2017-05-23T00:00:00"/>
    <d v="2022-04-03T00:00:00"/>
    <x v="6"/>
    <s v="Sales Representative"/>
    <x v="563"/>
    <s v="Good"/>
    <n v="1.29041095890411"/>
    <x v="0"/>
    <n v="24"/>
    <s v="Medium"/>
  </r>
  <r>
    <x v="571"/>
    <s v="Cassie"/>
    <s v="Shelton"/>
    <s v="Female"/>
    <s v="New York"/>
    <s v="New York City"/>
    <s v="Bachelor"/>
    <d v="1979-06-17T00:00:00"/>
    <d v="2022-05-25T00:00:00"/>
    <d v="2022-11-21T00:00:00"/>
    <x v="4"/>
    <s v="Content Creator"/>
    <x v="564"/>
    <s v="Satisfactory"/>
    <n v="0.49315068493150682"/>
    <x v="0"/>
    <n v="45"/>
    <s v="Low"/>
  </r>
  <r>
    <x v="572"/>
    <s v="Nathan"/>
    <s v="Hines"/>
    <s v="Male"/>
    <s v="New York"/>
    <s v="New York City"/>
    <s v="Bachelor"/>
    <d v="2002-08-25T00:00:00"/>
    <d v="2018-08-11T00:00:00"/>
    <d v="2019-02-07T00:00:00"/>
    <x v="6"/>
    <s v="Sales Representative"/>
    <x v="565"/>
    <s v="Satisfactory"/>
    <n v="2.0191780821917811"/>
    <x v="0"/>
    <n v="22"/>
    <s v="Medium"/>
  </r>
  <r>
    <x v="573"/>
    <s v="Debra"/>
    <s v="Wright"/>
    <s v="Female"/>
    <s v="New York"/>
    <s v="New York City"/>
    <s v="Bachelor"/>
    <d v="1993-08-15T00:00:00"/>
    <d v="2018-02-14T00:00:00"/>
    <d v="2020-07-27T00:00:00"/>
    <x v="2"/>
    <s v="Inventory Specialist"/>
    <x v="566"/>
    <s v="Good"/>
    <n v="3.9095890410958898"/>
    <x v="0"/>
    <n v="31"/>
    <s v="Medium"/>
  </r>
  <r>
    <x v="574"/>
    <s v="Anthony"/>
    <s v="Lopez"/>
    <s v="Male"/>
    <s v="New York"/>
    <s v="New York City"/>
    <s v="High School"/>
    <d v="1973-08-19T00:00:00"/>
    <d v="2018-07-20T00:00:00"/>
    <d v="2019-01-16T00:00:00"/>
    <x v="2"/>
    <s v="Inventory Specialist"/>
    <x v="567"/>
    <s v="Needs Improvement"/>
    <n v="0.72054794520547949"/>
    <x v="0"/>
    <n v="51"/>
    <s v="Medium"/>
  </r>
  <r>
    <x v="575"/>
    <s v="Paul"/>
    <s v="Hoffman"/>
    <s v="Male"/>
    <s v="Michigan"/>
    <s v="Grand Rapids"/>
    <s v="Bachelor"/>
    <d v="1965-02-04T00:00:00"/>
    <d v="2017-04-12T00:00:00"/>
    <d v="2020-06-13T00:00:00"/>
    <x v="1"/>
    <s v="IT Support Specialist"/>
    <x v="568"/>
    <s v="Good"/>
    <n v="1.1424657534246581"/>
    <x v="0"/>
    <n v="60"/>
    <s v="Medium"/>
  </r>
  <r>
    <x v="576"/>
    <s v="Kimberly"/>
    <s v="Padilla"/>
    <s v="Female"/>
    <s v="North Carolina"/>
    <s v="Charlotte"/>
    <s v="Bachelor"/>
    <d v="1978-07-20T00:00:00"/>
    <d v="2024-03-24T00:00:00"/>
    <d v="2024-09-20T00:00:00"/>
    <x v="0"/>
    <s v="Customer Service Representative"/>
    <x v="569"/>
    <s v="Excellent"/>
    <n v="2.1917808219178081"/>
    <x v="0"/>
    <n v="46"/>
    <s v="Medium"/>
  </r>
  <r>
    <x v="577"/>
    <s v="Wendy"/>
    <s v="Mitchell"/>
    <s v="Male"/>
    <s v="New York"/>
    <s v="New York City"/>
    <s v="Bachelor"/>
    <d v="2004-01-21T00:00:00"/>
    <d v="2017-12-22T00:00:00"/>
    <d v="2023-09-11T00:00:00"/>
    <x v="2"/>
    <s v="Inventory Specialist"/>
    <x v="570"/>
    <s v="Good"/>
    <n v="0.49315068493150682"/>
    <x v="0"/>
    <n v="21"/>
    <s v="Medium"/>
  </r>
  <r>
    <x v="578"/>
    <s v="Yolanda"/>
    <s v="Gonzalez"/>
    <s v="Male"/>
    <s v="New York"/>
    <s v="New York City"/>
    <s v="High School"/>
    <d v="1992-03-28T00:00:00"/>
    <d v="2022-02-22T00:00:00"/>
    <d v="2022-08-21T00:00:00"/>
    <x v="2"/>
    <s v="Inventory Specialist"/>
    <x v="571"/>
    <s v="Needs Improvement"/>
    <n v="1.3123287671232879"/>
    <x v="0"/>
    <n v="33"/>
    <s v="Medium"/>
  </r>
  <r>
    <x v="579"/>
    <s v="Melissa"/>
    <s v="Hayes"/>
    <s v="Female"/>
    <s v="Pennsylvania"/>
    <s v="Allentown"/>
    <s v="High School"/>
    <d v="2003-10-03T00:00:00"/>
    <d v="2022-12-16T00:00:00"/>
    <d v="2023-06-14T00:00:00"/>
    <x v="0"/>
    <s v="Support Specialist"/>
    <x v="572"/>
    <s v="Needs Improvement"/>
    <n v="1.704109589041096"/>
    <x v="0"/>
    <n v="21"/>
    <s v="Low"/>
  </r>
  <r>
    <x v="580"/>
    <s v="Jennifer"/>
    <s v="Osborn"/>
    <s v="Female"/>
    <s v="New York"/>
    <s v="New York City"/>
    <s v="High School"/>
    <d v="1985-02-11T00:00:00"/>
    <d v="2022-11-11T00:00:00"/>
    <d v="2023-05-10T00:00:00"/>
    <x v="2"/>
    <s v="Inventory Specialist"/>
    <x v="573"/>
    <s v="Needs Improvement"/>
    <n v="0.49315068493150682"/>
    <x v="0"/>
    <n v="40"/>
    <s v="Medium"/>
  </r>
  <r>
    <x v="581"/>
    <s v="Evelyn"/>
    <s v="Bruce"/>
    <s v="Female"/>
    <s v="New York"/>
    <s v="New York City"/>
    <s v="Bachelor"/>
    <d v="1987-01-12T00:00:00"/>
    <d v="2017-05-05T00:00:00"/>
    <d v="2023-02-24T00:00:00"/>
    <x v="0"/>
    <s v="Help Desk Technician"/>
    <x v="259"/>
    <s v="Needs Improvement"/>
    <n v="0.49315068493150682"/>
    <x v="0"/>
    <n v="38"/>
    <s v="Medium"/>
  </r>
  <r>
    <x v="582"/>
    <s v="Elizabeth"/>
    <s v="Mckinney"/>
    <s v="Female"/>
    <s v="New York"/>
    <s v="New York City"/>
    <s v="High School"/>
    <d v="1983-09-15T00:00:00"/>
    <d v="2022-08-02T00:00:00"/>
    <d v="2023-01-29T00:00:00"/>
    <x v="0"/>
    <s v="Support Specialist"/>
    <x v="574"/>
    <s v="Needs Improvement"/>
    <n v="0.49315068493150682"/>
    <x v="0"/>
    <n v="41"/>
    <s v="Medium"/>
  </r>
  <r>
    <x v="583"/>
    <s v="Amber"/>
    <s v="Vance"/>
    <s v="Female"/>
    <s v="New York"/>
    <s v="New York City"/>
    <s v="Bachelor"/>
    <d v="1971-10-11T00:00:00"/>
    <d v="2015-11-27T00:00:00"/>
    <d v="2021-04-07T00:00:00"/>
    <x v="2"/>
    <s v="Logistics Coordinator"/>
    <x v="575"/>
    <s v="Good"/>
    <n v="0.49315068493150682"/>
    <x v="0"/>
    <n v="53"/>
    <s v="Medium"/>
  </r>
  <r>
    <x v="584"/>
    <s v="Eric"/>
    <s v="Mckinney"/>
    <s v="Male"/>
    <s v="New York"/>
    <s v="New York City"/>
    <s v="Master"/>
    <d v="1972-08-03T00:00:00"/>
    <d v="2022-09-29T00:00:00"/>
    <d v="2023-03-28T00:00:00"/>
    <x v="2"/>
    <s v="Operations Analyst"/>
    <x v="576"/>
    <s v="Good"/>
    <n v="0.49315068493150682"/>
    <x v="0"/>
    <n v="52"/>
    <s v="Medium"/>
  </r>
  <r>
    <x v="585"/>
    <s v="Dana"/>
    <s v="Leon"/>
    <s v="Female"/>
    <s v="New York"/>
    <s v="New York City"/>
    <s v="High School"/>
    <d v="1971-05-21T00:00:00"/>
    <d v="2017-07-17T00:00:00"/>
    <d v="2019-10-31T00:00:00"/>
    <x v="4"/>
    <s v="Content Creator"/>
    <x v="577"/>
    <s v="Needs Improvement"/>
    <n v="2.9397260273972599"/>
    <x v="0"/>
    <n v="53"/>
    <s v="Low"/>
  </r>
  <r>
    <x v="586"/>
    <s v="Jeffrey"/>
    <s v="Galloway"/>
    <s v="Female"/>
    <s v="New York"/>
    <s v="New York City"/>
    <s v="Bachelor"/>
    <d v="1991-08-19T00:00:00"/>
    <d v="2021-11-04T00:00:00"/>
    <d v="2022-05-03T00:00:00"/>
    <x v="1"/>
    <s v="System Administrator"/>
    <x v="578"/>
    <s v="Good"/>
    <n v="3.150684931506849"/>
    <x v="0"/>
    <n v="33"/>
    <s v="Medium"/>
  </r>
  <r>
    <x v="587"/>
    <s v="Dominic"/>
    <s v="Tyler"/>
    <s v="Female"/>
    <s v="North Carolina"/>
    <s v="Raleigh"/>
    <s v="Bachelor"/>
    <d v="1974-04-19T00:00:00"/>
    <d v="2017-01-11T00:00:00"/>
    <d v="2020-04-24T00:00:00"/>
    <x v="0"/>
    <s v="Support Specialist"/>
    <x v="579"/>
    <s v="Excellent"/>
    <n v="0.49315068493150682"/>
    <x v="0"/>
    <n v="50"/>
    <s v="Medium"/>
  </r>
  <r>
    <x v="588"/>
    <s v="Michael"/>
    <s v="Armstrong"/>
    <s v="Male"/>
    <s v="Michigan"/>
    <s v="Warren"/>
    <s v="Master"/>
    <d v="1979-06-26T00:00:00"/>
    <d v="2024-06-30T00:00:00"/>
    <d v="2024-12-27T00:00:00"/>
    <x v="2"/>
    <s v="Operations Analyst"/>
    <x v="580"/>
    <s v="Good"/>
    <n v="9.1479452054794521"/>
    <x v="0"/>
    <n v="45"/>
    <s v="Medium"/>
  </r>
  <r>
    <x v="589"/>
    <s v="Linda"/>
    <s v="Arnold"/>
    <s v="Female"/>
    <s v="New York"/>
    <s v="New York City"/>
    <s v="High School"/>
    <d v="1997-09-27T00:00:00"/>
    <d v="2018-08-25T00:00:00"/>
    <d v="2019-02-21T00:00:00"/>
    <x v="2"/>
    <s v="Inventory Specialist"/>
    <x v="581"/>
    <s v="Needs Improvement"/>
    <n v="0.49315068493150682"/>
    <x v="0"/>
    <n v="27"/>
    <s v="Low"/>
  </r>
  <r>
    <x v="590"/>
    <s v="Nicole"/>
    <s v="Jones"/>
    <s v="Male"/>
    <s v="New York"/>
    <s v="New York City"/>
    <s v="Bachelor"/>
    <d v="1983-01-28T00:00:00"/>
    <d v="2023-06-04T00:00:00"/>
    <d v="2023-12-01T00:00:00"/>
    <x v="3"/>
    <s v="Accounts Payable Specialist"/>
    <x v="582"/>
    <s v="Good"/>
    <n v="0.49315068493150682"/>
    <x v="0"/>
    <n v="42"/>
    <s v="Medium"/>
  </r>
  <r>
    <x v="591"/>
    <s v="Yvonne"/>
    <s v="Higgins"/>
    <s v="Female"/>
    <s v="Pennsylvania"/>
    <s v="Philadelphia"/>
    <s v="Bachelor"/>
    <d v="1994-12-19T00:00:00"/>
    <d v="2017-07-24T00:00:00"/>
    <d v="2018-01-20T00:00:00"/>
    <x v="5"/>
    <s v="Recruiter"/>
    <x v="583"/>
    <s v="Good"/>
    <n v="0.49315068493150682"/>
    <x v="0"/>
    <n v="30"/>
    <s v="Medium"/>
  </r>
  <r>
    <x v="592"/>
    <s v="Robert"/>
    <s v="Ortiz"/>
    <s v="Female"/>
    <s v="New York"/>
    <s v="New York City"/>
    <s v="Bachelor"/>
    <d v="1980-05-16T00:00:00"/>
    <d v="2021-08-12T00:00:00"/>
    <d v="2022-02-08T00:00:00"/>
    <x v="6"/>
    <s v="Sales Specialist"/>
    <x v="584"/>
    <s v="Good"/>
    <n v="2.0273972602739732"/>
    <x v="0"/>
    <n v="44"/>
    <s v="Low"/>
  </r>
  <r>
    <x v="593"/>
    <s v="Charles"/>
    <s v="Compton"/>
    <s v="Male"/>
    <s v="New York"/>
    <s v="New York City"/>
    <s v="Master"/>
    <d v="1980-04-03T00:00:00"/>
    <d v="2018-09-06T00:00:00"/>
    <d v="2019-03-05T00:00:00"/>
    <x v="1"/>
    <s v="System Administrator"/>
    <x v="585"/>
    <s v="Excellent"/>
    <n v="6.7589041095890412"/>
    <x v="0"/>
    <n v="45"/>
    <s v="Medium"/>
  </r>
  <r>
    <x v="594"/>
    <s v="Charles"/>
    <s v="Owens"/>
    <s v="Male"/>
    <s v="New York"/>
    <s v="New York City"/>
    <s v="Bachelor"/>
    <d v="1996-07-18T00:00:00"/>
    <d v="2017-07-20T00:00:00"/>
    <d v="2018-01-16T00:00:00"/>
    <x v="2"/>
    <s v="Logistics Coordinator"/>
    <x v="586"/>
    <s v="Satisfactory"/>
    <n v="2.868493150684932"/>
    <x v="0"/>
    <n v="28"/>
    <s v="Medium"/>
  </r>
  <r>
    <x v="595"/>
    <s v="Melvin"/>
    <s v="Humphrey"/>
    <s v="Male"/>
    <s v="Pennsylvania"/>
    <s v="Philadelphia"/>
    <s v="Master"/>
    <d v="1980-12-15T00:00:00"/>
    <d v="2019-10-31T00:00:00"/>
    <d v="2020-08-14T00:00:00"/>
    <x v="6"/>
    <s v="Sales Manager"/>
    <x v="587"/>
    <s v="Excellent"/>
    <n v="0.49315068493150682"/>
    <x v="0"/>
    <n v="44"/>
    <s v="High"/>
  </r>
  <r>
    <x v="596"/>
    <s v="Andrea"/>
    <s v="Matthews"/>
    <s v="Male"/>
    <s v="West Virginia"/>
    <s v="Charleston"/>
    <s v="Bachelor"/>
    <d v="1996-10-22T00:00:00"/>
    <d v="2018-10-26T00:00:00"/>
    <d v="2022-05-09T00:00:00"/>
    <x v="0"/>
    <s v="Customer Service Representative"/>
    <x v="588"/>
    <s v="Good"/>
    <n v="4.8657534246575347"/>
    <x v="0"/>
    <n v="28"/>
    <s v="Low"/>
  </r>
  <r>
    <x v="597"/>
    <s v="Tammy"/>
    <s v="Reynolds"/>
    <s v="Male"/>
    <s v="Michigan"/>
    <s v="Detroit"/>
    <s v="PhD"/>
    <d v="1960-08-20T00:00:00"/>
    <d v="2017-12-20T00:00:00"/>
    <d v="2022-06-16T00:00:00"/>
    <x v="6"/>
    <s v="Sales Specialist"/>
    <x v="589"/>
    <s v="Excellent"/>
    <n v="8.2410958904109588"/>
    <x v="1"/>
    <n v="64"/>
    <s v="Low"/>
  </r>
  <r>
    <x v="598"/>
    <s v="Miranda"/>
    <s v="Guerra"/>
    <s v="Female"/>
    <s v="New York"/>
    <s v="New York City"/>
    <s v="Master"/>
    <d v="1993-06-11T00:00:00"/>
    <d v="2017-07-21T00:00:00"/>
    <d v="2018-01-17T00:00:00"/>
    <x v="2"/>
    <s v="Operations Analyst"/>
    <x v="590"/>
    <s v="Good"/>
    <n v="0.49315068493150682"/>
    <x v="0"/>
    <n v="31"/>
    <s v="Medium"/>
  </r>
  <r>
    <x v="599"/>
    <s v="Eric"/>
    <s v="Martin"/>
    <s v="Female"/>
    <s v="New York"/>
    <s v="New York City"/>
    <s v="High School"/>
    <d v="1988-09-10T00:00:00"/>
    <d v="2017-05-06T00:00:00"/>
    <d v="2019-02-23T00:00:00"/>
    <x v="2"/>
    <s v="Inventory Specialist"/>
    <x v="591"/>
    <s v="Needs Improvement"/>
    <n v="0.49315068493150682"/>
    <x v="0"/>
    <n v="36"/>
    <s v="Medium"/>
  </r>
  <r>
    <x v="600"/>
    <s v="Sarah"/>
    <s v="Perez"/>
    <s v="Female"/>
    <s v="New York"/>
    <s v="New York City"/>
    <s v="Bachelor"/>
    <d v="1965-06-01T00:00:00"/>
    <d v="2020-07-20T00:00:00"/>
    <d v="2021-01-16T00:00:00"/>
    <x v="4"/>
    <s v="Marketing Coordinator"/>
    <x v="592"/>
    <s v="Good"/>
    <n v="7.9397260273972599"/>
    <x v="1"/>
    <n v="59"/>
    <s v="Low"/>
  </r>
  <r>
    <x v="601"/>
    <s v="Patty"/>
    <s v="Singleton"/>
    <s v="Male"/>
    <s v="New York"/>
    <s v="New York City"/>
    <s v="Bachelor"/>
    <d v="1980-05-13T00:00:00"/>
    <d v="2016-04-07T00:00:00"/>
    <d v="2021-07-19T00:00:00"/>
    <x v="2"/>
    <s v="Logistics Coordinator"/>
    <x v="593"/>
    <s v="Good"/>
    <n v="2.4493150684931511"/>
    <x v="0"/>
    <n v="44"/>
    <s v="Medium"/>
  </r>
  <r>
    <x v="602"/>
    <s v="James"/>
    <s v="Huber"/>
    <s v="Female"/>
    <s v="Pennsylvania"/>
    <s v="Philadelphia"/>
    <s v="High School"/>
    <d v="1993-04-11T00:00:00"/>
    <d v="2024-04-16T00:00:00"/>
    <d v="2024-10-13T00:00:00"/>
    <x v="2"/>
    <s v="Inventory Specialist"/>
    <x v="594"/>
    <s v="Needs Improvement"/>
    <n v="0.49315068493150682"/>
    <x v="0"/>
    <n v="32"/>
    <s v="Medium"/>
  </r>
  <r>
    <x v="603"/>
    <s v="David"/>
    <s v="Turner"/>
    <s v="Male"/>
    <s v="New York"/>
    <s v="New York City"/>
    <s v="Bachelor"/>
    <d v="1981-07-18T00:00:00"/>
    <d v="2017-07-27T00:00:00"/>
    <d v="2018-10-09T00:00:00"/>
    <x v="4"/>
    <s v="Content Creator"/>
    <x v="595"/>
    <s v="Excellent"/>
    <n v="3.172602739726027"/>
    <x v="0"/>
    <n v="43"/>
    <s v="Medium"/>
  </r>
  <r>
    <x v="604"/>
    <s v="Clarence"/>
    <s v="Davidson"/>
    <s v="Female"/>
    <s v="New York"/>
    <s v="New York City"/>
    <s v="Bachelor"/>
    <d v="1993-01-14T00:00:00"/>
    <d v="2020-08-17T00:00:00"/>
    <d v="2024-10-18T00:00:00"/>
    <x v="3"/>
    <s v="Financial Analyst"/>
    <x v="596"/>
    <s v="Satisfactory"/>
    <n v="0.49315068493150682"/>
    <x v="0"/>
    <n v="32"/>
    <s v="Medium"/>
  </r>
  <r>
    <x v="605"/>
    <s v="Shelly"/>
    <s v="Moore"/>
    <s v="Female"/>
    <s v="New York"/>
    <s v="New York City"/>
    <s v="High School"/>
    <d v="1973-11-09T00:00:00"/>
    <d v="2022-09-13T00:00:00"/>
    <d v="2023-03-12T00:00:00"/>
    <x v="0"/>
    <s v="Support Specialist"/>
    <x v="597"/>
    <s v="Needs Improvement"/>
    <n v="5.7232876712328764"/>
    <x v="0"/>
    <n v="51"/>
    <s v="Low"/>
  </r>
  <r>
    <x v="606"/>
    <s v="Claudia"/>
    <s v="Winters"/>
    <s v="Male"/>
    <s v="New York"/>
    <s v="New York City"/>
    <s v="Bachelor"/>
    <d v="1973-10-24T00:00:00"/>
    <d v="2022-05-12T00:00:00"/>
    <d v="2024-09-28T00:00:00"/>
    <x v="2"/>
    <s v="Operations Analyst"/>
    <x v="598"/>
    <s v="Satisfactory"/>
    <n v="0.49315068493150682"/>
    <x v="0"/>
    <n v="51"/>
    <s v="Medium"/>
  </r>
  <r>
    <x v="607"/>
    <s v="Megan"/>
    <s v="Elliott"/>
    <s v="Male"/>
    <s v="New York"/>
    <s v="New York City"/>
    <s v="Master"/>
    <d v="1972-08-04T00:00:00"/>
    <d v="2019-11-17T00:00:00"/>
    <d v="2020-05-15T00:00:00"/>
    <x v="1"/>
    <s v="IT Manager"/>
    <x v="599"/>
    <s v="Good"/>
    <n v="0.49315068493150682"/>
    <x v="0"/>
    <n v="52"/>
    <s v="Medium"/>
  </r>
  <r>
    <x v="608"/>
    <s v="Michelle"/>
    <s v="Miller"/>
    <s v="Female"/>
    <s v="New York"/>
    <s v="New York City"/>
    <s v="Master"/>
    <d v="2003-05-11T00:00:00"/>
    <d v="2022-09-07T00:00:00"/>
    <d v="2023-03-06T00:00:00"/>
    <x v="2"/>
    <s v="Operations Analyst"/>
    <x v="600"/>
    <s v="Excellent"/>
    <n v="0.49315068493150682"/>
    <x v="0"/>
    <n v="21"/>
    <s v="Medium"/>
  </r>
  <r>
    <x v="609"/>
    <s v="Kelli"/>
    <s v="Baker"/>
    <s v="Female"/>
    <s v="New York"/>
    <s v="New York City"/>
    <s v="Bachelor"/>
    <d v="1997-05-02T00:00:00"/>
    <d v="2021-03-23T00:00:00"/>
    <d v="2021-09-19T00:00:00"/>
    <x v="4"/>
    <s v="Content Creator"/>
    <x v="601"/>
    <s v="Good"/>
    <n v="5.8109589041095893"/>
    <x v="0"/>
    <n v="27"/>
    <s v="Medium"/>
  </r>
  <r>
    <x v="610"/>
    <s v="Katie"/>
    <s v="Butler"/>
    <s v="Male"/>
    <s v="Ohio"/>
    <s v="Cincinnati"/>
    <s v="Bachelor"/>
    <d v="1979-02-17T00:00:00"/>
    <d v="2017-09-06T00:00:00"/>
    <d v="2018-03-05T00:00:00"/>
    <x v="0"/>
    <s v="Help Desk Technician"/>
    <x v="602"/>
    <s v="Satisfactory"/>
    <n v="0.49315068493150682"/>
    <x v="0"/>
    <n v="46"/>
    <s v="Medium"/>
  </r>
  <r>
    <x v="611"/>
    <s v="Anthony"/>
    <s v="Small"/>
    <s v="Male"/>
    <s v="New York"/>
    <s v="New York City"/>
    <s v="Bachelor"/>
    <d v="1998-01-19T00:00:00"/>
    <d v="2019-07-31T00:00:00"/>
    <d v="2021-06-28T00:00:00"/>
    <x v="2"/>
    <s v="Logistics Coordinator"/>
    <x v="603"/>
    <s v="Satisfactory"/>
    <n v="5.3643835616438356"/>
    <x v="0"/>
    <n v="27"/>
    <s v="Medium"/>
  </r>
  <r>
    <x v="612"/>
    <s v="Keith"/>
    <s v="Frye"/>
    <s v="Male"/>
    <s v="New York"/>
    <s v="New York City"/>
    <s v="Bachelor"/>
    <d v="1986-01-13T00:00:00"/>
    <d v="2017-07-07T00:00:00"/>
    <d v="2018-01-03T00:00:00"/>
    <x v="2"/>
    <s v="Logistics Coordinator"/>
    <x v="604"/>
    <s v="Satisfactory"/>
    <n v="0.49315068493150682"/>
    <x v="0"/>
    <n v="39"/>
    <s v="Medium"/>
  </r>
  <r>
    <x v="613"/>
    <s v="John"/>
    <s v="Aguirre"/>
    <s v="Female"/>
    <s v="North Carolina"/>
    <s v="Greensboro"/>
    <s v="High School"/>
    <d v="1977-06-29T00:00:00"/>
    <d v="2022-06-07T00:00:00"/>
    <d v="2024-03-26T00:00:00"/>
    <x v="2"/>
    <s v="Inventory Specialist"/>
    <x v="605"/>
    <s v="Excellent"/>
    <n v="2.29041095890411"/>
    <x v="0"/>
    <n v="47"/>
    <s v="Low"/>
  </r>
  <r>
    <x v="614"/>
    <s v="Kenneth"/>
    <s v="Jones"/>
    <s v="Female"/>
    <s v="Michigan"/>
    <s v="Grand Rapids"/>
    <s v="Bachelor"/>
    <d v="1986-11-12T00:00:00"/>
    <d v="2020-01-24T00:00:00"/>
    <d v="2020-07-22T00:00:00"/>
    <x v="0"/>
    <s v="Support Specialist"/>
    <x v="606"/>
    <s v="Satisfactory"/>
    <n v="0.49315068493150682"/>
    <x v="0"/>
    <n v="38"/>
    <s v="Low"/>
  </r>
  <r>
    <x v="615"/>
    <s v="Eric"/>
    <s v="Perry"/>
    <s v="Female"/>
    <s v="New York"/>
    <s v="New York City"/>
    <s v="High School"/>
    <d v="1987-07-25T00:00:00"/>
    <d v="2016-06-29T00:00:00"/>
    <d v="2018-03-01T00:00:00"/>
    <x v="0"/>
    <s v="Customer Service Representative"/>
    <x v="251"/>
    <s v="Needs Improvement"/>
    <n v="3.2849315068493148"/>
    <x v="0"/>
    <n v="37"/>
    <s v="Low"/>
  </r>
  <r>
    <x v="616"/>
    <s v="James"/>
    <s v="Lawson"/>
    <s v="Male"/>
    <s v="New York"/>
    <s v="New York City"/>
    <s v="Bachelor"/>
    <d v="1980-07-02T00:00:00"/>
    <d v="2023-05-02T00:00:00"/>
    <d v="2023-10-29T00:00:00"/>
    <x v="1"/>
    <s v="IT Support Specialist"/>
    <x v="607"/>
    <s v="Good"/>
    <n v="0.49315068493150682"/>
    <x v="0"/>
    <n v="44"/>
    <s v="Medium"/>
  </r>
  <r>
    <x v="617"/>
    <s v="Michelle"/>
    <s v="Flores"/>
    <s v="Male"/>
    <s v="North Carolina"/>
    <s v="Raleigh"/>
    <s v="High School"/>
    <d v="1992-11-29T00:00:00"/>
    <d v="2020-11-30T00:00:00"/>
    <d v="2023-04-14T00:00:00"/>
    <x v="0"/>
    <s v="Support Specialist"/>
    <x v="608"/>
    <s v="Needs Improvement"/>
    <n v="0.49315068493150682"/>
    <x v="0"/>
    <n v="32"/>
    <s v="Medium"/>
  </r>
  <r>
    <x v="618"/>
    <s v="Michael"/>
    <s v="Ross"/>
    <s v="Female"/>
    <s v="New York"/>
    <s v="New York City"/>
    <s v="High School"/>
    <d v="1978-09-16T00:00:00"/>
    <d v="2019-10-23T00:00:00"/>
    <d v="2023-07-14T00:00:00"/>
    <x v="0"/>
    <s v="Support Specialist"/>
    <x v="609"/>
    <s v="Needs Improvement"/>
    <n v="0.49315068493150682"/>
    <x v="0"/>
    <n v="46"/>
    <s v="Medium"/>
  </r>
  <r>
    <x v="619"/>
    <s v="Mitchell"/>
    <s v="Hoffman"/>
    <s v="Female"/>
    <s v="West Virginia"/>
    <s v="Huntington"/>
    <s v="Master"/>
    <d v="1972-07-24T00:00:00"/>
    <d v="2019-05-04T00:00:00"/>
    <d v="2021-12-30T00:00:00"/>
    <x v="5"/>
    <s v="HR Coordinator"/>
    <x v="610"/>
    <s v="Excellent"/>
    <n v="0.49315068493150682"/>
    <x v="0"/>
    <n v="52"/>
    <s v="Medium"/>
  </r>
  <r>
    <x v="620"/>
    <s v="John"/>
    <s v="Martinez"/>
    <s v="Female"/>
    <s v="Michigan"/>
    <s v="Detroit"/>
    <s v="High School"/>
    <d v="1995-01-13T00:00:00"/>
    <d v="2019-06-24T00:00:00"/>
    <d v="2021-09-25T00:00:00"/>
    <x v="0"/>
    <s v="Help Desk Technician"/>
    <x v="611"/>
    <s v="Excellent"/>
    <n v="0.49315068493150682"/>
    <x v="0"/>
    <n v="30"/>
    <s v="Medium"/>
  </r>
  <r>
    <x v="621"/>
    <s v="John"/>
    <s v="Davis"/>
    <s v="Female"/>
    <s v="New York"/>
    <s v="New York City"/>
    <s v="Bachelor"/>
    <d v="1987-07-17T00:00:00"/>
    <d v="2020-04-22T00:00:00"/>
    <d v="2021-11-01T00:00:00"/>
    <x v="6"/>
    <s v="Sales Consultant"/>
    <x v="612"/>
    <s v="Good"/>
    <n v="0.49315068493150682"/>
    <x v="0"/>
    <n v="37"/>
    <s v="Medium"/>
  </r>
  <r>
    <x v="622"/>
    <s v="Sonia"/>
    <s v="Lin"/>
    <s v="Female"/>
    <s v="New York"/>
    <s v="New York City"/>
    <s v="High School"/>
    <d v="1983-04-12T00:00:00"/>
    <d v="2022-06-12T00:00:00"/>
    <d v="2022-12-09T00:00:00"/>
    <x v="0"/>
    <s v="Customer Service Representative"/>
    <x v="613"/>
    <s v="Needs Improvement"/>
    <n v="0.49315068493150682"/>
    <x v="0"/>
    <n v="41"/>
    <s v="Low"/>
  </r>
  <r>
    <x v="623"/>
    <s v="John"/>
    <s v="Grimes"/>
    <s v="Female"/>
    <s v="Virginia"/>
    <s v="Virginia Beach"/>
    <s v="Bachelor"/>
    <d v="1981-07-14T00:00:00"/>
    <d v="2022-03-04T00:00:00"/>
    <d v="2022-08-31T00:00:00"/>
    <x v="0"/>
    <s v="Help Desk Technician"/>
    <x v="172"/>
    <s v="Good"/>
    <n v="0.78904109589041094"/>
    <x v="0"/>
    <n v="43"/>
    <s v="Low"/>
  </r>
  <r>
    <x v="624"/>
    <s v="Lisa"/>
    <s v="Peck"/>
    <s v="Female"/>
    <s v="New York"/>
    <s v="New York City"/>
    <s v="Master"/>
    <d v="1977-06-04T00:00:00"/>
    <d v="2019-10-08T00:00:00"/>
    <d v="2021-01-04T00:00:00"/>
    <x v="1"/>
    <s v="Software Developer"/>
    <x v="614"/>
    <s v="Good"/>
    <n v="3.536986301369863"/>
    <x v="0"/>
    <n v="47"/>
    <s v="High"/>
  </r>
  <r>
    <x v="625"/>
    <s v="Larry"/>
    <s v="Hines"/>
    <s v="Female"/>
    <s v="New York"/>
    <s v="New York City"/>
    <s v="Bachelor"/>
    <d v="1989-09-19T00:00:00"/>
    <d v="2018-07-12T00:00:00"/>
    <d v="2019-01-08T00:00:00"/>
    <x v="3"/>
    <s v="Accountant"/>
    <x v="615"/>
    <s v="Good"/>
    <n v="4.4904109589041097"/>
    <x v="0"/>
    <n v="35"/>
    <s v="Low"/>
  </r>
  <r>
    <x v="626"/>
    <s v="Wendy"/>
    <s v="Owens"/>
    <s v="Male"/>
    <s v="New York"/>
    <s v="New York City"/>
    <s v="Master"/>
    <d v="1996-06-27T00:00:00"/>
    <d v="2017-12-08T00:00:00"/>
    <d v="2018-06-06T00:00:00"/>
    <x v="1"/>
    <s v="System Administrator"/>
    <x v="616"/>
    <s v="Excellent"/>
    <n v="0.49315068493150682"/>
    <x v="0"/>
    <n v="28"/>
    <s v="Medium"/>
  </r>
  <r>
    <x v="627"/>
    <s v="Kyle"/>
    <s v="Johnson"/>
    <s v="Female"/>
    <s v="Ohio"/>
    <s v="Cleveland"/>
    <s v="Bachelor"/>
    <d v="1991-10-30T00:00:00"/>
    <d v="2022-06-02T00:00:00"/>
    <d v="2024-05-19T00:00:00"/>
    <x v="2"/>
    <s v="Inventory Specialist"/>
    <x v="617"/>
    <s v="Good"/>
    <n v="1.802739726027397"/>
    <x v="0"/>
    <n v="33"/>
    <s v="Low"/>
  </r>
  <r>
    <x v="628"/>
    <s v="William"/>
    <s v="Levy"/>
    <s v="Male"/>
    <s v="New York"/>
    <s v="New York City"/>
    <s v="Bachelor"/>
    <d v="1998-11-21T00:00:00"/>
    <d v="2018-03-25T00:00:00"/>
    <d v="2021-08-23T00:00:00"/>
    <x v="2"/>
    <s v="Inventory Specialist"/>
    <x v="618"/>
    <s v="Satisfactory"/>
    <n v="0.49315068493150682"/>
    <x v="0"/>
    <n v="26"/>
    <s v="Medium"/>
  </r>
  <r>
    <x v="629"/>
    <s v="Brandy"/>
    <s v="Williams"/>
    <s v="Male"/>
    <s v="New York"/>
    <s v="New York City"/>
    <s v="High School"/>
    <d v="1993-12-21T00:00:00"/>
    <d v="2018-04-20T00:00:00"/>
    <d v="2023-08-10T00:00:00"/>
    <x v="0"/>
    <s v="Customer Service Representative"/>
    <x v="619"/>
    <s v="Needs Improvement"/>
    <n v="5.2849315068493148"/>
    <x v="0"/>
    <n v="31"/>
    <s v="Medium"/>
  </r>
  <r>
    <x v="630"/>
    <s v="Troy"/>
    <s v="Khan"/>
    <s v="Female"/>
    <s v="New York"/>
    <s v="New York City"/>
    <s v="Bachelor"/>
    <d v="2002-05-20T00:00:00"/>
    <d v="2017-09-12T00:00:00"/>
    <d v="2022-12-15T00:00:00"/>
    <x v="2"/>
    <s v="Logistics Coordinator"/>
    <x v="620"/>
    <s v="Excellent"/>
    <n v="0.49315068493150682"/>
    <x v="0"/>
    <n v="22"/>
    <s v="Low"/>
  </r>
  <r>
    <x v="631"/>
    <s v="Emily"/>
    <s v="Mitchell"/>
    <s v="Female"/>
    <s v="New York"/>
    <s v="New York City"/>
    <s v="Master"/>
    <d v="1987-03-19T00:00:00"/>
    <d v="2024-01-04T00:00:00"/>
    <d v="2024-07-02T00:00:00"/>
    <x v="2"/>
    <s v="Operations Analyst"/>
    <x v="621"/>
    <s v="Excellent"/>
    <n v="1.2027397260273971"/>
    <x v="0"/>
    <n v="38"/>
    <s v="Medium"/>
  </r>
  <r>
    <x v="632"/>
    <s v="Melanie"/>
    <s v="Jordan"/>
    <s v="Male"/>
    <s v="New York"/>
    <s v="New York City"/>
    <s v="Bachelor"/>
    <d v="1970-08-01T00:00:00"/>
    <d v="2022-12-09T00:00:00"/>
    <d v="2023-06-07T00:00:00"/>
    <x v="1"/>
    <s v="Software Developer"/>
    <x v="622"/>
    <s v="Good"/>
    <n v="4.1726027397260266"/>
    <x v="0"/>
    <n v="54"/>
    <s v="Medium"/>
  </r>
  <r>
    <x v="633"/>
    <s v="Joseph"/>
    <s v="Diaz"/>
    <s v="Female"/>
    <s v="Michigan"/>
    <s v="Warren"/>
    <s v="Bachelor"/>
    <d v="1991-05-11T00:00:00"/>
    <d v="2022-06-06T00:00:00"/>
    <d v="2022-12-03T00:00:00"/>
    <x v="3"/>
    <s v="Accountant"/>
    <x v="623"/>
    <s v="Satisfactory"/>
    <n v="0.49315068493150682"/>
    <x v="0"/>
    <n v="33"/>
    <s v="Low"/>
  </r>
  <r>
    <x v="634"/>
    <s v="Michael"/>
    <s v="Morales"/>
    <s v="Male"/>
    <s v="Michigan"/>
    <s v="Detroit"/>
    <s v="Bachelor"/>
    <d v="1998-07-10T00:00:00"/>
    <d v="2019-08-10T00:00:00"/>
    <d v="2020-02-06T00:00:00"/>
    <x v="2"/>
    <s v="Logistics Coordinator"/>
    <x v="624"/>
    <s v="Excellent"/>
    <n v="2.3835616438356171"/>
    <x v="0"/>
    <n v="26"/>
    <s v="Medium"/>
  </r>
  <r>
    <x v="635"/>
    <s v="Anna"/>
    <s v="Cox"/>
    <s v="Male"/>
    <s v="Pennsylvania"/>
    <s v="Allentown"/>
    <s v="High School"/>
    <d v="2003-10-11T00:00:00"/>
    <d v="2017-04-23T00:00:00"/>
    <d v="2021-11-22T00:00:00"/>
    <x v="0"/>
    <s v="Support Specialist"/>
    <x v="625"/>
    <s v="Needs Improvement"/>
    <n v="0.49315068493150682"/>
    <x v="0"/>
    <n v="21"/>
    <s v="Low"/>
  </r>
  <r>
    <x v="636"/>
    <s v="Charles"/>
    <s v="Gordon"/>
    <s v="Male"/>
    <s v="New York"/>
    <s v="New York City"/>
    <s v="High School"/>
    <d v="1963-02-14T00:00:00"/>
    <d v="2017-10-24T00:00:00"/>
    <d v="2023-10-23T00:00:00"/>
    <x v="2"/>
    <s v="Inventory Specialist"/>
    <x v="626"/>
    <s v="Excellent"/>
    <n v="0.49315068493150682"/>
    <x v="0"/>
    <n v="62"/>
    <s v="Low"/>
  </r>
  <r>
    <x v="637"/>
    <s v="Erin"/>
    <s v="Wilson"/>
    <s v="Female"/>
    <s v="New York"/>
    <s v="New York City"/>
    <s v="Bachelor"/>
    <d v="1981-01-09T00:00:00"/>
    <d v="2022-02-07T00:00:00"/>
    <d v="2022-10-28T00:00:00"/>
    <x v="2"/>
    <s v="Logistics Coordinator"/>
    <x v="627"/>
    <s v="Good"/>
    <n v="0.49315068493150682"/>
    <x v="0"/>
    <n v="44"/>
    <s v="Low"/>
  </r>
  <r>
    <x v="638"/>
    <s v="Angela"/>
    <s v="Diaz"/>
    <s v="Male"/>
    <s v="New York"/>
    <s v="New York City"/>
    <s v="Bachelor"/>
    <d v="1989-05-09T00:00:00"/>
    <d v="2020-02-26T00:00:00"/>
    <d v="2021-04-27T00:00:00"/>
    <x v="6"/>
    <s v="Sales Representative"/>
    <x v="628"/>
    <s v="Satisfactory"/>
    <n v="0.49315068493150682"/>
    <x v="0"/>
    <n v="35"/>
    <s v="Medium"/>
  </r>
  <r>
    <x v="639"/>
    <s v="James"/>
    <s v="Hicks"/>
    <s v="Female"/>
    <s v="Michigan"/>
    <s v="Grand Rapids"/>
    <s v="Bachelor"/>
    <d v="1972-10-29T00:00:00"/>
    <d v="2017-07-14T00:00:00"/>
    <d v="2018-01-10T00:00:00"/>
    <x v="4"/>
    <s v="Content Creator"/>
    <x v="629"/>
    <s v="Good"/>
    <n v="1.912328767123288"/>
    <x v="0"/>
    <n v="52"/>
    <s v="Low"/>
  </r>
  <r>
    <x v="640"/>
    <s v="Billy"/>
    <s v="Williams"/>
    <s v="Male"/>
    <s v="New York"/>
    <s v="New York City"/>
    <s v="Bachelor"/>
    <d v="1986-10-20T00:00:00"/>
    <d v="2017-10-05T00:00:00"/>
    <d v="2020-12-17T00:00:00"/>
    <x v="4"/>
    <s v="Content Creator"/>
    <x v="630"/>
    <s v="Good"/>
    <n v="0.49315068493150682"/>
    <x v="0"/>
    <n v="38"/>
    <s v="Medium"/>
  </r>
  <r>
    <x v="641"/>
    <s v="Mason"/>
    <s v="Wells"/>
    <s v="Male"/>
    <s v="New York"/>
    <s v="New York City"/>
    <s v="High School"/>
    <d v="1980-01-14T00:00:00"/>
    <d v="2017-06-27T00:00:00"/>
    <d v="2018-09-11T00:00:00"/>
    <x v="2"/>
    <s v="Inventory Specialist"/>
    <x v="631"/>
    <s v="Needs Improvement"/>
    <n v="1.802739726027397"/>
    <x v="0"/>
    <n v="45"/>
    <s v="Medium"/>
  </r>
  <r>
    <x v="642"/>
    <s v="Eduardo"/>
    <s v="Barry"/>
    <s v="Male"/>
    <s v="Michigan"/>
    <s v="Detroit"/>
    <s v="Bachelor"/>
    <d v="1967-08-14T00:00:00"/>
    <d v="2018-02-24T00:00:00"/>
    <d v="2018-08-23T00:00:00"/>
    <x v="6"/>
    <s v="Sales Specialist"/>
    <x v="632"/>
    <s v="Good"/>
    <n v="0.49315068493150682"/>
    <x v="0"/>
    <n v="57"/>
    <s v="Medium"/>
  </r>
  <r>
    <x v="643"/>
    <s v="Mark"/>
    <s v="Austin"/>
    <s v="Female"/>
    <s v="New York"/>
    <s v="New York City"/>
    <s v="Master"/>
    <d v="1973-11-25T00:00:00"/>
    <d v="2017-03-05T00:00:00"/>
    <d v="2021-07-19T00:00:00"/>
    <x v="2"/>
    <s v="Operations Analyst"/>
    <x v="633"/>
    <s v="Excellent"/>
    <n v="1.671232876712329"/>
    <x v="0"/>
    <n v="51"/>
    <s v="Medium"/>
  </r>
  <r>
    <x v="644"/>
    <s v="Phillip"/>
    <s v="Jensen"/>
    <s v="Male"/>
    <s v="New York"/>
    <s v="New York City"/>
    <s v="Bachelor"/>
    <d v="2002-04-23T00:00:00"/>
    <d v="2017-11-24T00:00:00"/>
    <d v="2021-02-24T00:00:00"/>
    <x v="2"/>
    <s v="Logistics Coordinator"/>
    <x v="634"/>
    <s v="Good"/>
    <n v="0.49315068493150682"/>
    <x v="0"/>
    <n v="22"/>
    <s v="Medium"/>
  </r>
  <r>
    <x v="645"/>
    <s v="Kevin"/>
    <s v="Rogers"/>
    <s v="Male"/>
    <s v="Michigan"/>
    <s v="Detroit"/>
    <s v="Bachelor"/>
    <d v="1961-04-13T00:00:00"/>
    <d v="2020-11-17T00:00:00"/>
    <d v="2021-05-16T00:00:00"/>
    <x v="6"/>
    <s v="Sales Representative"/>
    <x v="635"/>
    <s v="Satisfactory"/>
    <n v="2.3698630136986298"/>
    <x v="0"/>
    <n v="63"/>
    <s v="Medium"/>
  </r>
  <r>
    <x v="646"/>
    <s v="William"/>
    <s v="Burns"/>
    <s v="Male"/>
    <s v="New York"/>
    <s v="New York City"/>
    <s v="Bachelor"/>
    <d v="1969-05-26T00:00:00"/>
    <d v="2021-08-07T00:00:00"/>
    <d v="2023-05-07T00:00:00"/>
    <x v="2"/>
    <s v="Inventory Specialist"/>
    <x v="636"/>
    <s v="Satisfactory"/>
    <n v="3.7260273972602742"/>
    <x v="0"/>
    <n v="55"/>
    <s v="Medium"/>
  </r>
  <r>
    <x v="647"/>
    <s v="Kevin"/>
    <s v="Cabrera"/>
    <s v="Female"/>
    <s v="Michigan"/>
    <s v="Detroit"/>
    <s v="Bachelor"/>
    <d v="1987-10-25T00:00:00"/>
    <d v="2015-05-24T00:00:00"/>
    <d v="2024-10-19T00:00:00"/>
    <x v="1"/>
    <s v="IT Support Specialist"/>
    <x v="637"/>
    <s v="Satisfactory"/>
    <n v="2.6602739726027398"/>
    <x v="0"/>
    <n v="37"/>
    <s v="Medium"/>
  </r>
  <r>
    <x v="648"/>
    <s v="Mark"/>
    <s v="Rodriguez"/>
    <s v="Female"/>
    <s v="New York"/>
    <s v="New York City"/>
    <s v="PhD"/>
    <d v="1970-08-18T00:00:00"/>
    <d v="2023-06-11T00:00:00"/>
    <d v="2023-12-08T00:00:00"/>
    <x v="3"/>
    <s v="Financial Analyst"/>
    <x v="638"/>
    <s v="Excellent"/>
    <n v="2.257534246575343"/>
    <x v="0"/>
    <n v="54"/>
    <s v="High"/>
  </r>
  <r>
    <x v="649"/>
    <s v="Brandy"/>
    <s v="Robles"/>
    <s v="Female"/>
    <s v="New York"/>
    <s v="New York City"/>
    <s v="Bachelor"/>
    <d v="1993-07-13T00:00:00"/>
    <d v="2019-10-09T00:00:00"/>
    <d v="2021-11-24T00:00:00"/>
    <x v="6"/>
    <s v="Sales Representative"/>
    <x v="639"/>
    <s v="Good"/>
    <n v="1.5287671232876709"/>
    <x v="0"/>
    <n v="31"/>
    <s v="Low"/>
  </r>
  <r>
    <x v="650"/>
    <s v="Monica"/>
    <s v="Soto"/>
    <s v="Female"/>
    <s v="New York"/>
    <s v="New York City"/>
    <s v="Master"/>
    <d v="1991-04-08T00:00:00"/>
    <d v="2022-08-20T00:00:00"/>
    <d v="2023-02-16T00:00:00"/>
    <x v="1"/>
    <s v="Software Developer"/>
    <x v="640"/>
    <s v="Excellent"/>
    <n v="0.49315068493150682"/>
    <x v="0"/>
    <n v="34"/>
    <s v="Medium"/>
  </r>
  <r>
    <x v="651"/>
    <s v="Thomas"/>
    <s v="Coffey"/>
    <s v="Male"/>
    <s v="New York"/>
    <s v="New York City"/>
    <s v="Bachelor"/>
    <d v="1995-10-09T00:00:00"/>
    <d v="2018-11-01T00:00:00"/>
    <d v="2019-04-30T00:00:00"/>
    <x v="0"/>
    <s v="Support Specialist"/>
    <x v="641"/>
    <s v="Good"/>
    <n v="0.49315068493150682"/>
    <x v="0"/>
    <n v="29"/>
    <s v="Medium"/>
  </r>
  <r>
    <x v="652"/>
    <s v="Teresa"/>
    <s v="Lane"/>
    <s v="Male"/>
    <s v="New York"/>
    <s v="New York City"/>
    <s v="Master"/>
    <d v="1970-03-12T00:00:00"/>
    <d v="2024-03-29T00:00:00"/>
    <d v="2024-09-25T00:00:00"/>
    <x v="1"/>
    <s v="System Administrator"/>
    <x v="642"/>
    <s v="Excellent"/>
    <n v="1.2438356164383559"/>
    <x v="0"/>
    <n v="55"/>
    <s v="Medium"/>
  </r>
  <r>
    <x v="653"/>
    <s v="Jennifer"/>
    <s v="Silva"/>
    <s v="Male"/>
    <s v="New York"/>
    <s v="New York City"/>
    <s v="Bachelor"/>
    <d v="1985-06-06T00:00:00"/>
    <d v="2020-03-07T00:00:00"/>
    <d v="2024-03-05T00:00:00"/>
    <x v="6"/>
    <s v="Sales Representative"/>
    <x v="643"/>
    <s v="Good"/>
    <n v="0.49315068493150682"/>
    <x v="0"/>
    <n v="39"/>
    <s v="Medium"/>
  </r>
  <r>
    <x v="654"/>
    <s v="Alexandria"/>
    <s v="Griffith"/>
    <s v="Male"/>
    <s v="New York"/>
    <s v="New York City"/>
    <s v="Bachelor"/>
    <d v="1988-08-16T00:00:00"/>
    <d v="2017-10-28T00:00:00"/>
    <d v="2020-08-26T00:00:00"/>
    <x v="2"/>
    <s v="Logistics Coordinator"/>
    <x v="644"/>
    <s v="Excellent"/>
    <n v="0.49315068493150682"/>
    <x v="0"/>
    <n v="36"/>
    <s v="Medium"/>
  </r>
  <r>
    <x v="655"/>
    <s v="Maureen"/>
    <s v="Hernandez"/>
    <s v="Female"/>
    <s v="New York"/>
    <s v="New York City"/>
    <s v="High School"/>
    <d v="1982-07-11T00:00:00"/>
    <d v="2018-09-21T00:00:00"/>
    <d v="2019-03-20T00:00:00"/>
    <x v="4"/>
    <s v="SEO Specialist"/>
    <x v="645"/>
    <s v="Needs Improvement"/>
    <n v="1.9643835616438361"/>
    <x v="0"/>
    <n v="42"/>
    <s v="Medium"/>
  </r>
  <r>
    <x v="656"/>
    <s v="John"/>
    <s v="Armstrong"/>
    <s v="Male"/>
    <s v="New York"/>
    <s v="New York City"/>
    <s v="Master"/>
    <d v="1998-04-15T00:00:00"/>
    <d v="2022-09-30T00:00:00"/>
    <d v="2023-03-29T00:00:00"/>
    <x v="5"/>
    <s v="HR Coordinator"/>
    <x v="646"/>
    <s v="Excellent"/>
    <n v="3.4164383561643841"/>
    <x v="0"/>
    <n v="26"/>
    <s v="Low"/>
  </r>
  <r>
    <x v="657"/>
    <s v="Daniel"/>
    <s v="Smith"/>
    <s v="Female"/>
    <s v="New York"/>
    <s v="New York City"/>
    <s v="Bachelor"/>
    <d v="1972-08-22T00:00:00"/>
    <d v="2018-05-02T00:00:00"/>
    <d v="2022-06-18T00:00:00"/>
    <x v="2"/>
    <s v="Logistics Coordinator"/>
    <x v="647"/>
    <s v="Good"/>
    <n v="5.3095890410958901"/>
    <x v="0"/>
    <n v="52"/>
    <s v="Low"/>
  </r>
  <r>
    <x v="658"/>
    <s v="Robert"/>
    <s v="Gutierrez"/>
    <s v="Male"/>
    <s v="New York"/>
    <s v="New York City"/>
    <s v="High School"/>
    <d v="1991-01-07T00:00:00"/>
    <d v="2017-03-21T00:00:00"/>
    <d v="2018-12-22T00:00:00"/>
    <x v="2"/>
    <s v="Inventory Specialist"/>
    <x v="648"/>
    <s v="Needs Improvement"/>
    <n v="5.2602739726027394"/>
    <x v="0"/>
    <n v="34"/>
    <s v="Low"/>
  </r>
  <r>
    <x v="659"/>
    <s v="Robert"/>
    <s v="Hampton"/>
    <s v="Male"/>
    <s v="New York"/>
    <s v="New York City"/>
    <s v="High School"/>
    <d v="1988-07-24T00:00:00"/>
    <d v="2022-12-24T00:00:00"/>
    <d v="2023-07-21T00:00:00"/>
    <x v="0"/>
    <s v="Customer Service Representative"/>
    <x v="649"/>
    <s v="Needs Improvement"/>
    <n v="0.49315068493150682"/>
    <x v="0"/>
    <n v="36"/>
    <s v="Low"/>
  </r>
  <r>
    <x v="660"/>
    <s v="Thomas"/>
    <s v="Charles"/>
    <s v="Female"/>
    <s v="New York"/>
    <s v="New York City"/>
    <s v="Bachelor"/>
    <d v="1971-12-05T00:00:00"/>
    <d v="2017-10-10T00:00:00"/>
    <d v="2024-01-25T00:00:00"/>
    <x v="0"/>
    <s v="Support Specialist"/>
    <x v="650"/>
    <s v="Good"/>
    <n v="0.49315068493150682"/>
    <x v="0"/>
    <n v="53"/>
    <s v="Medium"/>
  </r>
  <r>
    <x v="661"/>
    <s v="Bryan"/>
    <s v="Taylor"/>
    <s v="Female"/>
    <s v="New York"/>
    <s v="New York City"/>
    <s v="Bachelor"/>
    <d v="1975-06-11T00:00:00"/>
    <d v="2017-03-22T00:00:00"/>
    <d v="2019-04-23T00:00:00"/>
    <x v="2"/>
    <s v="Logistics Coordinator"/>
    <x v="651"/>
    <s v="Needs Improvement"/>
    <n v="0.49315068493150682"/>
    <x v="0"/>
    <n v="49"/>
    <s v="Low"/>
  </r>
  <r>
    <x v="662"/>
    <s v="Ann"/>
    <s v="Bolton"/>
    <s v="Female"/>
    <s v="New York"/>
    <s v="New York City"/>
    <s v="Master"/>
    <d v="2001-09-19T00:00:00"/>
    <d v="2022-07-05T00:00:00"/>
    <d v="2023-01-01T00:00:00"/>
    <x v="6"/>
    <s v="Sales Consultant"/>
    <x v="652"/>
    <s v="Excellent"/>
    <n v="0.49315068493150682"/>
    <x v="0"/>
    <n v="23"/>
    <s v="Medium"/>
  </r>
  <r>
    <x v="663"/>
    <s v="Alicia"/>
    <s v="Edwards"/>
    <s v="Male"/>
    <s v="New York"/>
    <s v="New York City"/>
    <s v="High School"/>
    <d v="1980-12-17T00:00:00"/>
    <d v="2022-03-09T00:00:00"/>
    <d v="2022-09-05T00:00:00"/>
    <x v="0"/>
    <s v="Support Specialist"/>
    <x v="653"/>
    <s v="Needs Improvement"/>
    <n v="4.5863013698630137"/>
    <x v="0"/>
    <n v="44"/>
    <s v="Low"/>
  </r>
  <r>
    <x v="664"/>
    <s v="Steve"/>
    <s v="Patel"/>
    <s v="Male"/>
    <s v="Michigan"/>
    <s v="Detroit"/>
    <s v="High School"/>
    <d v="2004-03-23T00:00:00"/>
    <d v="2018-08-01T00:00:00"/>
    <d v="2023-12-13T00:00:00"/>
    <x v="0"/>
    <s v="Customer Service Representative"/>
    <x v="654"/>
    <s v="Needs Improvement"/>
    <n v="6"/>
    <x v="0"/>
    <n v="21"/>
    <s v="Low"/>
  </r>
  <r>
    <x v="665"/>
    <s v="Michael"/>
    <s v="Ingram"/>
    <s v="Female"/>
    <s v="New York"/>
    <s v="New York City"/>
    <s v="PhD"/>
    <d v="1989-05-24T00:00:00"/>
    <d v="2020-10-06T00:00:00"/>
    <d v="2021-09-06T00:00:00"/>
    <x v="3"/>
    <s v="Financial Analyst"/>
    <x v="655"/>
    <s v="Excellent"/>
    <n v="9.6136986301369856"/>
    <x v="1"/>
    <n v="35"/>
    <s v="Medium"/>
  </r>
  <r>
    <x v="666"/>
    <s v="Erin"/>
    <s v="Lara"/>
    <s v="Male"/>
    <s v="New York"/>
    <s v="New York City"/>
    <s v="Bachelor"/>
    <d v="1986-04-08T00:00:00"/>
    <d v="2018-04-13T00:00:00"/>
    <d v="2019-10-04T00:00:00"/>
    <x v="1"/>
    <s v="IT Support Specialist"/>
    <x v="656"/>
    <s v="Needs Improvement"/>
    <n v="0.72054794520547949"/>
    <x v="0"/>
    <n v="39"/>
    <s v="Medium"/>
  </r>
  <r>
    <x v="667"/>
    <s v="Chelsea"/>
    <s v="Lee"/>
    <s v="Male"/>
    <s v="New York"/>
    <s v="New York City"/>
    <s v="Bachelor"/>
    <d v="2001-10-11T00:00:00"/>
    <d v="2023-04-06T00:00:00"/>
    <d v="2023-10-03T00:00:00"/>
    <x v="1"/>
    <s v="System Administrator"/>
    <x v="657"/>
    <s v="Needs Improvement"/>
    <n v="8.9178082191780828"/>
    <x v="1"/>
    <n v="23"/>
    <s v="Medium"/>
  </r>
  <r>
    <x v="668"/>
    <s v="Joshua"/>
    <s v="Evans"/>
    <s v="Male"/>
    <s v="New York"/>
    <s v="New York City"/>
    <s v="Bachelor"/>
    <d v="1960-05-27T00:00:00"/>
    <d v="2024-04-25T00:00:00"/>
    <d v="2024-10-22T00:00:00"/>
    <x v="1"/>
    <s v="Software Developer"/>
    <x v="658"/>
    <s v="Satisfactory"/>
    <n v="1.167123287671233"/>
    <x v="0"/>
    <n v="64"/>
    <s v="Medium"/>
  </r>
  <r>
    <x v="669"/>
    <s v="Kellie"/>
    <s v="Bush"/>
    <s v="Male"/>
    <s v="New York"/>
    <s v="New York City"/>
    <s v="Bachelor"/>
    <d v="2000-08-04T00:00:00"/>
    <d v="2015-09-26T00:00:00"/>
    <d v="2024-06-29T00:00:00"/>
    <x v="1"/>
    <s v="System Administrator"/>
    <x v="659"/>
    <s v="Excellent"/>
    <n v="0.49315068493150682"/>
    <x v="0"/>
    <n v="24"/>
    <s v="Medium"/>
  </r>
  <r>
    <x v="670"/>
    <s v="Janet"/>
    <s v="Stewart"/>
    <s v="Male"/>
    <s v="Michigan"/>
    <s v="Grand Rapids"/>
    <s v="Bachelor"/>
    <d v="1998-07-22T00:00:00"/>
    <d v="2015-05-16T00:00:00"/>
    <d v="2019-03-16T00:00:00"/>
    <x v="2"/>
    <s v="Logistics Coordinator"/>
    <x v="660"/>
    <s v="Good"/>
    <n v="3.2027397260273971"/>
    <x v="0"/>
    <n v="26"/>
    <s v="Medium"/>
  </r>
  <r>
    <x v="671"/>
    <s v="Ann"/>
    <s v="Michael"/>
    <s v="Male"/>
    <s v="New York"/>
    <s v="New York City"/>
    <s v="PhD"/>
    <d v="1967-06-11T00:00:00"/>
    <d v="2022-10-08T00:00:00"/>
    <d v="2023-04-06T00:00:00"/>
    <x v="6"/>
    <s v="Sales Consultant"/>
    <x v="661"/>
    <s v="Excellent"/>
    <n v="1.208219178082192"/>
    <x v="0"/>
    <n v="57"/>
    <s v="Medium"/>
  </r>
  <r>
    <x v="672"/>
    <s v="Joshua"/>
    <s v="Martinez"/>
    <s v="Male"/>
    <s v="Virginia"/>
    <s v="Norfolk"/>
    <s v="High School"/>
    <d v="1988-11-03T00:00:00"/>
    <d v="2018-09-20T00:00:00"/>
    <d v="2019-03-19T00:00:00"/>
    <x v="2"/>
    <s v="Inventory Specialist"/>
    <x v="662"/>
    <s v="Needs Improvement"/>
    <n v="0.49315068493150682"/>
    <x v="0"/>
    <n v="36"/>
    <s v="Medium"/>
  </r>
  <r>
    <x v="673"/>
    <s v="Amy"/>
    <s v="Huang"/>
    <s v="Male"/>
    <s v="Michigan"/>
    <s v="Grand Rapids"/>
    <s v="Bachelor"/>
    <d v="2001-06-30T00:00:00"/>
    <d v="2020-06-02T00:00:00"/>
    <d v="2020-11-29T00:00:00"/>
    <x v="1"/>
    <s v="Software Developer"/>
    <x v="663"/>
    <s v="Excellent"/>
    <n v="4.375342465753425"/>
    <x v="0"/>
    <n v="23"/>
    <s v="Medium"/>
  </r>
  <r>
    <x v="674"/>
    <s v="Loretta"/>
    <s v="Blevins"/>
    <s v="Male"/>
    <s v="New York"/>
    <s v="New York City"/>
    <s v="Bachelor"/>
    <d v="1973-02-09T00:00:00"/>
    <d v="2017-11-09T00:00:00"/>
    <d v="2021-10-15T00:00:00"/>
    <x v="2"/>
    <s v="Logistics Coordinator"/>
    <x v="664"/>
    <s v="Satisfactory"/>
    <n v="3.2547945205479452"/>
    <x v="0"/>
    <n v="52"/>
    <s v="Medium"/>
  </r>
  <r>
    <x v="675"/>
    <s v="Dwayne"/>
    <s v="Williams"/>
    <s v="Male"/>
    <s v="New York"/>
    <s v="New York City"/>
    <s v="High School"/>
    <d v="1978-01-07T00:00:00"/>
    <d v="2022-10-05T00:00:00"/>
    <d v="2023-04-03T00:00:00"/>
    <x v="2"/>
    <s v="Inventory Specialist"/>
    <x v="665"/>
    <s v="Needs Improvement"/>
    <n v="0.49315068493150682"/>
    <x v="0"/>
    <n v="47"/>
    <s v="Medium"/>
  </r>
  <r>
    <x v="676"/>
    <s v="Christian"/>
    <s v="Bradshaw"/>
    <s v="Male"/>
    <s v="New York"/>
    <s v="New York City"/>
    <s v="Bachelor"/>
    <d v="1981-06-12T00:00:00"/>
    <d v="2017-09-12T00:00:00"/>
    <d v="2020-09-19T00:00:00"/>
    <x v="6"/>
    <s v="Sales Representative"/>
    <x v="666"/>
    <s v="Good"/>
    <n v="1.747945205479452"/>
    <x v="0"/>
    <n v="43"/>
    <s v="Medium"/>
  </r>
  <r>
    <x v="677"/>
    <s v="Jonathan"/>
    <s v="Mendoza"/>
    <s v="Male"/>
    <s v="Michigan"/>
    <s v="Warren"/>
    <s v="High School"/>
    <d v="1989-07-05T00:00:00"/>
    <d v="2017-03-20T00:00:00"/>
    <d v="2019-07-23T00:00:00"/>
    <x v="2"/>
    <s v="Inventory Specialist"/>
    <x v="667"/>
    <s v="Needs Improvement"/>
    <n v="9.4136986301369863"/>
    <x v="0"/>
    <n v="35"/>
    <s v="Low"/>
  </r>
  <r>
    <x v="678"/>
    <s v="Maria"/>
    <s v="Nelson"/>
    <s v="Female"/>
    <s v="New York"/>
    <s v="New York City"/>
    <s v="Bachelor"/>
    <d v="1984-01-03T00:00:00"/>
    <d v="2020-08-06T00:00:00"/>
    <d v="2021-02-02T00:00:00"/>
    <x v="2"/>
    <s v="Logistics Coordinator"/>
    <x v="668"/>
    <s v="Good"/>
    <n v="0.49315068493150682"/>
    <x v="0"/>
    <n v="41"/>
    <s v="Low"/>
  </r>
  <r>
    <x v="679"/>
    <s v="Heather"/>
    <s v="Taylor"/>
    <s v="Female"/>
    <s v="New York"/>
    <s v="New York City"/>
    <s v="Bachelor"/>
    <d v="1975-08-25T00:00:00"/>
    <d v="2015-08-28T00:00:00"/>
    <d v="2021-11-30T00:00:00"/>
    <x v="4"/>
    <s v="Marketing Coordinator"/>
    <x v="669"/>
    <s v="Good"/>
    <n v="2.128767123287671"/>
    <x v="0"/>
    <n v="49"/>
    <s v="Medium"/>
  </r>
  <r>
    <x v="680"/>
    <s v="Joyce"/>
    <s v="Allen"/>
    <s v="Female"/>
    <s v="New York"/>
    <s v="New York City"/>
    <s v="Master"/>
    <d v="1974-01-29T00:00:00"/>
    <d v="2023-01-20T00:00:00"/>
    <d v="2023-07-19T00:00:00"/>
    <x v="1"/>
    <s v="Software Developer"/>
    <x v="670"/>
    <s v="Excellent"/>
    <n v="0.49315068493150682"/>
    <x v="0"/>
    <n v="51"/>
    <s v="High"/>
  </r>
  <r>
    <x v="681"/>
    <s v="Elizabeth"/>
    <s v="Schmidt"/>
    <s v="Female"/>
    <s v="New York"/>
    <s v="New York City"/>
    <s v="Bachelor"/>
    <d v="1984-08-27T00:00:00"/>
    <d v="2015-09-05T00:00:00"/>
    <d v="2018-10-07T00:00:00"/>
    <x v="1"/>
    <s v="Software Developer"/>
    <x v="671"/>
    <s v="Good"/>
    <n v="0.49315068493150682"/>
    <x v="0"/>
    <n v="40"/>
    <s v="Medium"/>
  </r>
  <r>
    <x v="682"/>
    <s v="Jesse"/>
    <s v="Garcia"/>
    <s v="Female"/>
    <s v="New York"/>
    <s v="New York City"/>
    <s v="Bachelor"/>
    <d v="1970-08-15T00:00:00"/>
    <d v="2016-05-08T00:00:00"/>
    <d v="2019-05-13T00:00:00"/>
    <x v="0"/>
    <s v="Help Desk Technician"/>
    <x v="672"/>
    <s v="Good"/>
    <n v="0.49315068493150682"/>
    <x v="0"/>
    <n v="54"/>
    <s v="Medium"/>
  </r>
  <r>
    <x v="683"/>
    <s v="Jennifer"/>
    <s v="Garcia"/>
    <s v="Female"/>
    <s v="New York"/>
    <s v="New York City"/>
    <s v="Bachelor"/>
    <d v="1987-10-17T00:00:00"/>
    <d v="2018-10-26T00:00:00"/>
    <d v="2019-04-24T00:00:00"/>
    <x v="6"/>
    <s v="Sales Specialist"/>
    <x v="673"/>
    <s v="Good"/>
    <n v="3.9972602739726031"/>
    <x v="0"/>
    <n v="37"/>
    <s v="Medium"/>
  </r>
  <r>
    <x v="684"/>
    <s v="Derrick"/>
    <s v="Oconnell"/>
    <s v="Male"/>
    <s v="New York"/>
    <s v="New York City"/>
    <s v="Bachelor"/>
    <d v="1964-01-20T00:00:00"/>
    <d v="2015-12-27T00:00:00"/>
    <d v="2022-10-22T00:00:00"/>
    <x v="2"/>
    <s v="Operations Analyst"/>
    <x v="674"/>
    <s v="Satisfactory"/>
    <n v="2.8301369863013699"/>
    <x v="0"/>
    <n v="61"/>
    <s v="Medium"/>
  </r>
  <r>
    <x v="685"/>
    <s v="Eric"/>
    <s v="Delgado"/>
    <s v="Female"/>
    <s v="New York"/>
    <s v="New York City"/>
    <s v="Bachelor"/>
    <d v="1986-08-20T00:00:00"/>
    <d v="2015-12-09T00:00:00"/>
    <d v="2019-08-28T00:00:00"/>
    <x v="6"/>
    <s v="Sales Representative"/>
    <x v="675"/>
    <s v="Satisfactory"/>
    <n v="0.49315068493150682"/>
    <x v="0"/>
    <n v="38"/>
    <s v="Medium"/>
  </r>
  <r>
    <x v="686"/>
    <s v="Natalie"/>
    <s v="Woods"/>
    <s v="Female"/>
    <s v="New York"/>
    <s v="New York City"/>
    <s v="Master"/>
    <d v="1975-12-01T00:00:00"/>
    <d v="2024-03-18T00:00:00"/>
    <d v="2024-09-14T00:00:00"/>
    <x v="1"/>
    <s v="Software Developer"/>
    <x v="676"/>
    <s v="Good"/>
    <n v="0.49315068493150682"/>
    <x v="0"/>
    <n v="49"/>
    <s v="High"/>
  </r>
  <r>
    <x v="687"/>
    <s v="Katelyn"/>
    <s v="Mitchell"/>
    <s v="Female"/>
    <s v="Virginia"/>
    <s v="Richmond"/>
    <s v="High School"/>
    <d v="1985-01-14T00:00:00"/>
    <d v="2023-04-21T00:00:00"/>
    <d v="2023-10-18T00:00:00"/>
    <x v="0"/>
    <s v="Support Specialist"/>
    <x v="677"/>
    <s v="Needs Improvement"/>
    <n v="4.1315068493150688"/>
    <x v="0"/>
    <n v="40"/>
    <s v="Low"/>
  </r>
  <r>
    <x v="688"/>
    <s v="Debbie"/>
    <s v="Velez"/>
    <s v="Female"/>
    <s v="New York"/>
    <s v="New York City"/>
    <s v="Bachelor"/>
    <d v="1980-11-30T00:00:00"/>
    <d v="2020-02-04T00:00:00"/>
    <d v="2020-08-02T00:00:00"/>
    <x v="0"/>
    <s v="Support Specialist"/>
    <x v="678"/>
    <s v="Good"/>
    <n v="1.7561643835616441"/>
    <x v="0"/>
    <n v="44"/>
    <s v="Low"/>
  </r>
  <r>
    <x v="689"/>
    <s v="Denise"/>
    <s v="Hall"/>
    <s v="Female"/>
    <s v="Michigan"/>
    <s v="Grand Rapids"/>
    <s v="Master"/>
    <d v="2002-06-26T00:00:00"/>
    <d v="2020-10-13T00:00:00"/>
    <d v="2021-04-11T00:00:00"/>
    <x v="2"/>
    <s v="Operations Analyst"/>
    <x v="679"/>
    <s v="Excellent"/>
    <n v="0.57260273972602738"/>
    <x v="0"/>
    <n v="22"/>
    <s v="Medium"/>
  </r>
  <r>
    <x v="690"/>
    <s v="Jennifer"/>
    <s v="Zuniga"/>
    <s v="Male"/>
    <s v="New York"/>
    <s v="New York City"/>
    <s v="Bachelor"/>
    <d v="1995-01-14T00:00:00"/>
    <d v="2016-12-20T00:00:00"/>
    <d v="2021-12-31T00:00:00"/>
    <x v="0"/>
    <s v="Help Desk Technician"/>
    <x v="680"/>
    <s v="Good"/>
    <n v="6.2958904109589042"/>
    <x v="0"/>
    <n v="30"/>
    <s v="Medium"/>
  </r>
  <r>
    <x v="691"/>
    <s v="Sandra"/>
    <s v="Butler"/>
    <s v="Male"/>
    <s v="New York"/>
    <s v="New York City"/>
    <s v="High School"/>
    <d v="1993-06-17T00:00:00"/>
    <d v="2017-11-22T00:00:00"/>
    <d v="2024-10-18T00:00:00"/>
    <x v="1"/>
    <s v="IT Support Specialist"/>
    <x v="681"/>
    <s v="Needs Improvement"/>
    <n v="2.087671232876712"/>
    <x v="0"/>
    <n v="31"/>
    <s v="Medium"/>
  </r>
  <r>
    <x v="692"/>
    <s v="Gregory"/>
    <s v="Gillespie"/>
    <s v="Female"/>
    <s v="New York"/>
    <s v="New York City"/>
    <s v="Bachelor"/>
    <d v="1986-05-26T00:00:00"/>
    <d v="2022-11-21T00:00:00"/>
    <d v="2023-05-20T00:00:00"/>
    <x v="2"/>
    <s v="Operations Analyst"/>
    <x v="682"/>
    <s v="Needs Improvement"/>
    <n v="0.49315068493150682"/>
    <x v="0"/>
    <n v="38"/>
    <s v="Low"/>
  </r>
  <r>
    <x v="693"/>
    <s v="Randy"/>
    <s v="Simpson"/>
    <s v="Female"/>
    <s v="New York"/>
    <s v="New York City"/>
    <s v="Master"/>
    <d v="1972-06-16T00:00:00"/>
    <d v="2022-12-30T00:00:00"/>
    <d v="2023-06-28T00:00:00"/>
    <x v="6"/>
    <s v="Sales Specialist"/>
    <x v="683"/>
    <s v="Good"/>
    <n v="0.49315068493150682"/>
    <x v="0"/>
    <n v="52"/>
    <s v="Medium"/>
  </r>
  <r>
    <x v="694"/>
    <s v="Kaitlyn"/>
    <s v="Brennan"/>
    <s v="Male"/>
    <s v="New York"/>
    <s v="New York City"/>
    <s v="Bachelor"/>
    <d v="1989-01-30T00:00:00"/>
    <d v="2018-04-23T00:00:00"/>
    <d v="2021-01-03T00:00:00"/>
    <x v="0"/>
    <s v="Help Desk Technician"/>
    <x v="684"/>
    <s v="Good"/>
    <n v="5.3698630136986303"/>
    <x v="0"/>
    <n v="36"/>
    <s v="Medium"/>
  </r>
  <r>
    <x v="695"/>
    <s v="Nancy"/>
    <s v="Smith"/>
    <s v="Male"/>
    <s v="New York"/>
    <s v="New York City"/>
    <s v="Master"/>
    <d v="1998-06-02T00:00:00"/>
    <d v="2015-08-09T00:00:00"/>
    <d v="2024-08-28T00:00:00"/>
    <x v="6"/>
    <s v="Sales Manager"/>
    <x v="685"/>
    <s v="Excellent"/>
    <n v="0.9178082191780822"/>
    <x v="0"/>
    <n v="26"/>
    <s v="High"/>
  </r>
  <r>
    <x v="696"/>
    <s v="Carrie"/>
    <s v="Hebert"/>
    <s v="Male"/>
    <s v="Ohio"/>
    <s v="Columbus"/>
    <s v="Bachelor"/>
    <d v="1993-08-04T00:00:00"/>
    <d v="2023-05-11T00:00:00"/>
    <d v="2023-11-07T00:00:00"/>
    <x v="1"/>
    <s v="Software Developer"/>
    <x v="686"/>
    <s v="Needs Improvement"/>
    <n v="1.4767123287671231"/>
    <x v="0"/>
    <n v="31"/>
    <s v="High"/>
  </r>
  <r>
    <x v="697"/>
    <s v="Justin"/>
    <s v="Hays"/>
    <s v="Female"/>
    <s v="New York"/>
    <s v="New York City"/>
    <s v="Bachelor"/>
    <d v="1992-02-24T00:00:00"/>
    <d v="2020-07-29T00:00:00"/>
    <d v="2021-01-25T00:00:00"/>
    <x v="3"/>
    <s v="Accountant"/>
    <x v="687"/>
    <s v="Excellent"/>
    <n v="0.49315068493150682"/>
    <x v="0"/>
    <n v="33"/>
    <s v="Medium"/>
  </r>
  <r>
    <x v="698"/>
    <s v="Alice"/>
    <s v="Small"/>
    <s v="Male"/>
    <s v="Michigan"/>
    <s v="Warren"/>
    <s v="PhD"/>
    <d v="1984-01-05T00:00:00"/>
    <d v="2017-02-22T00:00:00"/>
    <d v="2021-10-28T00:00:00"/>
    <x v="6"/>
    <s v="Sales Consultant"/>
    <x v="688"/>
    <s v="Excellent"/>
    <n v="0.49315068493150682"/>
    <x v="0"/>
    <n v="41"/>
    <s v="Medium"/>
  </r>
  <r>
    <x v="699"/>
    <s v="Melissa"/>
    <s v="Mcdonald"/>
    <s v="Male"/>
    <s v="New York"/>
    <s v="New York City"/>
    <s v="Bachelor"/>
    <d v="1980-01-31T00:00:00"/>
    <d v="2017-03-16T00:00:00"/>
    <d v="2018-05-26T00:00:00"/>
    <x v="0"/>
    <s v="Customer Service Representative"/>
    <x v="689"/>
    <s v="Good"/>
    <n v="8.7643835616438359"/>
    <x v="0"/>
    <n v="45"/>
    <s v="Medium"/>
  </r>
  <r>
    <x v="700"/>
    <s v="Lisa"/>
    <s v="Rivera"/>
    <s v="Male"/>
    <s v="New York"/>
    <s v="New York City"/>
    <s v="Bachelor"/>
    <d v="1979-10-04T00:00:00"/>
    <d v="2017-10-11T00:00:00"/>
    <d v="2018-11-11T00:00:00"/>
    <x v="6"/>
    <s v="Sales Representative"/>
    <x v="690"/>
    <s v="Needs Improvement"/>
    <n v="3.8356164383561642"/>
    <x v="0"/>
    <n v="45"/>
    <s v="Medium"/>
  </r>
  <r>
    <x v="701"/>
    <s v="Stephen"/>
    <s v="Scott"/>
    <s v="Male"/>
    <s v="Pennsylvania"/>
    <s v="Pittsburgh"/>
    <s v="Master"/>
    <d v="1983-11-08T00:00:00"/>
    <d v="2017-03-14T00:00:00"/>
    <d v="2023-10-26T00:00:00"/>
    <x v="6"/>
    <s v="Sales Specialist"/>
    <x v="691"/>
    <s v="Excellent"/>
    <n v="0.49315068493150682"/>
    <x v="0"/>
    <n v="41"/>
    <s v="Low"/>
  </r>
  <r>
    <x v="702"/>
    <s v="Alexis"/>
    <s v="Rogers"/>
    <s v="Male"/>
    <s v="New York"/>
    <s v="New York City"/>
    <s v="High School"/>
    <d v="2003-07-02T00:00:00"/>
    <d v="2020-04-24T00:00:00"/>
    <d v="2020-10-21T00:00:00"/>
    <x v="2"/>
    <s v="Inventory Specialist"/>
    <x v="692"/>
    <s v="Needs Improvement"/>
    <n v="0.49315068493150682"/>
    <x v="0"/>
    <n v="21"/>
    <s v="Low"/>
  </r>
  <r>
    <x v="703"/>
    <s v="Ashley"/>
    <s v="Todd"/>
    <s v="Male"/>
    <s v="New York"/>
    <s v="New York City"/>
    <s v="High School"/>
    <d v="1969-10-18T00:00:00"/>
    <d v="2024-03-09T00:00:00"/>
    <d v="2024-09-05T00:00:00"/>
    <x v="0"/>
    <s v="Help Desk Technician"/>
    <x v="693"/>
    <s v="Needs Improvement"/>
    <n v="0.49315068493150682"/>
    <x v="0"/>
    <n v="55"/>
    <s v="Medium"/>
  </r>
  <r>
    <x v="704"/>
    <s v="Cheryl"/>
    <s v="Fowler"/>
    <s v="Male"/>
    <s v="Michigan"/>
    <s v="Warren"/>
    <s v="Bachelor"/>
    <d v="2003-07-20T00:00:00"/>
    <d v="2017-06-07T00:00:00"/>
    <d v="2024-06-01T00:00:00"/>
    <x v="1"/>
    <s v="Software Developer"/>
    <x v="694"/>
    <s v="Good"/>
    <n v="3.934246575342466"/>
    <x v="0"/>
    <n v="21"/>
    <s v="High"/>
  </r>
  <r>
    <x v="705"/>
    <s v="Margaret"/>
    <s v="Robertson"/>
    <s v="Female"/>
    <s v="New York"/>
    <s v="New York City"/>
    <s v="Bachelor"/>
    <d v="1977-08-04T00:00:00"/>
    <d v="2018-02-03T00:00:00"/>
    <d v="2023-05-22T00:00:00"/>
    <x v="4"/>
    <s v="Marketing Coordinator"/>
    <x v="695"/>
    <s v="Excellent"/>
    <n v="0.49315068493150682"/>
    <x v="0"/>
    <n v="47"/>
    <s v="Medium"/>
  </r>
  <r>
    <x v="706"/>
    <s v="Richard"/>
    <s v="Davis"/>
    <s v="Female"/>
    <s v="New York"/>
    <s v="New York City"/>
    <s v="Bachelor"/>
    <d v="1985-04-16T00:00:00"/>
    <d v="2020-02-24T00:00:00"/>
    <d v="2020-08-22T00:00:00"/>
    <x v="0"/>
    <s v="Support Specialist"/>
    <x v="696"/>
    <s v="Satisfactory"/>
    <n v="3.021917808219178"/>
    <x v="0"/>
    <n v="39"/>
    <s v="Low"/>
  </r>
  <r>
    <x v="707"/>
    <s v="Thomas"/>
    <s v="Boyle"/>
    <s v="Female"/>
    <s v="New York"/>
    <s v="New York City"/>
    <s v="Bachelor"/>
    <d v="1973-10-04T00:00:00"/>
    <d v="2019-01-03T00:00:00"/>
    <d v="2019-07-02T00:00:00"/>
    <x v="0"/>
    <s v="Support Specialist"/>
    <x v="697"/>
    <s v="Satisfactory"/>
    <n v="2.342465753424658"/>
    <x v="0"/>
    <n v="51"/>
    <s v="Low"/>
  </r>
  <r>
    <x v="708"/>
    <s v="Jose"/>
    <s v="Young"/>
    <s v="Male"/>
    <s v="New York"/>
    <s v="New York City"/>
    <s v="Bachelor"/>
    <d v="1975-10-18T00:00:00"/>
    <d v="2022-10-20T00:00:00"/>
    <d v="2023-12-17T00:00:00"/>
    <x v="2"/>
    <s v="Inventory Specialist"/>
    <x v="698"/>
    <s v="Satisfactory"/>
    <n v="0.49315068493150682"/>
    <x v="0"/>
    <n v="49"/>
    <s v="Medium"/>
  </r>
  <r>
    <x v="709"/>
    <s v="Joseph"/>
    <s v="Rivera"/>
    <s v="Male"/>
    <s v="New York"/>
    <s v="New York City"/>
    <s v="High School"/>
    <d v="1986-02-26T00:00:00"/>
    <d v="2015-08-15T00:00:00"/>
    <d v="2016-02-11T00:00:00"/>
    <x v="4"/>
    <s v="Content Creator"/>
    <x v="699"/>
    <s v="Needs Improvement"/>
    <n v="6.2630136986301368"/>
    <x v="0"/>
    <n v="39"/>
    <s v="Medium"/>
  </r>
  <r>
    <x v="710"/>
    <s v="Jennifer"/>
    <s v="Smith"/>
    <s v="Male"/>
    <s v="New York"/>
    <s v="New York City"/>
    <s v="PhD"/>
    <d v="1965-02-27T00:00:00"/>
    <d v="2020-09-10T00:00:00"/>
    <d v="2021-03-09T00:00:00"/>
    <x v="3"/>
    <s v="Financial Analyst"/>
    <x v="700"/>
    <s v="Excellent"/>
    <n v="0.49315068493150682"/>
    <x v="0"/>
    <n v="60"/>
    <s v="Medium"/>
  </r>
  <r>
    <x v="711"/>
    <s v="Michael"/>
    <s v="Young"/>
    <s v="Male"/>
    <s v="New York"/>
    <s v="New York City"/>
    <s v="Master"/>
    <d v="1983-02-11T00:00:00"/>
    <d v="2019-09-17T00:00:00"/>
    <d v="2020-03-15T00:00:00"/>
    <x v="4"/>
    <s v="Marketing Manager"/>
    <x v="701"/>
    <s v="Excellent"/>
    <n v="3.0904109589041102"/>
    <x v="0"/>
    <n v="42"/>
    <s v="High"/>
  </r>
  <r>
    <x v="712"/>
    <s v="David"/>
    <s v="Parker"/>
    <s v="Female"/>
    <s v="Illinois"/>
    <s v="Chicago"/>
    <s v="Bachelor"/>
    <d v="1986-09-11T00:00:00"/>
    <d v="2018-06-07T00:00:00"/>
    <d v="2020-06-07T00:00:00"/>
    <x v="1"/>
    <s v="System Administrator"/>
    <x v="702"/>
    <s v="Good"/>
    <n v="3.0136986301369859"/>
    <x v="0"/>
    <n v="38"/>
    <s v="Medium"/>
  </r>
  <r>
    <x v="713"/>
    <s v="Gina"/>
    <s v="Leblanc"/>
    <s v="Female"/>
    <s v="New York"/>
    <s v="New York City"/>
    <s v="Bachelor"/>
    <d v="1993-02-20T00:00:00"/>
    <d v="2022-12-11T00:00:00"/>
    <d v="2023-06-09T00:00:00"/>
    <x v="4"/>
    <s v="Marketing Manager"/>
    <x v="703"/>
    <s v="Good"/>
    <n v="0.49315068493150682"/>
    <x v="0"/>
    <n v="32"/>
    <s v="Medium"/>
  </r>
  <r>
    <x v="714"/>
    <s v="Jade"/>
    <s v="Collins"/>
    <s v="Male"/>
    <s v="New York"/>
    <s v="New York City"/>
    <s v="Bachelor"/>
    <d v="1971-12-02T00:00:00"/>
    <d v="2018-02-15T00:00:00"/>
    <d v="2018-08-14T00:00:00"/>
    <x v="2"/>
    <s v="Logistics Coordinator"/>
    <x v="704"/>
    <s v="Satisfactory"/>
    <n v="6.8246575342465752"/>
    <x v="0"/>
    <n v="53"/>
    <s v="Medium"/>
  </r>
  <r>
    <x v="715"/>
    <s v="Danielle"/>
    <s v="Shepard"/>
    <s v="Male"/>
    <s v="Michigan"/>
    <s v="Grand Rapids"/>
    <s v="Bachelor"/>
    <d v="1986-06-18T00:00:00"/>
    <d v="2018-05-23T00:00:00"/>
    <d v="2021-01-23T00:00:00"/>
    <x v="6"/>
    <s v="Sales Representative"/>
    <x v="705"/>
    <s v="Good"/>
    <n v="3.720547945205479"/>
    <x v="0"/>
    <n v="38"/>
    <s v="Medium"/>
  </r>
  <r>
    <x v="716"/>
    <s v="Christina"/>
    <s v="Robinson"/>
    <s v="Female"/>
    <s v="Pennsylvania"/>
    <s v="Pittsburgh"/>
    <s v="Bachelor"/>
    <d v="1979-12-10T00:00:00"/>
    <d v="2024-02-21T00:00:00"/>
    <d v="2024-08-19T00:00:00"/>
    <x v="0"/>
    <s v="Customer Service Representative"/>
    <x v="706"/>
    <s v="Good"/>
    <n v="0.49315068493150682"/>
    <x v="0"/>
    <n v="45"/>
    <s v="Low"/>
  </r>
  <r>
    <x v="717"/>
    <s v="Timothy"/>
    <s v="Gibson"/>
    <s v="Female"/>
    <s v="New York"/>
    <s v="New York City"/>
    <s v="Bachelor"/>
    <d v="1988-03-07T00:00:00"/>
    <d v="2016-08-23T00:00:00"/>
    <d v="2024-07-25T00:00:00"/>
    <x v="4"/>
    <s v="Marketing Coordinator"/>
    <x v="707"/>
    <s v="Good"/>
    <n v="0.49315068493150682"/>
    <x v="0"/>
    <n v="37"/>
    <s v="Medium"/>
  </r>
  <r>
    <x v="718"/>
    <s v="Nathaniel"/>
    <s v="Miles"/>
    <s v="Female"/>
    <s v="New York"/>
    <s v="New York City"/>
    <s v="High School"/>
    <d v="1991-10-15T00:00:00"/>
    <d v="2019-12-21T00:00:00"/>
    <d v="2020-06-18T00:00:00"/>
    <x v="5"/>
    <s v="Recruiter"/>
    <x v="708"/>
    <s v="Needs Improvement"/>
    <n v="0.49315068493150682"/>
    <x v="0"/>
    <n v="33"/>
    <s v="Low"/>
  </r>
  <r>
    <x v="719"/>
    <s v="Thomas"/>
    <s v="Medina"/>
    <s v="Male"/>
    <s v="New York"/>
    <s v="New York City"/>
    <s v="Bachelor"/>
    <d v="1973-10-09T00:00:00"/>
    <d v="2016-09-14T00:00:00"/>
    <d v="2020-03-28T00:00:00"/>
    <x v="4"/>
    <s v="Marketing Coordinator"/>
    <x v="709"/>
    <s v="Good"/>
    <n v="0.49315068493150682"/>
    <x v="0"/>
    <n v="51"/>
    <s v="Medium"/>
  </r>
  <r>
    <x v="720"/>
    <s v="Margaret"/>
    <s v="Gill"/>
    <s v="Female"/>
    <s v="Pennsylvania"/>
    <s v="Philadelphia"/>
    <s v="Master"/>
    <d v="1996-01-12T00:00:00"/>
    <d v="2016-09-21T00:00:00"/>
    <d v="2020-08-06T00:00:00"/>
    <x v="6"/>
    <s v="Sales Manager"/>
    <x v="710"/>
    <s v="Good"/>
    <n v="5.0328767123287674"/>
    <x v="0"/>
    <n v="29"/>
    <s v="High"/>
  </r>
  <r>
    <x v="721"/>
    <s v="Karen"/>
    <s v="Marks"/>
    <s v="Female"/>
    <s v="New York"/>
    <s v="New York City"/>
    <s v="Bachelor"/>
    <d v="1995-09-22T00:00:00"/>
    <d v="2023-02-01T00:00:00"/>
    <d v="2023-07-31T00:00:00"/>
    <x v="2"/>
    <s v="Logistics Coordinator"/>
    <x v="711"/>
    <s v="Excellent"/>
    <n v="6.9095890410958907"/>
    <x v="0"/>
    <n v="29"/>
    <s v="Low"/>
  </r>
  <r>
    <x v="722"/>
    <s v="Alicia"/>
    <s v="Rice"/>
    <s v="Male"/>
    <s v="New York"/>
    <s v="New York City"/>
    <s v="Bachelor"/>
    <d v="1975-05-26T00:00:00"/>
    <d v="2018-05-21T00:00:00"/>
    <d v="2020-07-16T00:00:00"/>
    <x v="3"/>
    <s v="Accounts Payable Specialist"/>
    <x v="712"/>
    <s v="Good"/>
    <n v="0.49315068493150682"/>
    <x v="0"/>
    <n v="49"/>
    <s v="Medium"/>
  </r>
  <r>
    <x v="723"/>
    <s v="Christian"/>
    <s v="Elliott"/>
    <s v="Female"/>
    <s v="New York"/>
    <s v="New York City"/>
    <s v="Bachelor"/>
    <d v="1999-03-03T00:00:00"/>
    <d v="2023-01-24T00:00:00"/>
    <d v="2023-07-23T00:00:00"/>
    <x v="3"/>
    <s v="Accountant"/>
    <x v="713"/>
    <s v="Needs Improvement"/>
    <n v="0.49315068493150682"/>
    <x v="0"/>
    <n v="26"/>
    <s v="Medium"/>
  </r>
  <r>
    <x v="724"/>
    <s v="Maria"/>
    <s v="Leach"/>
    <s v="Male"/>
    <s v="New York"/>
    <s v="New York City"/>
    <s v="Master"/>
    <d v="1982-11-15T00:00:00"/>
    <d v="2017-03-20T00:00:00"/>
    <d v="2021-06-25T00:00:00"/>
    <x v="1"/>
    <s v="Software Developer"/>
    <x v="714"/>
    <s v="Good"/>
    <n v="2.701369863013698"/>
    <x v="0"/>
    <n v="42"/>
    <s v="Medium"/>
  </r>
  <r>
    <x v="725"/>
    <s v="Ashley"/>
    <s v="Hernandez"/>
    <s v="Female"/>
    <s v="Pennsylvania"/>
    <s v="Pittsburgh"/>
    <s v="High School"/>
    <d v="1999-01-05T00:00:00"/>
    <d v="2017-05-08T00:00:00"/>
    <d v="2019-05-26T00:00:00"/>
    <x v="2"/>
    <s v="Inventory Specialist"/>
    <x v="715"/>
    <s v="Needs Improvement"/>
    <n v="9.0602739726027401"/>
    <x v="0"/>
    <n v="26"/>
    <s v="Low"/>
  </r>
  <r>
    <x v="726"/>
    <s v="Melissa"/>
    <s v="Ramos"/>
    <s v="Male"/>
    <s v="New York"/>
    <s v="New York City"/>
    <s v="Bachelor"/>
    <d v="1975-01-21T00:00:00"/>
    <d v="2016-09-21T00:00:00"/>
    <d v="2020-11-30T00:00:00"/>
    <x v="1"/>
    <s v="IT Support Specialist"/>
    <x v="716"/>
    <s v="Good"/>
    <n v="0.49315068493150682"/>
    <x v="0"/>
    <n v="50"/>
    <s v="Medium"/>
  </r>
  <r>
    <x v="727"/>
    <s v="Jamie"/>
    <s v="Aguilar"/>
    <s v="Female"/>
    <s v="North Carolina"/>
    <s v="Raleigh"/>
    <s v="Bachelor"/>
    <d v="1993-04-05T00:00:00"/>
    <d v="2017-02-05T00:00:00"/>
    <d v="2019-04-29T00:00:00"/>
    <x v="3"/>
    <s v="Accountant"/>
    <x v="717"/>
    <s v="Satisfactory"/>
    <n v="0.49315068493150682"/>
    <x v="0"/>
    <n v="32"/>
    <s v="Medium"/>
  </r>
  <r>
    <x v="728"/>
    <s v="Rachel"/>
    <s v="Griffin"/>
    <s v="Female"/>
    <s v="New York"/>
    <s v="New York City"/>
    <s v="Bachelor"/>
    <d v="1980-05-07T00:00:00"/>
    <d v="2024-01-22T00:00:00"/>
    <d v="2024-07-20T00:00:00"/>
    <x v="0"/>
    <s v="Support Specialist"/>
    <x v="718"/>
    <s v="Satisfactory"/>
    <n v="4.6821917808219178"/>
    <x v="0"/>
    <n v="44"/>
    <s v="Medium"/>
  </r>
  <r>
    <x v="729"/>
    <s v="Shawn"/>
    <s v="Palmer"/>
    <s v="Male"/>
    <s v="New York"/>
    <s v="New York City"/>
    <s v="Bachelor"/>
    <d v="1962-07-19T00:00:00"/>
    <d v="2020-06-26T00:00:00"/>
    <d v="2021-08-20T00:00:00"/>
    <x v="5"/>
    <s v="HR Coordinator"/>
    <x v="719"/>
    <s v="Good"/>
    <n v="1.194520547945205"/>
    <x v="0"/>
    <n v="62"/>
    <s v="Medium"/>
  </r>
  <r>
    <x v="730"/>
    <s v="Anne"/>
    <s v="Hansen"/>
    <s v="Male"/>
    <s v="New York"/>
    <s v="New York City"/>
    <s v="Bachelor"/>
    <d v="1979-08-21T00:00:00"/>
    <d v="2017-09-19T00:00:00"/>
    <d v="2021-07-01T00:00:00"/>
    <x v="0"/>
    <s v="Help Desk Technician"/>
    <x v="720"/>
    <s v="Good"/>
    <n v="1.0849315068493151"/>
    <x v="0"/>
    <n v="45"/>
    <s v="Medium"/>
  </r>
  <r>
    <x v="731"/>
    <s v="Lindsay"/>
    <s v="Cummings"/>
    <s v="Female"/>
    <s v="New York"/>
    <s v="New York City"/>
    <s v="High School"/>
    <d v="1986-05-26T00:00:00"/>
    <d v="2023-06-03T00:00:00"/>
    <d v="2023-11-30T00:00:00"/>
    <x v="0"/>
    <s v="Support Specialist"/>
    <x v="721"/>
    <s v="Needs Improvement"/>
    <n v="6.6219178082191794"/>
    <x v="0"/>
    <n v="38"/>
    <s v="Low"/>
  </r>
  <r>
    <x v="732"/>
    <s v="Jonathan"/>
    <s v="Smith"/>
    <s v="Male"/>
    <s v="New York"/>
    <s v="New York City"/>
    <s v="Bachelor"/>
    <d v="1977-09-12T00:00:00"/>
    <d v="2019-03-26T00:00:00"/>
    <d v="2023-02-25T00:00:00"/>
    <x v="1"/>
    <s v="Software Developer"/>
    <x v="722"/>
    <s v="Excellent"/>
    <n v="0.49315068493150682"/>
    <x v="0"/>
    <n v="47"/>
    <s v="High"/>
  </r>
  <r>
    <x v="733"/>
    <s v="Beth"/>
    <s v="Williams"/>
    <s v="Female"/>
    <s v="New York"/>
    <s v="New York City"/>
    <s v="Bachelor"/>
    <d v="2003-03-29T00:00:00"/>
    <d v="2024-05-13T00:00:00"/>
    <d v="2024-11-09T00:00:00"/>
    <x v="0"/>
    <s v="Customer Service Manager"/>
    <x v="723"/>
    <s v="Satisfactory"/>
    <n v="0.49315068493150682"/>
    <x v="0"/>
    <n v="22"/>
    <s v="Medium"/>
  </r>
  <r>
    <x v="734"/>
    <s v="Isabella"/>
    <s v="Weaver"/>
    <s v="Male"/>
    <s v="Pennsylvania"/>
    <s v="Pittsburgh"/>
    <s v="Bachelor"/>
    <d v="1994-03-23T00:00:00"/>
    <d v="2021-01-24T00:00:00"/>
    <d v="2021-07-23T00:00:00"/>
    <x v="0"/>
    <s v="Customer Service Representative"/>
    <x v="724"/>
    <s v="Good"/>
    <n v="6.9890410958904106"/>
    <x v="0"/>
    <n v="31"/>
    <s v="Medium"/>
  </r>
  <r>
    <x v="735"/>
    <s v="Sarah"/>
    <s v="Jones"/>
    <s v="Female"/>
    <s v="New York"/>
    <s v="New York City"/>
    <s v="Master"/>
    <d v="1997-10-05T00:00:00"/>
    <d v="2018-12-29T00:00:00"/>
    <d v="2019-06-27T00:00:00"/>
    <x v="4"/>
    <s v="Marketing Manager"/>
    <x v="725"/>
    <s v="Excellent"/>
    <n v="5.2986301369863016"/>
    <x v="0"/>
    <n v="27"/>
    <s v="Medium"/>
  </r>
  <r>
    <x v="736"/>
    <s v="Thomas"/>
    <s v="Mitchell"/>
    <s v="Male"/>
    <s v="Virginia"/>
    <s v="Norfolk"/>
    <s v="Bachelor"/>
    <d v="1990-03-03T00:00:00"/>
    <d v="2022-03-11T00:00:00"/>
    <d v="2022-09-07T00:00:00"/>
    <x v="0"/>
    <s v="Support Specialist"/>
    <x v="726"/>
    <s v="Satisfactory"/>
    <n v="0.49315068493150682"/>
    <x v="0"/>
    <n v="35"/>
    <s v="Medium"/>
  </r>
  <r>
    <x v="737"/>
    <s v="Kayla"/>
    <s v="Cannon"/>
    <s v="Male"/>
    <s v="New York"/>
    <s v="New York City"/>
    <s v="High School"/>
    <d v="1966-04-02T00:00:00"/>
    <d v="2017-10-11T00:00:00"/>
    <d v="2018-05-07T00:00:00"/>
    <x v="0"/>
    <s v="Support Specialist"/>
    <x v="727"/>
    <s v="Needs Improvement"/>
    <n v="0.49315068493150682"/>
    <x v="0"/>
    <n v="59"/>
    <s v="Medium"/>
  </r>
  <r>
    <x v="738"/>
    <s v="Debbie"/>
    <s v="Fisher"/>
    <s v="Male"/>
    <s v="New York"/>
    <s v="New York City"/>
    <s v="Bachelor"/>
    <d v="1969-08-17T00:00:00"/>
    <d v="2017-12-13T00:00:00"/>
    <d v="2018-06-10T00:00:00"/>
    <x v="2"/>
    <s v="Inventory Specialist"/>
    <x v="728"/>
    <s v="Good"/>
    <n v="1.1589041095890411"/>
    <x v="0"/>
    <n v="55"/>
    <s v="Medium"/>
  </r>
  <r>
    <x v="739"/>
    <s v="Patrick"/>
    <s v="Kane"/>
    <s v="Male"/>
    <s v="Michigan"/>
    <s v="Warren"/>
    <s v="Bachelor"/>
    <d v="1985-07-17T00:00:00"/>
    <d v="2018-12-18T00:00:00"/>
    <d v="2019-06-16T00:00:00"/>
    <x v="4"/>
    <s v="Marketing Coordinator"/>
    <x v="245"/>
    <s v="Good"/>
    <n v="0.49315068493150682"/>
    <x v="0"/>
    <n v="39"/>
    <s v="Medium"/>
  </r>
  <r>
    <x v="740"/>
    <s v="Nicholas"/>
    <s v="Miller"/>
    <s v="Male"/>
    <s v="New York"/>
    <s v="New York City"/>
    <s v="Bachelor"/>
    <d v="1977-03-09T00:00:00"/>
    <d v="2017-09-15T00:00:00"/>
    <d v="2018-03-14T00:00:00"/>
    <x v="2"/>
    <s v="Logistics Coordinator"/>
    <x v="729"/>
    <s v="Satisfactory"/>
    <n v="0.49315068493150682"/>
    <x v="0"/>
    <n v="48"/>
    <s v="Medium"/>
  </r>
  <r>
    <x v="741"/>
    <s v="Nancy"/>
    <s v="Anderson"/>
    <s v="Male"/>
    <s v="Virginia"/>
    <s v="Richmond"/>
    <s v="Bachelor"/>
    <d v="1983-08-24T00:00:00"/>
    <d v="2018-11-30T00:00:00"/>
    <d v="2019-05-29T00:00:00"/>
    <x v="6"/>
    <s v="Sales Specialist"/>
    <x v="730"/>
    <s v="Needs Improvement"/>
    <n v="0.49315068493150682"/>
    <x v="0"/>
    <n v="41"/>
    <s v="Medium"/>
  </r>
  <r>
    <x v="742"/>
    <s v="Michael"/>
    <s v="White"/>
    <s v="Female"/>
    <s v="New York"/>
    <s v="New York City"/>
    <s v="High School"/>
    <d v="1981-06-26T00:00:00"/>
    <d v="2017-07-28T00:00:00"/>
    <d v="2018-01-24T00:00:00"/>
    <x v="2"/>
    <s v="Inventory Specialist"/>
    <x v="731"/>
    <s v="Excellent"/>
    <n v="2.0027397260273969"/>
    <x v="0"/>
    <n v="43"/>
    <s v="Low"/>
  </r>
  <r>
    <x v="743"/>
    <s v="Phillip"/>
    <s v="Anderson"/>
    <s v="Male"/>
    <s v="New York"/>
    <s v="New York City"/>
    <s v="High School"/>
    <d v="1979-10-21T00:00:00"/>
    <d v="2022-03-28T00:00:00"/>
    <d v="2022-09-24T00:00:00"/>
    <x v="0"/>
    <s v="Support Specialist"/>
    <x v="732"/>
    <s v="Needs Improvement"/>
    <n v="0.49315068493150682"/>
    <x v="0"/>
    <n v="45"/>
    <s v="Medium"/>
  </r>
  <r>
    <x v="744"/>
    <s v="Mary"/>
    <s v="Avila"/>
    <s v="Female"/>
    <s v="New York"/>
    <s v="New York City"/>
    <s v="Bachelor"/>
    <d v="1983-02-01T00:00:00"/>
    <d v="2017-04-26T00:00:00"/>
    <d v="2018-09-22T00:00:00"/>
    <x v="1"/>
    <s v="Software Developer"/>
    <x v="733"/>
    <s v="Satisfactory"/>
    <n v="0.49315068493150682"/>
    <x v="0"/>
    <n v="42"/>
    <s v="Medium"/>
  </r>
  <r>
    <x v="745"/>
    <s v="Steven"/>
    <s v="Ball"/>
    <s v="Male"/>
    <s v="Michigan"/>
    <s v="Warren"/>
    <s v="Bachelor"/>
    <d v="1986-01-23T00:00:00"/>
    <d v="2023-06-14T00:00:00"/>
    <d v="2023-12-11T00:00:00"/>
    <x v="1"/>
    <s v="System Administrator"/>
    <x v="734"/>
    <s v="Good"/>
    <n v="2.6739726027397261"/>
    <x v="0"/>
    <n v="39"/>
    <s v="High"/>
  </r>
  <r>
    <x v="746"/>
    <s v="Amanda"/>
    <s v="Morrow"/>
    <s v="Female"/>
    <s v="New York"/>
    <s v="New York City"/>
    <s v="High School"/>
    <d v="1981-11-23T00:00:00"/>
    <d v="2019-04-07T00:00:00"/>
    <d v="2022-11-17T00:00:00"/>
    <x v="0"/>
    <s v="Customer Service Representative"/>
    <x v="735"/>
    <s v="Needs Improvement"/>
    <n v="0.49315068493150682"/>
    <x v="0"/>
    <n v="43"/>
    <s v="Medium"/>
  </r>
  <r>
    <x v="747"/>
    <s v="Steven"/>
    <s v="Moore"/>
    <s v="Female"/>
    <s v="New York"/>
    <s v="New York City"/>
    <s v="Bachelor"/>
    <d v="2002-11-21T00:00:00"/>
    <d v="2024-03-14T00:00:00"/>
    <d v="2024-09-10T00:00:00"/>
    <x v="2"/>
    <s v="Logistics Coordinator"/>
    <x v="736"/>
    <s v="Satisfactory"/>
    <n v="7.9260273972602739"/>
    <x v="0"/>
    <n v="22"/>
    <s v="Low"/>
  </r>
  <r>
    <x v="748"/>
    <s v="Sharon"/>
    <s v="Hardy"/>
    <s v="Female"/>
    <s v="New York"/>
    <s v="New York City"/>
    <s v="Master"/>
    <d v="1988-05-14T00:00:00"/>
    <d v="2015-02-13T00:00:00"/>
    <d v="2021-12-30T00:00:00"/>
    <x v="5"/>
    <s v="HR Coordinator"/>
    <x v="737"/>
    <s v="Excellent"/>
    <n v="0.49315068493150682"/>
    <x v="0"/>
    <n v="36"/>
    <s v="Medium"/>
  </r>
  <r>
    <x v="749"/>
    <s v="Antonio"/>
    <s v="Keller"/>
    <s v="Female"/>
    <s v="New York"/>
    <s v="New York City"/>
    <s v="Bachelor"/>
    <d v="1995-03-24T00:00:00"/>
    <d v="2020-08-26T00:00:00"/>
    <d v="2021-10-18T00:00:00"/>
    <x v="6"/>
    <s v="Sales Representative"/>
    <x v="738"/>
    <s v="Good"/>
    <n v="3.536986301369863"/>
    <x v="0"/>
    <n v="30"/>
    <s v="Medium"/>
  </r>
  <r>
    <x v="750"/>
    <s v="Katie"/>
    <s v="Stephenson"/>
    <s v="Male"/>
    <s v="Virginia"/>
    <s v="Virginia Beach"/>
    <s v="Bachelor"/>
    <d v="1982-12-18T00:00:00"/>
    <d v="2022-01-07T00:00:00"/>
    <d v="2022-07-06T00:00:00"/>
    <x v="0"/>
    <s v="Support Specialist"/>
    <x v="739"/>
    <s v="Good"/>
    <n v="3.8767123287671228"/>
    <x v="0"/>
    <n v="42"/>
    <s v="Medium"/>
  </r>
  <r>
    <x v="751"/>
    <s v="John"/>
    <s v="Jones"/>
    <s v="Male"/>
    <s v="New York"/>
    <s v="New York City"/>
    <s v="Bachelor"/>
    <d v="1997-03-19T00:00:00"/>
    <d v="2021-08-19T00:00:00"/>
    <d v="2024-08-24T00:00:00"/>
    <x v="4"/>
    <s v="Marketing Coordinator"/>
    <x v="740"/>
    <s v="Excellent"/>
    <n v="0.49315068493150682"/>
    <x v="0"/>
    <n v="28"/>
    <s v="Medium"/>
  </r>
  <r>
    <x v="752"/>
    <s v="Arthur"/>
    <s v="Harper"/>
    <s v="Female"/>
    <s v="New York"/>
    <s v="New York City"/>
    <s v="Bachelor"/>
    <d v="1985-06-23T00:00:00"/>
    <d v="2019-10-01T00:00:00"/>
    <d v="2020-03-29T00:00:00"/>
    <x v="0"/>
    <s v="Support Specialist"/>
    <x v="741"/>
    <s v="Satisfactory"/>
    <n v="2.1561643835616442"/>
    <x v="0"/>
    <n v="39"/>
    <s v="Medium"/>
  </r>
  <r>
    <x v="753"/>
    <s v="Richard"/>
    <s v="Young"/>
    <s v="Male"/>
    <s v="New York"/>
    <s v="New York City"/>
    <s v="Bachelor"/>
    <d v="1999-09-30T00:00:00"/>
    <d v="2020-03-25T00:00:00"/>
    <d v="2020-09-21T00:00:00"/>
    <x v="1"/>
    <s v="System Administrator"/>
    <x v="742"/>
    <s v="Excellent"/>
    <n v="0.49315068493150682"/>
    <x v="0"/>
    <n v="25"/>
    <s v="Medium"/>
  </r>
  <r>
    <x v="754"/>
    <s v="Karen"/>
    <s v="Parsons"/>
    <s v="Female"/>
    <s v="Illinois"/>
    <s v="Aurora"/>
    <s v="Bachelor"/>
    <d v="1992-10-18T00:00:00"/>
    <d v="2022-02-24T00:00:00"/>
    <d v="2022-08-23T00:00:00"/>
    <x v="0"/>
    <s v="Support Specialist"/>
    <x v="743"/>
    <s v="Needs Improvement"/>
    <n v="4.2684931506849324"/>
    <x v="0"/>
    <n v="32"/>
    <s v="Medium"/>
  </r>
  <r>
    <x v="755"/>
    <s v="William"/>
    <s v="Roberts"/>
    <s v="Male"/>
    <s v="New York"/>
    <s v="New York City"/>
    <s v="Master"/>
    <d v="1991-09-14T00:00:00"/>
    <d v="2019-11-13T00:00:00"/>
    <d v="2020-05-11T00:00:00"/>
    <x v="1"/>
    <s v="Software Developer"/>
    <x v="744"/>
    <s v="Excellent"/>
    <n v="2.0493150684931511"/>
    <x v="0"/>
    <n v="33"/>
    <s v="Medium"/>
  </r>
  <r>
    <x v="756"/>
    <s v="Sabrina"/>
    <s v="Johnston"/>
    <s v="Male"/>
    <s v="New York"/>
    <s v="New York City"/>
    <s v="High School"/>
    <d v="1991-11-12T00:00:00"/>
    <d v="2017-08-13T00:00:00"/>
    <d v="2020-09-16T00:00:00"/>
    <x v="2"/>
    <s v="Inventory Specialist"/>
    <x v="304"/>
    <s v="Needs Improvement"/>
    <n v="4.1945205479452046"/>
    <x v="0"/>
    <n v="33"/>
    <s v="Medium"/>
  </r>
  <r>
    <x v="757"/>
    <s v="Joel"/>
    <s v="Walter"/>
    <s v="Male"/>
    <s v="New York"/>
    <s v="New York City"/>
    <s v="Bachelor"/>
    <d v="1987-09-13T00:00:00"/>
    <d v="2018-09-14T00:00:00"/>
    <d v="2019-03-13T00:00:00"/>
    <x v="0"/>
    <s v="Help Desk Technician"/>
    <x v="745"/>
    <s v="Good"/>
    <n v="2.227397260273972"/>
    <x v="0"/>
    <n v="37"/>
    <s v="Medium"/>
  </r>
  <r>
    <x v="758"/>
    <s v="Adriana"/>
    <s v="Gutierrez"/>
    <s v="Female"/>
    <s v="New York"/>
    <s v="New York City"/>
    <s v="Bachelor"/>
    <d v="1983-04-15T00:00:00"/>
    <d v="2020-04-16T00:00:00"/>
    <d v="2020-10-13T00:00:00"/>
    <x v="2"/>
    <s v="Logistics Coordinator"/>
    <x v="746"/>
    <s v="Good"/>
    <n v="0.49315068493150682"/>
    <x v="0"/>
    <n v="41"/>
    <s v="Low"/>
  </r>
  <r>
    <x v="759"/>
    <s v="Bruce"/>
    <s v="Fry"/>
    <s v="Female"/>
    <s v="New York"/>
    <s v="New York City"/>
    <s v="Bachelor"/>
    <d v="1960-08-28T00:00:00"/>
    <d v="2019-12-08T00:00:00"/>
    <d v="2020-06-05T00:00:00"/>
    <x v="6"/>
    <s v="Sales Representative"/>
    <x v="747"/>
    <s v="Satisfactory"/>
    <n v="1.150684931506849"/>
    <x v="0"/>
    <n v="64"/>
    <s v="Medium"/>
  </r>
  <r>
    <x v="760"/>
    <s v="Jill"/>
    <s v="Thompson"/>
    <s v="Male"/>
    <s v="New York"/>
    <s v="New York City"/>
    <s v="Bachelor"/>
    <d v="1999-11-13T00:00:00"/>
    <d v="2016-09-20T00:00:00"/>
    <d v="2023-12-11T00:00:00"/>
    <x v="1"/>
    <s v="Software Developer"/>
    <x v="748"/>
    <s v="Good"/>
    <n v="3.783561643835617"/>
    <x v="0"/>
    <n v="25"/>
    <s v="Medium"/>
  </r>
  <r>
    <x v="761"/>
    <s v="Ronald"/>
    <s v="Simpson"/>
    <s v="Female"/>
    <s v="New York"/>
    <s v="New York City"/>
    <s v="Bachelor"/>
    <d v="1996-05-29T00:00:00"/>
    <d v="2015-05-14T00:00:00"/>
    <d v="2021-09-12T00:00:00"/>
    <x v="2"/>
    <s v="Inventory Specialist"/>
    <x v="749"/>
    <s v="Good"/>
    <n v="0.49315068493150682"/>
    <x v="0"/>
    <n v="28"/>
    <s v="Low"/>
  </r>
  <r>
    <x v="762"/>
    <s v="Shelly"/>
    <s v="Powers"/>
    <s v="Male"/>
    <s v="New York"/>
    <s v="New York City"/>
    <s v="Bachelor"/>
    <d v="2004-03-23T00:00:00"/>
    <d v="2022-11-02T00:00:00"/>
    <d v="2023-05-01T00:00:00"/>
    <x v="2"/>
    <s v="Inventory Specialist"/>
    <x v="750"/>
    <s v="Good"/>
    <n v="3.923287671232877"/>
    <x v="0"/>
    <n v="21"/>
    <s v="Medium"/>
  </r>
  <r>
    <x v="763"/>
    <s v="Alice"/>
    <s v="Horton"/>
    <s v="Male"/>
    <s v="New York"/>
    <s v="New York City"/>
    <s v="Bachelor"/>
    <d v="1999-03-08T00:00:00"/>
    <d v="2020-06-07T00:00:00"/>
    <d v="2020-12-04T00:00:00"/>
    <x v="2"/>
    <s v="Inventory Specialist"/>
    <x v="751"/>
    <s v="Good"/>
    <n v="0.49315068493150682"/>
    <x v="0"/>
    <n v="26"/>
    <s v="Medium"/>
  </r>
  <r>
    <x v="764"/>
    <s v="Edward"/>
    <s v="Bennett"/>
    <s v="Female"/>
    <s v="New York"/>
    <s v="New York City"/>
    <s v="Bachelor"/>
    <d v="1991-07-09T00:00:00"/>
    <d v="2020-10-19T00:00:00"/>
    <d v="2021-04-17T00:00:00"/>
    <x v="6"/>
    <s v="Sales Representative"/>
    <x v="752"/>
    <s v="Good"/>
    <n v="0.49315068493150682"/>
    <x v="0"/>
    <n v="33"/>
    <s v="Low"/>
  </r>
  <r>
    <x v="765"/>
    <s v="Amanda"/>
    <s v="Allen"/>
    <s v="Female"/>
    <s v="New York"/>
    <s v="New York City"/>
    <s v="Bachelor"/>
    <d v="1995-01-18T00:00:00"/>
    <d v="2021-03-29T00:00:00"/>
    <d v="2024-10-09T00:00:00"/>
    <x v="2"/>
    <s v="Logistics Coordinator"/>
    <x v="753"/>
    <s v="Good"/>
    <n v="0.49315068493150682"/>
    <x v="0"/>
    <n v="30"/>
    <s v="Low"/>
  </r>
  <r>
    <x v="766"/>
    <s v="Kevin"/>
    <s v="Zimmerman"/>
    <s v="Male"/>
    <s v="New York"/>
    <s v="New York City"/>
    <s v="PhD"/>
    <d v="1970-09-16T00:00:00"/>
    <d v="2019-11-09T00:00:00"/>
    <d v="2020-05-07T00:00:00"/>
    <x v="6"/>
    <s v="Sales Consultant"/>
    <x v="754"/>
    <s v="Excellent"/>
    <n v="0.49315068493150682"/>
    <x v="0"/>
    <n v="54"/>
    <s v="Medium"/>
  </r>
  <r>
    <x v="767"/>
    <s v="Steven"/>
    <s v="Brown"/>
    <s v="Female"/>
    <s v="Pennsylvania"/>
    <s v="Philadelphia"/>
    <s v="Master"/>
    <d v="1980-03-13T00:00:00"/>
    <d v="2023-06-10T00:00:00"/>
    <d v="2023-12-07T00:00:00"/>
    <x v="1"/>
    <s v="System Administrator"/>
    <x v="755"/>
    <s v="Good"/>
    <n v="0.56986301369863013"/>
    <x v="0"/>
    <n v="45"/>
    <s v="Medium"/>
  </r>
  <r>
    <x v="768"/>
    <s v="Tammy"/>
    <s v="Grant"/>
    <s v="Female"/>
    <s v="Michigan"/>
    <s v="Grand Rapids"/>
    <s v="High School"/>
    <d v="1990-10-08T00:00:00"/>
    <d v="2018-02-22T00:00:00"/>
    <d v="2018-08-21T00:00:00"/>
    <x v="0"/>
    <s v="Customer Service Representative"/>
    <x v="756"/>
    <s v="Needs Improvement"/>
    <n v="0.49041095890410957"/>
    <x v="0"/>
    <n v="34"/>
    <s v="Medium"/>
  </r>
  <r>
    <x v="769"/>
    <s v="Paul"/>
    <s v="Scott"/>
    <s v="Female"/>
    <s v="New York"/>
    <s v="New York City"/>
    <s v="Bachelor"/>
    <d v="2001-08-09T00:00:00"/>
    <d v="2017-05-09T00:00:00"/>
    <d v="2020-09-26T00:00:00"/>
    <x v="6"/>
    <s v="Sales Representative"/>
    <x v="757"/>
    <s v="Good"/>
    <n v="0.49315068493150682"/>
    <x v="0"/>
    <n v="23"/>
    <s v="Medium"/>
  </r>
  <r>
    <x v="770"/>
    <s v="Deborah"/>
    <s v="Nielsen"/>
    <s v="Male"/>
    <s v="New York"/>
    <s v="New York City"/>
    <s v="Master"/>
    <d v="1980-02-12T00:00:00"/>
    <d v="2020-11-24T00:00:00"/>
    <d v="2021-05-23T00:00:00"/>
    <x v="1"/>
    <s v="Software Developer"/>
    <x v="758"/>
    <s v="Good"/>
    <n v="0.49315068493150682"/>
    <x v="0"/>
    <n v="45"/>
    <s v="Medium"/>
  </r>
  <r>
    <x v="771"/>
    <s v="Nathan"/>
    <s v="Nichols"/>
    <s v="Male"/>
    <s v="Illinois"/>
    <s v="Aurora"/>
    <s v="PhD"/>
    <d v="1961-01-18T00:00:00"/>
    <d v="2018-11-19T00:00:00"/>
    <d v="2019-05-18T00:00:00"/>
    <x v="6"/>
    <s v="Sales Specialist"/>
    <x v="759"/>
    <s v="Excellent"/>
    <n v="0.49315068493150682"/>
    <x v="0"/>
    <n v="64"/>
    <s v="Medium"/>
  </r>
  <r>
    <x v="772"/>
    <s v="James"/>
    <s v="Adams"/>
    <s v="Male"/>
    <s v="New York"/>
    <s v="New York City"/>
    <s v="Bachelor"/>
    <d v="2000-02-20T00:00:00"/>
    <d v="2022-09-19T00:00:00"/>
    <d v="2023-03-18T00:00:00"/>
    <x v="1"/>
    <s v="Software Developer"/>
    <x v="760"/>
    <s v="Good"/>
    <n v="0.49315068493150682"/>
    <x v="0"/>
    <n v="25"/>
    <s v="High"/>
  </r>
  <r>
    <x v="773"/>
    <s v="Cassidy"/>
    <s v="Williams"/>
    <s v="Female"/>
    <s v="New York"/>
    <s v="New York City"/>
    <s v="Bachelor"/>
    <d v="1991-05-14T00:00:00"/>
    <d v="2018-01-29T00:00:00"/>
    <d v="2020-12-12T00:00:00"/>
    <x v="6"/>
    <s v="Sales Representative"/>
    <x v="761"/>
    <s v="Good"/>
    <n v="0.49315068493150682"/>
    <x v="0"/>
    <n v="33"/>
    <s v="Medium"/>
  </r>
  <r>
    <x v="774"/>
    <s v="Jacob"/>
    <s v="Gill"/>
    <s v="Male"/>
    <s v="New York"/>
    <s v="New York City"/>
    <s v="High School"/>
    <d v="1969-07-04T00:00:00"/>
    <d v="2020-10-08T00:00:00"/>
    <d v="2021-04-06T00:00:00"/>
    <x v="0"/>
    <s v="Customer Service Representative"/>
    <x v="762"/>
    <s v="Needs Improvement"/>
    <n v="1.408219178082192"/>
    <x v="0"/>
    <n v="55"/>
    <s v="Medium"/>
  </r>
  <r>
    <x v="775"/>
    <s v="Emily"/>
    <s v="Robinson"/>
    <s v="Female"/>
    <s v="Virginia"/>
    <s v="Norfolk"/>
    <s v="High School"/>
    <d v="1971-05-17T00:00:00"/>
    <d v="2021-03-23T00:00:00"/>
    <d v="2021-09-19T00:00:00"/>
    <x v="2"/>
    <s v="Inventory Specialist"/>
    <x v="763"/>
    <s v="Needs Improvement"/>
    <n v="0.49315068493150682"/>
    <x v="0"/>
    <n v="53"/>
    <s v="Low"/>
  </r>
  <r>
    <x v="776"/>
    <s v="Molly"/>
    <s v="Cook"/>
    <s v="Male"/>
    <s v="New York"/>
    <s v="New York City"/>
    <s v="High School"/>
    <d v="1959-06-25T00:00:00"/>
    <d v="2018-12-19T00:00:00"/>
    <d v="2019-06-17T00:00:00"/>
    <x v="0"/>
    <s v="Customer Service Representative"/>
    <x v="764"/>
    <s v="Needs Improvement"/>
    <n v="3.6164383561643829"/>
    <x v="0"/>
    <n v="65"/>
    <s v="Medium"/>
  </r>
  <r>
    <x v="777"/>
    <s v="Alexis"/>
    <s v="Giles"/>
    <s v="Male"/>
    <s v="New York"/>
    <s v="New York City"/>
    <s v="Bachelor"/>
    <d v="2004-02-09T00:00:00"/>
    <d v="2018-10-15T00:00:00"/>
    <d v="2020-04-17T00:00:00"/>
    <x v="6"/>
    <s v="Sales Specialist"/>
    <x v="765"/>
    <s v="Good"/>
    <n v="0.49315068493150682"/>
    <x v="0"/>
    <n v="21"/>
    <s v="Medium"/>
  </r>
  <r>
    <x v="778"/>
    <s v="David"/>
    <s v="Key"/>
    <s v="Female"/>
    <s v="New York"/>
    <s v="New York City"/>
    <s v="Master"/>
    <d v="1986-11-16T00:00:00"/>
    <d v="2017-07-05T00:00:00"/>
    <d v="2022-01-30T00:00:00"/>
    <x v="3"/>
    <s v="Financial Analyst"/>
    <x v="766"/>
    <s v="Excellent"/>
    <n v="6.882191780821918"/>
    <x v="0"/>
    <n v="38"/>
    <s v="Medium"/>
  </r>
  <r>
    <x v="779"/>
    <s v="Robin"/>
    <s v="Dominguez"/>
    <s v="Female"/>
    <s v="New York"/>
    <s v="New York City"/>
    <s v="Bachelor"/>
    <d v="1980-12-04T00:00:00"/>
    <d v="2018-10-01T00:00:00"/>
    <d v="2021-08-15T00:00:00"/>
    <x v="0"/>
    <s v="Support Specialist"/>
    <x v="767"/>
    <s v="Good"/>
    <n v="1.145205479452055"/>
    <x v="0"/>
    <n v="44"/>
    <s v="Medium"/>
  </r>
  <r>
    <x v="780"/>
    <s v="James"/>
    <s v="Herman"/>
    <s v="Male"/>
    <s v="New York"/>
    <s v="New York City"/>
    <s v="Bachelor"/>
    <d v="1977-11-07T00:00:00"/>
    <d v="2018-08-03T00:00:00"/>
    <d v="2019-01-30T00:00:00"/>
    <x v="6"/>
    <s v="Sales Representative"/>
    <x v="768"/>
    <s v="Good"/>
    <n v="0.49315068493150682"/>
    <x v="0"/>
    <n v="47"/>
    <s v="Medium"/>
  </r>
  <r>
    <x v="781"/>
    <s v="Marc"/>
    <s v="Campbell"/>
    <s v="Female"/>
    <s v="New York"/>
    <s v="New York City"/>
    <s v="Master"/>
    <d v="1988-11-04T00:00:00"/>
    <d v="2020-06-30T00:00:00"/>
    <d v="2022-12-10T00:00:00"/>
    <x v="6"/>
    <s v="Sales Specialist"/>
    <x v="769"/>
    <s v="Excellent"/>
    <n v="3.0164383561643842"/>
    <x v="0"/>
    <n v="36"/>
    <s v="Medium"/>
  </r>
  <r>
    <x v="782"/>
    <s v="Amanda"/>
    <s v="Howard"/>
    <s v="Male"/>
    <s v="North Carolina"/>
    <s v="Charlotte"/>
    <s v="High School"/>
    <d v="1995-02-25T00:00:00"/>
    <d v="2017-04-12T00:00:00"/>
    <d v="2018-02-20T00:00:00"/>
    <x v="0"/>
    <s v="Help Desk Technician"/>
    <x v="770"/>
    <s v="Needs Improvement"/>
    <n v="0.49315068493150682"/>
    <x v="0"/>
    <n v="30"/>
    <s v="Low"/>
  </r>
  <r>
    <x v="783"/>
    <s v="Michael"/>
    <s v="Andrade"/>
    <s v="Male"/>
    <s v="Pennsylvania"/>
    <s v="Allentown"/>
    <s v="High School"/>
    <d v="2001-11-07T00:00:00"/>
    <d v="2018-06-30T00:00:00"/>
    <d v="2021-12-18T00:00:00"/>
    <x v="0"/>
    <s v="Help Desk Technician"/>
    <x v="771"/>
    <s v="Needs Improvement"/>
    <n v="9.2301369863013694"/>
    <x v="1"/>
    <n v="23"/>
    <s v="Medium"/>
  </r>
  <r>
    <x v="784"/>
    <s v="Corey"/>
    <s v="Zavala"/>
    <s v="Female"/>
    <s v="Illinois"/>
    <s v="Naperville"/>
    <s v="Bachelor"/>
    <d v="1989-10-04T00:00:00"/>
    <d v="2023-07-02T00:00:00"/>
    <d v="2024-08-26T00:00:00"/>
    <x v="6"/>
    <s v="Sales Representative"/>
    <x v="772"/>
    <s v="Satisfactory"/>
    <n v="0.49315068493150682"/>
    <x v="0"/>
    <n v="35"/>
    <s v="Medium"/>
  </r>
  <r>
    <x v="785"/>
    <s v="Kathleen"/>
    <s v="Flores"/>
    <s v="Male"/>
    <s v="New York"/>
    <s v="New York City"/>
    <s v="Bachelor"/>
    <d v="1993-06-16T00:00:00"/>
    <d v="2017-03-20T00:00:00"/>
    <d v="2024-08-26T00:00:00"/>
    <x v="6"/>
    <s v="Sales Representative"/>
    <x v="773"/>
    <s v="Good"/>
    <n v="0.49315068493150682"/>
    <x v="0"/>
    <n v="31"/>
    <s v="Medium"/>
  </r>
  <r>
    <x v="786"/>
    <s v="Nathan"/>
    <s v="Gutierrez"/>
    <s v="Male"/>
    <s v="New York"/>
    <s v="New York City"/>
    <s v="High School"/>
    <d v="1969-10-05T00:00:00"/>
    <d v="2022-08-07T00:00:00"/>
    <d v="2023-02-03T00:00:00"/>
    <x v="0"/>
    <s v="Help Desk Technician"/>
    <x v="774"/>
    <s v="Needs Improvement"/>
    <n v="0.49315068493150682"/>
    <x v="0"/>
    <n v="55"/>
    <s v="Medium"/>
  </r>
  <r>
    <x v="787"/>
    <s v="Michelle"/>
    <s v="Figueroa"/>
    <s v="Male"/>
    <s v="New York"/>
    <s v="New York City"/>
    <s v="High School"/>
    <d v="1976-08-01T00:00:00"/>
    <d v="2019-01-07T00:00:00"/>
    <d v="2019-07-06T00:00:00"/>
    <x v="1"/>
    <s v="IT Support Specialist"/>
    <x v="775"/>
    <s v="Needs Improvement"/>
    <n v="3.095890410958904"/>
    <x v="0"/>
    <n v="48"/>
    <s v="Low"/>
  </r>
  <r>
    <x v="788"/>
    <s v="Jose"/>
    <s v="Donovan"/>
    <s v="Male"/>
    <s v="New York"/>
    <s v="New York City"/>
    <s v="High School"/>
    <d v="2004-02-04T00:00:00"/>
    <d v="2016-08-12T00:00:00"/>
    <d v="2022-12-18T00:00:00"/>
    <x v="2"/>
    <s v="Inventory Specialist"/>
    <x v="776"/>
    <s v="Needs Improvement"/>
    <n v="7.934246575342466"/>
    <x v="1"/>
    <n v="21"/>
    <s v="Medium"/>
  </r>
  <r>
    <x v="789"/>
    <s v="Jennifer"/>
    <s v="Phillips"/>
    <s v="Female"/>
    <s v="New York"/>
    <s v="New York City"/>
    <s v="Bachelor"/>
    <d v="1991-11-23T00:00:00"/>
    <d v="2017-03-18T00:00:00"/>
    <d v="2022-11-23T00:00:00"/>
    <x v="5"/>
    <s v="HR Assistant"/>
    <x v="777"/>
    <s v="Satisfactory"/>
    <n v="0.49315068493150682"/>
    <x v="0"/>
    <n v="33"/>
    <s v="Low"/>
  </r>
  <r>
    <x v="790"/>
    <s v="Mark"/>
    <s v="James"/>
    <s v="Male"/>
    <s v="New York"/>
    <s v="New York City"/>
    <s v="Bachelor"/>
    <d v="1992-01-31T00:00:00"/>
    <d v="2017-11-20T00:00:00"/>
    <d v="2019-04-09T00:00:00"/>
    <x v="0"/>
    <s v="Support Specialist"/>
    <x v="778"/>
    <s v="Needs Improvement"/>
    <n v="0.49315068493150682"/>
    <x v="0"/>
    <n v="33"/>
    <s v="Medium"/>
  </r>
  <r>
    <x v="791"/>
    <s v="John"/>
    <s v="Pierce"/>
    <s v="Male"/>
    <s v="New York"/>
    <s v="New York City"/>
    <s v="Bachelor"/>
    <d v="2004-05-07T00:00:00"/>
    <d v="2020-09-22T00:00:00"/>
    <d v="2021-03-21T00:00:00"/>
    <x v="6"/>
    <s v="Sales Representative"/>
    <x v="779"/>
    <s v="Needs Improvement"/>
    <n v="0.49315068493150682"/>
    <x v="0"/>
    <n v="20"/>
    <s v="Medium"/>
  </r>
  <r>
    <x v="792"/>
    <s v="Matthew"/>
    <s v="Hines"/>
    <s v="Male"/>
    <s v="Ohio"/>
    <s v="Columbus"/>
    <s v="Master"/>
    <d v="1975-03-16T00:00:00"/>
    <d v="2017-07-09T00:00:00"/>
    <d v="2019-12-03T00:00:00"/>
    <x v="6"/>
    <s v="Sales Consultant"/>
    <x v="780"/>
    <s v="Excellent"/>
    <n v="7.2273972602739729"/>
    <x v="0"/>
    <n v="50"/>
    <s v="Medium"/>
  </r>
  <r>
    <x v="793"/>
    <s v="Tammy"/>
    <s v="May"/>
    <s v="Female"/>
    <s v="Michigan"/>
    <s v="Grand Rapids"/>
    <s v="PhD"/>
    <d v="1962-11-03T00:00:00"/>
    <d v="2020-07-09T00:00:00"/>
    <d v="2022-01-14T00:00:00"/>
    <x v="6"/>
    <s v="Sales Consultant"/>
    <x v="781"/>
    <s v="Excellent"/>
    <n v="6.3369863013698629"/>
    <x v="0"/>
    <n v="62"/>
    <s v="High"/>
  </r>
  <r>
    <x v="794"/>
    <s v="Steven"/>
    <s v="Oconnor"/>
    <s v="Male"/>
    <s v="Illinois"/>
    <s v="Chicago"/>
    <s v="Bachelor"/>
    <d v="1972-06-19T00:00:00"/>
    <d v="2020-05-16T00:00:00"/>
    <d v="2024-11-24T00:00:00"/>
    <x v="6"/>
    <s v="Sales Specialist"/>
    <x v="782"/>
    <s v="Excellent"/>
    <n v="0.49315068493150682"/>
    <x v="0"/>
    <n v="52"/>
    <s v="Medium"/>
  </r>
  <r>
    <x v="795"/>
    <s v="Gary"/>
    <s v="Cortez"/>
    <s v="Male"/>
    <s v="New York"/>
    <s v="New York City"/>
    <s v="Bachelor"/>
    <d v="1979-07-12T00:00:00"/>
    <d v="2022-07-09T00:00:00"/>
    <d v="2023-01-05T00:00:00"/>
    <x v="1"/>
    <s v="Software Developer"/>
    <x v="783"/>
    <s v="Good"/>
    <n v="0.49315068493150682"/>
    <x v="0"/>
    <n v="45"/>
    <s v="Medium"/>
  </r>
  <r>
    <x v="796"/>
    <s v="Jack"/>
    <s v="Preston"/>
    <s v="Male"/>
    <s v="New York"/>
    <s v="New York City"/>
    <s v="Bachelor"/>
    <d v="1974-06-04T00:00:00"/>
    <d v="2019-09-07T00:00:00"/>
    <d v="2021-01-02T00:00:00"/>
    <x v="6"/>
    <s v="Sales Representative"/>
    <x v="784"/>
    <s v="Good"/>
    <n v="0.49315068493150682"/>
    <x v="0"/>
    <n v="50"/>
    <s v="Medium"/>
  </r>
  <r>
    <x v="797"/>
    <s v="Susan"/>
    <s v="Warren"/>
    <s v="Female"/>
    <s v="New York"/>
    <s v="New York City"/>
    <s v="Bachelor"/>
    <d v="1964-03-24T00:00:00"/>
    <d v="2019-11-22T00:00:00"/>
    <d v="2020-05-20T00:00:00"/>
    <x v="2"/>
    <s v="Inventory Specialist"/>
    <x v="785"/>
    <s v="Good"/>
    <n v="3.5342465753424661"/>
    <x v="0"/>
    <n v="61"/>
    <s v="Medium"/>
  </r>
  <r>
    <x v="798"/>
    <s v="Melanie"/>
    <s v="Landry"/>
    <s v="Female"/>
    <s v="New York"/>
    <s v="New York City"/>
    <s v="Bachelor"/>
    <d v="1998-01-03T00:00:00"/>
    <d v="2017-09-17T00:00:00"/>
    <d v="2020-09-17T00:00:00"/>
    <x v="1"/>
    <s v="IT Support Specialist"/>
    <x v="786"/>
    <s v="Good"/>
    <n v="0.49315068493150682"/>
    <x v="0"/>
    <n v="27"/>
    <s v="Low"/>
  </r>
  <r>
    <x v="799"/>
    <s v="Brandon"/>
    <s v="Smith"/>
    <s v="Female"/>
    <s v="North Carolina"/>
    <s v="Greensboro"/>
    <s v="Master"/>
    <d v="1973-07-26T00:00:00"/>
    <d v="2023-02-23T00:00:00"/>
    <d v="2023-08-22T00:00:00"/>
    <x v="6"/>
    <s v="Sales Consultant"/>
    <x v="787"/>
    <s v="Excellent"/>
    <n v="0.49315068493150682"/>
    <x v="0"/>
    <n v="51"/>
    <s v="High"/>
  </r>
  <r>
    <x v="800"/>
    <s v="Megan"/>
    <s v="Hall"/>
    <s v="Male"/>
    <s v="New York"/>
    <s v="New York City"/>
    <s v="Bachelor"/>
    <d v="1994-12-26T00:00:00"/>
    <d v="2017-10-02T00:00:00"/>
    <d v="2020-04-21T00:00:00"/>
    <x v="6"/>
    <s v="Sales Representative"/>
    <x v="788"/>
    <s v="Satisfactory"/>
    <n v="0.49315068493150682"/>
    <x v="0"/>
    <n v="30"/>
    <s v="Low"/>
  </r>
  <r>
    <x v="801"/>
    <s v="Edward"/>
    <s v="Robinson"/>
    <s v="Female"/>
    <s v="New York"/>
    <s v="New York City"/>
    <s v="Bachelor"/>
    <d v="1988-06-27T00:00:00"/>
    <d v="2023-06-27T00:00:00"/>
    <d v="2023-12-24T00:00:00"/>
    <x v="0"/>
    <s v="Support Specialist"/>
    <x v="789"/>
    <s v="Satisfactory"/>
    <n v="3.386301369863014"/>
    <x v="0"/>
    <n v="36"/>
    <s v="Low"/>
  </r>
  <r>
    <x v="802"/>
    <s v="Nathaniel"/>
    <s v="Williamson"/>
    <s v="Male"/>
    <s v="New York"/>
    <s v="New York City"/>
    <s v="Bachelor"/>
    <d v="1988-04-07T00:00:00"/>
    <d v="2020-09-15T00:00:00"/>
    <d v="2023-10-26T00:00:00"/>
    <x v="2"/>
    <s v="Logistics Coordinator"/>
    <x v="790"/>
    <s v="Satisfactory"/>
    <n v="0.49315068493150682"/>
    <x v="0"/>
    <n v="37"/>
    <s v="Medium"/>
  </r>
  <r>
    <x v="803"/>
    <s v="Sarah"/>
    <s v="Durham"/>
    <s v="Female"/>
    <s v="Michigan"/>
    <s v="Detroit"/>
    <s v="Master"/>
    <d v="1983-02-20T00:00:00"/>
    <d v="2018-09-14T00:00:00"/>
    <d v="2022-03-22T00:00:00"/>
    <x v="6"/>
    <s v="Sales Specialist"/>
    <x v="791"/>
    <s v="Excellent"/>
    <n v="0.49315068493150682"/>
    <x v="0"/>
    <n v="42"/>
    <s v="Medium"/>
  </r>
  <r>
    <x v="804"/>
    <s v="Tony"/>
    <s v="Smith"/>
    <s v="Male"/>
    <s v="New York"/>
    <s v="New York City"/>
    <s v="Bachelor"/>
    <d v="1995-01-31T00:00:00"/>
    <d v="2020-08-02T00:00:00"/>
    <d v="2021-01-29T00:00:00"/>
    <x v="2"/>
    <s v="Logistics Coordinator"/>
    <x v="792"/>
    <s v="Good"/>
    <n v="0.49315068493150682"/>
    <x v="0"/>
    <n v="30"/>
    <s v="Medium"/>
  </r>
  <r>
    <x v="805"/>
    <s v="Robert"/>
    <s v="Smith"/>
    <s v="Female"/>
    <s v="New York"/>
    <s v="New York City"/>
    <s v="Bachelor"/>
    <d v="1972-09-26T00:00:00"/>
    <d v="2017-10-08T00:00:00"/>
    <d v="2024-04-07T00:00:00"/>
    <x v="2"/>
    <s v="Inventory Specialist"/>
    <x v="793"/>
    <s v="Good"/>
    <n v="2.871232876712329"/>
    <x v="0"/>
    <n v="52"/>
    <s v="Low"/>
  </r>
  <r>
    <x v="806"/>
    <s v="Joshua"/>
    <s v="Madden"/>
    <s v="Male"/>
    <s v="North Carolina"/>
    <s v="Charlotte"/>
    <s v="Bachelor"/>
    <d v="1965-11-26T00:00:00"/>
    <d v="2023-01-07T00:00:00"/>
    <d v="2023-07-06T00:00:00"/>
    <x v="2"/>
    <s v="Inventory Specialist"/>
    <x v="794"/>
    <s v="Excellent"/>
    <n v="0.49315068493150682"/>
    <x v="0"/>
    <n v="59"/>
    <s v="Medium"/>
  </r>
  <r>
    <x v="807"/>
    <s v="Linda"/>
    <s v="Browning"/>
    <s v="Male"/>
    <s v="New York"/>
    <s v="New York City"/>
    <s v="Bachelor"/>
    <d v="1988-06-15T00:00:00"/>
    <d v="2022-02-11T00:00:00"/>
    <d v="2022-08-10T00:00:00"/>
    <x v="2"/>
    <s v="Logistics Coordinator"/>
    <x v="795"/>
    <s v="Good"/>
    <n v="0.49315068493150682"/>
    <x v="0"/>
    <n v="36"/>
    <s v="Medium"/>
  </r>
  <r>
    <x v="808"/>
    <s v="Samantha"/>
    <s v="Warren"/>
    <s v="Male"/>
    <s v="New York"/>
    <s v="New York City"/>
    <s v="Master"/>
    <d v="1969-10-29T00:00:00"/>
    <d v="2017-04-04T00:00:00"/>
    <d v="2019-06-14T00:00:00"/>
    <x v="2"/>
    <s v="Operations Analyst"/>
    <x v="796"/>
    <s v="Excellent"/>
    <n v="0.49315068493150682"/>
    <x v="0"/>
    <n v="55"/>
    <s v="Medium"/>
  </r>
  <r>
    <x v="809"/>
    <s v="James"/>
    <s v="Fox"/>
    <s v="Male"/>
    <s v="New York"/>
    <s v="New York City"/>
    <s v="Master"/>
    <d v="1999-02-06T00:00:00"/>
    <d v="2019-11-13T00:00:00"/>
    <d v="2023-05-25T00:00:00"/>
    <x v="2"/>
    <s v="Operations Analyst"/>
    <x v="797"/>
    <s v="Excellent"/>
    <n v="1.506849315068493"/>
    <x v="0"/>
    <n v="26"/>
    <s v="Low"/>
  </r>
  <r>
    <x v="810"/>
    <s v="Michael"/>
    <s v="Norton"/>
    <s v="Male"/>
    <s v="New York"/>
    <s v="New York City"/>
    <s v="Bachelor"/>
    <d v="1985-06-22T00:00:00"/>
    <d v="2023-01-31T00:00:00"/>
    <d v="2023-07-30T00:00:00"/>
    <x v="2"/>
    <s v="Logistics Coordinator"/>
    <x v="798"/>
    <s v="Good"/>
    <n v="4.5753424657534243"/>
    <x v="0"/>
    <n v="39"/>
    <s v="Medium"/>
  </r>
  <r>
    <x v="811"/>
    <s v="Nathan"/>
    <s v="Sullivan"/>
    <s v="Male"/>
    <s v="New York"/>
    <s v="New York City"/>
    <s v="Bachelor"/>
    <d v="1982-03-30T00:00:00"/>
    <d v="2022-08-08T00:00:00"/>
    <d v="2023-02-04T00:00:00"/>
    <x v="6"/>
    <s v="Sales Consultant"/>
    <x v="799"/>
    <s v="Good"/>
    <n v="2.8739726027397259"/>
    <x v="0"/>
    <n v="43"/>
    <s v="Medium"/>
  </r>
  <r>
    <x v="812"/>
    <s v="John"/>
    <s v="Terry"/>
    <s v="Female"/>
    <s v="Ohio"/>
    <s v="Cincinnati"/>
    <s v="High School"/>
    <d v="1976-02-29T00:00:00"/>
    <d v="2024-04-26T00:00:00"/>
    <d v="2024-10-23T00:00:00"/>
    <x v="2"/>
    <s v="Inventory Specialist"/>
    <x v="800"/>
    <s v="Needs Improvement"/>
    <n v="0.49315068493150682"/>
    <x v="0"/>
    <n v="49"/>
    <s v="Medium"/>
  </r>
  <r>
    <x v="813"/>
    <s v="Gabriella"/>
    <s v="Abbott"/>
    <s v="Male"/>
    <s v="New York"/>
    <s v="New York City"/>
    <s v="PhD"/>
    <d v="1989-01-22T00:00:00"/>
    <d v="2017-09-11T00:00:00"/>
    <d v="2018-03-09T00:00:00"/>
    <x v="6"/>
    <s v="Sales Specialist"/>
    <x v="801"/>
    <s v="Excellent"/>
    <n v="2.4465753424657528"/>
    <x v="0"/>
    <n v="36"/>
    <s v="Medium"/>
  </r>
  <r>
    <x v="814"/>
    <s v="Victoria"/>
    <s v="Santos"/>
    <s v="Male"/>
    <s v="New York"/>
    <s v="New York City"/>
    <s v="Bachelor"/>
    <d v="2003-06-17T00:00:00"/>
    <d v="2021-01-13T00:00:00"/>
    <d v="2021-07-12T00:00:00"/>
    <x v="6"/>
    <s v="Sales Specialist"/>
    <x v="802"/>
    <s v="Needs Improvement"/>
    <n v="0.86027397260273974"/>
    <x v="0"/>
    <n v="21"/>
    <s v="Medium"/>
  </r>
  <r>
    <x v="815"/>
    <s v="Clayton"/>
    <s v="Gray"/>
    <s v="Female"/>
    <s v="New York"/>
    <s v="New York City"/>
    <s v="Bachelor"/>
    <d v="1989-07-24T00:00:00"/>
    <d v="2017-08-03T00:00:00"/>
    <d v="2018-01-30T00:00:00"/>
    <x v="6"/>
    <s v="Sales Consultant"/>
    <x v="803"/>
    <s v="Good"/>
    <n v="3.4712328767123291"/>
    <x v="0"/>
    <n v="35"/>
    <s v="Medium"/>
  </r>
  <r>
    <x v="816"/>
    <s v="Thomas"/>
    <s v="Walsh"/>
    <s v="Male"/>
    <s v="New York"/>
    <s v="New York City"/>
    <s v="Bachelor"/>
    <d v="1980-07-15T00:00:00"/>
    <d v="2017-09-30T00:00:00"/>
    <d v="2018-03-28T00:00:00"/>
    <x v="0"/>
    <s v="Support Specialist"/>
    <x v="804"/>
    <s v="Good"/>
    <n v="1.1534246575342471"/>
    <x v="0"/>
    <n v="44"/>
    <s v="Medium"/>
  </r>
  <r>
    <x v="817"/>
    <s v="George"/>
    <s v="Porter"/>
    <s v="Male"/>
    <s v="New York"/>
    <s v="New York City"/>
    <s v="PhD"/>
    <d v="1988-08-28T00:00:00"/>
    <d v="2023-06-18T00:00:00"/>
    <d v="2023-12-15T00:00:00"/>
    <x v="6"/>
    <s v="Sales Specialist"/>
    <x v="805"/>
    <s v="Excellent"/>
    <n v="7.441095890410959"/>
    <x v="0"/>
    <n v="36"/>
    <s v="Medium"/>
  </r>
  <r>
    <x v="818"/>
    <s v="Deanna"/>
    <s v="Rivera"/>
    <s v="Male"/>
    <s v="North Carolina"/>
    <s v="Greensboro"/>
    <s v="PhD"/>
    <d v="1966-06-20T00:00:00"/>
    <d v="2017-11-30T00:00:00"/>
    <d v="2019-03-08T00:00:00"/>
    <x v="0"/>
    <s v="Customer Service Manager"/>
    <x v="806"/>
    <s v="Excellent"/>
    <n v="0.49315068493150682"/>
    <x v="0"/>
    <n v="58"/>
    <s v="Medium"/>
  </r>
  <r>
    <x v="819"/>
    <s v="Terri"/>
    <s v="Jacobson"/>
    <s v="Female"/>
    <s v="Illinois"/>
    <s v="Chicago"/>
    <s v="Bachelor"/>
    <d v="1975-02-11T00:00:00"/>
    <d v="2023-12-23T00:00:00"/>
    <d v="2024-06-20T00:00:00"/>
    <x v="2"/>
    <s v="Logistics Coordinator"/>
    <x v="807"/>
    <s v="Satisfactory"/>
    <n v="0.49315068493150682"/>
    <x v="0"/>
    <n v="50"/>
    <s v="Medium"/>
  </r>
  <r>
    <x v="820"/>
    <s v="Brad"/>
    <s v="Lewis"/>
    <s v="Male"/>
    <s v="New York"/>
    <s v="New York City"/>
    <s v="Bachelor"/>
    <d v="1977-07-08T00:00:00"/>
    <d v="2021-12-04T00:00:00"/>
    <d v="2022-06-02T00:00:00"/>
    <x v="0"/>
    <s v="Customer Service Representative"/>
    <x v="808"/>
    <s v="Good"/>
    <n v="6.353424657534247"/>
    <x v="0"/>
    <n v="47"/>
    <s v="Medium"/>
  </r>
  <r>
    <x v="821"/>
    <s v="Heather"/>
    <s v="Knight"/>
    <s v="Male"/>
    <s v="Pennsylvania"/>
    <s v="Pittsburgh"/>
    <s v="Bachelor"/>
    <d v="1975-10-23T00:00:00"/>
    <d v="2024-04-15T00:00:00"/>
    <d v="2024-10-12T00:00:00"/>
    <x v="2"/>
    <s v="Inventory Specialist"/>
    <x v="809"/>
    <s v="Satisfactory"/>
    <n v="5.6876712328767134"/>
    <x v="0"/>
    <n v="49"/>
    <s v="Medium"/>
  </r>
  <r>
    <x v="822"/>
    <s v="Brandon"/>
    <s v="Jones"/>
    <s v="Male"/>
    <s v="New York"/>
    <s v="New York City"/>
    <s v="Master"/>
    <d v="2003-11-26T00:00:00"/>
    <d v="2015-12-26T00:00:00"/>
    <d v="2023-01-23T00:00:00"/>
    <x v="6"/>
    <s v="Sales Specialist"/>
    <x v="810"/>
    <s v="Excellent"/>
    <n v="1.383561643835616"/>
    <x v="0"/>
    <n v="21"/>
    <s v="Low"/>
  </r>
  <r>
    <x v="823"/>
    <s v="Juan"/>
    <s v="Daniels"/>
    <s v="Female"/>
    <s v="New York"/>
    <s v="New York City"/>
    <s v="Bachelor"/>
    <d v="2004-01-23T00:00:00"/>
    <d v="2017-09-13T00:00:00"/>
    <d v="2018-03-11T00:00:00"/>
    <x v="2"/>
    <s v="Logistics Coordinator"/>
    <x v="811"/>
    <s v="Needs Improvement"/>
    <n v="0.49315068493150682"/>
    <x v="0"/>
    <n v="21"/>
    <s v="Low"/>
  </r>
  <r>
    <x v="824"/>
    <s v="Antonio"/>
    <s v="Mcfarland"/>
    <s v="Female"/>
    <s v="New York"/>
    <s v="New York City"/>
    <s v="Bachelor"/>
    <d v="1978-12-23T00:00:00"/>
    <d v="2016-05-02T00:00:00"/>
    <d v="2024-04-24T00:00:00"/>
    <x v="1"/>
    <s v="IT Support Specialist"/>
    <x v="812"/>
    <s v="Satisfactory"/>
    <n v="2.4027397260273968"/>
    <x v="0"/>
    <n v="46"/>
    <s v="Medium"/>
  </r>
  <r>
    <x v="825"/>
    <s v="Alexis"/>
    <s v="Clark"/>
    <s v="Male"/>
    <s v="New York"/>
    <s v="New York City"/>
    <s v="Bachelor"/>
    <d v="2000-02-12T00:00:00"/>
    <d v="2018-02-25T00:00:00"/>
    <d v="2018-08-24T00:00:00"/>
    <x v="4"/>
    <s v="Marketing Coordinator"/>
    <x v="813"/>
    <s v="Good"/>
    <n v="1.517808219178082"/>
    <x v="0"/>
    <n v="25"/>
    <s v="Medium"/>
  </r>
  <r>
    <x v="826"/>
    <s v="Karen"/>
    <s v="Marquez"/>
    <s v="Female"/>
    <s v="New York"/>
    <s v="New York City"/>
    <s v="Master"/>
    <d v="2000-05-19T00:00:00"/>
    <d v="2019-06-04T00:00:00"/>
    <d v="2019-12-01T00:00:00"/>
    <x v="6"/>
    <s v="Sales Specialist"/>
    <x v="814"/>
    <s v="Good"/>
    <n v="4.5287671232876709"/>
    <x v="0"/>
    <n v="24"/>
    <s v="Medium"/>
  </r>
  <r>
    <x v="827"/>
    <s v="Sarah"/>
    <s v="Evans"/>
    <s v="Female"/>
    <s v="New York"/>
    <s v="New York City"/>
    <s v="Bachelor"/>
    <d v="1996-11-12T00:00:00"/>
    <d v="2019-08-08T00:00:00"/>
    <d v="2024-12-15T00:00:00"/>
    <x v="2"/>
    <s v="Operations Analyst"/>
    <x v="815"/>
    <s v="Good"/>
    <n v="0.49315068493150682"/>
    <x v="0"/>
    <n v="28"/>
    <s v="Medium"/>
  </r>
  <r>
    <x v="828"/>
    <s v="John"/>
    <s v="Davenport"/>
    <s v="Female"/>
    <s v="Pennsylvania"/>
    <s v="Allentown"/>
    <s v="Bachelor"/>
    <d v="1981-06-03T00:00:00"/>
    <d v="2015-06-01T00:00:00"/>
    <d v="2021-07-21T00:00:00"/>
    <x v="2"/>
    <s v="Logistics Coordinator"/>
    <x v="816"/>
    <s v="Good"/>
    <n v="1.3232876712328769"/>
    <x v="0"/>
    <n v="43"/>
    <s v="Low"/>
  </r>
  <r>
    <x v="829"/>
    <s v="Erica"/>
    <s v="Fernandez"/>
    <s v="Male"/>
    <s v="New York"/>
    <s v="New York City"/>
    <s v="Bachelor"/>
    <d v="2003-10-22T00:00:00"/>
    <d v="2020-05-29T00:00:00"/>
    <d v="2021-06-11T00:00:00"/>
    <x v="2"/>
    <s v="Inventory Specialist"/>
    <x v="817"/>
    <s v="Good"/>
    <n v="0.49315068493150682"/>
    <x v="0"/>
    <n v="21"/>
    <s v="Low"/>
  </r>
  <r>
    <x v="830"/>
    <s v="Karla"/>
    <s v="Taylor"/>
    <s v="Female"/>
    <s v="New York"/>
    <s v="New York City"/>
    <s v="High School"/>
    <d v="1989-01-24T00:00:00"/>
    <d v="2015-09-25T00:00:00"/>
    <d v="2018-04-11T00:00:00"/>
    <x v="5"/>
    <s v="Recruiter"/>
    <x v="818"/>
    <s v="Needs Improvement"/>
    <n v="3.0027397260273969"/>
    <x v="0"/>
    <n v="36"/>
    <s v="Medium"/>
  </r>
  <r>
    <x v="831"/>
    <s v="Jennifer"/>
    <s v="Mason"/>
    <s v="Male"/>
    <s v="Michigan"/>
    <s v="Warren"/>
    <s v="Master"/>
    <d v="1986-04-10T00:00:00"/>
    <d v="2024-05-14T00:00:00"/>
    <d v="2024-11-10T00:00:00"/>
    <x v="6"/>
    <s v="Sales Specialist"/>
    <x v="819"/>
    <s v="Excellent"/>
    <n v="0.49315068493150682"/>
    <x v="0"/>
    <n v="39"/>
    <s v="Medium"/>
  </r>
  <r>
    <x v="832"/>
    <s v="Brian"/>
    <s v="Kim"/>
    <s v="Female"/>
    <s v="Pennsylvania"/>
    <s v="Pittsburgh"/>
    <s v="Bachelor"/>
    <d v="1980-11-26T00:00:00"/>
    <d v="2019-11-22T00:00:00"/>
    <d v="2022-08-23T00:00:00"/>
    <x v="0"/>
    <s v="Help Desk Technician"/>
    <x v="820"/>
    <s v="Good"/>
    <n v="2.5534246575342472"/>
    <x v="0"/>
    <n v="44"/>
    <s v="Medium"/>
  </r>
  <r>
    <x v="833"/>
    <s v="Charles"/>
    <s v="Jacobs"/>
    <s v="Male"/>
    <s v="New York"/>
    <s v="New York City"/>
    <s v="Bachelor"/>
    <d v="1983-01-25T00:00:00"/>
    <d v="2022-08-27T00:00:00"/>
    <d v="2023-02-23T00:00:00"/>
    <x v="0"/>
    <s v="Support Specialist"/>
    <x v="821"/>
    <s v="Satisfactory"/>
    <n v="0.49315068493150682"/>
    <x v="0"/>
    <n v="42"/>
    <s v="Medium"/>
  </r>
  <r>
    <x v="834"/>
    <s v="Stephanie"/>
    <s v="Sanders"/>
    <s v="Male"/>
    <s v="Michigan"/>
    <s v="Grand Rapids"/>
    <s v="Bachelor"/>
    <d v="1983-11-07T00:00:00"/>
    <d v="2018-10-28T00:00:00"/>
    <d v="2020-06-09T00:00:00"/>
    <x v="6"/>
    <s v="Sales Specialist"/>
    <x v="822"/>
    <s v="Good"/>
    <n v="3.1123287671232882"/>
    <x v="0"/>
    <n v="41"/>
    <s v="Medium"/>
  </r>
  <r>
    <x v="835"/>
    <s v="Mark"/>
    <s v="Walters"/>
    <s v="Female"/>
    <s v="Michigan"/>
    <s v="Detroit"/>
    <s v="Bachelor"/>
    <d v="1976-08-12T00:00:00"/>
    <d v="2023-11-01T00:00:00"/>
    <d v="2024-04-29T00:00:00"/>
    <x v="2"/>
    <s v="Logistics Coordinator"/>
    <x v="823"/>
    <s v="Satisfactory"/>
    <n v="3.5205479452054789"/>
    <x v="0"/>
    <n v="48"/>
    <s v="Low"/>
  </r>
  <r>
    <x v="836"/>
    <s v="Victoria"/>
    <s v="Henry"/>
    <s v="Female"/>
    <s v="Michigan"/>
    <s v="Warren"/>
    <s v="Master"/>
    <d v="2002-10-02T00:00:00"/>
    <d v="2016-05-18T00:00:00"/>
    <d v="2024-12-09T00:00:00"/>
    <x v="1"/>
    <s v="Software Developer"/>
    <x v="824"/>
    <s v="Excellent"/>
    <n v="0.49315068493150682"/>
    <x v="0"/>
    <n v="22"/>
    <s v="Medium"/>
  </r>
  <r>
    <x v="837"/>
    <s v="Angela"/>
    <s v="Bennett"/>
    <s v="Male"/>
    <s v="New York"/>
    <s v="New York City"/>
    <s v="High School"/>
    <d v="1983-08-28T00:00:00"/>
    <d v="2022-03-14T00:00:00"/>
    <d v="2022-09-10T00:00:00"/>
    <x v="2"/>
    <s v="Inventory Specialist"/>
    <x v="825"/>
    <s v="Needs Improvement"/>
    <n v="6.5013698630136982"/>
    <x v="0"/>
    <n v="41"/>
    <s v="Low"/>
  </r>
  <r>
    <x v="838"/>
    <s v="Erin"/>
    <s v="Guerrero"/>
    <s v="Female"/>
    <s v="North Carolina"/>
    <s v="Raleigh"/>
    <s v="Bachelor"/>
    <d v="1967-07-16T00:00:00"/>
    <d v="2021-02-03T00:00:00"/>
    <d v="2021-08-02T00:00:00"/>
    <x v="2"/>
    <s v="Operations Analyst"/>
    <x v="826"/>
    <s v="Satisfactory"/>
    <n v="0.49315068493150682"/>
    <x v="0"/>
    <n v="57"/>
    <s v="Low"/>
  </r>
  <r>
    <x v="839"/>
    <s v="Kelsey"/>
    <s v="Phillips"/>
    <s v="Male"/>
    <s v="New York"/>
    <s v="New York City"/>
    <s v="Bachelor"/>
    <d v="1969-07-22T00:00:00"/>
    <d v="2022-04-06T00:00:00"/>
    <d v="2022-10-03T00:00:00"/>
    <x v="1"/>
    <s v="IT Support Specialist"/>
    <x v="827"/>
    <s v="Satisfactory"/>
    <n v="7.816438356164384"/>
    <x v="1"/>
    <n v="55"/>
    <s v="Low"/>
  </r>
  <r>
    <x v="840"/>
    <s v="Jennifer"/>
    <s v="Miller"/>
    <s v="Male"/>
    <s v="Ohio"/>
    <s v="Cincinnati"/>
    <s v="Bachelor"/>
    <d v="1971-08-10T00:00:00"/>
    <d v="2017-03-01T00:00:00"/>
    <d v="2021-05-26T00:00:00"/>
    <x v="6"/>
    <s v="Sales Representative"/>
    <x v="828"/>
    <s v="Satisfactory"/>
    <n v="0.49315068493150682"/>
    <x v="0"/>
    <n v="53"/>
    <s v="Medium"/>
  </r>
  <r>
    <x v="841"/>
    <s v="Norman"/>
    <s v="Bowers"/>
    <s v="Male"/>
    <s v="New York"/>
    <s v="New York City"/>
    <s v="Bachelor"/>
    <d v="1981-02-14T00:00:00"/>
    <d v="2018-03-01T00:00:00"/>
    <d v="2020-11-15T00:00:00"/>
    <x v="6"/>
    <s v="Sales Specialist"/>
    <x v="829"/>
    <s v="Good"/>
    <n v="2.194520547945205"/>
    <x v="0"/>
    <n v="44"/>
    <s v="Medium"/>
  </r>
  <r>
    <x v="842"/>
    <s v="Christopher"/>
    <s v="Hahn"/>
    <s v="Male"/>
    <s v="Michigan"/>
    <s v="Warren"/>
    <s v="High School"/>
    <d v="1988-07-11T00:00:00"/>
    <d v="2020-06-21T00:00:00"/>
    <d v="2023-03-21T00:00:00"/>
    <x v="0"/>
    <s v="Customer Service Representative"/>
    <x v="830"/>
    <s v="Needs Improvement"/>
    <n v="3.5315068493150679"/>
    <x v="0"/>
    <n v="36"/>
    <s v="Medium"/>
  </r>
  <r>
    <x v="843"/>
    <s v="Michael"/>
    <s v="Nelson"/>
    <s v="Male"/>
    <s v="New York"/>
    <s v="New York City"/>
    <s v="Bachelor"/>
    <d v="1981-12-20T00:00:00"/>
    <d v="2017-02-21T00:00:00"/>
    <d v="2017-08-20T00:00:00"/>
    <x v="6"/>
    <s v="Sales Representative"/>
    <x v="831"/>
    <s v="Good"/>
    <n v="0.49315068493150682"/>
    <x v="0"/>
    <n v="43"/>
    <s v="Medium"/>
  </r>
  <r>
    <x v="844"/>
    <s v="Christopher"/>
    <s v="Jordan"/>
    <s v="Female"/>
    <s v="New York"/>
    <s v="New York City"/>
    <s v="Bachelor"/>
    <d v="1966-10-10T00:00:00"/>
    <d v="2017-08-05T00:00:00"/>
    <d v="2018-02-01T00:00:00"/>
    <x v="3"/>
    <s v="Accountant"/>
    <x v="832"/>
    <s v="Excellent"/>
    <n v="0.49315068493150682"/>
    <x v="0"/>
    <n v="58"/>
    <s v="Low"/>
  </r>
  <r>
    <x v="845"/>
    <s v="Angela"/>
    <s v="Russell"/>
    <s v="Female"/>
    <s v="New York"/>
    <s v="New York City"/>
    <s v="High School"/>
    <d v="1964-01-07T00:00:00"/>
    <d v="2020-01-11T00:00:00"/>
    <d v="2020-07-09T00:00:00"/>
    <x v="1"/>
    <s v="IT Support Specialist"/>
    <x v="833"/>
    <s v="Excellent"/>
    <n v="0.49315068493150682"/>
    <x v="0"/>
    <n v="61"/>
    <s v="Medium"/>
  </r>
  <r>
    <x v="846"/>
    <s v="Christopher"/>
    <s v="Spencer"/>
    <s v="Female"/>
    <s v="Virginia"/>
    <s v="Richmond"/>
    <s v="Bachelor"/>
    <d v="1975-07-24T00:00:00"/>
    <d v="2021-08-20T00:00:00"/>
    <d v="2023-01-28T00:00:00"/>
    <x v="1"/>
    <s v="IT Support Specialist"/>
    <x v="834"/>
    <s v="Excellent"/>
    <n v="0.49041095890410957"/>
    <x v="0"/>
    <n v="49"/>
    <s v="Low"/>
  </r>
  <r>
    <x v="847"/>
    <s v="Carly"/>
    <s v="Nguyen"/>
    <s v="Female"/>
    <s v="Michigan"/>
    <s v="Detroit"/>
    <s v="Bachelor"/>
    <d v="1976-06-21T00:00:00"/>
    <d v="2016-05-29T00:00:00"/>
    <d v="2024-04-06T00:00:00"/>
    <x v="3"/>
    <s v="Accounts Payable Specialist"/>
    <x v="835"/>
    <s v="Good"/>
    <n v="0.49315068493150682"/>
    <x v="0"/>
    <n v="48"/>
    <s v="Low"/>
  </r>
  <r>
    <x v="848"/>
    <s v="Alexander"/>
    <s v="Gutierrez"/>
    <s v="Female"/>
    <s v="Ohio"/>
    <s v="Cleveland"/>
    <s v="Bachelor"/>
    <d v="1971-04-27T00:00:00"/>
    <d v="2016-10-29T00:00:00"/>
    <d v="2017-04-27T00:00:00"/>
    <x v="2"/>
    <s v="Logistics Coordinator"/>
    <x v="836"/>
    <s v="Satisfactory"/>
    <n v="0.49315068493150682"/>
    <x v="0"/>
    <n v="53"/>
    <s v="Medium"/>
  </r>
  <r>
    <x v="849"/>
    <s v="Christopher"/>
    <s v="Santana"/>
    <s v="Male"/>
    <s v="New York"/>
    <s v="New York City"/>
    <s v="Bachelor"/>
    <d v="1961-07-17T00:00:00"/>
    <d v="2017-12-18T00:00:00"/>
    <d v="2018-06-16T00:00:00"/>
    <x v="2"/>
    <s v="Inventory Specialist"/>
    <x v="837"/>
    <s v="Good"/>
    <n v="0.49041095890410957"/>
    <x v="0"/>
    <n v="63"/>
    <s v="Medium"/>
  </r>
  <r>
    <x v="850"/>
    <s v="Victoria"/>
    <s v="Sanchez"/>
    <s v="Male"/>
    <s v="Michigan"/>
    <s v="Detroit"/>
    <s v="High School"/>
    <d v="1974-10-19T00:00:00"/>
    <d v="2020-07-21T00:00:00"/>
    <d v="2024-05-05T00:00:00"/>
    <x v="2"/>
    <s v="Inventory Specialist"/>
    <x v="838"/>
    <s v="Needs Improvement"/>
    <n v="0.49315068493150682"/>
    <x v="0"/>
    <n v="50"/>
    <s v="Medium"/>
  </r>
  <r>
    <x v="851"/>
    <s v="Gavin"/>
    <s v="James"/>
    <s v="Male"/>
    <s v="Illinois"/>
    <s v="Chicago"/>
    <s v="Master"/>
    <d v="1977-04-07T00:00:00"/>
    <d v="2024-02-23T00:00:00"/>
    <d v="2024-08-21T00:00:00"/>
    <x v="1"/>
    <s v="Software Developer"/>
    <x v="839"/>
    <s v="Good"/>
    <n v="1.268493150684932"/>
    <x v="0"/>
    <n v="48"/>
    <s v="Medium"/>
  </r>
  <r>
    <x v="852"/>
    <s v="Joseph"/>
    <s v="Adams"/>
    <s v="Male"/>
    <s v="New York"/>
    <s v="New York City"/>
    <s v="PhD"/>
    <d v="1997-01-26T00:00:00"/>
    <d v="2016-02-26T00:00:00"/>
    <d v="2018-09-04T00:00:00"/>
    <x v="6"/>
    <s v="Sales Specialist"/>
    <x v="840"/>
    <s v="Excellent"/>
    <n v="0.49315068493150682"/>
    <x v="0"/>
    <n v="28"/>
    <s v="Medium"/>
  </r>
  <r>
    <x v="853"/>
    <s v="Bryan"/>
    <s v="Hamilton"/>
    <s v="Female"/>
    <s v="New York"/>
    <s v="New York City"/>
    <s v="Bachelor"/>
    <d v="1991-12-11T00:00:00"/>
    <d v="2024-06-12T00:00:00"/>
    <d v="2024-12-09T00:00:00"/>
    <x v="0"/>
    <s v="Customer Service Representative"/>
    <x v="841"/>
    <s v="Good"/>
    <n v="0.49315068493150682"/>
    <x v="0"/>
    <n v="33"/>
    <s v="Low"/>
  </r>
  <r>
    <x v="854"/>
    <s v="Kevin"/>
    <s v="Patton"/>
    <s v="Female"/>
    <s v="Pennsylvania"/>
    <s v="Philadelphia"/>
    <s v="High School"/>
    <d v="1998-02-28T00:00:00"/>
    <d v="2021-05-21T00:00:00"/>
    <d v="2024-02-08T00:00:00"/>
    <x v="2"/>
    <s v="Inventory Specialist"/>
    <x v="842"/>
    <s v="Needs Improvement"/>
    <n v="0.49315068493150682"/>
    <x v="0"/>
    <n v="27"/>
    <s v="Medium"/>
  </r>
  <r>
    <x v="855"/>
    <s v="Johnathan"/>
    <s v="Wright"/>
    <s v="Male"/>
    <s v="New York"/>
    <s v="New York City"/>
    <s v="Bachelor"/>
    <d v="1991-09-12T00:00:00"/>
    <d v="2019-08-31T00:00:00"/>
    <d v="2024-05-29T00:00:00"/>
    <x v="2"/>
    <s v="Logistics Coordinator"/>
    <x v="843"/>
    <s v="Excellent"/>
    <n v="7.0821917808219181"/>
    <x v="0"/>
    <n v="33"/>
    <s v="Medium"/>
  </r>
  <r>
    <x v="856"/>
    <s v="Tyler"/>
    <s v="Jensen"/>
    <s v="Male"/>
    <s v="New York"/>
    <s v="New York City"/>
    <s v="Bachelor"/>
    <d v="1978-01-31T00:00:00"/>
    <d v="2020-06-26T00:00:00"/>
    <d v="2020-12-23T00:00:00"/>
    <x v="2"/>
    <s v="Logistics Coordinator"/>
    <x v="844"/>
    <s v="Satisfactory"/>
    <n v="0.49041095890410957"/>
    <x v="0"/>
    <n v="47"/>
    <s v="Medium"/>
  </r>
  <r>
    <x v="857"/>
    <s v="Daniel"/>
    <s v="Torres"/>
    <s v="Male"/>
    <s v="New York"/>
    <s v="New York City"/>
    <s v="Bachelor"/>
    <d v="1996-12-10T00:00:00"/>
    <d v="2016-06-02T00:00:00"/>
    <d v="2016-11-29T00:00:00"/>
    <x v="6"/>
    <s v="Sales Specialist"/>
    <x v="845"/>
    <s v="Good"/>
    <n v="7.9835616438356167"/>
    <x v="0"/>
    <n v="28"/>
    <s v="Medium"/>
  </r>
  <r>
    <x v="858"/>
    <s v="Martin"/>
    <s v="Oliver"/>
    <s v="Male"/>
    <s v="New York"/>
    <s v="New York City"/>
    <s v="Bachelor"/>
    <d v="1995-10-14T00:00:00"/>
    <d v="2018-11-08T00:00:00"/>
    <d v="2019-05-07T00:00:00"/>
    <x v="4"/>
    <s v="Content Creator"/>
    <x v="846"/>
    <s v="Satisfactory"/>
    <n v="0.49315068493150682"/>
    <x v="0"/>
    <n v="29"/>
    <s v="Medium"/>
  </r>
  <r>
    <x v="859"/>
    <s v="Michelle"/>
    <s v="Alexander"/>
    <s v="Male"/>
    <s v="New York"/>
    <s v="New York City"/>
    <s v="High School"/>
    <d v="1987-11-01T00:00:00"/>
    <d v="2019-06-17T00:00:00"/>
    <d v="2020-01-18T00:00:00"/>
    <x v="1"/>
    <s v="IT Support Specialist"/>
    <x v="847"/>
    <s v="Needs Improvement"/>
    <n v="0.49315068493150682"/>
    <x v="0"/>
    <n v="37"/>
    <s v="Medium"/>
  </r>
  <r>
    <x v="860"/>
    <s v="Lisa"/>
    <s v="Villarreal"/>
    <s v="Male"/>
    <s v="New York"/>
    <s v="New York City"/>
    <s v="Bachelor"/>
    <d v="1979-08-18T00:00:00"/>
    <d v="2022-08-19T00:00:00"/>
    <d v="2023-10-27T00:00:00"/>
    <x v="4"/>
    <s v="Marketing Coordinator"/>
    <x v="848"/>
    <s v="Satisfactory"/>
    <n v="5.3589041095890408"/>
    <x v="0"/>
    <n v="45"/>
    <s v="Medium"/>
  </r>
  <r>
    <x v="861"/>
    <s v="Derek"/>
    <s v="Flores"/>
    <s v="Female"/>
    <s v="New York"/>
    <s v="New York City"/>
    <s v="PhD"/>
    <d v="1992-05-13T00:00:00"/>
    <d v="2022-09-28T00:00:00"/>
    <d v="2024-05-04T00:00:00"/>
    <x v="3"/>
    <s v="Financial Analyst"/>
    <x v="849"/>
    <s v="Excellent"/>
    <n v="6.1424657534246574"/>
    <x v="0"/>
    <n v="32"/>
    <s v="Medium"/>
  </r>
  <r>
    <x v="862"/>
    <s v="James"/>
    <s v="Edwards"/>
    <s v="Female"/>
    <s v="North Carolina"/>
    <s v="Greensboro"/>
    <s v="Bachelor"/>
    <d v="1983-12-04T00:00:00"/>
    <d v="2016-06-03T00:00:00"/>
    <d v="2017-12-30T00:00:00"/>
    <x v="2"/>
    <s v="Logistics Coordinator"/>
    <x v="850"/>
    <s v="Good"/>
    <n v="1.0356164383561639"/>
    <x v="0"/>
    <n v="41"/>
    <s v="Low"/>
  </r>
  <r>
    <x v="863"/>
    <s v="Tanya"/>
    <s v="Carter"/>
    <s v="Male"/>
    <s v="New York"/>
    <s v="New York City"/>
    <s v="PhD"/>
    <d v="1989-06-26T00:00:00"/>
    <d v="2021-09-27T00:00:00"/>
    <d v="2022-03-26T00:00:00"/>
    <x v="6"/>
    <s v="Sales Consultant"/>
    <x v="851"/>
    <s v="Excellent"/>
    <n v="2.5452054794520551"/>
    <x v="0"/>
    <n v="35"/>
    <s v="Medium"/>
  </r>
  <r>
    <x v="864"/>
    <s v="Cynthia"/>
    <s v="Faulkner"/>
    <s v="Male"/>
    <s v="Pennsylvania"/>
    <s v="Philadelphia"/>
    <s v="High School"/>
    <d v="1998-06-26T00:00:00"/>
    <d v="2022-10-31T00:00:00"/>
    <d v="2023-04-29T00:00:00"/>
    <x v="2"/>
    <s v="Inventory Specialist"/>
    <x v="85"/>
    <s v="Needs Improvement"/>
    <n v="0.49315068493150682"/>
    <x v="0"/>
    <n v="26"/>
    <s v="Low"/>
  </r>
  <r>
    <x v="865"/>
    <s v="John"/>
    <s v="Bennett"/>
    <s v="Female"/>
    <s v="Illinois"/>
    <s v="Naperville"/>
    <s v="Bachelor"/>
    <d v="1959-09-13T00:00:00"/>
    <d v="2015-11-14T00:00:00"/>
    <d v="2021-07-08T00:00:00"/>
    <x v="2"/>
    <s v="Inventory Specialist"/>
    <x v="852"/>
    <s v="Good"/>
    <n v="2.753424657534246"/>
    <x v="0"/>
    <n v="65"/>
    <s v="Low"/>
  </r>
  <r>
    <x v="866"/>
    <s v="Kristi"/>
    <s v="Diaz"/>
    <s v="Female"/>
    <s v="New York"/>
    <s v="New York City"/>
    <s v="Master"/>
    <d v="1984-04-17T00:00:00"/>
    <d v="2017-12-28T00:00:00"/>
    <d v="2021-06-26T00:00:00"/>
    <x v="1"/>
    <s v="Software Developer"/>
    <x v="853"/>
    <s v="Good"/>
    <n v="0.49315068493150682"/>
    <x v="0"/>
    <n v="40"/>
    <s v="Medium"/>
  </r>
  <r>
    <x v="867"/>
    <s v="Anne"/>
    <s v="Vargas"/>
    <s v="Female"/>
    <s v="New York"/>
    <s v="New York City"/>
    <s v="Bachelor"/>
    <d v="1986-07-23T00:00:00"/>
    <d v="2017-07-31T00:00:00"/>
    <d v="2018-01-27T00:00:00"/>
    <x v="0"/>
    <s v="Customer Service Representative"/>
    <x v="854"/>
    <s v="Needs Improvement"/>
    <n v="1.616438356164384"/>
    <x v="0"/>
    <n v="38"/>
    <s v="Low"/>
  </r>
  <r>
    <x v="868"/>
    <s v="Hector"/>
    <s v="Saunders"/>
    <s v="Male"/>
    <s v="New York"/>
    <s v="New York City"/>
    <s v="Master"/>
    <d v="1970-01-15T00:00:00"/>
    <d v="2018-01-11T00:00:00"/>
    <d v="2018-08-20T00:00:00"/>
    <x v="6"/>
    <s v="Sales Specialist"/>
    <x v="855"/>
    <s v="Good"/>
    <n v="0.49315068493150682"/>
    <x v="0"/>
    <n v="55"/>
    <s v="Medium"/>
  </r>
  <r>
    <x v="869"/>
    <s v="Stephanie"/>
    <s v="Murray"/>
    <s v="Male"/>
    <s v="New York"/>
    <s v="New York City"/>
    <s v="PhD"/>
    <d v="1994-09-23T00:00:00"/>
    <d v="2022-10-03T00:00:00"/>
    <d v="2023-04-01T00:00:00"/>
    <x v="1"/>
    <s v="IT Manager"/>
    <x v="856"/>
    <s v="Excellent"/>
    <n v="8.5671232876712331"/>
    <x v="0"/>
    <n v="30"/>
    <s v="High"/>
  </r>
  <r>
    <x v="870"/>
    <s v="Jason"/>
    <s v="Salinas"/>
    <s v="Male"/>
    <s v="New York"/>
    <s v="New York City"/>
    <s v="Bachelor"/>
    <d v="1990-08-07T00:00:00"/>
    <d v="2018-11-19T00:00:00"/>
    <d v="2022-03-18T00:00:00"/>
    <x v="3"/>
    <s v="Accountant"/>
    <x v="857"/>
    <s v="Needs Improvement"/>
    <n v="0.49315068493150682"/>
    <x v="0"/>
    <n v="34"/>
    <s v="Medium"/>
  </r>
  <r>
    <x v="871"/>
    <s v="Heather"/>
    <s v="Fuentes"/>
    <s v="Female"/>
    <s v="New York"/>
    <s v="New York City"/>
    <s v="Bachelor"/>
    <d v="1977-06-02T00:00:00"/>
    <d v="2016-11-05T00:00:00"/>
    <d v="2018-01-19T00:00:00"/>
    <x v="2"/>
    <s v="Logistics Coordinator"/>
    <x v="858"/>
    <s v="Excellent"/>
    <n v="0.49315068493150682"/>
    <x v="0"/>
    <n v="47"/>
    <s v="Low"/>
  </r>
  <r>
    <x v="872"/>
    <s v="Laura"/>
    <s v="Chambers"/>
    <s v="Female"/>
    <s v="North Carolina"/>
    <s v="Charlotte"/>
    <s v="Bachelor"/>
    <d v="1987-06-09T00:00:00"/>
    <d v="2016-02-24T00:00:00"/>
    <d v="2017-01-21T00:00:00"/>
    <x v="2"/>
    <s v="Logistics Coordinator"/>
    <x v="859"/>
    <s v="Satisfactory"/>
    <n v="0.49315068493150682"/>
    <x v="0"/>
    <n v="37"/>
    <s v="Low"/>
  </r>
  <r>
    <x v="873"/>
    <s v="Cynthia"/>
    <s v="Allen"/>
    <s v="Male"/>
    <s v="Pennsylvania"/>
    <s v="Allentown"/>
    <s v="Bachelor"/>
    <d v="1984-06-05T00:00:00"/>
    <d v="2016-09-12T00:00:00"/>
    <d v="2017-07-30T00:00:00"/>
    <x v="2"/>
    <s v="Logistics Coordinator"/>
    <x v="860"/>
    <s v="Good"/>
    <n v="4.2383561643835614"/>
    <x v="0"/>
    <n v="40"/>
    <s v="Medium"/>
  </r>
  <r>
    <x v="874"/>
    <s v="Eric"/>
    <s v="Henderson"/>
    <s v="Female"/>
    <s v="New York"/>
    <s v="New York City"/>
    <s v="Master"/>
    <d v="1991-05-24T00:00:00"/>
    <d v="2017-05-27T00:00:00"/>
    <d v="2023-02-28T00:00:00"/>
    <x v="6"/>
    <s v="Sales Manager"/>
    <x v="861"/>
    <s v="Excellent"/>
    <n v="2.7123287671232879"/>
    <x v="0"/>
    <n v="33"/>
    <s v="High"/>
  </r>
  <r>
    <x v="875"/>
    <s v="Charles"/>
    <s v="Ewing"/>
    <s v="Female"/>
    <s v="New York"/>
    <s v="New York City"/>
    <s v="High School"/>
    <d v="1995-03-10T00:00:00"/>
    <d v="2017-07-06T00:00:00"/>
    <d v="2018-01-02T00:00:00"/>
    <x v="0"/>
    <s v="Customer Service Representative"/>
    <x v="862"/>
    <s v="Needs Improvement"/>
    <n v="8.161643835616438"/>
    <x v="1"/>
    <n v="30"/>
    <s v="Low"/>
  </r>
  <r>
    <x v="876"/>
    <s v="Brandi"/>
    <s v="Ferguson"/>
    <s v="Male"/>
    <s v="New York"/>
    <s v="New York City"/>
    <s v="Bachelor"/>
    <d v="2000-08-28T00:00:00"/>
    <d v="2017-12-25T00:00:00"/>
    <d v="2018-06-22T00:00:00"/>
    <x v="6"/>
    <s v="Sales Consultant"/>
    <x v="863"/>
    <s v="Good"/>
    <n v="2.7479452054794522"/>
    <x v="0"/>
    <n v="24"/>
    <s v="Medium"/>
  </r>
  <r>
    <x v="877"/>
    <s v="Samantha"/>
    <s v="Holt"/>
    <s v="Male"/>
    <s v="New York"/>
    <s v="New York City"/>
    <s v="Bachelor"/>
    <d v="1980-11-17T00:00:00"/>
    <d v="2019-07-31T00:00:00"/>
    <d v="2020-02-07T00:00:00"/>
    <x v="2"/>
    <s v="Logistics Coordinator"/>
    <x v="864"/>
    <s v="Satisfactory"/>
    <n v="0.49315068493150682"/>
    <x v="0"/>
    <n v="44"/>
    <s v="Medium"/>
  </r>
  <r>
    <x v="878"/>
    <s v="Benjamin"/>
    <s v="Schmitt"/>
    <s v="Male"/>
    <s v="New York"/>
    <s v="New York City"/>
    <s v="Bachelor"/>
    <d v="1960-04-11T00:00:00"/>
    <d v="2018-09-29T00:00:00"/>
    <d v="2019-03-28T00:00:00"/>
    <x v="2"/>
    <s v="Logistics Coordinator"/>
    <x v="865"/>
    <s v="Good"/>
    <n v="0.49315068493150682"/>
    <x v="0"/>
    <n v="65"/>
    <s v="Medium"/>
  </r>
  <r>
    <x v="879"/>
    <s v="Paula"/>
    <s v="Herrera"/>
    <s v="Female"/>
    <s v="Virginia"/>
    <s v="Richmond"/>
    <s v="Master"/>
    <d v="1977-10-02T00:00:00"/>
    <d v="2019-09-05T00:00:00"/>
    <d v="2020-03-03T00:00:00"/>
    <x v="1"/>
    <s v="Software Developer"/>
    <x v="866"/>
    <s v="Excellent"/>
    <n v="0.49315068493150682"/>
    <x v="0"/>
    <n v="47"/>
    <s v="Medium"/>
  </r>
  <r>
    <x v="880"/>
    <s v="Robin"/>
    <s v="Rodriguez"/>
    <s v="Male"/>
    <s v="New York"/>
    <s v="New York City"/>
    <s v="Bachelor"/>
    <d v="2004-03-20T00:00:00"/>
    <d v="2024-04-06T00:00:00"/>
    <d v="2024-10-03T00:00:00"/>
    <x v="3"/>
    <s v="Accountant"/>
    <x v="867"/>
    <s v="Satisfactory"/>
    <n v="1.441095890410959"/>
    <x v="0"/>
    <n v="21"/>
    <s v="Medium"/>
  </r>
  <r>
    <x v="881"/>
    <s v="Diane"/>
    <s v="Kelly"/>
    <s v="Male"/>
    <s v="Illinois"/>
    <s v="Aurora"/>
    <s v="Bachelor"/>
    <d v="1999-05-12T00:00:00"/>
    <d v="2020-09-08T00:00:00"/>
    <d v="2021-03-07T00:00:00"/>
    <x v="3"/>
    <s v="Financial Analyst"/>
    <x v="868"/>
    <s v="Satisfactory"/>
    <n v="7.86027397260274"/>
    <x v="0"/>
    <n v="25"/>
    <s v="Medium"/>
  </r>
  <r>
    <x v="882"/>
    <s v="Cheyenne"/>
    <s v="Hart"/>
    <s v="Male"/>
    <s v="New York"/>
    <s v="New York City"/>
    <s v="Bachelor"/>
    <d v="2002-08-28T00:00:00"/>
    <d v="2017-09-08T00:00:00"/>
    <d v="2021-07-04T00:00:00"/>
    <x v="2"/>
    <s v="Logistics Coordinator"/>
    <x v="869"/>
    <s v="Excellent"/>
    <n v="0.49315068493150682"/>
    <x v="0"/>
    <n v="22"/>
    <s v="Medium"/>
  </r>
  <r>
    <x v="883"/>
    <s v="Erica"/>
    <s v="Ross"/>
    <s v="Female"/>
    <s v="New York"/>
    <s v="New York City"/>
    <s v="High School"/>
    <d v="1984-01-01T00:00:00"/>
    <d v="2016-10-19T00:00:00"/>
    <d v="2023-10-16T00:00:00"/>
    <x v="2"/>
    <s v="Inventory Specialist"/>
    <x v="870"/>
    <s v="Needs Improvement"/>
    <n v="0.49315068493150682"/>
    <x v="0"/>
    <n v="41"/>
    <s v="Low"/>
  </r>
  <r>
    <x v="884"/>
    <s v="Martin"/>
    <s v="Hogan"/>
    <s v="Male"/>
    <s v="New York"/>
    <s v="New York City"/>
    <s v="Bachelor"/>
    <d v="1984-03-12T00:00:00"/>
    <d v="2023-02-11T00:00:00"/>
    <d v="2023-08-10T00:00:00"/>
    <x v="4"/>
    <s v="Content Creator"/>
    <x v="871"/>
    <s v="Excellent"/>
    <n v="3.7917808219178082"/>
    <x v="0"/>
    <n v="41"/>
    <s v="Medium"/>
  </r>
  <r>
    <x v="885"/>
    <s v="Alex"/>
    <s v="Green"/>
    <s v="Male"/>
    <s v="New York"/>
    <s v="New York City"/>
    <s v="Bachelor"/>
    <d v="1977-12-19T00:00:00"/>
    <d v="2020-07-17T00:00:00"/>
    <d v="2024-08-28T00:00:00"/>
    <x v="2"/>
    <s v="Inventory Specialist"/>
    <x v="872"/>
    <s v="Satisfactory"/>
    <n v="0.49315068493150682"/>
    <x v="0"/>
    <n v="47"/>
    <s v="Medium"/>
  </r>
  <r>
    <x v="886"/>
    <s v="Julie"/>
    <s v="Grant"/>
    <s v="Female"/>
    <s v="Michigan"/>
    <s v="Detroit"/>
    <s v="PhD"/>
    <d v="1993-12-30T00:00:00"/>
    <d v="2017-09-25T00:00:00"/>
    <d v="2019-07-20T00:00:00"/>
    <x v="6"/>
    <s v="Sales Specialist"/>
    <x v="873"/>
    <s v="Excellent"/>
    <n v="2.5232876712328771"/>
    <x v="0"/>
    <n v="31"/>
    <s v="Medium"/>
  </r>
  <r>
    <x v="887"/>
    <s v="Barbara"/>
    <s v="Griffin"/>
    <s v="Male"/>
    <s v="Pennsylvania"/>
    <s v="Pittsburgh"/>
    <s v="Bachelor"/>
    <d v="1995-05-12T00:00:00"/>
    <d v="2017-06-01T00:00:00"/>
    <d v="2024-02-26T00:00:00"/>
    <x v="2"/>
    <s v="Inventory Specialist"/>
    <x v="874"/>
    <s v="Excellent"/>
    <n v="0.49315068493150682"/>
    <x v="0"/>
    <n v="29"/>
    <s v="Medium"/>
  </r>
  <r>
    <x v="888"/>
    <s v="Steven"/>
    <s v="Frazier"/>
    <s v="Male"/>
    <s v="Ohio"/>
    <s v="Columbus"/>
    <s v="Bachelor"/>
    <d v="1995-02-19T00:00:00"/>
    <d v="2018-09-25T00:00:00"/>
    <d v="2019-03-24T00:00:00"/>
    <x v="0"/>
    <s v="Customer Service Representative"/>
    <x v="875"/>
    <s v="Needs Improvement"/>
    <n v="2.720547945205479"/>
    <x v="0"/>
    <n v="30"/>
    <s v="Medium"/>
  </r>
  <r>
    <x v="889"/>
    <s v="Vincent"/>
    <s v="Cooper"/>
    <s v="Female"/>
    <s v="New York"/>
    <s v="New York City"/>
    <s v="Bachelor"/>
    <d v="2000-07-21T00:00:00"/>
    <d v="2022-01-10T00:00:00"/>
    <d v="2022-07-09T00:00:00"/>
    <x v="5"/>
    <s v="HR Coordinator"/>
    <x v="876"/>
    <s v="Good"/>
    <n v="4.7479452054794518"/>
    <x v="0"/>
    <n v="24"/>
    <s v="Low"/>
  </r>
  <r>
    <x v="890"/>
    <s v="Timothy"/>
    <s v="Phillips"/>
    <s v="Male"/>
    <s v="Virginia"/>
    <s v="Richmond"/>
    <s v="Bachelor"/>
    <d v="2002-04-29T00:00:00"/>
    <d v="2018-12-23T00:00:00"/>
    <d v="2019-06-21T00:00:00"/>
    <x v="2"/>
    <s v="Inventory Specialist"/>
    <x v="877"/>
    <s v="Excellent"/>
    <n v="0.49315068493150682"/>
    <x v="0"/>
    <n v="22"/>
    <s v="Medium"/>
  </r>
  <r>
    <x v="891"/>
    <s v="Suzanne"/>
    <s v="Wilson"/>
    <s v="Male"/>
    <s v="Michigan"/>
    <s v="Grand Rapids"/>
    <s v="Bachelor"/>
    <d v="1982-08-27T00:00:00"/>
    <d v="2018-10-11T00:00:00"/>
    <d v="2019-04-09T00:00:00"/>
    <x v="2"/>
    <s v="Inventory Specialist"/>
    <x v="878"/>
    <s v="Good"/>
    <n v="0.49315068493150682"/>
    <x v="0"/>
    <n v="42"/>
    <s v="Low"/>
  </r>
  <r>
    <x v="892"/>
    <s v="Donald"/>
    <s v="Collins"/>
    <s v="Female"/>
    <s v="North Carolina"/>
    <s v="Charlotte"/>
    <s v="High School"/>
    <d v="1992-02-22T00:00:00"/>
    <d v="2015-06-26T00:00:00"/>
    <d v="2018-05-08T00:00:00"/>
    <x v="2"/>
    <s v="Inventory Specialist"/>
    <x v="879"/>
    <s v="Needs Improvement"/>
    <n v="0.49315068493150682"/>
    <x v="0"/>
    <n v="33"/>
    <s v="Medium"/>
  </r>
  <r>
    <x v="893"/>
    <s v="Kristen"/>
    <s v="Boyd"/>
    <s v="Female"/>
    <s v="New York"/>
    <s v="New York City"/>
    <s v="Bachelor"/>
    <d v="1961-02-19T00:00:00"/>
    <d v="2016-05-15T00:00:00"/>
    <d v="2024-12-05T00:00:00"/>
    <x v="2"/>
    <s v="Logistics Coordinator"/>
    <x v="880"/>
    <s v="Good"/>
    <n v="0.58904109589041098"/>
    <x v="0"/>
    <n v="64"/>
    <s v="Low"/>
  </r>
  <r>
    <x v="894"/>
    <s v="Thomas"/>
    <s v="Kim"/>
    <s v="Male"/>
    <s v="New York"/>
    <s v="New York City"/>
    <s v="High School"/>
    <d v="1976-06-22T00:00:00"/>
    <d v="2020-09-27T00:00:00"/>
    <d v="2021-03-26T00:00:00"/>
    <x v="1"/>
    <s v="IT Support Specialist"/>
    <x v="881"/>
    <s v="Excellent"/>
    <n v="1.189041095890411"/>
    <x v="0"/>
    <n v="48"/>
    <s v="Medium"/>
  </r>
  <r>
    <x v="895"/>
    <s v="Shaun"/>
    <s v="Jones"/>
    <s v="Female"/>
    <s v="New York"/>
    <s v="New York City"/>
    <s v="Bachelor"/>
    <d v="1969-08-13T00:00:00"/>
    <d v="2016-01-18T00:00:00"/>
    <d v="2020-02-17T00:00:00"/>
    <x v="0"/>
    <s v="Help Desk Technician"/>
    <x v="882"/>
    <s v="Good"/>
    <n v="1.6"/>
    <x v="0"/>
    <n v="55"/>
    <s v="Low"/>
  </r>
  <r>
    <x v="896"/>
    <s v="Lisa"/>
    <s v="Wilson"/>
    <s v="Male"/>
    <s v="New York"/>
    <s v="New York City"/>
    <s v="Bachelor"/>
    <d v="1976-07-19T00:00:00"/>
    <d v="2019-11-26T00:00:00"/>
    <d v="2023-11-22T00:00:00"/>
    <x v="6"/>
    <s v="Sales Representative"/>
    <x v="883"/>
    <s v="Satisfactory"/>
    <n v="1.575342465753425"/>
    <x v="0"/>
    <n v="48"/>
    <s v="Medium"/>
  </r>
  <r>
    <x v="897"/>
    <s v="Matthew"/>
    <s v="Rodriguez"/>
    <s v="Male"/>
    <s v="New York"/>
    <s v="New York City"/>
    <s v="Bachelor"/>
    <d v="1962-09-02T00:00:00"/>
    <d v="2020-11-06T00:00:00"/>
    <d v="2022-03-17T00:00:00"/>
    <x v="0"/>
    <s v="Support Specialist"/>
    <x v="884"/>
    <s v="Good"/>
    <n v="0.49315068493150682"/>
    <x v="0"/>
    <n v="62"/>
    <s v="Medium"/>
  </r>
  <r>
    <x v="898"/>
    <s v="Frank"/>
    <s v="Riggs"/>
    <s v="Male"/>
    <s v="Michigan"/>
    <s v="Grand Rapids"/>
    <s v="Bachelor"/>
    <d v="1990-11-10T00:00:00"/>
    <d v="2023-04-05T00:00:00"/>
    <d v="2023-10-02T00:00:00"/>
    <x v="2"/>
    <s v="Operations Analyst"/>
    <x v="885"/>
    <s v="Satisfactory"/>
    <n v="0.49315068493150682"/>
    <x v="0"/>
    <n v="34"/>
    <s v="Medium"/>
  </r>
  <r>
    <x v="899"/>
    <s v="Zachary"/>
    <s v="Arnold"/>
    <s v="Female"/>
    <s v="New York"/>
    <s v="New York City"/>
    <s v="Bachelor"/>
    <d v="2002-10-05T00:00:00"/>
    <d v="2016-05-08T00:00:00"/>
    <d v="2024-12-12T00:00:00"/>
    <x v="6"/>
    <s v="Sales Representative"/>
    <x v="886"/>
    <s v="Good"/>
    <n v="5.6520547945205477"/>
    <x v="0"/>
    <n v="22"/>
    <s v="Medium"/>
  </r>
  <r>
    <x v="900"/>
    <s v="Anita"/>
    <s v="Mullen"/>
    <s v="Male"/>
    <s v="New York"/>
    <s v="New York City"/>
    <s v="Bachelor"/>
    <d v="1971-01-12T00:00:00"/>
    <d v="2017-04-01T00:00:00"/>
    <d v="2017-09-28T00:00:00"/>
    <x v="0"/>
    <s v="Customer Service Representative"/>
    <x v="887"/>
    <s v="Satisfactory"/>
    <n v="3.495890410958904"/>
    <x v="0"/>
    <n v="54"/>
    <s v="Medium"/>
  </r>
  <r>
    <x v="901"/>
    <s v="Lauren"/>
    <s v="Soto"/>
    <s v="Male"/>
    <s v="Pennsylvania"/>
    <s v="Allentown"/>
    <s v="High School"/>
    <d v="2002-02-04T00:00:00"/>
    <d v="2022-03-14T00:00:00"/>
    <d v="2022-09-10T00:00:00"/>
    <x v="0"/>
    <s v="Customer Service Representative"/>
    <x v="888"/>
    <s v="Needs Improvement"/>
    <n v="0.49315068493150682"/>
    <x v="0"/>
    <n v="23"/>
    <s v="Low"/>
  </r>
  <r>
    <x v="902"/>
    <s v="Danielle"/>
    <s v="Reynolds"/>
    <s v="Female"/>
    <s v="New York"/>
    <s v="New York City"/>
    <s v="Bachelor"/>
    <d v="1994-01-23T00:00:00"/>
    <d v="2019-01-12T00:00:00"/>
    <d v="2019-07-11T00:00:00"/>
    <x v="2"/>
    <s v="Logistics Coordinator"/>
    <x v="889"/>
    <s v="Good"/>
    <n v="0.60547945205479448"/>
    <x v="0"/>
    <n v="31"/>
    <s v="Medium"/>
  </r>
  <r>
    <x v="903"/>
    <s v="Jo"/>
    <s v="Ware"/>
    <s v="Female"/>
    <s v="New York"/>
    <s v="New York City"/>
    <s v="Bachelor"/>
    <d v="1973-12-06T00:00:00"/>
    <d v="2017-06-24T00:00:00"/>
    <d v="2018-01-16T00:00:00"/>
    <x v="2"/>
    <s v="Operations Analyst"/>
    <x v="890"/>
    <s v="Good"/>
    <n v="0.49315068493150682"/>
    <x v="0"/>
    <n v="51"/>
    <s v="Medium"/>
  </r>
  <r>
    <x v="904"/>
    <s v="Brittany"/>
    <s v="Price"/>
    <s v="Female"/>
    <s v="New York"/>
    <s v="New York City"/>
    <s v="High School"/>
    <d v="1971-04-20T00:00:00"/>
    <d v="2016-09-30T00:00:00"/>
    <d v="2021-08-13T00:00:00"/>
    <x v="1"/>
    <s v="IT Support Specialist"/>
    <x v="891"/>
    <s v="Excellent"/>
    <n v="3.3287671232876712"/>
    <x v="0"/>
    <n v="53"/>
    <s v="Low"/>
  </r>
  <r>
    <x v="905"/>
    <s v="Jason"/>
    <s v="Ramirez"/>
    <s v="Female"/>
    <s v="New York"/>
    <s v="New York City"/>
    <s v="Bachelor"/>
    <d v="1999-10-19T00:00:00"/>
    <d v="2019-10-01T00:00:00"/>
    <d v="2021-07-27T00:00:00"/>
    <x v="2"/>
    <s v="Inventory Specialist"/>
    <x v="892"/>
    <s v="Good"/>
    <n v="1.205479452054794"/>
    <x v="0"/>
    <n v="25"/>
    <s v="Low"/>
  </r>
  <r>
    <x v="906"/>
    <s v="Lindsey"/>
    <s v="Brown"/>
    <s v="Male"/>
    <s v="Michigan"/>
    <s v="Grand Rapids"/>
    <s v="Bachelor"/>
    <d v="1990-10-19T00:00:00"/>
    <d v="2019-02-09T00:00:00"/>
    <d v="2020-02-22T00:00:00"/>
    <x v="2"/>
    <s v="Logistics Coordinator"/>
    <x v="728"/>
    <s v="Good"/>
    <n v="0.90958904109589045"/>
    <x v="0"/>
    <n v="34"/>
    <s v="Medium"/>
  </r>
  <r>
    <x v="907"/>
    <s v="Lauren"/>
    <s v="Herrera"/>
    <s v="Female"/>
    <s v="Michigan"/>
    <s v="Warren"/>
    <s v="High School"/>
    <d v="1995-01-17T00:00:00"/>
    <d v="2016-05-22T00:00:00"/>
    <d v="2020-03-19T00:00:00"/>
    <x v="0"/>
    <s v="Customer Service Representative"/>
    <x v="893"/>
    <s v="Excellent"/>
    <n v="0.8794520547945206"/>
    <x v="0"/>
    <n v="30"/>
    <s v="Medium"/>
  </r>
  <r>
    <x v="908"/>
    <s v="Mark"/>
    <s v="Ellis"/>
    <s v="Male"/>
    <s v="Michigan"/>
    <s v="Detroit"/>
    <s v="Bachelor"/>
    <d v="1982-08-14T00:00:00"/>
    <d v="2015-04-12T00:00:00"/>
    <d v="2017-03-28T00:00:00"/>
    <x v="1"/>
    <s v="IT Support Specialist"/>
    <x v="894"/>
    <s v="Satisfactory"/>
    <n v="5.7616438356164386"/>
    <x v="0"/>
    <n v="42"/>
    <s v="Medium"/>
  </r>
  <r>
    <x v="909"/>
    <s v="Emily"/>
    <s v="Burns"/>
    <s v="Male"/>
    <s v="New York"/>
    <s v="New York City"/>
    <s v="Bachelor"/>
    <d v="1970-07-13T00:00:00"/>
    <d v="2022-09-06T00:00:00"/>
    <d v="2023-03-05T00:00:00"/>
    <x v="2"/>
    <s v="Operations Analyst"/>
    <x v="895"/>
    <s v="Satisfactory"/>
    <n v="0.49315068493150682"/>
    <x v="0"/>
    <n v="54"/>
    <s v="Medium"/>
  </r>
  <r>
    <x v="910"/>
    <s v="Lawrence"/>
    <s v="Price"/>
    <s v="Female"/>
    <s v="New York"/>
    <s v="New York City"/>
    <s v="Bachelor"/>
    <d v="1973-11-26T00:00:00"/>
    <d v="2015-06-02T00:00:00"/>
    <d v="2021-10-05T00:00:00"/>
    <x v="2"/>
    <s v="Operations Analyst"/>
    <x v="896"/>
    <s v="Excellent"/>
    <n v="0.49041095890410957"/>
    <x v="0"/>
    <n v="51"/>
    <s v="Medium"/>
  </r>
  <r>
    <x v="911"/>
    <s v="Brenda"/>
    <s v="Bailey"/>
    <s v="Female"/>
    <s v="New York"/>
    <s v="New York City"/>
    <s v="Bachelor"/>
    <d v="2003-03-14T00:00:00"/>
    <d v="2015-11-25T00:00:00"/>
    <d v="2022-11-29T00:00:00"/>
    <x v="2"/>
    <s v="Inventory Specialist"/>
    <x v="897"/>
    <s v="Needs Improvement"/>
    <n v="0.52328767123287667"/>
    <x v="0"/>
    <n v="22"/>
    <s v="Medium"/>
  </r>
  <r>
    <x v="912"/>
    <s v="Stephen"/>
    <s v="Thompson"/>
    <s v="Female"/>
    <s v="New York"/>
    <s v="New York City"/>
    <s v="Master"/>
    <d v="1987-12-18T00:00:00"/>
    <d v="2020-09-18T00:00:00"/>
    <d v="2021-03-17T00:00:00"/>
    <x v="1"/>
    <s v="Software Developer"/>
    <x v="898"/>
    <s v="Excellent"/>
    <n v="0.49315068493150682"/>
    <x v="0"/>
    <n v="37"/>
    <s v="Medium"/>
  </r>
  <r>
    <x v="913"/>
    <s v="Janice"/>
    <s v="Evans"/>
    <s v="Female"/>
    <s v="Michigan"/>
    <s v="Grand Rapids"/>
    <s v="Bachelor"/>
    <d v="2002-02-26T00:00:00"/>
    <d v="2019-08-27T00:00:00"/>
    <d v="2023-12-02T00:00:00"/>
    <x v="2"/>
    <s v="Operations Manager"/>
    <x v="899"/>
    <s v="Good"/>
    <n v="0.49315068493150682"/>
    <x v="0"/>
    <n v="23"/>
    <s v="Medium"/>
  </r>
  <r>
    <x v="914"/>
    <s v="Brittany"/>
    <s v="Powers"/>
    <s v="Male"/>
    <s v="New York"/>
    <s v="New York City"/>
    <s v="Bachelor"/>
    <d v="1996-09-02T00:00:00"/>
    <d v="2016-05-01T00:00:00"/>
    <d v="2021-12-30T00:00:00"/>
    <x v="0"/>
    <s v="Help Desk Technician"/>
    <x v="900"/>
    <s v="Good"/>
    <n v="0.49315068493150682"/>
    <x v="0"/>
    <n v="28"/>
    <s v="Medium"/>
  </r>
  <r>
    <x v="915"/>
    <s v="David"/>
    <s v="Torres"/>
    <s v="Male"/>
    <s v="Michigan"/>
    <s v="Detroit"/>
    <s v="Bachelor"/>
    <d v="1981-07-04T00:00:00"/>
    <d v="2023-03-13T00:00:00"/>
    <d v="2023-09-09T00:00:00"/>
    <x v="1"/>
    <s v="Software Developer"/>
    <x v="901"/>
    <s v="Needs Improvement"/>
    <n v="0.49315068493150682"/>
    <x v="0"/>
    <n v="43"/>
    <s v="Medium"/>
  </r>
  <r>
    <x v="916"/>
    <s v="Nathaniel"/>
    <s v="Thomas"/>
    <s v="Female"/>
    <s v="North Carolina"/>
    <s v="Raleigh"/>
    <s v="Master"/>
    <d v="1959-12-01T00:00:00"/>
    <d v="2024-05-30T00:00:00"/>
    <d v="2024-11-26T00:00:00"/>
    <x v="2"/>
    <s v="Operations Analyst"/>
    <x v="902"/>
    <s v="Good"/>
    <n v="3.8219178082191778"/>
    <x v="0"/>
    <n v="65"/>
    <s v="Medium"/>
  </r>
  <r>
    <x v="917"/>
    <s v="Robert"/>
    <s v="Taylor"/>
    <s v="Female"/>
    <s v="North Carolina"/>
    <s v="Charlotte"/>
    <s v="Bachelor"/>
    <d v="1982-02-04T00:00:00"/>
    <d v="2017-05-30T00:00:00"/>
    <d v="2022-07-06T00:00:00"/>
    <x v="6"/>
    <s v="Sales Representative"/>
    <x v="903"/>
    <s v="Excellent"/>
    <n v="6.9945205479452053"/>
    <x v="0"/>
    <n v="43"/>
    <s v="Medium"/>
  </r>
  <r>
    <x v="918"/>
    <s v="Rodney"/>
    <s v="Tucker"/>
    <s v="Female"/>
    <s v="New York"/>
    <s v="New York City"/>
    <s v="Bachelor"/>
    <d v="1998-12-26T00:00:00"/>
    <d v="2017-07-28T00:00:00"/>
    <d v="2018-01-24T00:00:00"/>
    <x v="6"/>
    <s v="Sales Specialist"/>
    <x v="904"/>
    <s v="Good"/>
    <n v="0.49315068493150682"/>
    <x v="0"/>
    <n v="26"/>
    <s v="Medium"/>
  </r>
  <r>
    <x v="919"/>
    <s v="Heather"/>
    <s v="Brewer"/>
    <s v="Female"/>
    <s v="Michigan"/>
    <s v="Grand Rapids"/>
    <s v="Bachelor"/>
    <d v="1964-08-11T00:00:00"/>
    <d v="2016-03-08T00:00:00"/>
    <d v="2023-06-01T00:00:00"/>
    <x v="2"/>
    <s v="Inventory Specialist"/>
    <x v="905"/>
    <s v="Good"/>
    <n v="4.117808219178082"/>
    <x v="0"/>
    <n v="60"/>
    <s v="Low"/>
  </r>
  <r>
    <x v="920"/>
    <s v="Angela"/>
    <s v="Burns"/>
    <s v="Female"/>
    <s v="New York"/>
    <s v="New York City"/>
    <s v="Master"/>
    <d v="1973-04-01T00:00:00"/>
    <d v="2024-02-24T00:00:00"/>
    <d v="2024-08-22T00:00:00"/>
    <x v="0"/>
    <s v="Customer Service Manager"/>
    <x v="906"/>
    <s v="Excellent"/>
    <n v="1.816438356164384"/>
    <x v="0"/>
    <n v="52"/>
    <s v="Medium"/>
  </r>
  <r>
    <x v="921"/>
    <s v="Jacob"/>
    <s v="Wilkinson"/>
    <s v="Female"/>
    <s v="New York"/>
    <s v="New York City"/>
    <s v="Bachelor"/>
    <d v="2003-02-14T00:00:00"/>
    <d v="2019-08-29T00:00:00"/>
    <d v="2020-02-25T00:00:00"/>
    <x v="2"/>
    <s v="Logistics Coordinator"/>
    <x v="907"/>
    <s v="Good"/>
    <n v="6.7424657534246579"/>
    <x v="0"/>
    <n v="22"/>
    <s v="Low"/>
  </r>
  <r>
    <x v="922"/>
    <s v="Brian"/>
    <s v="Howard"/>
    <s v="Male"/>
    <s v="Michigan"/>
    <s v="Warren"/>
    <s v="Bachelor"/>
    <d v="1995-12-03T00:00:00"/>
    <d v="2015-01-04T00:00:00"/>
    <d v="2015-10-13T00:00:00"/>
    <x v="6"/>
    <s v="Sales Consultant"/>
    <x v="908"/>
    <s v="Good"/>
    <n v="0.49315068493150682"/>
    <x v="0"/>
    <n v="29"/>
    <s v="Medium"/>
  </r>
  <r>
    <x v="923"/>
    <s v="Todd"/>
    <s v="Lee"/>
    <s v="Male"/>
    <s v="New York"/>
    <s v="New York City"/>
    <s v="Bachelor"/>
    <d v="1979-11-01T00:00:00"/>
    <d v="2018-05-30T00:00:00"/>
    <d v="2021-12-22T00:00:00"/>
    <x v="2"/>
    <s v="Inventory Specialist"/>
    <x v="909"/>
    <s v="Satisfactory"/>
    <n v="0.49315068493150682"/>
    <x v="0"/>
    <n v="45"/>
    <s v="Low"/>
  </r>
  <r>
    <x v="924"/>
    <s v="Tamara"/>
    <s v="Wagner"/>
    <s v="Male"/>
    <s v="New York"/>
    <s v="New York City"/>
    <s v="Bachelor"/>
    <d v="1962-10-05T00:00:00"/>
    <d v="2019-07-12T00:00:00"/>
    <d v="2020-01-08T00:00:00"/>
    <x v="2"/>
    <s v="Inventory Specialist"/>
    <x v="910"/>
    <s v="Good"/>
    <n v="0.49315068493150682"/>
    <x v="0"/>
    <n v="62"/>
    <s v="Medium"/>
  </r>
  <r>
    <x v="925"/>
    <s v="Robert"/>
    <s v="Vasquez"/>
    <s v="Female"/>
    <s v="New York"/>
    <s v="New York City"/>
    <s v="Master"/>
    <d v="2002-01-01T00:00:00"/>
    <d v="2021-10-03T00:00:00"/>
    <d v="2022-04-01T00:00:00"/>
    <x v="1"/>
    <s v="Software Developer"/>
    <x v="911"/>
    <s v="Good"/>
    <n v="0.49315068493150682"/>
    <x v="0"/>
    <n v="23"/>
    <s v="Medium"/>
  </r>
  <r>
    <x v="926"/>
    <s v="Mary"/>
    <s v="Burns"/>
    <s v="Male"/>
    <s v="Illinois"/>
    <s v="Naperville"/>
    <s v="Bachelor"/>
    <d v="1980-06-21T00:00:00"/>
    <d v="2020-02-02T00:00:00"/>
    <d v="2021-12-10T00:00:00"/>
    <x v="2"/>
    <s v="Operations Analyst"/>
    <x v="912"/>
    <s v="Good"/>
    <n v="2.868493150684932"/>
    <x v="0"/>
    <n v="44"/>
    <s v="Medium"/>
  </r>
  <r>
    <x v="927"/>
    <s v="Ariana"/>
    <s v="Flynn"/>
    <s v="Male"/>
    <s v="New York"/>
    <s v="New York City"/>
    <s v="Bachelor"/>
    <d v="1983-05-02T00:00:00"/>
    <d v="2016-03-26T00:00:00"/>
    <d v="2018-01-03T00:00:00"/>
    <x v="6"/>
    <s v="Sales Representative"/>
    <x v="913"/>
    <s v="Good"/>
    <n v="8.5643835616438349"/>
    <x v="0"/>
    <n v="41"/>
    <s v="Medium"/>
  </r>
  <r>
    <x v="928"/>
    <s v="Kelly"/>
    <s v="Hill"/>
    <s v="Female"/>
    <s v="New York"/>
    <s v="New York City"/>
    <s v="Bachelor"/>
    <d v="1982-10-04T00:00:00"/>
    <d v="2017-07-28T00:00:00"/>
    <d v="2018-05-12T00:00:00"/>
    <x v="2"/>
    <s v="Inventory Specialist"/>
    <x v="914"/>
    <s v="Needs Improvement"/>
    <n v="0.49315068493150682"/>
    <x v="0"/>
    <n v="42"/>
    <s v="Low"/>
  </r>
  <r>
    <x v="929"/>
    <s v="Keith"/>
    <s v="Norman"/>
    <s v="Female"/>
    <s v="Illinois"/>
    <s v="Chicago"/>
    <s v="Bachelor"/>
    <d v="1987-05-07T00:00:00"/>
    <d v="2018-08-07T00:00:00"/>
    <d v="2019-02-03T00:00:00"/>
    <x v="2"/>
    <s v="Logistics Coordinator"/>
    <x v="915"/>
    <s v="Good"/>
    <n v="4.0849315068493146"/>
    <x v="0"/>
    <n v="37"/>
    <s v="Medium"/>
  </r>
  <r>
    <x v="930"/>
    <s v="Julia"/>
    <s v="Cannon"/>
    <s v="Female"/>
    <s v="North Carolina"/>
    <s v="Charlotte"/>
    <s v="Bachelor"/>
    <d v="2000-08-14T00:00:00"/>
    <d v="2018-08-01T00:00:00"/>
    <d v="2019-01-28T00:00:00"/>
    <x v="2"/>
    <s v="Inventory Specialist"/>
    <x v="916"/>
    <s v="Satisfactory"/>
    <n v="3.9917808219178079"/>
    <x v="0"/>
    <n v="24"/>
    <s v="Medium"/>
  </r>
  <r>
    <x v="931"/>
    <s v="William"/>
    <s v="Armstrong"/>
    <s v="Male"/>
    <s v="New York"/>
    <s v="New York City"/>
    <s v="Bachelor"/>
    <d v="1983-05-17T00:00:00"/>
    <d v="2020-04-14T00:00:00"/>
    <d v="2020-10-11T00:00:00"/>
    <x v="3"/>
    <s v="Accountant"/>
    <x v="917"/>
    <s v="Good"/>
    <n v="1.3589041095890411"/>
    <x v="0"/>
    <n v="41"/>
    <s v="Medium"/>
  </r>
  <r>
    <x v="932"/>
    <s v="Kimberly"/>
    <s v="Morrow"/>
    <s v="Female"/>
    <s v="Michigan"/>
    <s v="Grand Rapids"/>
    <s v="Bachelor"/>
    <d v="1998-12-14T00:00:00"/>
    <d v="2020-05-22T00:00:00"/>
    <d v="2021-06-24T00:00:00"/>
    <x v="6"/>
    <s v="Sales Consultant"/>
    <x v="918"/>
    <s v="Good"/>
    <n v="0.49315068493150682"/>
    <x v="0"/>
    <n v="26"/>
    <s v="Medium"/>
  </r>
  <r>
    <x v="933"/>
    <s v="Amber"/>
    <s v="Sherman"/>
    <s v="Female"/>
    <s v="Michigan"/>
    <s v="Grand Rapids"/>
    <s v="Bachelor"/>
    <d v="1985-07-18T00:00:00"/>
    <d v="2015-10-23T00:00:00"/>
    <d v="2018-10-25T00:00:00"/>
    <x v="2"/>
    <s v="Logistics Coordinator"/>
    <x v="919"/>
    <s v="Good"/>
    <n v="8.6027397260273979"/>
    <x v="0"/>
    <n v="39"/>
    <s v="Low"/>
  </r>
  <r>
    <x v="934"/>
    <s v="Jennifer"/>
    <s v="Payne"/>
    <s v="Female"/>
    <s v="New York"/>
    <s v="New York City"/>
    <s v="Bachelor"/>
    <d v="1997-06-10T00:00:00"/>
    <d v="2023-06-15T00:00:00"/>
    <d v="2023-12-12T00:00:00"/>
    <x v="2"/>
    <s v="Logistics Coordinator"/>
    <x v="920"/>
    <s v="Good"/>
    <n v="0.49315068493150682"/>
    <x v="0"/>
    <n v="27"/>
    <s v="Low"/>
  </r>
  <r>
    <x v="935"/>
    <s v="Curtis"/>
    <s v="Greer"/>
    <s v="Male"/>
    <s v="New York"/>
    <s v="New York City"/>
    <s v="Bachelor"/>
    <d v="1978-06-30T00:00:00"/>
    <d v="2020-10-18T00:00:00"/>
    <d v="2023-01-27T00:00:00"/>
    <x v="3"/>
    <s v="Financial Analyst"/>
    <x v="921"/>
    <s v="Satisfactory"/>
    <n v="0.49315068493150682"/>
    <x v="0"/>
    <n v="46"/>
    <s v="High"/>
  </r>
  <r>
    <x v="936"/>
    <s v="John"/>
    <s v="Golden"/>
    <s v="Female"/>
    <s v="New York"/>
    <s v="New York City"/>
    <s v="Bachelor"/>
    <d v="2000-07-02T00:00:00"/>
    <d v="2016-01-13T00:00:00"/>
    <d v="2019-03-06T00:00:00"/>
    <x v="4"/>
    <s v="Marketing Manager"/>
    <x v="922"/>
    <s v="Good"/>
    <n v="0.49315068493150682"/>
    <x v="0"/>
    <n v="24"/>
    <s v="High"/>
  </r>
  <r>
    <x v="937"/>
    <s v="Shannon"/>
    <s v="Bailey"/>
    <s v="Male"/>
    <s v="North Carolina"/>
    <s v="Raleigh"/>
    <s v="Bachelor"/>
    <d v="1978-03-23T00:00:00"/>
    <d v="2020-11-13T00:00:00"/>
    <d v="2021-05-12T00:00:00"/>
    <x v="2"/>
    <s v="Logistics Coordinator"/>
    <x v="923"/>
    <s v="Good"/>
    <n v="0.56438356164383563"/>
    <x v="0"/>
    <n v="47"/>
    <s v="Medium"/>
  </r>
  <r>
    <x v="938"/>
    <s v="Christopher"/>
    <s v="Grimes"/>
    <s v="Female"/>
    <s v="New York"/>
    <s v="New York City"/>
    <s v="High School"/>
    <d v="1964-09-08T00:00:00"/>
    <d v="2020-02-15T00:00:00"/>
    <d v="2020-08-13T00:00:00"/>
    <x v="0"/>
    <s v="Support Specialist"/>
    <x v="924"/>
    <s v="Needs Improvement"/>
    <n v="4.8712328767123294"/>
    <x v="0"/>
    <n v="60"/>
    <s v="Medium"/>
  </r>
  <r>
    <x v="939"/>
    <s v="Kimberly"/>
    <s v="Young"/>
    <s v="Male"/>
    <s v="New York"/>
    <s v="New York City"/>
    <s v="Bachelor"/>
    <d v="2000-02-08T00:00:00"/>
    <d v="2017-11-11T00:00:00"/>
    <d v="2022-12-28T00:00:00"/>
    <x v="6"/>
    <s v="Sales Consultant"/>
    <x v="925"/>
    <s v="Good"/>
    <n v="1.821917808219178"/>
    <x v="0"/>
    <n v="25"/>
    <s v="Medium"/>
  </r>
  <r>
    <x v="940"/>
    <s v="Joan"/>
    <s v="Norris"/>
    <s v="Male"/>
    <s v="New York"/>
    <s v="New York City"/>
    <s v="Bachelor"/>
    <d v="1974-04-28T00:00:00"/>
    <d v="2018-11-30T00:00:00"/>
    <d v="2019-05-29T00:00:00"/>
    <x v="3"/>
    <s v="Accountant"/>
    <x v="926"/>
    <s v="Good"/>
    <n v="1.0356164383561639"/>
    <x v="0"/>
    <n v="50"/>
    <s v="Medium"/>
  </r>
  <r>
    <x v="941"/>
    <s v="Jennifer"/>
    <s v="Chen"/>
    <s v="Male"/>
    <s v="Michigan"/>
    <s v="Grand Rapids"/>
    <s v="Bachelor"/>
    <d v="1970-06-05T00:00:00"/>
    <d v="2024-03-05T00:00:00"/>
    <d v="2024-09-01T00:00:00"/>
    <x v="6"/>
    <s v="Sales Specialist"/>
    <x v="927"/>
    <s v="Satisfactory"/>
    <n v="3.827397260273973"/>
    <x v="0"/>
    <n v="54"/>
    <s v="Medium"/>
  </r>
  <r>
    <x v="942"/>
    <s v="Christina"/>
    <s v="Glover"/>
    <s v="Male"/>
    <s v="New York"/>
    <s v="New York City"/>
    <s v="Bachelor"/>
    <d v="1977-04-06T00:00:00"/>
    <d v="2018-11-11T00:00:00"/>
    <d v="2019-05-10T00:00:00"/>
    <x v="2"/>
    <s v="Logistics Coordinator"/>
    <x v="928"/>
    <s v="Good"/>
    <n v="1.9616438356164381"/>
    <x v="0"/>
    <n v="48"/>
    <s v="Medium"/>
  </r>
  <r>
    <x v="943"/>
    <s v="Jamie"/>
    <s v="Brown"/>
    <s v="Female"/>
    <s v="New York"/>
    <s v="New York City"/>
    <s v="Bachelor"/>
    <d v="1986-10-22T00:00:00"/>
    <d v="2017-05-17T00:00:00"/>
    <d v="2022-09-13T00:00:00"/>
    <x v="2"/>
    <s v="Inventory Specialist"/>
    <x v="929"/>
    <s v="Satisfactory"/>
    <n v="0.49315068493150682"/>
    <x v="0"/>
    <n v="38"/>
    <s v="Medium"/>
  </r>
  <r>
    <x v="944"/>
    <s v="Amanda"/>
    <s v="Carlson"/>
    <s v="Female"/>
    <s v="New York"/>
    <s v="New York City"/>
    <s v="Master"/>
    <d v="1997-04-02T00:00:00"/>
    <d v="2017-03-07T00:00:00"/>
    <d v="2017-09-13T00:00:00"/>
    <x v="6"/>
    <s v="Sales Consultant"/>
    <x v="930"/>
    <s v="Excellent"/>
    <n v="6.3479452054794523"/>
    <x v="0"/>
    <n v="28"/>
    <s v="Medium"/>
  </r>
  <r>
    <x v="945"/>
    <s v="Mario"/>
    <s v="Padilla"/>
    <s v="Female"/>
    <s v="Michigan"/>
    <s v="Warren"/>
    <s v="High School"/>
    <d v="1977-10-09T00:00:00"/>
    <d v="2019-04-23T00:00:00"/>
    <d v="2021-09-07T00:00:00"/>
    <x v="0"/>
    <s v="Customer Service Representative"/>
    <x v="931"/>
    <s v="Needs Improvement"/>
    <n v="7.0164383561643833"/>
    <x v="0"/>
    <n v="47"/>
    <s v="Low"/>
  </r>
  <r>
    <x v="946"/>
    <s v="Ashley"/>
    <s v="Farley"/>
    <s v="Male"/>
    <s v="Michigan"/>
    <s v="Warren"/>
    <s v="Bachelor"/>
    <d v="1975-07-27T00:00:00"/>
    <d v="2023-07-19T00:00:00"/>
    <d v="2024-01-15T00:00:00"/>
    <x v="2"/>
    <s v="Logistics Coordinator"/>
    <x v="249"/>
    <s v="Good"/>
    <n v="0.49315068493150682"/>
    <x v="0"/>
    <n v="49"/>
    <s v="Medium"/>
  </r>
  <r>
    <x v="947"/>
    <s v="Tricia"/>
    <s v="Shelton"/>
    <s v="Male"/>
    <s v="New York"/>
    <s v="New York City"/>
    <s v="High School"/>
    <d v="1975-02-20T00:00:00"/>
    <d v="2024-02-06T00:00:00"/>
    <d v="2024-08-04T00:00:00"/>
    <x v="0"/>
    <s v="Customer Service Representative"/>
    <x v="932"/>
    <s v="Excellent"/>
    <n v="4.2684931506849324"/>
    <x v="0"/>
    <n v="50"/>
    <s v="Low"/>
  </r>
  <r>
    <x v="948"/>
    <s v="Derek"/>
    <s v="Brady"/>
    <s v="Female"/>
    <s v="New York"/>
    <s v="New York City"/>
    <s v="High School"/>
    <d v="1974-11-07T00:00:00"/>
    <d v="2017-06-09T00:00:00"/>
    <d v="2019-12-11T00:00:00"/>
    <x v="2"/>
    <s v="Inventory Specialist"/>
    <x v="933"/>
    <s v="Needs Improvement"/>
    <n v="5.6684931506849319"/>
    <x v="0"/>
    <n v="50"/>
    <s v="Medium"/>
  </r>
  <r>
    <x v="949"/>
    <s v="Samantha"/>
    <s v="Riddle"/>
    <s v="Female"/>
    <s v="New York"/>
    <s v="New York City"/>
    <s v="Master"/>
    <d v="1988-10-24T00:00:00"/>
    <d v="2017-12-03T00:00:00"/>
    <d v="2018-05-31T00:00:00"/>
    <x v="6"/>
    <s v="Sales Manager"/>
    <x v="934"/>
    <s v="Good"/>
    <n v="0.49315068493150682"/>
    <x v="0"/>
    <n v="36"/>
    <s v="High"/>
  </r>
  <r>
    <x v="950"/>
    <s v="Diana"/>
    <s v="Miles"/>
    <s v="Female"/>
    <s v="New York"/>
    <s v="New York City"/>
    <s v="High School"/>
    <d v="1982-09-15T00:00:00"/>
    <d v="2022-02-21T00:00:00"/>
    <d v="2022-08-20T00:00:00"/>
    <x v="2"/>
    <s v="Inventory Specialist"/>
    <x v="935"/>
    <s v="Needs Improvement"/>
    <n v="0.49315068493150682"/>
    <x v="0"/>
    <n v="42"/>
    <s v="Medium"/>
  </r>
  <r>
    <x v="951"/>
    <s v="John"/>
    <s v="Dawson"/>
    <s v="Female"/>
    <s v="New York"/>
    <s v="New York City"/>
    <s v="Master"/>
    <d v="1981-08-04T00:00:00"/>
    <d v="2016-11-17T00:00:00"/>
    <d v="2021-04-29T00:00:00"/>
    <x v="6"/>
    <s v="Sales Consultant"/>
    <x v="936"/>
    <s v="Good"/>
    <n v="5.1041095890410961"/>
    <x v="0"/>
    <n v="43"/>
    <s v="High"/>
  </r>
  <r>
    <x v="952"/>
    <s v="John"/>
    <s v="Bridges"/>
    <s v="Male"/>
    <s v="Pennsylvania"/>
    <s v="Pittsburgh"/>
    <s v="Bachelor"/>
    <d v="1974-11-08T00:00:00"/>
    <d v="2024-06-01T00:00:00"/>
    <d v="2024-11-28T00:00:00"/>
    <x v="2"/>
    <s v="Operations Analyst"/>
    <x v="937"/>
    <s v="Good"/>
    <n v="0.49315068493150682"/>
    <x v="0"/>
    <n v="50"/>
    <s v="Medium"/>
  </r>
  <r>
    <x v="953"/>
    <s v="Tracy"/>
    <s v="Ray"/>
    <s v="Male"/>
    <s v="New York"/>
    <s v="New York City"/>
    <s v="Master"/>
    <d v="1990-11-13T00:00:00"/>
    <d v="2024-04-14T00:00:00"/>
    <d v="2024-10-11T00:00:00"/>
    <x v="1"/>
    <s v="System Administrator"/>
    <x v="938"/>
    <s v="Excellent"/>
    <n v="7.2356164383561641"/>
    <x v="0"/>
    <n v="34"/>
    <s v="Medium"/>
  </r>
  <r>
    <x v="954"/>
    <s v="Courtney"/>
    <s v="Brooks"/>
    <s v="Male"/>
    <s v="Michigan"/>
    <s v="Grand Rapids"/>
    <s v="Bachelor"/>
    <d v="1989-04-26T00:00:00"/>
    <d v="2022-01-30T00:00:00"/>
    <d v="2024-09-06T00:00:00"/>
    <x v="2"/>
    <s v="Inventory Specialist"/>
    <x v="939"/>
    <s v="Needs Improvement"/>
    <n v="0.49315068493150682"/>
    <x v="0"/>
    <n v="35"/>
    <s v="Low"/>
  </r>
  <r>
    <x v="955"/>
    <s v="Cynthia"/>
    <s v="Beard"/>
    <s v="Male"/>
    <s v="Michigan"/>
    <s v="Detroit"/>
    <s v="Bachelor"/>
    <d v="1996-03-27T00:00:00"/>
    <d v="2023-02-06T00:00:00"/>
    <d v="2023-08-05T00:00:00"/>
    <x v="0"/>
    <s v="Help Desk Technician"/>
    <x v="940"/>
    <s v="Satisfactory"/>
    <n v="0.49315068493150682"/>
    <x v="0"/>
    <n v="29"/>
    <s v="Medium"/>
  </r>
  <r>
    <x v="956"/>
    <s v="Richard"/>
    <s v="Brady"/>
    <s v="Male"/>
    <s v="New York"/>
    <s v="New York City"/>
    <s v="High School"/>
    <d v="1995-04-30T00:00:00"/>
    <d v="2017-09-27T00:00:00"/>
    <d v="2018-03-25T00:00:00"/>
    <x v="2"/>
    <s v="Inventory Specialist"/>
    <x v="941"/>
    <s v="Needs Improvement"/>
    <n v="0.77260273972602744"/>
    <x v="0"/>
    <n v="29"/>
    <s v="Medium"/>
  </r>
  <r>
    <x v="957"/>
    <s v="Sharon"/>
    <s v="Wood"/>
    <s v="Male"/>
    <s v="New York"/>
    <s v="New York City"/>
    <s v="Bachelor"/>
    <d v="1964-08-18T00:00:00"/>
    <d v="2016-07-08T00:00:00"/>
    <d v="2024-10-22T00:00:00"/>
    <x v="0"/>
    <s v="Customer Service Representative"/>
    <x v="942"/>
    <s v="Good"/>
    <n v="3.5671232876712331"/>
    <x v="0"/>
    <n v="60"/>
    <s v="Medium"/>
  </r>
  <r>
    <x v="958"/>
    <s v="Mark"/>
    <s v="Smith"/>
    <s v="Male"/>
    <s v="New York"/>
    <s v="New York City"/>
    <s v="Bachelor"/>
    <d v="1999-04-28T00:00:00"/>
    <d v="2019-10-28T00:00:00"/>
    <d v="2021-11-04T00:00:00"/>
    <x v="1"/>
    <s v="Software Developer"/>
    <x v="943"/>
    <s v="Good"/>
    <n v="0.49315068493150682"/>
    <x v="0"/>
    <n v="25"/>
    <s v="High"/>
  </r>
  <r>
    <x v="959"/>
    <s v="Melanie"/>
    <s v="Davis"/>
    <s v="Male"/>
    <s v="New York"/>
    <s v="New York City"/>
    <s v="Master"/>
    <d v="1973-05-04T00:00:00"/>
    <d v="2021-06-28T00:00:00"/>
    <d v="2021-12-25T00:00:00"/>
    <x v="1"/>
    <s v="Software Developer"/>
    <x v="944"/>
    <s v="Good"/>
    <n v="0.49315068493150682"/>
    <x v="0"/>
    <n v="51"/>
    <s v="Medium"/>
  </r>
  <r>
    <x v="960"/>
    <s v="Cynthia"/>
    <s v="Terry"/>
    <s v="Male"/>
    <s v="New York"/>
    <s v="New York City"/>
    <s v="Bachelor"/>
    <d v="1984-10-15T00:00:00"/>
    <d v="2020-11-26T00:00:00"/>
    <d v="2021-05-25T00:00:00"/>
    <x v="6"/>
    <s v="Sales Consultant"/>
    <x v="945"/>
    <s v="Excellent"/>
    <n v="1.854794520547945"/>
    <x v="0"/>
    <n v="40"/>
    <s v="High"/>
  </r>
  <r>
    <x v="961"/>
    <s v="Bryan"/>
    <s v="Ferguson"/>
    <s v="Male"/>
    <s v="Michigan"/>
    <s v="Grand Rapids"/>
    <s v="Master"/>
    <d v="1960-06-18T00:00:00"/>
    <d v="2022-03-26T00:00:00"/>
    <d v="2022-09-22T00:00:00"/>
    <x v="6"/>
    <s v="Sales Consultant"/>
    <x v="946"/>
    <s v="Excellent"/>
    <n v="1.7753424657534249"/>
    <x v="0"/>
    <n v="64"/>
    <s v="Medium"/>
  </r>
  <r>
    <x v="962"/>
    <s v="Tammy"/>
    <s v="Summers"/>
    <s v="Male"/>
    <s v="Illinois"/>
    <s v="Naperville"/>
    <s v="Bachelor"/>
    <d v="1963-04-02T00:00:00"/>
    <d v="2017-07-12T00:00:00"/>
    <d v="2021-07-30T00:00:00"/>
    <x v="2"/>
    <s v="Operations Analyst"/>
    <x v="947"/>
    <s v="Good"/>
    <n v="0.78904109589041094"/>
    <x v="0"/>
    <n v="62"/>
    <s v="Medium"/>
  </r>
  <r>
    <x v="963"/>
    <s v="Joseph"/>
    <s v="Clayton"/>
    <s v="Female"/>
    <s v="North Carolina"/>
    <s v="Greensboro"/>
    <s v="Master"/>
    <d v="1979-07-20T00:00:00"/>
    <d v="2021-05-12T00:00:00"/>
    <d v="2022-01-19T00:00:00"/>
    <x v="2"/>
    <s v="Operations Manager"/>
    <x v="948"/>
    <s v="Excellent"/>
    <n v="0.49315068493150682"/>
    <x v="0"/>
    <n v="45"/>
    <s v="High"/>
  </r>
  <r>
    <x v="964"/>
    <s v="Amy"/>
    <s v="Anderson"/>
    <s v="Male"/>
    <s v="New York"/>
    <s v="New York City"/>
    <s v="Bachelor"/>
    <d v="1970-11-30T00:00:00"/>
    <d v="2017-11-28T00:00:00"/>
    <d v="2023-01-15T00:00:00"/>
    <x v="2"/>
    <s v="Inventory Specialist"/>
    <x v="949"/>
    <s v="Good"/>
    <n v="0.49315068493150682"/>
    <x v="0"/>
    <n v="54"/>
    <s v="Medium"/>
  </r>
  <r>
    <x v="965"/>
    <s v="Todd"/>
    <s v="Cooper"/>
    <s v="Female"/>
    <s v="New York"/>
    <s v="New York City"/>
    <s v="High School"/>
    <d v="2001-08-04T00:00:00"/>
    <d v="2018-09-23T00:00:00"/>
    <d v="2019-03-22T00:00:00"/>
    <x v="2"/>
    <s v="Inventory Specialist"/>
    <x v="950"/>
    <s v="Needs Improvement"/>
    <n v="0.49315068493150682"/>
    <x v="0"/>
    <n v="23"/>
    <s v="Low"/>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r>
    <x v="966"/>
    <m/>
    <m/>
    <m/>
    <m/>
    <m/>
    <m/>
    <m/>
    <m/>
    <m/>
    <x v="7"/>
    <m/>
    <x v="951"/>
    <m/>
    <m/>
    <x v="2"/>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6">
  <r>
    <s v="00-95822412"/>
    <s v="Danielle"/>
    <s v="Johnson"/>
    <x v="0"/>
    <s v="New York"/>
    <s v="New York City"/>
    <s v="High School"/>
    <d v="1980-02-13T00:00:00"/>
    <x v="0"/>
    <x v="0"/>
    <x v="0"/>
    <s v="Help Desk Technician"/>
    <n v="81552"/>
    <x v="0"/>
  </r>
  <r>
    <s v="00-42868828"/>
    <s v="John"/>
    <s v="Taylor"/>
    <x v="1"/>
    <s v="North Carolina"/>
    <s v="Charlotte"/>
    <s v="Bachelor"/>
    <d v="1987-09-22T00:00:00"/>
    <x v="1"/>
    <x v="1"/>
    <x v="1"/>
    <s v="System Administrator"/>
    <n v="107520"/>
    <x v="1"/>
  </r>
  <r>
    <s v="00-83197857"/>
    <s v="Erica"/>
    <s v="Mcclain"/>
    <x v="1"/>
    <s v="New York"/>
    <s v="New York City"/>
    <s v="Bachelor"/>
    <d v="1994-05-19T00:00:00"/>
    <x v="2"/>
    <x v="2"/>
    <x v="2"/>
    <s v="Logistics Coordinator"/>
    <n v="61104"/>
    <x v="1"/>
  </r>
  <r>
    <s v="00-13999315"/>
    <s v="Brittany"/>
    <s v="Johnson"/>
    <x v="1"/>
    <s v="New York"/>
    <s v="New York City"/>
    <s v="Bachelor"/>
    <d v="1980-04-18T00:00:00"/>
    <x v="3"/>
    <x v="3"/>
    <x v="2"/>
    <s v="Inventory Specialist"/>
    <n v="73770"/>
    <x v="1"/>
  </r>
  <r>
    <s v="00-97226012"/>
    <s v="Anna"/>
    <s v="Baldwin"/>
    <x v="0"/>
    <s v="New York"/>
    <s v="New York City"/>
    <s v="Bachelor"/>
    <d v="1988-05-31T00:00:00"/>
    <x v="4"/>
    <x v="4"/>
    <x v="2"/>
    <s v="Operations Analyst"/>
    <n v="73800"/>
    <x v="1"/>
  </r>
  <r>
    <s v="00-70291817"/>
    <s v="Amy"/>
    <s v="Robinson"/>
    <x v="1"/>
    <s v="New York"/>
    <s v="New York City"/>
    <s v="Bachelor"/>
    <d v="1991-07-16T00:00:00"/>
    <x v="5"/>
    <x v="5"/>
    <x v="3"/>
    <s v="Accountant"/>
    <n v="68181"/>
    <x v="1"/>
  </r>
  <r>
    <s v="00-31429110"/>
    <s v="Joshua"/>
    <s v="Booth"/>
    <x v="0"/>
    <s v="New York"/>
    <s v="New York City"/>
    <s v="Bachelor"/>
    <d v="1995-09-19T00:00:00"/>
    <x v="6"/>
    <x v="6"/>
    <x v="3"/>
    <s v="Accounts Payable Specialist"/>
    <n v="54499"/>
    <x v="1"/>
  </r>
  <r>
    <s v="00-30868105"/>
    <s v="Linda"/>
    <s v="Wolfe"/>
    <x v="1"/>
    <s v="New York"/>
    <s v="New York City"/>
    <s v="High School"/>
    <d v="2002-05-11T00:00:00"/>
    <x v="7"/>
    <x v="7"/>
    <x v="2"/>
    <s v="Inventory Specialist"/>
    <n v="57340"/>
    <x v="0"/>
  </r>
  <r>
    <s v="00-22448136"/>
    <s v="Joshua"/>
    <s v="Lewis"/>
    <x v="0"/>
    <s v="New York"/>
    <s v="New York City"/>
    <s v="Bachelor"/>
    <d v="1980-11-21T00:00:00"/>
    <x v="8"/>
    <x v="8"/>
    <x v="2"/>
    <s v="Logistics Coordinator"/>
    <n v="54065"/>
    <x v="1"/>
  </r>
  <r>
    <s v="00-56164955"/>
    <s v="Matthew"/>
    <s v="Davis"/>
    <x v="0"/>
    <s v="New York"/>
    <s v="New York City"/>
    <s v="High School"/>
    <d v="1994-02-08T00:00:00"/>
    <x v="9"/>
    <x v="9"/>
    <x v="4"/>
    <s v="SEO Specialist"/>
    <n v="83262"/>
    <x v="0"/>
  </r>
  <r>
    <s v="00-71662963"/>
    <s v="Michael"/>
    <s v="Cooper"/>
    <x v="0"/>
    <s v="New York"/>
    <s v="New York City"/>
    <s v="High School"/>
    <d v="1974-04-26T00:00:00"/>
    <x v="10"/>
    <x v="10"/>
    <x v="5"/>
    <s v="Recruiter"/>
    <n v="61651"/>
    <x v="0"/>
  </r>
  <r>
    <s v="00-84093639"/>
    <s v="Lindsay"/>
    <s v="Blair"/>
    <x v="1"/>
    <s v="New York"/>
    <s v="New York City"/>
    <s v="Bachelor"/>
    <d v="1967-05-26T00:00:00"/>
    <x v="11"/>
    <x v="11"/>
    <x v="2"/>
    <s v="Operations Analyst"/>
    <n v="75509"/>
    <x v="1"/>
  </r>
  <r>
    <s v="00-58537831"/>
    <s v="David"/>
    <s v="Nielsen"/>
    <x v="0"/>
    <s v="New York"/>
    <s v="New York City"/>
    <s v="High School"/>
    <d v="2001-07-26T00:00:00"/>
    <x v="12"/>
    <x v="12"/>
    <x v="0"/>
    <s v="Help Desk Technician"/>
    <n v="67011"/>
    <x v="0"/>
  </r>
  <r>
    <s v="00-16150444"/>
    <s v="Andrea"/>
    <s v="Calderon"/>
    <x v="1"/>
    <s v="Michigan"/>
    <s v="Grand Rapids"/>
    <s v="Bachelor"/>
    <d v="1987-05-22T00:00:00"/>
    <x v="13"/>
    <x v="13"/>
    <x v="1"/>
    <s v="IT Support Specialist"/>
    <n v="60136"/>
    <x v="1"/>
  </r>
  <r>
    <s v="00-41244663"/>
    <s v="Nicole"/>
    <s v="Ward"/>
    <x v="1"/>
    <s v="New York"/>
    <s v="New York City"/>
    <s v="Bachelor"/>
    <d v="1963-12-13T00:00:00"/>
    <x v="14"/>
    <x v="14"/>
    <x v="2"/>
    <s v="Logistics Coordinator"/>
    <n v="67552"/>
    <x v="2"/>
  </r>
  <r>
    <s v="00-70855700"/>
    <s v="Janet"/>
    <s v="Williams"/>
    <x v="1"/>
    <s v="Michigan"/>
    <s v="Grand Rapids"/>
    <s v="Bachelor"/>
    <d v="2002-12-26T00:00:00"/>
    <x v="15"/>
    <x v="15"/>
    <x v="2"/>
    <s v="Inventory Specialist"/>
    <n v="59934"/>
    <x v="1"/>
  </r>
  <r>
    <s v="00-59684848"/>
    <s v="Kendra"/>
    <s v="Galloway"/>
    <x v="0"/>
    <s v="New York"/>
    <s v="New York City"/>
    <s v="PhD"/>
    <d v="1963-04-01T00:00:00"/>
    <x v="16"/>
    <x v="16"/>
    <x v="6"/>
    <s v="Sales Manager"/>
    <n v="104162"/>
    <x v="3"/>
  </r>
  <r>
    <s v="00-96977837"/>
    <s v="Jesse"/>
    <s v="Garcia"/>
    <x v="1"/>
    <s v="New York"/>
    <s v="New York City"/>
    <s v="Bachelor"/>
    <d v="1963-02-03T00:00:00"/>
    <x v="17"/>
    <x v="17"/>
    <x v="0"/>
    <s v="Customer Service Representative"/>
    <n v="63873"/>
    <x v="1"/>
  </r>
  <r>
    <s v="00-81691040"/>
    <s v="Shawn"/>
    <s v="Flowers"/>
    <x v="1"/>
    <s v="Michigan"/>
    <s v="Warren"/>
    <s v="Bachelor"/>
    <d v="1959-06-28T00:00:00"/>
    <x v="18"/>
    <x v="18"/>
    <x v="1"/>
    <s v="IT Support Specialist"/>
    <n v="66250"/>
    <x v="3"/>
  </r>
  <r>
    <s v="00-60929647"/>
    <s v="Mitchell"/>
    <s v="Clark"/>
    <x v="1"/>
    <s v="New York"/>
    <s v="New York City"/>
    <s v="Bachelor"/>
    <d v="1973-09-14T00:00:00"/>
    <x v="19"/>
    <x v="19"/>
    <x v="0"/>
    <s v="Support Specialist"/>
    <n v="61729"/>
    <x v="2"/>
  </r>
  <r>
    <s v="00-84752529"/>
    <s v="Jacqueline"/>
    <s v="Sutton"/>
    <x v="0"/>
    <s v="New York"/>
    <s v="New York City"/>
    <s v="Master"/>
    <d v="1979-06-29T00:00:00"/>
    <x v="20"/>
    <x v="20"/>
    <x v="6"/>
    <s v="Sales Manager"/>
    <n v="84046"/>
    <x v="1"/>
  </r>
  <r>
    <s v="00-17507864"/>
    <s v="Chelsea"/>
    <s v="Jackson"/>
    <x v="1"/>
    <s v="North Carolina"/>
    <s v="Raleigh"/>
    <s v="PhD"/>
    <d v="1994-07-10T00:00:00"/>
    <x v="21"/>
    <x v="21"/>
    <x v="6"/>
    <s v="Sales Specialist"/>
    <n v="69318"/>
    <x v="3"/>
  </r>
  <r>
    <s v="00-52339391"/>
    <s v="John"/>
    <s v="Ford"/>
    <x v="1"/>
    <s v="Pennsylvania"/>
    <s v="Philadelphia"/>
    <s v="Bachelor"/>
    <d v="2002-07-15T00:00:00"/>
    <x v="22"/>
    <x v="22"/>
    <x v="6"/>
    <s v="Sales Consultant"/>
    <n v="99002"/>
    <x v="2"/>
  </r>
  <r>
    <s v="00-86125617"/>
    <s v="Veronica"/>
    <s v="Bowman"/>
    <x v="1"/>
    <s v="New York"/>
    <s v="New York City"/>
    <s v="Bachelor"/>
    <d v="1990-04-16T00:00:00"/>
    <x v="23"/>
    <x v="23"/>
    <x v="2"/>
    <s v="Logistics Coordinator"/>
    <n v="69163"/>
    <x v="1"/>
  </r>
  <r>
    <s v="00-97971488"/>
    <s v="Jeffrey"/>
    <s v="Nguyen"/>
    <x v="1"/>
    <s v="New York"/>
    <s v="New York City"/>
    <s v="Bachelor"/>
    <d v="1992-12-18T00:00:00"/>
    <x v="24"/>
    <x v="24"/>
    <x v="2"/>
    <s v="Inventory Specialist"/>
    <n v="65830"/>
    <x v="1"/>
  </r>
  <r>
    <s v="00-85345555"/>
    <s v="Linda"/>
    <s v="Morales"/>
    <x v="1"/>
    <s v="New York"/>
    <s v="New York City"/>
    <s v="Bachelor"/>
    <d v="1993-04-20T00:00:00"/>
    <x v="25"/>
    <x v="25"/>
    <x v="6"/>
    <s v="Sales Specialist"/>
    <n v="71110"/>
    <x v="0"/>
  </r>
  <r>
    <s v="00-67503414"/>
    <s v="Jason"/>
    <s v="Hahn"/>
    <x v="1"/>
    <s v="Ohio"/>
    <s v="Cleveland"/>
    <s v="Bachelor"/>
    <d v="1978-01-25T00:00:00"/>
    <x v="26"/>
    <x v="26"/>
    <x v="1"/>
    <s v="System Administrator"/>
    <n v="84205"/>
    <x v="3"/>
  </r>
  <r>
    <s v="00-39436733"/>
    <s v="Jennifer"/>
    <s v="Lewis"/>
    <x v="1"/>
    <s v="New York"/>
    <s v="New York City"/>
    <s v="Master"/>
    <d v="1982-09-18T00:00:00"/>
    <x v="27"/>
    <x v="27"/>
    <x v="6"/>
    <s v="Sales Specialist"/>
    <n v="67953"/>
    <x v="1"/>
  </r>
  <r>
    <s v="00-76238574"/>
    <s v="Randall"/>
    <s v="Rocha"/>
    <x v="1"/>
    <s v="New York"/>
    <s v="New York City"/>
    <s v="High School"/>
    <d v="1960-09-25T00:00:00"/>
    <x v="28"/>
    <x v="28"/>
    <x v="1"/>
    <s v="IT Support Specialist"/>
    <n v="58445"/>
    <x v="0"/>
  </r>
  <r>
    <s v="00-24716857"/>
    <s v="Douglas"/>
    <s v="Taylor"/>
    <x v="0"/>
    <s v="New York"/>
    <s v="New York City"/>
    <s v="Bachelor"/>
    <d v="1992-07-17T00:00:00"/>
    <x v="29"/>
    <x v="29"/>
    <x v="0"/>
    <s v="Customer Service Representative"/>
    <n v="58697"/>
    <x v="2"/>
  </r>
  <r>
    <s v="00-66661351"/>
    <s v="Anna"/>
    <s v="Baker"/>
    <x v="1"/>
    <s v="New York"/>
    <s v="New York City"/>
    <s v="PhD"/>
    <d v="1970-05-12T00:00:00"/>
    <x v="30"/>
    <x v="30"/>
    <x v="6"/>
    <s v="Sales Specialist"/>
    <n v="77156"/>
    <x v="3"/>
  </r>
  <r>
    <s v="00-89978790"/>
    <s v="Ross"/>
    <s v="Silva"/>
    <x v="0"/>
    <s v="New York"/>
    <s v="New York City"/>
    <s v="Bachelor"/>
    <d v="2002-11-29T00:00:00"/>
    <x v="31"/>
    <x v="31"/>
    <x v="6"/>
    <s v="Sales Specialist"/>
    <n v="81038"/>
    <x v="3"/>
  </r>
  <r>
    <s v="00-84252722"/>
    <s v="Jeffrey"/>
    <s v="Bright"/>
    <x v="1"/>
    <s v="New York"/>
    <s v="New York City"/>
    <s v="Bachelor"/>
    <d v="1980-05-21T00:00:00"/>
    <x v="32"/>
    <x v="32"/>
    <x v="3"/>
    <s v="Accounts Payable Specialist"/>
    <n v="71339"/>
    <x v="2"/>
  </r>
  <r>
    <s v="00-25374874"/>
    <s v="Trevor"/>
    <s v="Campos"/>
    <x v="1"/>
    <s v="New York"/>
    <s v="New York City"/>
    <s v="Master"/>
    <d v="1983-02-19T00:00:00"/>
    <x v="33"/>
    <x v="33"/>
    <x v="2"/>
    <s v="Operations Analyst"/>
    <n v="81316"/>
    <x v="3"/>
  </r>
  <r>
    <s v="00-45812670"/>
    <s v="Daniel"/>
    <s v="Burton"/>
    <x v="0"/>
    <s v="New York"/>
    <s v="New York City"/>
    <s v="Bachelor"/>
    <d v="2001-06-23T00:00:00"/>
    <x v="34"/>
    <x v="34"/>
    <x v="1"/>
    <s v="Software Developer"/>
    <n v="96947"/>
    <x v="3"/>
  </r>
  <r>
    <s v="00-49392920"/>
    <s v="Erin"/>
    <s v="Carlson"/>
    <x v="1"/>
    <s v="New York"/>
    <s v="New York City"/>
    <s v="Bachelor"/>
    <d v="1984-03-20T00:00:00"/>
    <x v="35"/>
    <x v="35"/>
    <x v="2"/>
    <s v="Logistics Coordinator"/>
    <n v="67437"/>
    <x v="3"/>
  </r>
  <r>
    <s v="00-45351479"/>
    <s v="Patrick"/>
    <s v="Ferrell"/>
    <x v="0"/>
    <s v="Michigan"/>
    <s v="Detroit"/>
    <s v="PhD"/>
    <d v="1969-05-20T00:00:00"/>
    <x v="36"/>
    <x v="36"/>
    <x v="6"/>
    <s v="Sales Consultant"/>
    <n v="116328"/>
    <x v="3"/>
  </r>
  <r>
    <s v="00-24282218"/>
    <s v="John"/>
    <s v="Tran"/>
    <x v="1"/>
    <s v="Virginia"/>
    <s v="Norfolk"/>
    <s v="Bachelor"/>
    <d v="1972-01-15T00:00:00"/>
    <x v="37"/>
    <x v="37"/>
    <x v="2"/>
    <s v="Logistics Coordinator"/>
    <n v="67630"/>
    <x v="2"/>
  </r>
  <r>
    <s v="00-95758349"/>
    <s v="Erin"/>
    <s v="Wilson"/>
    <x v="0"/>
    <s v="New York"/>
    <s v="New York City"/>
    <s v="Bachelor"/>
    <d v="1981-08-15T00:00:00"/>
    <x v="38"/>
    <x v="38"/>
    <x v="2"/>
    <s v="Logistics Coordinator"/>
    <n v="53898"/>
    <x v="1"/>
  </r>
  <r>
    <s v="00-60185867"/>
    <s v="Amanda"/>
    <s v="Adams"/>
    <x v="0"/>
    <s v="New York"/>
    <s v="New York City"/>
    <s v="Bachelor"/>
    <d v="2003-11-10T00:00:00"/>
    <x v="39"/>
    <x v="39"/>
    <x v="6"/>
    <s v="Sales Specialist"/>
    <n v="61534"/>
    <x v="1"/>
  </r>
  <r>
    <s v="00-81182864"/>
    <s v="Matthew"/>
    <s v="Carter"/>
    <x v="1"/>
    <s v="New York"/>
    <s v="New York City"/>
    <s v="High School"/>
    <d v="1979-11-26T00:00:00"/>
    <x v="40"/>
    <x v="40"/>
    <x v="4"/>
    <s v="SEO Specialist"/>
    <n v="78184"/>
    <x v="0"/>
  </r>
  <r>
    <s v="00-75579548"/>
    <s v="Shawn"/>
    <s v="Mckay"/>
    <x v="0"/>
    <s v="New York"/>
    <s v="New York City"/>
    <s v="Bachelor"/>
    <d v="1980-04-18T00:00:00"/>
    <x v="41"/>
    <x v="41"/>
    <x v="2"/>
    <s v="Inventory Specialist"/>
    <n v="56559"/>
    <x v="1"/>
  </r>
  <r>
    <s v="00-51273847"/>
    <s v="Jennifer"/>
    <s v="Stanton"/>
    <x v="1"/>
    <s v="New York"/>
    <s v="New York City"/>
    <s v="Bachelor"/>
    <d v="1959-12-09T00:00:00"/>
    <x v="42"/>
    <x v="42"/>
    <x v="0"/>
    <s v="Support Specialist"/>
    <n v="68635"/>
    <x v="2"/>
  </r>
  <r>
    <s v="00-19289546"/>
    <s v="Colleen"/>
    <s v="Skinner"/>
    <x v="0"/>
    <s v="New York"/>
    <s v="New York City"/>
    <s v="Bachelor"/>
    <d v="1981-12-01T00:00:00"/>
    <x v="43"/>
    <x v="43"/>
    <x v="2"/>
    <s v="Inventory Specialist"/>
    <n v="63169"/>
    <x v="1"/>
  </r>
  <r>
    <s v="00-26879290"/>
    <s v="Chelsea"/>
    <s v="Hernandez"/>
    <x v="0"/>
    <s v="Pennsylvania"/>
    <s v="Philadelphia"/>
    <s v="Master"/>
    <d v="1982-10-19T00:00:00"/>
    <x v="44"/>
    <x v="44"/>
    <x v="6"/>
    <s v="Sales Consultant"/>
    <n v="71142"/>
    <x v="1"/>
  </r>
  <r>
    <s v="00-32162965"/>
    <s v="Evan"/>
    <s v="Ashley"/>
    <x v="1"/>
    <s v="New York"/>
    <s v="New York City"/>
    <s v="High School"/>
    <d v="1983-09-16T00:00:00"/>
    <x v="45"/>
    <x v="45"/>
    <x v="2"/>
    <s v="Inventory Specialist"/>
    <n v="58830"/>
    <x v="0"/>
  </r>
  <r>
    <s v="00-38427073"/>
    <s v="Alyssa"/>
    <s v="Smith"/>
    <x v="0"/>
    <s v="Michigan"/>
    <s v="Grand Rapids"/>
    <s v="Bachelor"/>
    <d v="1970-04-24T00:00:00"/>
    <x v="46"/>
    <x v="46"/>
    <x v="0"/>
    <s v="Customer Service Representative"/>
    <n v="66218"/>
    <x v="2"/>
  </r>
  <r>
    <s v="00-36998038"/>
    <s v="Tracy"/>
    <s v="Rodriguez"/>
    <x v="0"/>
    <s v="New York"/>
    <s v="New York City"/>
    <s v="High School"/>
    <d v="1979-11-07T00:00:00"/>
    <x v="47"/>
    <x v="30"/>
    <x v="4"/>
    <s v="SEO Specialist"/>
    <n v="88887"/>
    <x v="0"/>
  </r>
  <r>
    <s v="00-97225156"/>
    <s v="Natasha"/>
    <s v="Decker"/>
    <x v="1"/>
    <s v="New York"/>
    <s v="New York City"/>
    <s v="PhD"/>
    <d v="1959-08-05T00:00:00"/>
    <x v="48"/>
    <x v="47"/>
    <x v="6"/>
    <s v="Sales Consultant"/>
    <n v="72859"/>
    <x v="3"/>
  </r>
  <r>
    <s v="00-26240908"/>
    <s v="John"/>
    <s v="Allen"/>
    <x v="1"/>
    <s v="New York"/>
    <s v="New York City"/>
    <s v="Bachelor"/>
    <d v="1985-01-15T00:00:00"/>
    <x v="49"/>
    <x v="48"/>
    <x v="2"/>
    <s v="Logistics Coordinator"/>
    <n v="67630"/>
    <x v="3"/>
  </r>
  <r>
    <s v="00-12823170"/>
    <s v="Stacey"/>
    <s v="Miller"/>
    <x v="1"/>
    <s v="New York"/>
    <s v="New York City"/>
    <s v="Bachelor"/>
    <d v="1991-06-21T00:00:00"/>
    <x v="50"/>
    <x v="49"/>
    <x v="2"/>
    <s v="Inventory Specialist"/>
    <n v="61574"/>
    <x v="3"/>
  </r>
  <r>
    <s v="00-39557077"/>
    <s v="Lisa"/>
    <s v="Spence"/>
    <x v="1"/>
    <s v="New York"/>
    <s v="New York City"/>
    <s v="Master"/>
    <d v="1970-08-25T00:00:00"/>
    <x v="51"/>
    <x v="50"/>
    <x v="1"/>
    <s v="Software Developer"/>
    <n v="103756"/>
    <x v="3"/>
  </r>
  <r>
    <s v="00-17901903"/>
    <s v="Katie"/>
    <s v="Anderson"/>
    <x v="1"/>
    <s v="New York"/>
    <s v="New York City"/>
    <s v="Bachelor"/>
    <d v="1980-12-26T00:00:00"/>
    <x v="52"/>
    <x v="51"/>
    <x v="2"/>
    <s v="Logistics Coordinator"/>
    <n v="63227"/>
    <x v="3"/>
  </r>
  <r>
    <s v="00-99788677"/>
    <s v="Monique"/>
    <s v="Henderson"/>
    <x v="0"/>
    <s v="New York"/>
    <s v="New York City"/>
    <s v="Bachelor"/>
    <d v="1967-06-24T00:00:00"/>
    <x v="53"/>
    <x v="52"/>
    <x v="0"/>
    <s v="Help Desk Technician"/>
    <n v="90880"/>
    <x v="2"/>
  </r>
  <r>
    <s v="00-86644106"/>
    <s v="Sarah"/>
    <s v="Campos"/>
    <x v="0"/>
    <s v="Pennsylvania"/>
    <s v="Philadelphia"/>
    <s v="High School"/>
    <d v="1983-06-08T00:00:00"/>
    <x v="54"/>
    <x v="53"/>
    <x v="4"/>
    <s v="Content Creator"/>
    <n v="52954"/>
    <x v="3"/>
  </r>
  <r>
    <s v="00-73481353"/>
    <s v="James"/>
    <s v="Collins"/>
    <x v="0"/>
    <s v="New York"/>
    <s v="New York City"/>
    <s v="Bachelor"/>
    <d v="1977-05-16T00:00:00"/>
    <x v="55"/>
    <x v="54"/>
    <x v="2"/>
    <s v="Inventory Specialist"/>
    <n v="64475"/>
    <x v="1"/>
  </r>
  <r>
    <s v="00-23009833"/>
    <s v="Debra"/>
    <s v="Kim"/>
    <x v="0"/>
    <s v="Pennsylvania"/>
    <s v="Allentown"/>
    <s v="PhD"/>
    <d v="1980-01-27T00:00:00"/>
    <x v="56"/>
    <x v="55"/>
    <x v="6"/>
    <s v="Sales Specialist"/>
    <n v="93238"/>
    <x v="3"/>
  </r>
  <r>
    <s v="00-65177213"/>
    <s v="Shannon"/>
    <s v="Wright"/>
    <x v="0"/>
    <s v="Michigan"/>
    <s v="Grand Rapids"/>
    <s v="High School"/>
    <d v="2002-12-04T00:00:00"/>
    <x v="57"/>
    <x v="56"/>
    <x v="2"/>
    <s v="Inventory Specialist"/>
    <n v="58713"/>
    <x v="0"/>
  </r>
  <r>
    <s v="00-97705310"/>
    <s v="Matthew"/>
    <s v="Chapman"/>
    <x v="0"/>
    <s v="New York"/>
    <s v="New York City"/>
    <s v="Bachelor"/>
    <d v="1969-09-19T00:00:00"/>
    <x v="58"/>
    <x v="57"/>
    <x v="1"/>
    <s v="Software Developer"/>
    <n v="91896"/>
    <x v="0"/>
  </r>
  <r>
    <s v="00-64038913"/>
    <s v="Brianna"/>
    <s v="Smith"/>
    <x v="1"/>
    <s v="New York"/>
    <s v="New York City"/>
    <s v="Bachelor"/>
    <d v="1974-01-18T00:00:00"/>
    <x v="59"/>
    <x v="58"/>
    <x v="2"/>
    <s v="Inventory Specialist"/>
    <n v="71608"/>
    <x v="3"/>
  </r>
  <r>
    <s v="00-35714784"/>
    <s v="Crystal"/>
    <s v="Perez"/>
    <x v="0"/>
    <s v="New York"/>
    <s v="New York City"/>
    <s v="Bachelor"/>
    <d v="1983-07-07T00:00:00"/>
    <x v="60"/>
    <x v="59"/>
    <x v="3"/>
    <s v="Financial Analyst"/>
    <n v="71404"/>
    <x v="2"/>
  </r>
  <r>
    <s v="00-66623995"/>
    <s v="Anthony"/>
    <s v="Rivera"/>
    <x v="1"/>
    <s v="New York"/>
    <s v="New York City"/>
    <s v="Bachelor"/>
    <d v="1992-02-04T00:00:00"/>
    <x v="61"/>
    <x v="60"/>
    <x v="2"/>
    <s v="Logistics Coordinator"/>
    <n v="59423"/>
    <x v="1"/>
  </r>
  <r>
    <s v="00-20117988"/>
    <s v="John"/>
    <s v="Caldwell"/>
    <x v="0"/>
    <s v="New York"/>
    <s v="New York City"/>
    <s v="Bachelor"/>
    <d v="1982-10-19T00:00:00"/>
    <x v="62"/>
    <x v="61"/>
    <x v="2"/>
    <s v="Operations Analyst"/>
    <n v="64183"/>
    <x v="0"/>
  </r>
  <r>
    <s v="00-16789850"/>
    <s v="Amber"/>
    <s v="Cummings"/>
    <x v="1"/>
    <s v="New York"/>
    <s v="New York City"/>
    <s v="Master"/>
    <d v="1986-07-11T00:00:00"/>
    <x v="63"/>
    <x v="62"/>
    <x v="2"/>
    <s v="Operations Analyst"/>
    <n v="76824"/>
    <x v="3"/>
  </r>
  <r>
    <s v="00-11980765"/>
    <s v="Ashley"/>
    <s v="Kennedy"/>
    <x v="0"/>
    <s v="New York"/>
    <s v="New York City"/>
    <s v="Bachelor"/>
    <d v="2003-03-24T00:00:00"/>
    <x v="64"/>
    <x v="63"/>
    <x v="3"/>
    <s v="Accountant"/>
    <n v="54093"/>
    <x v="2"/>
  </r>
  <r>
    <s v="00-64547971"/>
    <s v="Thomas"/>
    <s v="Russell"/>
    <x v="1"/>
    <s v="New York"/>
    <s v="New York City"/>
    <s v="Bachelor"/>
    <d v="1964-01-04T00:00:00"/>
    <x v="65"/>
    <x v="64"/>
    <x v="3"/>
    <s v="Accountant"/>
    <n v="95124"/>
    <x v="0"/>
  </r>
  <r>
    <s v="00-63826716"/>
    <s v="Collin"/>
    <s v="Jordan"/>
    <x v="0"/>
    <s v="New York"/>
    <s v="New York City"/>
    <s v="Master"/>
    <d v="1965-09-13T00:00:00"/>
    <x v="66"/>
    <x v="65"/>
    <x v="6"/>
    <s v="Sales Specialist"/>
    <n v="68345"/>
    <x v="3"/>
  </r>
  <r>
    <s v="00-10289289"/>
    <s v="Robert"/>
    <s v="Shields"/>
    <x v="0"/>
    <s v="New York"/>
    <s v="New York City"/>
    <s v="Bachelor"/>
    <d v="1978-07-29T00:00:00"/>
    <x v="67"/>
    <x v="66"/>
    <x v="0"/>
    <s v="Help Desk Technician"/>
    <n v="61403"/>
    <x v="1"/>
  </r>
  <r>
    <s v="00-71070189"/>
    <s v="Emily"/>
    <s v="Joyce"/>
    <x v="1"/>
    <s v="New York"/>
    <s v="New York City"/>
    <s v="Bachelor"/>
    <d v="1988-08-29T00:00:00"/>
    <x v="68"/>
    <x v="67"/>
    <x v="2"/>
    <s v="Inventory Specialist"/>
    <n v="60320"/>
    <x v="1"/>
  </r>
  <r>
    <s v="00-84593961"/>
    <s v="Bruce"/>
    <s v="Chandler"/>
    <x v="0"/>
    <s v="New York"/>
    <s v="New York City"/>
    <s v="High School"/>
    <d v="1966-01-29T00:00:00"/>
    <x v="69"/>
    <x v="68"/>
    <x v="2"/>
    <s v="Inventory Specialist"/>
    <n v="55060"/>
    <x v="3"/>
  </r>
  <r>
    <s v="00-35487660"/>
    <s v="Michelle"/>
    <s v="Wright"/>
    <x v="1"/>
    <s v="New York"/>
    <s v="New York City"/>
    <s v="Master"/>
    <d v="1963-07-22T00:00:00"/>
    <x v="70"/>
    <x v="69"/>
    <x v="2"/>
    <s v="Operations Manager"/>
    <n v="82834"/>
    <x v="3"/>
  </r>
  <r>
    <s v="00-82772208"/>
    <s v="Amanda"/>
    <s v="Taylor"/>
    <x v="0"/>
    <s v="New York"/>
    <s v="New York City"/>
    <s v="PhD"/>
    <d v="1988-07-10T00:00:00"/>
    <x v="71"/>
    <x v="70"/>
    <x v="3"/>
    <s v="Financial Analyst"/>
    <n v="76564"/>
    <x v="3"/>
  </r>
  <r>
    <s v="00-16729990"/>
    <s v="Joshua"/>
    <s v="Wright"/>
    <x v="1"/>
    <s v="New York"/>
    <s v="New York City"/>
    <s v="Bachelor"/>
    <d v="1991-10-07T00:00:00"/>
    <x v="72"/>
    <x v="71"/>
    <x v="3"/>
    <s v="Accountant"/>
    <n v="63056"/>
    <x v="1"/>
  </r>
  <r>
    <s v="00-81286543"/>
    <s v="Charles"/>
    <s v="Morton"/>
    <x v="1"/>
    <s v="New York"/>
    <s v="New York City"/>
    <s v="Bachelor"/>
    <d v="1984-09-12T00:00:00"/>
    <x v="73"/>
    <x v="72"/>
    <x v="3"/>
    <s v="Accountant"/>
    <n v="78616"/>
    <x v="2"/>
  </r>
  <r>
    <s v="00-41568532"/>
    <s v="Mary"/>
    <s v="Novak"/>
    <x v="0"/>
    <s v="New York"/>
    <s v="New York City"/>
    <s v="Bachelor"/>
    <d v="1981-06-12T00:00:00"/>
    <x v="74"/>
    <x v="73"/>
    <x v="2"/>
    <s v="Logistics Coordinator"/>
    <n v="61198"/>
    <x v="2"/>
  </r>
  <r>
    <s v="00-87701200"/>
    <s v="Karen"/>
    <s v="Young"/>
    <x v="1"/>
    <s v="New York"/>
    <s v="New York City"/>
    <s v="Bachelor"/>
    <d v="2001-06-23T00:00:00"/>
    <x v="75"/>
    <x v="74"/>
    <x v="1"/>
    <s v="IT Support Specialist"/>
    <n v="58331"/>
    <x v="3"/>
  </r>
  <r>
    <s v="00-66267415"/>
    <s v="Todd"/>
    <s v="Lewis"/>
    <x v="0"/>
    <s v="Ohio"/>
    <s v="Cincinnati"/>
    <s v="Bachelor"/>
    <d v="1966-02-24T00:00:00"/>
    <x v="76"/>
    <x v="75"/>
    <x v="2"/>
    <s v="Logistics Coordinator"/>
    <n v="62398"/>
    <x v="1"/>
  </r>
  <r>
    <s v="00-52462441"/>
    <s v="Rachel"/>
    <s v="Martin"/>
    <x v="1"/>
    <s v="New York"/>
    <s v="New York City"/>
    <s v="Bachelor"/>
    <d v="1984-08-25T00:00:00"/>
    <x v="77"/>
    <x v="76"/>
    <x v="6"/>
    <s v="Sales Consultant"/>
    <n v="94930"/>
    <x v="3"/>
  </r>
  <r>
    <s v="00-52169044"/>
    <s v="Tricia"/>
    <s v="Baker"/>
    <x v="0"/>
    <s v="New York"/>
    <s v="New York City"/>
    <s v="Bachelor"/>
    <d v="1998-06-26T00:00:00"/>
    <x v="78"/>
    <x v="2"/>
    <x v="0"/>
    <s v="Customer Service Representative"/>
    <n v="59179"/>
    <x v="1"/>
  </r>
  <r>
    <s v="00-96637649"/>
    <s v="Kristen"/>
    <s v="Mitchell"/>
    <x v="1"/>
    <s v="North Carolina"/>
    <s v="Greensboro"/>
    <s v="Bachelor"/>
    <d v="1976-05-16T00:00:00"/>
    <x v="79"/>
    <x v="77"/>
    <x v="2"/>
    <s v="Logistics Coordinator"/>
    <n v="74555"/>
    <x v="1"/>
  </r>
  <r>
    <s v="00-23419256"/>
    <s v="Dorothy"/>
    <s v="Tucker"/>
    <x v="0"/>
    <s v="New York"/>
    <s v="New York City"/>
    <s v="Bachelor"/>
    <d v="1990-08-17T00:00:00"/>
    <x v="80"/>
    <x v="78"/>
    <x v="4"/>
    <s v="SEO Specialist"/>
    <n v="81253"/>
    <x v="3"/>
  </r>
  <r>
    <s v="00-45594597"/>
    <s v="Kenneth"/>
    <s v="Novak"/>
    <x v="0"/>
    <s v="New York"/>
    <s v="New York City"/>
    <s v="High School"/>
    <d v="1988-09-30T00:00:00"/>
    <x v="81"/>
    <x v="79"/>
    <x v="0"/>
    <s v="Customer Service Representative"/>
    <n v="56922"/>
    <x v="0"/>
  </r>
  <r>
    <s v="00-42787299"/>
    <s v="Jill"/>
    <s v="Brown"/>
    <x v="0"/>
    <s v="New York"/>
    <s v="New York City"/>
    <s v="Bachelor"/>
    <d v="1982-06-13T00:00:00"/>
    <x v="82"/>
    <x v="80"/>
    <x v="4"/>
    <s v="Content Creator"/>
    <n v="65108"/>
    <x v="2"/>
  </r>
  <r>
    <s v="00-82909480"/>
    <s v="Brian"/>
    <s v="Silva"/>
    <x v="0"/>
    <s v="New York"/>
    <s v="New York City"/>
    <s v="Bachelor"/>
    <d v="1975-10-31T00:00:00"/>
    <x v="83"/>
    <x v="81"/>
    <x v="2"/>
    <s v="Logistics Coordinator"/>
    <n v="61958"/>
    <x v="1"/>
  </r>
  <r>
    <s v="00-97775215"/>
    <s v="Samantha"/>
    <s v="Schmidt"/>
    <x v="0"/>
    <s v="New York"/>
    <s v="New York City"/>
    <s v="Bachelor"/>
    <d v="1999-01-11T00:00:00"/>
    <x v="84"/>
    <x v="82"/>
    <x v="0"/>
    <s v="Support Specialist"/>
    <n v="55038"/>
    <x v="1"/>
  </r>
  <r>
    <s v="00-84437458"/>
    <s v="Susan"/>
    <s v="Miller"/>
    <x v="0"/>
    <s v="New York"/>
    <s v="New York City"/>
    <s v="Master"/>
    <d v="2002-02-06T00:00:00"/>
    <x v="85"/>
    <x v="6"/>
    <x v="5"/>
    <s v="HR Coordinator"/>
    <n v="63666"/>
    <x v="3"/>
  </r>
  <r>
    <s v="00-28024248"/>
    <s v="Casey"/>
    <s v="Jones"/>
    <x v="0"/>
    <s v="New York"/>
    <s v="New York City"/>
    <s v="High School"/>
    <d v="1979-11-09T00:00:00"/>
    <x v="86"/>
    <x v="83"/>
    <x v="0"/>
    <s v="Help Desk Technician"/>
    <n v="58264"/>
    <x v="3"/>
  </r>
  <r>
    <s v="00-84252420"/>
    <s v="Joe"/>
    <s v="Wilson"/>
    <x v="1"/>
    <s v="New York"/>
    <s v="New York City"/>
    <s v="Bachelor"/>
    <d v="2003-02-06T00:00:00"/>
    <x v="87"/>
    <x v="84"/>
    <x v="6"/>
    <s v="Sales Representative"/>
    <n v="65128"/>
    <x v="2"/>
  </r>
  <r>
    <s v="00-38270233"/>
    <s v="Ashley"/>
    <s v="Riley"/>
    <x v="1"/>
    <s v="New York"/>
    <s v="New York City"/>
    <s v="Master"/>
    <d v="1967-08-05T00:00:00"/>
    <x v="88"/>
    <x v="85"/>
    <x v="6"/>
    <s v="Sales Consultant"/>
    <n v="69316"/>
    <x v="3"/>
  </r>
  <r>
    <s v="00-95125977"/>
    <s v="Christine"/>
    <s v="Barnes"/>
    <x v="1"/>
    <s v="New York"/>
    <s v="New York City"/>
    <s v="High School"/>
    <d v="1992-10-22T00:00:00"/>
    <x v="89"/>
    <x v="86"/>
    <x v="2"/>
    <s v="Inventory Specialist"/>
    <n v="56431"/>
    <x v="0"/>
  </r>
  <r>
    <s v="00-43704923"/>
    <s v="Annette"/>
    <s v="Stewart"/>
    <x v="1"/>
    <s v="New York"/>
    <s v="New York City"/>
    <s v="Bachelor"/>
    <d v="1997-06-19T00:00:00"/>
    <x v="90"/>
    <x v="87"/>
    <x v="6"/>
    <s v="Sales Representative"/>
    <n v="79043"/>
    <x v="1"/>
  </r>
  <r>
    <s v="00-95132217"/>
    <s v="James"/>
    <s v="Moran"/>
    <x v="0"/>
    <s v="New York"/>
    <s v="New York City"/>
    <s v="Bachelor"/>
    <d v="1988-10-29T00:00:00"/>
    <x v="91"/>
    <x v="88"/>
    <x v="4"/>
    <s v="Marketing Coordinator"/>
    <n v="59137"/>
    <x v="1"/>
  </r>
  <r>
    <s v="00-10475894"/>
    <s v="Joseph"/>
    <s v="Anderson"/>
    <x v="1"/>
    <s v="New York"/>
    <s v="New York City"/>
    <s v="Bachelor"/>
    <d v="1982-12-23T00:00:00"/>
    <x v="92"/>
    <x v="89"/>
    <x v="1"/>
    <s v="Software Developer"/>
    <n v="89897"/>
    <x v="1"/>
  </r>
  <r>
    <s v="00-45159040"/>
    <s v="Kevin"/>
    <s v="Stewart"/>
    <x v="0"/>
    <s v="New York"/>
    <s v="New York City"/>
    <s v="Bachelor"/>
    <d v="1984-08-31T00:00:00"/>
    <x v="93"/>
    <x v="90"/>
    <x v="1"/>
    <s v="Software Developer"/>
    <n v="80501"/>
    <x v="1"/>
  </r>
  <r>
    <s v="00-67403166"/>
    <s v="Shari"/>
    <s v="Smith"/>
    <x v="1"/>
    <s v="Michigan"/>
    <s v="Detroit"/>
    <s v="Master"/>
    <d v="1984-04-05T00:00:00"/>
    <x v="94"/>
    <x v="91"/>
    <x v="2"/>
    <s v="Operations Analyst"/>
    <n v="83772"/>
    <x v="1"/>
  </r>
  <r>
    <s v="00-30005727"/>
    <s v="Yolanda"/>
    <s v="Ferrell"/>
    <x v="1"/>
    <s v="New York"/>
    <s v="New York City"/>
    <s v="Master"/>
    <d v="1982-10-05T00:00:00"/>
    <x v="95"/>
    <x v="92"/>
    <x v="2"/>
    <s v="Operations Analyst"/>
    <n v="55106"/>
    <x v="3"/>
  </r>
  <r>
    <s v="00-51373735"/>
    <s v="Sarah"/>
    <s v="Ibarra"/>
    <x v="1"/>
    <s v="New York"/>
    <s v="New York City"/>
    <s v="High School"/>
    <d v="1976-07-28T00:00:00"/>
    <x v="96"/>
    <x v="93"/>
    <x v="0"/>
    <s v="Help Desk Technician"/>
    <n v="82441"/>
    <x v="0"/>
  </r>
  <r>
    <s v="00-38195995"/>
    <s v="John"/>
    <s v="Mitchell"/>
    <x v="1"/>
    <s v="Michigan"/>
    <s v="Warren"/>
    <s v="Bachelor"/>
    <d v="1962-09-27T00:00:00"/>
    <x v="97"/>
    <x v="94"/>
    <x v="3"/>
    <s v="Accountant"/>
    <n v="85555"/>
    <x v="1"/>
  </r>
  <r>
    <s v="00-57469942"/>
    <s v="Martha"/>
    <s v="Warner"/>
    <x v="0"/>
    <s v="New York"/>
    <s v="New York City"/>
    <s v="Bachelor"/>
    <d v="1989-08-01T00:00:00"/>
    <x v="98"/>
    <x v="95"/>
    <x v="6"/>
    <s v="Sales Consultant"/>
    <n v="64372"/>
    <x v="2"/>
  </r>
  <r>
    <s v="00-30743797"/>
    <s v="Tonya"/>
    <s v="Roman"/>
    <x v="0"/>
    <s v="Michigan"/>
    <s v="Grand Rapids"/>
    <s v="Bachelor"/>
    <d v="1971-03-15T00:00:00"/>
    <x v="36"/>
    <x v="36"/>
    <x v="0"/>
    <s v="Customer Service Representative"/>
    <n v="63278"/>
    <x v="1"/>
  </r>
  <r>
    <s v="00-31810617"/>
    <s v="Alan"/>
    <s v="Montoya"/>
    <x v="1"/>
    <s v="Virginia"/>
    <s v="Virginia Beach"/>
    <s v="Bachelor"/>
    <d v="1998-02-03T00:00:00"/>
    <x v="99"/>
    <x v="96"/>
    <x v="4"/>
    <s v="Content Creator"/>
    <n v="65358"/>
    <x v="0"/>
  </r>
  <r>
    <s v="00-13326769"/>
    <s v="Sarah"/>
    <s v="Garcia"/>
    <x v="1"/>
    <s v="Michigan"/>
    <s v="Grand Rapids"/>
    <s v="Bachelor"/>
    <d v="1983-12-03T00:00:00"/>
    <x v="100"/>
    <x v="97"/>
    <x v="1"/>
    <s v="System Administrator"/>
    <n v="77267"/>
    <x v="1"/>
  </r>
  <r>
    <s v="00-65259205"/>
    <s v="Dennis"/>
    <s v="Wilson"/>
    <x v="0"/>
    <s v="New York"/>
    <s v="New York City"/>
    <s v="Bachelor"/>
    <d v="2002-03-08T00:00:00"/>
    <x v="101"/>
    <x v="98"/>
    <x v="6"/>
    <s v="Sales Representative"/>
    <n v="51865"/>
    <x v="1"/>
  </r>
  <r>
    <s v="00-43308443"/>
    <s v="Julia"/>
    <s v="Moore"/>
    <x v="1"/>
    <s v="New York"/>
    <s v="New York City"/>
    <s v="Master"/>
    <d v="1970-09-23T00:00:00"/>
    <x v="102"/>
    <x v="99"/>
    <x v="1"/>
    <s v="System Administrator"/>
    <n v="92780"/>
    <x v="3"/>
  </r>
  <r>
    <s v="00-61343880"/>
    <s v="Cassandra"/>
    <s v="Robbins"/>
    <x v="0"/>
    <s v="Pennsylvania"/>
    <s v="Allentown"/>
    <s v="Bachelor"/>
    <d v="1992-05-05T00:00:00"/>
    <x v="103"/>
    <x v="100"/>
    <x v="0"/>
    <s v="Customer Service Representative"/>
    <n v="52588"/>
    <x v="1"/>
  </r>
  <r>
    <s v="00-36786211"/>
    <s v="Grace"/>
    <s v="Farrell"/>
    <x v="0"/>
    <s v="Michigan"/>
    <s v="Detroit"/>
    <s v="Bachelor"/>
    <d v="1972-06-23T00:00:00"/>
    <x v="104"/>
    <x v="101"/>
    <x v="2"/>
    <s v="Inventory Specialist"/>
    <n v="64186"/>
    <x v="1"/>
  </r>
  <r>
    <s v="00-50962024"/>
    <s v="Tracy"/>
    <s v="Whitehead"/>
    <x v="1"/>
    <s v="New York"/>
    <s v="New York City"/>
    <s v="High School"/>
    <d v="1978-05-26T00:00:00"/>
    <x v="105"/>
    <x v="102"/>
    <x v="2"/>
    <s v="Inventory Specialist"/>
    <n v="61124"/>
    <x v="0"/>
  </r>
  <r>
    <s v="00-13176186"/>
    <s v="Brent"/>
    <s v="Walters"/>
    <x v="0"/>
    <s v="New York"/>
    <s v="New York City"/>
    <s v="High School"/>
    <d v="1982-07-17T00:00:00"/>
    <x v="106"/>
    <x v="103"/>
    <x v="5"/>
    <s v="Recruiter"/>
    <n v="65797"/>
    <x v="0"/>
  </r>
  <r>
    <s v="00-47393469"/>
    <s v="Joshua"/>
    <s v="Smith"/>
    <x v="0"/>
    <s v="Illinois"/>
    <s v="Aurora"/>
    <s v="Master"/>
    <d v="2001-01-25T00:00:00"/>
    <x v="107"/>
    <x v="104"/>
    <x v="6"/>
    <s v="Sales Manager"/>
    <n v="114050"/>
    <x v="1"/>
  </r>
  <r>
    <s v="00-96098221"/>
    <s v="David"/>
    <s v="Whitney"/>
    <x v="0"/>
    <s v="New York"/>
    <s v="New York City"/>
    <s v="High School"/>
    <d v="1975-10-13T00:00:00"/>
    <x v="108"/>
    <x v="105"/>
    <x v="0"/>
    <s v="Help Desk Technician"/>
    <n v="64313"/>
    <x v="3"/>
  </r>
  <r>
    <s v="00-81969657"/>
    <s v="Joyce"/>
    <s v="Arnold"/>
    <x v="1"/>
    <s v="Michigan"/>
    <s v="Grand Rapids"/>
    <s v="Bachelor"/>
    <d v="1989-09-11T00:00:00"/>
    <x v="109"/>
    <x v="106"/>
    <x v="0"/>
    <s v="Support Specialist"/>
    <n v="63557"/>
    <x v="2"/>
  </r>
  <r>
    <s v="00-45059710"/>
    <s v="Ann"/>
    <s v="Rodriguez"/>
    <x v="1"/>
    <s v="Michigan"/>
    <s v="Detroit"/>
    <s v="High School"/>
    <d v="1985-11-29T00:00:00"/>
    <x v="110"/>
    <x v="107"/>
    <x v="2"/>
    <s v="Inventory Specialist"/>
    <n v="59128"/>
    <x v="0"/>
  </r>
  <r>
    <s v="00-24549543"/>
    <s v="Hannah"/>
    <s v="Hernandez"/>
    <x v="0"/>
    <s v="New York"/>
    <s v="New York City"/>
    <s v="High School"/>
    <d v="1989-02-28T00:00:00"/>
    <x v="111"/>
    <x v="108"/>
    <x v="0"/>
    <s v="Support Specialist"/>
    <n v="54770"/>
    <x v="0"/>
  </r>
  <r>
    <s v="00-52101056"/>
    <s v="Mary"/>
    <s v="Aguilar"/>
    <x v="1"/>
    <s v="New York"/>
    <s v="New York City"/>
    <s v="Bachelor"/>
    <d v="2001-04-04T00:00:00"/>
    <x v="112"/>
    <x v="109"/>
    <x v="0"/>
    <s v="Support Specialist"/>
    <n v="64438"/>
    <x v="2"/>
  </r>
  <r>
    <s v="00-61700055"/>
    <s v="Russell"/>
    <s v="Williams"/>
    <x v="0"/>
    <s v="New York"/>
    <s v="New York City"/>
    <s v="High School"/>
    <d v="1970-06-19T00:00:00"/>
    <x v="113"/>
    <x v="110"/>
    <x v="5"/>
    <s v="Recruiter"/>
    <n v="58119"/>
    <x v="0"/>
  </r>
  <r>
    <s v="00-15957459"/>
    <s v="Rachel"/>
    <s v="Flynn"/>
    <x v="0"/>
    <s v="North Carolina"/>
    <s v="Raleigh"/>
    <s v="High School"/>
    <d v="1976-05-21T00:00:00"/>
    <x v="33"/>
    <x v="33"/>
    <x v="0"/>
    <s v="Help Desk Technician"/>
    <n v="82922"/>
    <x v="0"/>
  </r>
  <r>
    <s v="00-82269803"/>
    <s v="Bill"/>
    <s v="Howard"/>
    <x v="0"/>
    <s v="New York"/>
    <s v="New York City"/>
    <s v="Bachelor"/>
    <d v="1972-02-23T00:00:00"/>
    <x v="114"/>
    <x v="111"/>
    <x v="4"/>
    <s v="Marketing Coordinator"/>
    <n v="74811"/>
    <x v="2"/>
  </r>
  <r>
    <s v="00-36445607"/>
    <s v="John"/>
    <s v="Garcia"/>
    <x v="1"/>
    <s v="North Carolina"/>
    <s v="Greensboro"/>
    <s v="PhD"/>
    <d v="1982-11-22T00:00:00"/>
    <x v="115"/>
    <x v="112"/>
    <x v="3"/>
    <s v="Financial Analyst"/>
    <n v="93475"/>
    <x v="3"/>
  </r>
  <r>
    <s v="00-54318698"/>
    <s v="Anita"/>
    <s v="Baxter"/>
    <x v="1"/>
    <s v="Ohio"/>
    <s v="Cleveland"/>
    <s v="High School"/>
    <d v="2002-01-06T00:00:00"/>
    <x v="116"/>
    <x v="113"/>
    <x v="0"/>
    <s v="Customer Service Representative"/>
    <n v="59676"/>
    <x v="0"/>
  </r>
  <r>
    <s v="00-26726926"/>
    <s v="Kara"/>
    <s v="Frost"/>
    <x v="1"/>
    <s v="New York"/>
    <s v="New York City"/>
    <s v="Bachelor"/>
    <d v="1967-12-21T00:00:00"/>
    <x v="117"/>
    <x v="114"/>
    <x v="6"/>
    <s v="Sales Representative"/>
    <n v="77283"/>
    <x v="0"/>
  </r>
  <r>
    <s v="00-51511484"/>
    <s v="Michelle"/>
    <s v="Cherry"/>
    <x v="1"/>
    <s v="New York"/>
    <s v="New York City"/>
    <s v="Bachelor"/>
    <d v="1980-01-11T00:00:00"/>
    <x v="118"/>
    <x v="115"/>
    <x v="4"/>
    <s v="Content Creator"/>
    <n v="62224"/>
    <x v="2"/>
  </r>
  <r>
    <s v="00-49682169"/>
    <s v="Gregory"/>
    <s v="Gutierrez"/>
    <x v="1"/>
    <s v="New York"/>
    <s v="New York City"/>
    <s v="Bachelor"/>
    <d v="1997-02-22T00:00:00"/>
    <x v="119"/>
    <x v="116"/>
    <x v="2"/>
    <s v="Logistics Coordinator"/>
    <n v="68683"/>
    <x v="0"/>
  </r>
  <r>
    <s v="00-99245317"/>
    <s v="Jill"/>
    <s v="Cook"/>
    <x v="0"/>
    <s v="New York"/>
    <s v="New York City"/>
    <s v="High School"/>
    <d v="1967-01-18T00:00:00"/>
    <x v="120"/>
    <x v="117"/>
    <x v="0"/>
    <s v="Customer Service Representative"/>
    <n v="63830"/>
    <x v="0"/>
  </r>
  <r>
    <s v="00-33357554"/>
    <s v="Robert"/>
    <s v="Santiago"/>
    <x v="1"/>
    <s v="New York"/>
    <s v="New York City"/>
    <s v="Master"/>
    <d v="1998-09-09T00:00:00"/>
    <x v="121"/>
    <x v="118"/>
    <x v="6"/>
    <s v="Sales Specialist"/>
    <n v="75850"/>
    <x v="3"/>
  </r>
  <r>
    <s v="00-83542887"/>
    <s v="Lisa"/>
    <s v="Adams"/>
    <x v="1"/>
    <s v="New York"/>
    <s v="New York City"/>
    <s v="High School"/>
    <d v="1995-12-13T00:00:00"/>
    <x v="122"/>
    <x v="119"/>
    <x v="0"/>
    <s v="Help Desk Technician"/>
    <n v="82965"/>
    <x v="3"/>
  </r>
  <r>
    <s v="00-38210242"/>
    <s v="Jacqueline"/>
    <s v="Reyes"/>
    <x v="0"/>
    <s v="New York"/>
    <s v="New York City"/>
    <s v="Bachelor"/>
    <d v="1973-12-15T00:00:00"/>
    <x v="123"/>
    <x v="120"/>
    <x v="2"/>
    <s v="Logistics Coordinator"/>
    <n v="54011"/>
    <x v="1"/>
  </r>
  <r>
    <s v="00-97873101"/>
    <s v="Michele"/>
    <s v="Walker"/>
    <x v="1"/>
    <s v="New York"/>
    <s v="New York City"/>
    <s v="Bachelor"/>
    <d v="1979-05-15T00:00:00"/>
    <x v="124"/>
    <x v="121"/>
    <x v="6"/>
    <s v="Sales Representative"/>
    <n v="80131"/>
    <x v="1"/>
  </r>
  <r>
    <s v="00-38682516"/>
    <s v="Samantha"/>
    <s v="Bailey"/>
    <x v="0"/>
    <s v="New York"/>
    <s v="New York City"/>
    <s v="Bachelor"/>
    <d v="2000-05-12T00:00:00"/>
    <x v="125"/>
    <x v="122"/>
    <x v="2"/>
    <s v="Inventory Specialist"/>
    <n v="55778"/>
    <x v="1"/>
  </r>
  <r>
    <s v="00-98429450"/>
    <s v="Laura"/>
    <s v="Perez"/>
    <x v="1"/>
    <s v="New York"/>
    <s v="New York City"/>
    <s v="PhD"/>
    <d v="1965-10-11T00:00:00"/>
    <x v="126"/>
    <x v="123"/>
    <x v="6"/>
    <s v="Sales Consultant"/>
    <n v="88444"/>
    <x v="3"/>
  </r>
  <r>
    <s v="00-94951883"/>
    <s v="Donna"/>
    <s v="Ross"/>
    <x v="0"/>
    <s v="New York"/>
    <s v="New York City"/>
    <s v="Bachelor"/>
    <d v="1969-11-06T00:00:00"/>
    <x v="127"/>
    <x v="124"/>
    <x v="6"/>
    <s v="Sales Representative"/>
    <n v="75303"/>
    <x v="1"/>
  </r>
  <r>
    <s v="00-41523529"/>
    <s v="Michelle"/>
    <s v="Rasmussen"/>
    <x v="0"/>
    <s v="North Carolina"/>
    <s v="Greensboro"/>
    <s v="Master"/>
    <d v="1999-10-23T00:00:00"/>
    <x v="128"/>
    <x v="125"/>
    <x v="1"/>
    <s v="Software Developer"/>
    <n v="98297"/>
    <x v="3"/>
  </r>
  <r>
    <s v="00-36726767"/>
    <s v="Michael"/>
    <s v="Hicks"/>
    <x v="1"/>
    <s v="Illinois"/>
    <s v="Chicago"/>
    <s v="Bachelor"/>
    <d v="1999-01-14T00:00:00"/>
    <x v="129"/>
    <x v="126"/>
    <x v="6"/>
    <s v="Sales Representative"/>
    <n v="65506"/>
    <x v="1"/>
  </r>
  <r>
    <s v="00-73771720"/>
    <s v="Tina"/>
    <s v="Herrera"/>
    <x v="1"/>
    <s v="New York"/>
    <s v="New York City"/>
    <s v="PhD"/>
    <d v="1991-09-11T00:00:00"/>
    <x v="130"/>
    <x v="127"/>
    <x v="3"/>
    <s v="Financial Analyst"/>
    <n v="86731"/>
    <x v="3"/>
  </r>
  <r>
    <s v="00-65625330"/>
    <s v="Darrell"/>
    <s v="Waller"/>
    <x v="1"/>
    <s v="New York"/>
    <s v="New York City"/>
    <s v="Bachelor"/>
    <d v="1973-12-07T00:00:00"/>
    <x v="131"/>
    <x v="128"/>
    <x v="6"/>
    <s v="Sales Representative"/>
    <n v="78643"/>
    <x v="2"/>
  </r>
  <r>
    <s v="00-61536717"/>
    <s v="Beverly"/>
    <s v="Terrell"/>
    <x v="0"/>
    <s v="Michigan"/>
    <s v="Warren"/>
    <s v="Bachelor"/>
    <d v="1976-01-01T00:00:00"/>
    <x v="132"/>
    <x v="129"/>
    <x v="0"/>
    <s v="Customer Service Representative"/>
    <n v="64159"/>
    <x v="1"/>
  </r>
  <r>
    <s v="00-98054615"/>
    <s v="Daniel"/>
    <s v="Hamilton"/>
    <x v="1"/>
    <s v="New York"/>
    <s v="New York City"/>
    <s v="Bachelor"/>
    <d v="1982-01-12T00:00:00"/>
    <x v="133"/>
    <x v="130"/>
    <x v="6"/>
    <s v="Sales Representative"/>
    <n v="66358"/>
    <x v="1"/>
  </r>
  <r>
    <s v="00-67062156"/>
    <s v="Kristin"/>
    <s v="Graham"/>
    <x v="0"/>
    <s v="Michigan"/>
    <s v="Warren"/>
    <s v="Bachelor"/>
    <d v="1982-08-18T00:00:00"/>
    <x v="134"/>
    <x v="131"/>
    <x v="2"/>
    <s v="Inventory Specialist"/>
    <n v="57185"/>
    <x v="1"/>
  </r>
  <r>
    <s v="00-72350830"/>
    <s v="Darrell"/>
    <s v="Lam"/>
    <x v="0"/>
    <s v="New York"/>
    <s v="New York City"/>
    <s v="Bachelor"/>
    <d v="1993-06-16T00:00:00"/>
    <x v="80"/>
    <x v="132"/>
    <x v="1"/>
    <s v="IT Support Specialist"/>
    <n v="57924"/>
    <x v="3"/>
  </r>
  <r>
    <s v="00-26288475"/>
    <s v="Jonathan"/>
    <s v="Fletcher"/>
    <x v="0"/>
    <s v="New York"/>
    <s v="New York City"/>
    <s v="Bachelor"/>
    <d v="1971-06-05T00:00:00"/>
    <x v="135"/>
    <x v="133"/>
    <x v="2"/>
    <s v="Inventory Specialist"/>
    <n v="57730"/>
    <x v="2"/>
  </r>
  <r>
    <s v="00-81287314"/>
    <s v="April"/>
    <s v="Drake"/>
    <x v="0"/>
    <s v="New York"/>
    <s v="New York City"/>
    <s v="High School"/>
    <d v="1975-10-15T00:00:00"/>
    <x v="136"/>
    <x v="134"/>
    <x v="2"/>
    <s v="Inventory Specialist"/>
    <n v="56753"/>
    <x v="0"/>
  </r>
  <r>
    <s v="00-69401199"/>
    <s v="Jennifer"/>
    <s v="Harmon"/>
    <x v="1"/>
    <s v="New York"/>
    <s v="New York City"/>
    <s v="Bachelor"/>
    <d v="1975-07-05T00:00:00"/>
    <x v="137"/>
    <x v="135"/>
    <x v="6"/>
    <s v="Sales Representative"/>
    <n v="62015"/>
    <x v="1"/>
  </r>
  <r>
    <s v="00-67276174"/>
    <s v="James"/>
    <s v="Reynolds"/>
    <x v="1"/>
    <s v="New York"/>
    <s v="New York City"/>
    <s v="Bachelor"/>
    <d v="1997-01-09T00:00:00"/>
    <x v="138"/>
    <x v="136"/>
    <x v="2"/>
    <s v="Operations Analyst"/>
    <n v="82241"/>
    <x v="0"/>
  </r>
  <r>
    <s v="00-31361812"/>
    <s v="Samantha"/>
    <s v="Hanson"/>
    <x v="0"/>
    <s v="New York"/>
    <s v="New York City"/>
    <s v="PhD"/>
    <d v="1983-01-24T00:00:00"/>
    <x v="139"/>
    <x v="137"/>
    <x v="6"/>
    <s v="Sales Consultant"/>
    <n v="87980"/>
    <x v="3"/>
  </r>
  <r>
    <s v="00-44788100"/>
    <s v="Melanie"/>
    <s v="Cortez"/>
    <x v="0"/>
    <s v="New York"/>
    <s v="New York City"/>
    <s v="Bachelor"/>
    <d v="1987-02-21T00:00:00"/>
    <x v="140"/>
    <x v="138"/>
    <x v="6"/>
    <s v="Sales Representative"/>
    <n v="68240"/>
    <x v="1"/>
  </r>
  <r>
    <s v="00-79967676"/>
    <s v="William"/>
    <s v="Estrada"/>
    <x v="1"/>
    <s v="New York"/>
    <s v="New York City"/>
    <s v="Bachelor"/>
    <d v="1985-03-04T00:00:00"/>
    <x v="141"/>
    <x v="139"/>
    <x v="2"/>
    <s v="Operations Manager"/>
    <n v="109148"/>
    <x v="1"/>
  </r>
  <r>
    <s v="00-46468984"/>
    <s v="James"/>
    <s v="Ortega"/>
    <x v="1"/>
    <s v="New York"/>
    <s v="New York City"/>
    <s v="Bachelor"/>
    <d v="1980-11-09T00:00:00"/>
    <x v="142"/>
    <x v="140"/>
    <x v="6"/>
    <s v="Sales Specialist"/>
    <n v="71634"/>
    <x v="2"/>
  </r>
  <r>
    <s v="00-28572252"/>
    <s v="Erica"/>
    <s v="Orr"/>
    <x v="1"/>
    <s v="New York"/>
    <s v="New York City"/>
    <s v="Bachelor"/>
    <d v="1988-11-16T00:00:00"/>
    <x v="143"/>
    <x v="141"/>
    <x v="1"/>
    <s v="IT Support Specialist"/>
    <n v="73488"/>
    <x v="2"/>
  </r>
  <r>
    <s v="00-30509175"/>
    <s v="Ashley"/>
    <s v="Sullivan"/>
    <x v="1"/>
    <s v="New York"/>
    <s v="New York City"/>
    <s v="High School"/>
    <d v="1982-10-07T00:00:00"/>
    <x v="144"/>
    <x v="142"/>
    <x v="2"/>
    <s v="Inventory Specialist"/>
    <n v="61678"/>
    <x v="0"/>
  </r>
  <r>
    <s v="00-64707061"/>
    <s v="Aaron"/>
    <s v="Mitchell"/>
    <x v="0"/>
    <s v="New York"/>
    <s v="New York City"/>
    <s v="Bachelor"/>
    <d v="1992-05-23T00:00:00"/>
    <x v="109"/>
    <x v="143"/>
    <x v="1"/>
    <s v="Software Developer"/>
    <n v="94594"/>
    <x v="2"/>
  </r>
  <r>
    <s v="00-88393811"/>
    <s v="Steven"/>
    <s v="Ramos"/>
    <x v="0"/>
    <s v="New York"/>
    <s v="New York City"/>
    <s v="Bachelor"/>
    <d v="1995-05-16T00:00:00"/>
    <x v="145"/>
    <x v="40"/>
    <x v="2"/>
    <s v="Logistics Coordinator"/>
    <n v="60859"/>
    <x v="2"/>
  </r>
  <r>
    <s v="00-87267850"/>
    <s v="William"/>
    <s v="Leon"/>
    <x v="0"/>
    <s v="New York"/>
    <s v="New York City"/>
    <s v="High School"/>
    <d v="1997-10-28T00:00:00"/>
    <x v="146"/>
    <x v="144"/>
    <x v="4"/>
    <s v="Content Creator"/>
    <n v="52939"/>
    <x v="0"/>
  </r>
  <r>
    <s v="00-50079111"/>
    <s v="Jill"/>
    <s v="Hopkins"/>
    <x v="1"/>
    <s v="New York"/>
    <s v="New York City"/>
    <s v="PhD"/>
    <d v="1993-08-13T00:00:00"/>
    <x v="147"/>
    <x v="145"/>
    <x v="6"/>
    <s v="Sales Specialist"/>
    <n v="62230"/>
    <x v="3"/>
  </r>
  <r>
    <s v="00-83300637"/>
    <s v="Zachary"/>
    <s v="Schultz"/>
    <x v="1"/>
    <s v="New York"/>
    <s v="New York City"/>
    <s v="Bachelor"/>
    <d v="1998-10-13T00:00:00"/>
    <x v="148"/>
    <x v="146"/>
    <x v="1"/>
    <s v="IT Support Specialist"/>
    <n v="68297"/>
    <x v="1"/>
  </r>
  <r>
    <s v="00-62191530"/>
    <s v="Emily"/>
    <s v="Walker"/>
    <x v="0"/>
    <s v="North Carolina"/>
    <s v="Charlotte"/>
    <s v="Master"/>
    <d v="1960-03-22T00:00:00"/>
    <x v="149"/>
    <x v="147"/>
    <x v="1"/>
    <s v="Software Developer"/>
    <n v="96606"/>
    <x v="1"/>
  </r>
  <r>
    <s v="00-64266464"/>
    <s v="Dylan"/>
    <s v="Williams"/>
    <x v="1"/>
    <s v="New York"/>
    <s v="New York City"/>
    <s v="High School"/>
    <d v="1985-12-07T00:00:00"/>
    <x v="150"/>
    <x v="148"/>
    <x v="2"/>
    <s v="Inventory Specialist"/>
    <n v="55854"/>
    <x v="0"/>
  </r>
  <r>
    <s v="00-93517915"/>
    <s v="Cheryl"/>
    <s v="Mack"/>
    <x v="0"/>
    <s v="Ohio"/>
    <s v="Cleveland"/>
    <s v="Bachelor"/>
    <d v="1996-09-17T00:00:00"/>
    <x v="151"/>
    <x v="149"/>
    <x v="0"/>
    <s v="Customer Service Representative"/>
    <n v="54580"/>
    <x v="2"/>
  </r>
  <r>
    <s v="00-85751409"/>
    <s v="Robert"/>
    <s v="Soto"/>
    <x v="0"/>
    <s v="New York"/>
    <s v="New York City"/>
    <s v="Bachelor"/>
    <d v="1998-05-04T00:00:00"/>
    <x v="152"/>
    <x v="150"/>
    <x v="2"/>
    <s v="Inventory Specialist"/>
    <n v="58131"/>
    <x v="2"/>
  </r>
  <r>
    <s v="00-67527432"/>
    <s v="Jennifer"/>
    <s v="Cruz"/>
    <x v="0"/>
    <s v="Ohio"/>
    <s v="Cincinnati"/>
    <s v="Bachelor"/>
    <d v="1972-07-20T00:00:00"/>
    <x v="153"/>
    <x v="151"/>
    <x v="2"/>
    <s v="Inventory Specialist"/>
    <n v="64260"/>
    <x v="1"/>
  </r>
  <r>
    <s v="00-16749089"/>
    <s v="John"/>
    <s v="Douglas"/>
    <x v="0"/>
    <s v="Michigan"/>
    <s v="Grand Rapids"/>
    <s v="High School"/>
    <d v="1996-04-19T00:00:00"/>
    <x v="154"/>
    <x v="152"/>
    <x v="0"/>
    <s v="Help Desk Technician"/>
    <n v="63590"/>
    <x v="0"/>
  </r>
  <r>
    <s v="00-71028710"/>
    <s v="Patricia"/>
    <s v="Dalton"/>
    <x v="0"/>
    <s v="New York"/>
    <s v="New York City"/>
    <s v="High School"/>
    <d v="1971-08-04T00:00:00"/>
    <x v="155"/>
    <x v="153"/>
    <x v="0"/>
    <s v="Customer Service Representative"/>
    <n v="63956"/>
    <x v="3"/>
  </r>
  <r>
    <s v="00-66581473"/>
    <s v="Daniel"/>
    <s v="Coleman"/>
    <x v="1"/>
    <s v="Michigan"/>
    <s v="Warren"/>
    <s v="Bachelor"/>
    <d v="1983-11-15T00:00:00"/>
    <x v="156"/>
    <x v="154"/>
    <x v="4"/>
    <s v="Content Creator"/>
    <n v="67857"/>
    <x v="1"/>
  </r>
  <r>
    <s v="00-12601580"/>
    <s v="Linda"/>
    <s v="Dominguez"/>
    <x v="0"/>
    <s v="New York"/>
    <s v="New York City"/>
    <s v="Bachelor"/>
    <d v="1988-01-27T00:00:00"/>
    <x v="157"/>
    <x v="155"/>
    <x v="0"/>
    <s v="Customer Service Representative"/>
    <n v="53458"/>
    <x v="1"/>
  </r>
  <r>
    <s v="00-40094589"/>
    <s v="Brent"/>
    <s v="Wright"/>
    <x v="1"/>
    <s v="New York"/>
    <s v="New York City"/>
    <s v="Master"/>
    <d v="1994-03-02T00:00:00"/>
    <x v="158"/>
    <x v="156"/>
    <x v="1"/>
    <s v="System Administrator"/>
    <n v="68344"/>
    <x v="3"/>
  </r>
  <r>
    <s v="00-14164775"/>
    <s v="David"/>
    <s v="Anderson"/>
    <x v="0"/>
    <s v="New York"/>
    <s v="New York City"/>
    <s v="Bachelor"/>
    <d v="1985-06-27T00:00:00"/>
    <x v="159"/>
    <x v="157"/>
    <x v="0"/>
    <s v="Customer Service Manager"/>
    <n v="67027"/>
    <x v="0"/>
  </r>
  <r>
    <s v="00-12735359"/>
    <s v="Elizabeth"/>
    <s v="Travis"/>
    <x v="0"/>
    <s v="New York"/>
    <s v="New York City"/>
    <s v="Bachelor"/>
    <d v="2002-11-17T00:00:00"/>
    <x v="160"/>
    <x v="158"/>
    <x v="6"/>
    <s v="Sales Representative"/>
    <n v="66258"/>
    <x v="1"/>
  </r>
  <r>
    <s v="00-73560289"/>
    <s v="Logan"/>
    <s v="Fischer"/>
    <x v="1"/>
    <s v="New York"/>
    <s v="New York City"/>
    <s v="Bachelor"/>
    <d v="1971-07-24T00:00:00"/>
    <x v="161"/>
    <x v="159"/>
    <x v="6"/>
    <s v="Sales Representative"/>
    <n v="64327"/>
    <x v="2"/>
  </r>
  <r>
    <s v="00-72415804"/>
    <s v="Cheyenne"/>
    <s v="Ball"/>
    <x v="1"/>
    <s v="Michigan"/>
    <s v="Grand Rapids"/>
    <s v="Bachelor"/>
    <d v="1981-10-23T00:00:00"/>
    <x v="162"/>
    <x v="160"/>
    <x v="1"/>
    <s v="Software Developer"/>
    <n v="91360"/>
    <x v="1"/>
  </r>
  <r>
    <s v="00-91321540"/>
    <s v="Ronald"/>
    <s v="Meadows"/>
    <x v="1"/>
    <s v="New York"/>
    <s v="New York City"/>
    <s v="Bachelor"/>
    <d v="1973-10-28T00:00:00"/>
    <x v="163"/>
    <x v="161"/>
    <x v="4"/>
    <s v="SEO Specialist"/>
    <n v="73844"/>
    <x v="2"/>
  </r>
  <r>
    <s v="00-25372341"/>
    <s v="Phyllis"/>
    <s v="Manning"/>
    <x v="1"/>
    <s v="New York"/>
    <s v="New York City"/>
    <s v="Bachelor"/>
    <d v="1997-07-15T00:00:00"/>
    <x v="164"/>
    <x v="162"/>
    <x v="2"/>
    <s v="Logistics Coordinator"/>
    <n v="65413"/>
    <x v="2"/>
  </r>
  <r>
    <s v="00-24508768"/>
    <s v="Shannon"/>
    <s v="Walton"/>
    <x v="1"/>
    <s v="New York"/>
    <s v="New York City"/>
    <s v="Bachelor"/>
    <d v="1972-03-15T00:00:00"/>
    <x v="165"/>
    <x v="163"/>
    <x v="1"/>
    <s v="Software Developer"/>
    <n v="95493"/>
    <x v="1"/>
  </r>
  <r>
    <s v="00-60372847"/>
    <s v="Dana"/>
    <s v="Cannon"/>
    <x v="1"/>
    <s v="Michigan"/>
    <s v="Grand Rapids"/>
    <s v="Bachelor"/>
    <d v="1995-02-02T00:00:00"/>
    <x v="166"/>
    <x v="164"/>
    <x v="6"/>
    <s v="Sales Representative"/>
    <n v="82548"/>
    <x v="2"/>
  </r>
  <r>
    <s v="00-20200074"/>
    <s v="Todd"/>
    <s v="Allen"/>
    <x v="0"/>
    <s v="New York"/>
    <s v="New York City"/>
    <s v="Bachelor"/>
    <d v="1972-10-12T00:00:00"/>
    <x v="167"/>
    <x v="165"/>
    <x v="3"/>
    <s v="Financial Analyst"/>
    <n v="95235"/>
    <x v="1"/>
  </r>
  <r>
    <s v="00-23676961"/>
    <s v="Chris"/>
    <s v="Mitchell"/>
    <x v="0"/>
    <s v="New York"/>
    <s v="New York City"/>
    <s v="Bachelor"/>
    <d v="1962-10-29T00:00:00"/>
    <x v="168"/>
    <x v="166"/>
    <x v="4"/>
    <s v="SEO Specialist"/>
    <n v="81450"/>
    <x v="1"/>
  </r>
  <r>
    <s v="00-90585882"/>
    <s v="Matthew"/>
    <s v="Orozco"/>
    <x v="0"/>
    <s v="New York"/>
    <s v="New York City"/>
    <s v="Bachelor"/>
    <d v="2001-10-14T00:00:00"/>
    <x v="169"/>
    <x v="167"/>
    <x v="4"/>
    <s v="Content Creator"/>
    <n v="58407"/>
    <x v="3"/>
  </r>
  <r>
    <s v="00-15512205"/>
    <s v="Devon"/>
    <s v="Hall"/>
    <x v="1"/>
    <s v="New York"/>
    <s v="New York City"/>
    <s v="Bachelor"/>
    <d v="1969-06-04T00:00:00"/>
    <x v="170"/>
    <x v="168"/>
    <x v="6"/>
    <s v="Sales Representative"/>
    <n v="81959"/>
    <x v="2"/>
  </r>
  <r>
    <s v="00-59737181"/>
    <s v="Eric"/>
    <s v="Lewis"/>
    <x v="1"/>
    <s v="New York"/>
    <s v="New York City"/>
    <s v="PhD"/>
    <d v="1968-09-02T00:00:00"/>
    <x v="171"/>
    <x v="169"/>
    <x v="6"/>
    <s v="Sales Specialist"/>
    <n v="74105"/>
    <x v="3"/>
  </r>
  <r>
    <s v="00-11698142"/>
    <s v="Rick"/>
    <s v="Daniels"/>
    <x v="1"/>
    <s v="New York"/>
    <s v="New York City"/>
    <s v="Bachelor"/>
    <d v="1993-10-20T00:00:00"/>
    <x v="172"/>
    <x v="170"/>
    <x v="0"/>
    <s v="Help Desk Technician"/>
    <n v="78079"/>
    <x v="2"/>
  </r>
  <r>
    <s v="00-68186525"/>
    <s v="Bryan"/>
    <s v="Wall"/>
    <x v="1"/>
    <s v="Illinois"/>
    <s v="Naperville"/>
    <s v="High School"/>
    <d v="1975-04-29T00:00:00"/>
    <x v="173"/>
    <x v="171"/>
    <x v="0"/>
    <s v="Customer Service Representative"/>
    <n v="60685"/>
    <x v="3"/>
  </r>
  <r>
    <s v="00-71705170"/>
    <s v="Rebecca"/>
    <s v="Silva"/>
    <x v="1"/>
    <s v="New York"/>
    <s v="New York City"/>
    <s v="Master"/>
    <d v="1970-05-28T00:00:00"/>
    <x v="174"/>
    <x v="172"/>
    <x v="1"/>
    <s v="System Administrator"/>
    <n v="91983"/>
    <x v="1"/>
  </r>
  <r>
    <s v="00-80027662"/>
    <s v="Andrew"/>
    <s v="Gilmore"/>
    <x v="1"/>
    <s v="New York"/>
    <s v="New York City"/>
    <s v="Bachelor"/>
    <d v="1983-11-26T00:00:00"/>
    <x v="175"/>
    <x v="173"/>
    <x v="2"/>
    <s v="Inventory Specialist"/>
    <n v="68235"/>
    <x v="1"/>
  </r>
  <r>
    <s v="00-82232344"/>
    <s v="Omar"/>
    <s v="Smith"/>
    <x v="0"/>
    <s v="New York"/>
    <s v="New York City"/>
    <s v="Master"/>
    <d v="1972-06-02T00:00:00"/>
    <x v="176"/>
    <x v="174"/>
    <x v="6"/>
    <s v="Sales Consultant"/>
    <n v="96575"/>
    <x v="3"/>
  </r>
  <r>
    <s v="00-89520597"/>
    <s v="Kenneth"/>
    <s v="Price"/>
    <x v="0"/>
    <s v="North Carolina"/>
    <s v="Charlotte"/>
    <s v="High School"/>
    <d v="1981-02-06T00:00:00"/>
    <x v="177"/>
    <x v="1"/>
    <x v="0"/>
    <s v="Help Desk Technician"/>
    <n v="80107"/>
    <x v="0"/>
  </r>
  <r>
    <s v="00-21631697"/>
    <s v="Stephanie"/>
    <s v="Barnes"/>
    <x v="1"/>
    <s v="Illinois"/>
    <s v="Naperville"/>
    <s v="Master"/>
    <d v="1987-06-10T00:00:00"/>
    <x v="178"/>
    <x v="175"/>
    <x v="6"/>
    <s v="Sales Manager"/>
    <n v="111822"/>
    <x v="3"/>
  </r>
  <r>
    <s v="00-72372114"/>
    <s v="Jessica"/>
    <s v="Marsh"/>
    <x v="0"/>
    <s v="New York"/>
    <s v="New York City"/>
    <s v="Bachelor"/>
    <d v="1973-06-26T00:00:00"/>
    <x v="179"/>
    <x v="176"/>
    <x v="6"/>
    <s v="Sales Consultant"/>
    <n v="74894"/>
    <x v="1"/>
  </r>
  <r>
    <s v="00-55150390"/>
    <s v="Jeffrey"/>
    <s v="Robinson"/>
    <x v="1"/>
    <s v="New York"/>
    <s v="New York City"/>
    <s v="Bachelor"/>
    <d v="1983-09-16T00:00:00"/>
    <x v="180"/>
    <x v="177"/>
    <x v="0"/>
    <s v="Customer Service Representative"/>
    <n v="68170"/>
    <x v="2"/>
  </r>
  <r>
    <s v="00-75437844"/>
    <s v="Todd"/>
    <s v="Price"/>
    <x v="1"/>
    <s v="Michigan"/>
    <s v="Detroit"/>
    <s v="High School"/>
    <d v="1986-04-23T00:00:00"/>
    <x v="181"/>
    <x v="54"/>
    <x v="1"/>
    <s v="IT Support Specialist"/>
    <n v="58120"/>
    <x v="0"/>
  </r>
  <r>
    <s v="00-47535126"/>
    <s v="Erin"/>
    <s v="Powell"/>
    <x v="1"/>
    <s v="New York"/>
    <s v="New York City"/>
    <s v="Master"/>
    <d v="1992-02-02T00:00:00"/>
    <x v="182"/>
    <x v="178"/>
    <x v="6"/>
    <s v="Sales Consultant"/>
    <n v="69351"/>
    <x v="3"/>
  </r>
  <r>
    <s v="00-84597009"/>
    <s v="Mary"/>
    <s v="Calhoun"/>
    <x v="0"/>
    <s v="New York"/>
    <s v="New York City"/>
    <s v="Bachelor"/>
    <d v="1980-05-16T00:00:00"/>
    <x v="183"/>
    <x v="179"/>
    <x v="2"/>
    <s v="Inventory Specialist"/>
    <n v="63090"/>
    <x v="0"/>
  </r>
  <r>
    <s v="00-42394260"/>
    <s v="Amanda"/>
    <s v="Meadows"/>
    <x v="0"/>
    <s v="North Carolina"/>
    <s v="Charlotte"/>
    <s v="Bachelor"/>
    <d v="1969-09-08T00:00:00"/>
    <x v="184"/>
    <x v="180"/>
    <x v="3"/>
    <s v="Accountant"/>
    <n v="66590"/>
    <x v="1"/>
  </r>
  <r>
    <s v="00-42255732"/>
    <s v="Anne"/>
    <s v="Johnson"/>
    <x v="1"/>
    <s v="New York"/>
    <s v="New York City"/>
    <s v="Bachelor"/>
    <d v="1960-07-07T00:00:00"/>
    <x v="185"/>
    <x v="181"/>
    <x v="1"/>
    <s v="Software Developer"/>
    <n v="94979"/>
    <x v="1"/>
  </r>
  <r>
    <s v="00-75876924"/>
    <s v="Roy"/>
    <s v="Camacho"/>
    <x v="0"/>
    <s v="New York"/>
    <s v="New York City"/>
    <s v="Bachelor"/>
    <d v="1966-04-15T00:00:00"/>
    <x v="186"/>
    <x v="182"/>
    <x v="0"/>
    <s v="Support Specialist"/>
    <n v="68030"/>
    <x v="1"/>
  </r>
  <r>
    <s v="00-49491631"/>
    <s v="Brent"/>
    <s v="Gray"/>
    <x v="0"/>
    <s v="Michigan"/>
    <s v="Detroit"/>
    <s v="Bachelor"/>
    <d v="1989-08-19T00:00:00"/>
    <x v="187"/>
    <x v="183"/>
    <x v="4"/>
    <s v="Content Creator"/>
    <n v="55734"/>
    <x v="2"/>
  </r>
  <r>
    <s v="00-51098277"/>
    <s v="Shawn"/>
    <s v="Rogers"/>
    <x v="0"/>
    <s v="Pennsylvania"/>
    <s v="Philadelphia"/>
    <s v="Bachelor"/>
    <d v="1969-05-26T00:00:00"/>
    <x v="188"/>
    <x v="184"/>
    <x v="6"/>
    <s v="Sales Representative"/>
    <n v="65009"/>
    <x v="2"/>
  </r>
  <r>
    <s v="00-84285882"/>
    <s v="Nicholas"/>
    <s v="Walton"/>
    <x v="0"/>
    <s v="Michigan"/>
    <s v="Grand Rapids"/>
    <s v="PhD"/>
    <d v="1990-04-07T00:00:00"/>
    <x v="189"/>
    <x v="185"/>
    <x v="6"/>
    <s v="Sales Specialist"/>
    <n v="73797"/>
    <x v="3"/>
  </r>
  <r>
    <s v="00-83871890"/>
    <s v="Robert"/>
    <s v="Conley"/>
    <x v="0"/>
    <s v="New York"/>
    <s v="New York City"/>
    <s v="Bachelor"/>
    <d v="1961-10-18T00:00:00"/>
    <x v="190"/>
    <x v="186"/>
    <x v="0"/>
    <s v="Customer Service Representative"/>
    <n v="59391"/>
    <x v="1"/>
  </r>
  <r>
    <s v="00-46361787"/>
    <s v="Andrew"/>
    <s v="Ryan"/>
    <x v="1"/>
    <s v="New York"/>
    <s v="New York City"/>
    <s v="Bachelor"/>
    <d v="1977-12-08T00:00:00"/>
    <x v="191"/>
    <x v="187"/>
    <x v="6"/>
    <s v="Sales Consultant"/>
    <n v="95438"/>
    <x v="1"/>
  </r>
  <r>
    <s v="00-35848226"/>
    <s v="Jeffrey"/>
    <s v="Jones"/>
    <x v="0"/>
    <s v="New York"/>
    <s v="New York City"/>
    <s v="Bachelor"/>
    <d v="1992-01-31T00:00:00"/>
    <x v="192"/>
    <x v="188"/>
    <x v="4"/>
    <s v="Marketing Coordinator"/>
    <n v="52863"/>
    <x v="2"/>
  </r>
  <r>
    <s v="00-34850391"/>
    <s v="Billy"/>
    <s v="Johnson"/>
    <x v="0"/>
    <s v="Pennsylvania"/>
    <s v="Philadelphia"/>
    <s v="Bachelor"/>
    <d v="1976-11-04T00:00:00"/>
    <x v="193"/>
    <x v="189"/>
    <x v="6"/>
    <s v="Sales Representative"/>
    <n v="59645"/>
    <x v="1"/>
  </r>
  <r>
    <s v="00-47111151"/>
    <s v="James"/>
    <s v="Smith"/>
    <x v="0"/>
    <s v="New York"/>
    <s v="New York City"/>
    <s v="Master"/>
    <d v="1990-04-24T00:00:00"/>
    <x v="194"/>
    <x v="190"/>
    <x v="1"/>
    <s v="System Administrator"/>
    <n v="72411"/>
    <x v="3"/>
  </r>
  <r>
    <s v="00-47983442"/>
    <s v="John"/>
    <s v="Wells"/>
    <x v="0"/>
    <s v="North Carolina"/>
    <s v="Charlotte"/>
    <s v="Master"/>
    <d v="1980-08-02T00:00:00"/>
    <x v="195"/>
    <x v="191"/>
    <x v="6"/>
    <s v="Sales Consultant"/>
    <n v="92457"/>
    <x v="1"/>
  </r>
  <r>
    <s v="00-40532273"/>
    <s v="Anne"/>
    <s v="Robinson"/>
    <x v="0"/>
    <s v="New York"/>
    <s v="New York City"/>
    <s v="Bachelor"/>
    <d v="1962-09-03T00:00:00"/>
    <x v="196"/>
    <x v="192"/>
    <x v="0"/>
    <s v="Customer Service Representative"/>
    <n v="64737"/>
    <x v="1"/>
  </r>
  <r>
    <s v="00-84270583"/>
    <s v="Catherine"/>
    <s v="Adkins"/>
    <x v="1"/>
    <s v="New York"/>
    <s v="New York City"/>
    <s v="Bachelor"/>
    <d v="1996-03-25T00:00:00"/>
    <x v="197"/>
    <x v="193"/>
    <x v="2"/>
    <s v="Inventory Specialist"/>
    <n v="63371"/>
    <x v="1"/>
  </r>
  <r>
    <s v="00-75884623"/>
    <s v="Kimberly"/>
    <s v="Martin"/>
    <x v="0"/>
    <s v="New York"/>
    <s v="New York City"/>
    <s v="High School"/>
    <d v="1994-02-21T00:00:00"/>
    <x v="198"/>
    <x v="194"/>
    <x v="2"/>
    <s v="Inventory Specialist"/>
    <n v="61038"/>
    <x v="0"/>
  </r>
  <r>
    <s v="00-48163378"/>
    <s v="Daniel"/>
    <s v="Johnson"/>
    <x v="1"/>
    <s v="New York"/>
    <s v="New York City"/>
    <s v="Master"/>
    <d v="1990-12-09T00:00:00"/>
    <x v="199"/>
    <x v="195"/>
    <x v="1"/>
    <s v="Software Developer"/>
    <n v="102531"/>
    <x v="1"/>
  </r>
  <r>
    <s v="00-34744872"/>
    <s v="Barbara"/>
    <s v="Odonnell"/>
    <x v="1"/>
    <s v="Illinois"/>
    <s v="Chicago"/>
    <s v="Bachelor"/>
    <d v="1996-11-13T00:00:00"/>
    <x v="200"/>
    <x v="196"/>
    <x v="4"/>
    <s v="Marketing Coordinator"/>
    <n v="72436"/>
    <x v="1"/>
  </r>
  <r>
    <s v="00-74119726"/>
    <s v="Randy"/>
    <s v="Espinoza"/>
    <x v="1"/>
    <s v="Ohio"/>
    <s v="Cleveland"/>
    <s v="Bachelor"/>
    <d v="1996-03-22T00:00:00"/>
    <x v="201"/>
    <x v="197"/>
    <x v="6"/>
    <s v="Sales Representative"/>
    <n v="62740"/>
    <x v="2"/>
  </r>
  <r>
    <s v="00-76001106"/>
    <s v="Brittany"/>
    <s v="Rivas"/>
    <x v="1"/>
    <s v="New York"/>
    <s v="New York City"/>
    <s v="Bachelor"/>
    <d v="1986-04-03T00:00:00"/>
    <x v="202"/>
    <x v="198"/>
    <x v="3"/>
    <s v="Accountant"/>
    <n v="71374"/>
    <x v="2"/>
  </r>
  <r>
    <s v="00-17195288"/>
    <s v="Curtis"/>
    <s v="Barton"/>
    <x v="0"/>
    <s v="New York"/>
    <s v="New York City"/>
    <s v="High School"/>
    <d v="1989-07-03T00:00:00"/>
    <x v="203"/>
    <x v="199"/>
    <x v="4"/>
    <s v="Content Creator"/>
    <n v="53525"/>
    <x v="0"/>
  </r>
  <r>
    <s v="00-21432787"/>
    <s v="Gabrielle"/>
    <s v="Trujillo"/>
    <x v="0"/>
    <s v="New York"/>
    <s v="New York City"/>
    <s v="Bachelor"/>
    <d v="1970-04-30T00:00:00"/>
    <x v="204"/>
    <x v="200"/>
    <x v="0"/>
    <s v="Support Specialist"/>
    <n v="57059"/>
    <x v="2"/>
  </r>
  <r>
    <s v="00-65857931"/>
    <s v="Tonya"/>
    <s v="Patton"/>
    <x v="0"/>
    <s v="New York"/>
    <s v="New York City"/>
    <s v="High School"/>
    <d v="1999-05-26T00:00:00"/>
    <x v="205"/>
    <x v="201"/>
    <x v="0"/>
    <s v="Help Desk Technician"/>
    <n v="81281"/>
    <x v="0"/>
  </r>
  <r>
    <s v="00-80138498"/>
    <s v="Amanda"/>
    <s v="Stanley"/>
    <x v="1"/>
    <s v="New York"/>
    <s v="New York City"/>
    <s v="Bachelor"/>
    <d v="1973-05-26T00:00:00"/>
    <x v="206"/>
    <x v="202"/>
    <x v="6"/>
    <s v="Sales Representative"/>
    <n v="77133"/>
    <x v="1"/>
  </r>
  <r>
    <s v="00-88990506"/>
    <s v="William"/>
    <s v="Peterson"/>
    <x v="1"/>
    <s v="Illinois"/>
    <s v="Chicago"/>
    <s v="Bachelor"/>
    <d v="1977-01-27T00:00:00"/>
    <x v="207"/>
    <x v="203"/>
    <x v="2"/>
    <s v="Logistics Coordinator"/>
    <n v="59761"/>
    <x v="3"/>
  </r>
  <r>
    <s v="00-93352876"/>
    <s v="Robert"/>
    <s v="Henry"/>
    <x v="1"/>
    <s v="New York"/>
    <s v="New York City"/>
    <s v="High School"/>
    <d v="1970-04-05T00:00:00"/>
    <x v="208"/>
    <x v="204"/>
    <x v="0"/>
    <s v="Help Desk Technician"/>
    <n v="69063"/>
    <x v="0"/>
  </r>
  <r>
    <s v="00-37888820"/>
    <s v="Susan"/>
    <s v="Reid"/>
    <x v="1"/>
    <s v="New York"/>
    <s v="New York City"/>
    <s v="Master"/>
    <d v="1977-10-31T00:00:00"/>
    <x v="209"/>
    <x v="205"/>
    <x v="1"/>
    <s v="System Administrator"/>
    <n v="89816"/>
    <x v="1"/>
  </r>
  <r>
    <s v="00-20896797"/>
    <s v="Steve"/>
    <s v="Hernandez"/>
    <x v="1"/>
    <s v="Ohio"/>
    <s v="Columbus"/>
    <s v="Bachelor"/>
    <d v="1993-10-30T00:00:00"/>
    <x v="156"/>
    <x v="206"/>
    <x v="3"/>
    <s v="Accounts Payable Specialist"/>
    <n v="61703"/>
    <x v="1"/>
  </r>
  <r>
    <s v="00-89699989"/>
    <s v="Christina"/>
    <s v="Gillespie"/>
    <x v="1"/>
    <s v="New York"/>
    <s v="New York City"/>
    <s v="Bachelor"/>
    <d v="1964-01-12T00:00:00"/>
    <x v="210"/>
    <x v="207"/>
    <x v="0"/>
    <s v="Help Desk Technician"/>
    <n v="66381"/>
    <x v="3"/>
  </r>
  <r>
    <s v="00-48668783"/>
    <s v="Timothy"/>
    <s v="Graham"/>
    <x v="0"/>
    <s v="New York"/>
    <s v="New York City"/>
    <s v="High School"/>
    <d v="1981-06-16T00:00:00"/>
    <x v="211"/>
    <x v="208"/>
    <x v="2"/>
    <s v="Inventory Specialist"/>
    <n v="57499"/>
    <x v="0"/>
  </r>
  <r>
    <s v="00-70939053"/>
    <s v="Brittany"/>
    <s v="Morris"/>
    <x v="0"/>
    <s v="New York"/>
    <s v="New York City"/>
    <s v="Bachelor"/>
    <d v="1975-02-10T00:00:00"/>
    <x v="212"/>
    <x v="126"/>
    <x v="2"/>
    <s v="Inventory Specialist"/>
    <n v="56166"/>
    <x v="3"/>
  </r>
  <r>
    <s v="00-93893865"/>
    <s v="Mariah"/>
    <s v="Miller"/>
    <x v="1"/>
    <s v="New York"/>
    <s v="New York City"/>
    <s v="Bachelor"/>
    <d v="1997-09-07T00:00:00"/>
    <x v="213"/>
    <x v="209"/>
    <x v="6"/>
    <s v="Sales Representative"/>
    <n v="82595"/>
    <x v="1"/>
  </r>
  <r>
    <s v="00-25405014"/>
    <s v="Shannon"/>
    <s v="Christensen"/>
    <x v="1"/>
    <s v="New York"/>
    <s v="New York City"/>
    <s v="High School"/>
    <d v="1996-04-01T00:00:00"/>
    <x v="214"/>
    <x v="210"/>
    <x v="2"/>
    <s v="Inventory Specialist"/>
    <n v="62555"/>
    <x v="0"/>
  </r>
  <r>
    <s v="00-45652586"/>
    <s v="Cheryl"/>
    <s v="Gray"/>
    <x v="0"/>
    <s v="Michigan"/>
    <s v="Warren"/>
    <s v="Bachelor"/>
    <d v="1961-03-16T00:00:00"/>
    <x v="215"/>
    <x v="211"/>
    <x v="2"/>
    <s v="Inventory Specialist"/>
    <n v="65121"/>
    <x v="1"/>
  </r>
  <r>
    <s v="00-32269779"/>
    <s v="Troy"/>
    <s v="Nguyen"/>
    <x v="1"/>
    <s v="New York"/>
    <s v="New York City"/>
    <s v="Bachelor"/>
    <d v="1992-07-02T00:00:00"/>
    <x v="216"/>
    <x v="212"/>
    <x v="4"/>
    <s v="Marketing Coordinator"/>
    <n v="73622"/>
    <x v="1"/>
  </r>
  <r>
    <s v="00-86397676"/>
    <s v="Jason"/>
    <s v="Salinas"/>
    <x v="0"/>
    <s v="New York"/>
    <s v="New York City"/>
    <s v="PhD"/>
    <d v="1966-11-29T00:00:00"/>
    <x v="217"/>
    <x v="193"/>
    <x v="3"/>
    <s v="Financial Analyst"/>
    <n v="107609"/>
    <x v="3"/>
  </r>
  <r>
    <s v="00-72907576"/>
    <s v="Joshua"/>
    <s v="Carlson"/>
    <x v="0"/>
    <s v="New York"/>
    <s v="New York City"/>
    <s v="High School"/>
    <d v="1999-07-16T00:00:00"/>
    <x v="188"/>
    <x v="184"/>
    <x v="1"/>
    <s v="IT Support Specialist"/>
    <n v="55096"/>
    <x v="0"/>
  </r>
  <r>
    <s v="00-46540265"/>
    <s v="Joshua"/>
    <s v="Smith"/>
    <x v="0"/>
    <s v="New York"/>
    <s v="New York City"/>
    <s v="Bachelor"/>
    <d v="1986-12-19T00:00:00"/>
    <x v="218"/>
    <x v="213"/>
    <x v="2"/>
    <s v="Operations Analyst"/>
    <n v="69793"/>
    <x v="3"/>
  </r>
  <r>
    <s v="00-20796722"/>
    <s v="Christopher"/>
    <s v="Cortez"/>
    <x v="0"/>
    <s v="Michigan"/>
    <s v="Detroit"/>
    <s v="Bachelor"/>
    <d v="1982-07-18T00:00:00"/>
    <x v="219"/>
    <x v="214"/>
    <x v="1"/>
    <s v="Software Developer"/>
    <n v="102129"/>
    <x v="2"/>
  </r>
  <r>
    <s v="00-53261270"/>
    <s v="Angela"/>
    <s v="Allen"/>
    <x v="1"/>
    <s v="New York"/>
    <s v="New York City"/>
    <s v="Master"/>
    <d v="1986-05-27T00:00:00"/>
    <x v="220"/>
    <x v="215"/>
    <x v="1"/>
    <s v="System Administrator"/>
    <n v="67886"/>
    <x v="3"/>
  </r>
  <r>
    <s v="00-40725714"/>
    <s v="Debbie"/>
    <s v="Henry"/>
    <x v="0"/>
    <s v="New York"/>
    <s v="New York City"/>
    <s v="Bachelor"/>
    <d v="1983-11-24T00:00:00"/>
    <x v="221"/>
    <x v="216"/>
    <x v="2"/>
    <s v="Operations Analyst"/>
    <n v="71889"/>
    <x v="2"/>
  </r>
  <r>
    <s v="00-12784407"/>
    <s v="Andre"/>
    <s v="Phillips"/>
    <x v="0"/>
    <s v="New York"/>
    <s v="New York City"/>
    <s v="High School"/>
    <d v="1972-10-30T00:00:00"/>
    <x v="222"/>
    <x v="217"/>
    <x v="0"/>
    <s v="Customer Service Representative"/>
    <n v="62790"/>
    <x v="0"/>
  </r>
  <r>
    <s v="00-46173157"/>
    <s v="Heather"/>
    <s v="Torres"/>
    <x v="0"/>
    <s v="New York"/>
    <s v="New York City"/>
    <s v="Bachelor"/>
    <d v="1976-07-29T00:00:00"/>
    <x v="223"/>
    <x v="218"/>
    <x v="2"/>
    <s v="Logistics Coordinator"/>
    <n v="58167"/>
    <x v="2"/>
  </r>
  <r>
    <s v="00-79654147"/>
    <s v="Miguel"/>
    <s v="Tran"/>
    <x v="0"/>
    <s v="New York"/>
    <s v="New York City"/>
    <s v="High School"/>
    <d v="1999-08-07T00:00:00"/>
    <x v="224"/>
    <x v="219"/>
    <x v="0"/>
    <s v="Support Specialist"/>
    <n v="59713"/>
    <x v="0"/>
  </r>
  <r>
    <s v="00-88561612"/>
    <s v="Ronald"/>
    <s v="Reese"/>
    <x v="1"/>
    <s v="New York"/>
    <s v="New York City"/>
    <s v="Bachelor"/>
    <d v="1972-12-05T00:00:00"/>
    <x v="225"/>
    <x v="220"/>
    <x v="2"/>
    <s v="Logistics Coordinator"/>
    <n v="63660"/>
    <x v="2"/>
  </r>
  <r>
    <s v="00-73083727"/>
    <s v="Michael"/>
    <s v="Chavez"/>
    <x v="0"/>
    <s v="New York"/>
    <s v="New York City"/>
    <s v="Bachelor"/>
    <d v="1981-02-28T00:00:00"/>
    <x v="48"/>
    <x v="221"/>
    <x v="2"/>
    <s v="Inventory Specialist"/>
    <n v="55713"/>
    <x v="2"/>
  </r>
  <r>
    <s v="00-99943797"/>
    <s v="John"/>
    <s v="Martinez"/>
    <x v="1"/>
    <s v="New York"/>
    <s v="New York City"/>
    <s v="Bachelor"/>
    <d v="1990-07-07T00:00:00"/>
    <x v="226"/>
    <x v="222"/>
    <x v="0"/>
    <s v="Help Desk Technician"/>
    <n v="78805"/>
    <x v="1"/>
  </r>
  <r>
    <s v="00-65250068"/>
    <s v="Leslie"/>
    <s v="Newton"/>
    <x v="0"/>
    <s v="New York"/>
    <s v="New York City"/>
    <s v="Bachelor"/>
    <d v="1978-07-11T00:00:00"/>
    <x v="227"/>
    <x v="223"/>
    <x v="6"/>
    <s v="Sales Representative"/>
    <n v="60912"/>
    <x v="1"/>
  </r>
  <r>
    <s v="00-63747791"/>
    <s v="Hannah"/>
    <s v="Lee"/>
    <x v="1"/>
    <s v="New York"/>
    <s v="New York City"/>
    <s v="High School"/>
    <d v="1980-10-08T00:00:00"/>
    <x v="228"/>
    <x v="224"/>
    <x v="2"/>
    <s v="Inventory Specialist"/>
    <n v="66240"/>
    <x v="0"/>
  </r>
  <r>
    <s v="00-71045700"/>
    <s v="Todd"/>
    <s v="Hardy"/>
    <x v="1"/>
    <s v="New York"/>
    <s v="New York City"/>
    <s v="High School"/>
    <d v="1990-04-27T00:00:00"/>
    <x v="229"/>
    <x v="225"/>
    <x v="0"/>
    <s v="Support Specialist"/>
    <n v="60280"/>
    <x v="3"/>
  </r>
  <r>
    <s v="00-25558733"/>
    <s v="Alicia"/>
    <s v="Campbell"/>
    <x v="1"/>
    <s v="New York"/>
    <s v="New York City"/>
    <s v="Bachelor"/>
    <d v="1989-03-28T00:00:00"/>
    <x v="230"/>
    <x v="226"/>
    <x v="0"/>
    <s v="Customer Service Representative"/>
    <n v="64287"/>
    <x v="1"/>
  </r>
  <r>
    <s v="00-79067939"/>
    <s v="Marissa"/>
    <s v="Phillips"/>
    <x v="1"/>
    <s v="New York"/>
    <s v="New York City"/>
    <s v="Master"/>
    <d v="1983-02-05T00:00:00"/>
    <x v="231"/>
    <x v="227"/>
    <x v="6"/>
    <s v="Sales Specialist"/>
    <n v="66781"/>
    <x v="3"/>
  </r>
  <r>
    <s v="00-82825679"/>
    <s v="Harry"/>
    <s v="Smith"/>
    <x v="1"/>
    <s v="New York"/>
    <s v="New York City"/>
    <s v="Bachelor"/>
    <d v="1970-07-26T00:00:00"/>
    <x v="232"/>
    <x v="228"/>
    <x v="6"/>
    <s v="Sales Representative"/>
    <n v="84094"/>
    <x v="1"/>
  </r>
  <r>
    <s v="00-79583757"/>
    <s v="David"/>
    <s v="Williams"/>
    <x v="0"/>
    <s v="New York"/>
    <s v="New York City"/>
    <s v="Bachelor"/>
    <d v="1971-07-18T00:00:00"/>
    <x v="233"/>
    <x v="229"/>
    <x v="6"/>
    <s v="Sales Representative"/>
    <n v="66981"/>
    <x v="1"/>
  </r>
  <r>
    <s v="00-69329732"/>
    <s v="Angela"/>
    <s v="Terry"/>
    <x v="0"/>
    <s v="New York"/>
    <s v="New York City"/>
    <s v="Bachelor"/>
    <d v="1978-08-22T00:00:00"/>
    <x v="234"/>
    <x v="230"/>
    <x v="0"/>
    <s v="Help Desk Technician"/>
    <n v="78546"/>
    <x v="1"/>
  </r>
  <r>
    <s v="00-83715012"/>
    <s v="Dana"/>
    <s v="Mullins"/>
    <x v="1"/>
    <s v="Virginia"/>
    <s v="Richmond"/>
    <s v="Bachelor"/>
    <d v="1965-07-19T00:00:00"/>
    <x v="1"/>
    <x v="231"/>
    <x v="2"/>
    <s v="Logistics Coordinator"/>
    <n v="64019"/>
    <x v="1"/>
  </r>
  <r>
    <s v="00-75056916"/>
    <s v="Monique"/>
    <s v="Andrews"/>
    <x v="1"/>
    <s v="New York"/>
    <s v="New York City"/>
    <s v="Bachelor"/>
    <d v="1984-12-25T00:00:00"/>
    <x v="235"/>
    <x v="232"/>
    <x v="6"/>
    <s v="Sales Representative"/>
    <n v="80980"/>
    <x v="3"/>
  </r>
  <r>
    <s v="00-42117961"/>
    <s v="Timothy"/>
    <s v="Peterson"/>
    <x v="0"/>
    <s v="West Virginia"/>
    <s v="Charleston"/>
    <s v="Bachelor"/>
    <d v="1991-07-21T00:00:00"/>
    <x v="236"/>
    <x v="233"/>
    <x v="6"/>
    <s v="Sales Representative"/>
    <n v="58242"/>
    <x v="1"/>
  </r>
  <r>
    <s v="00-11835355"/>
    <s v="Johnny"/>
    <s v="Hensley"/>
    <x v="0"/>
    <s v="New York"/>
    <s v="New York City"/>
    <s v="Master"/>
    <d v="1986-08-03T00:00:00"/>
    <x v="237"/>
    <x v="234"/>
    <x v="1"/>
    <s v="Software Developer"/>
    <n v="95432"/>
    <x v="1"/>
  </r>
  <r>
    <s v="00-25228493"/>
    <s v="Lynn"/>
    <s v="Morales"/>
    <x v="1"/>
    <s v="New York"/>
    <s v="New York City"/>
    <s v="Bachelor"/>
    <d v="1966-07-31T00:00:00"/>
    <x v="238"/>
    <x v="235"/>
    <x v="0"/>
    <s v="Support Specialist"/>
    <n v="72036"/>
    <x v="1"/>
  </r>
  <r>
    <s v="00-30665654"/>
    <s v="Barbara"/>
    <s v="Parks"/>
    <x v="0"/>
    <s v="New York"/>
    <s v="New York City"/>
    <s v="Bachelor"/>
    <d v="1980-12-26T00:00:00"/>
    <x v="239"/>
    <x v="236"/>
    <x v="6"/>
    <s v="Sales Representative"/>
    <n v="69216"/>
    <x v="2"/>
  </r>
  <r>
    <s v="00-78299645"/>
    <s v="Edward"/>
    <s v="Hart"/>
    <x v="1"/>
    <s v="Illinois"/>
    <s v="Chicago"/>
    <s v="Bachelor"/>
    <d v="1978-07-24T00:00:00"/>
    <x v="240"/>
    <x v="237"/>
    <x v="0"/>
    <s v="Customer Service Representative"/>
    <n v="63344"/>
    <x v="0"/>
  </r>
  <r>
    <s v="00-74759996"/>
    <s v="Christopher"/>
    <s v="Wright"/>
    <x v="1"/>
    <s v="North Carolina"/>
    <s v="Raleigh"/>
    <s v="Bachelor"/>
    <d v="1980-09-12T00:00:00"/>
    <x v="241"/>
    <x v="238"/>
    <x v="4"/>
    <s v="Content Creator"/>
    <n v="63342"/>
    <x v="1"/>
  </r>
  <r>
    <s v="00-83989546"/>
    <s v="Kathy"/>
    <s v="Obrien"/>
    <x v="1"/>
    <s v="Michigan"/>
    <s v="Grand Rapids"/>
    <s v="Bachelor"/>
    <d v="2000-05-30T00:00:00"/>
    <x v="242"/>
    <x v="239"/>
    <x v="0"/>
    <s v="Customer Service Representative"/>
    <n v="67818"/>
    <x v="2"/>
  </r>
  <r>
    <s v="00-78214937"/>
    <s v="Christine"/>
    <s v="Rowe"/>
    <x v="1"/>
    <s v="New York"/>
    <s v="New York City"/>
    <s v="Bachelor"/>
    <d v="1960-12-19T00:00:00"/>
    <x v="243"/>
    <x v="240"/>
    <x v="0"/>
    <s v="Customer Service Representative"/>
    <n v="74416"/>
    <x v="1"/>
  </r>
  <r>
    <s v="00-19369750"/>
    <s v="Shannon"/>
    <s v="Ramos"/>
    <x v="0"/>
    <s v="New York"/>
    <s v="New York City"/>
    <s v="High School"/>
    <d v="1992-09-09T00:00:00"/>
    <x v="86"/>
    <x v="241"/>
    <x v="0"/>
    <s v="Customer Service Representative"/>
    <n v="59823"/>
    <x v="3"/>
  </r>
  <r>
    <s v="00-78147397"/>
    <s v="Brianna"/>
    <s v="Patterson"/>
    <x v="1"/>
    <s v="New York"/>
    <s v="New York City"/>
    <s v="Bachelor"/>
    <d v="1974-11-23T00:00:00"/>
    <x v="49"/>
    <x v="48"/>
    <x v="4"/>
    <s v="Marketing Coordinator"/>
    <n v="77963"/>
    <x v="3"/>
  </r>
  <r>
    <s v="00-50071487"/>
    <s v="Christine"/>
    <s v="Lynch"/>
    <x v="1"/>
    <s v="New York"/>
    <s v="New York City"/>
    <s v="High School"/>
    <d v="1975-09-28T00:00:00"/>
    <x v="244"/>
    <x v="242"/>
    <x v="2"/>
    <s v="Inventory Specialist"/>
    <n v="58852"/>
    <x v="0"/>
  </r>
  <r>
    <s v="00-75718414"/>
    <s v="Cory"/>
    <s v="Farmer"/>
    <x v="0"/>
    <s v="New York"/>
    <s v="New York City"/>
    <s v="Bachelor"/>
    <d v="1988-04-25T00:00:00"/>
    <x v="245"/>
    <x v="243"/>
    <x v="2"/>
    <s v="Logistics Coordinator"/>
    <n v="56099"/>
    <x v="3"/>
  </r>
  <r>
    <s v="00-75007200"/>
    <s v="Jason"/>
    <s v="Guerrero"/>
    <x v="1"/>
    <s v="Virginia"/>
    <s v="Richmond"/>
    <s v="Bachelor"/>
    <d v="1967-07-24T00:00:00"/>
    <x v="246"/>
    <x v="244"/>
    <x v="6"/>
    <s v="Sales Representative"/>
    <n v="80089"/>
    <x v="1"/>
  </r>
  <r>
    <s v="00-82937948"/>
    <s v="John"/>
    <s v="Arnold"/>
    <x v="0"/>
    <s v="New York"/>
    <s v="New York City"/>
    <s v="Bachelor"/>
    <d v="1975-12-15T00:00:00"/>
    <x v="246"/>
    <x v="245"/>
    <x v="2"/>
    <s v="Logistics Coordinator"/>
    <n v="54065"/>
    <x v="2"/>
  </r>
  <r>
    <s v="00-35320492"/>
    <s v="Aaron"/>
    <s v="Hayes"/>
    <x v="0"/>
    <s v="Michigan"/>
    <s v="Detroit"/>
    <s v="Bachelor"/>
    <d v="1987-08-07T00:00:00"/>
    <x v="247"/>
    <x v="246"/>
    <x v="3"/>
    <s v="Accounts Payable Specialist"/>
    <n v="65623"/>
    <x v="0"/>
  </r>
  <r>
    <s v="00-61401477"/>
    <s v="Terry"/>
    <s v="Johnson"/>
    <x v="1"/>
    <s v="New York"/>
    <s v="New York City"/>
    <s v="Bachelor"/>
    <d v="1977-10-11T00:00:00"/>
    <x v="248"/>
    <x v="247"/>
    <x v="0"/>
    <s v="Help Desk Technician"/>
    <n v="65571"/>
    <x v="1"/>
  </r>
  <r>
    <s v="00-52704903"/>
    <s v="Jasmine"/>
    <s v="Warner"/>
    <x v="0"/>
    <s v="New York"/>
    <s v="New York City"/>
    <s v="PhD"/>
    <d v="1986-01-15T00:00:00"/>
    <x v="249"/>
    <x v="248"/>
    <x v="6"/>
    <s v="Sales Specialist"/>
    <n v="94650"/>
    <x v="3"/>
  </r>
  <r>
    <s v="00-61167978"/>
    <s v="Charles"/>
    <s v="Hall"/>
    <x v="0"/>
    <s v="New York"/>
    <s v="New York City"/>
    <s v="Bachelor"/>
    <d v="1988-01-09T00:00:00"/>
    <x v="250"/>
    <x v="249"/>
    <x v="3"/>
    <s v="Accountant"/>
    <n v="87620"/>
    <x v="3"/>
  </r>
  <r>
    <s v="00-97512508"/>
    <s v="Kristin"/>
    <s v="Weber"/>
    <x v="0"/>
    <s v="New York"/>
    <s v="New York City"/>
    <s v="Master"/>
    <d v="1986-01-11T00:00:00"/>
    <x v="251"/>
    <x v="250"/>
    <x v="2"/>
    <s v="Operations Analyst"/>
    <n v="84470"/>
    <x v="3"/>
  </r>
  <r>
    <s v="00-26944487"/>
    <s v="Linda"/>
    <s v="Gonzalez"/>
    <x v="1"/>
    <s v="New York"/>
    <s v="New York City"/>
    <s v="Bachelor"/>
    <d v="1988-09-17T00:00:00"/>
    <x v="237"/>
    <x v="251"/>
    <x v="6"/>
    <s v="Sales Specialist"/>
    <n v="74777"/>
    <x v="1"/>
  </r>
  <r>
    <s v="00-23470708"/>
    <s v="Amy"/>
    <s v="Holland"/>
    <x v="0"/>
    <s v="New York"/>
    <s v="New York City"/>
    <s v="Bachelor"/>
    <d v="2000-06-06T00:00:00"/>
    <x v="252"/>
    <x v="59"/>
    <x v="2"/>
    <s v="Logistics Coordinator"/>
    <n v="55889"/>
    <x v="1"/>
  </r>
  <r>
    <s v="00-80591959"/>
    <s v="Joseph"/>
    <s v="Thomas"/>
    <x v="1"/>
    <s v="Virginia"/>
    <s v="Norfolk"/>
    <s v="Bachelor"/>
    <d v="1982-05-26T00:00:00"/>
    <x v="253"/>
    <x v="252"/>
    <x v="2"/>
    <s v="Logistics Coordinator"/>
    <n v="67280"/>
    <x v="1"/>
  </r>
  <r>
    <s v="00-29348212"/>
    <s v="Gabriel"/>
    <s v="Parker"/>
    <x v="0"/>
    <s v="Pennsylvania"/>
    <s v="Allentown"/>
    <s v="Master"/>
    <d v="1975-09-07T00:00:00"/>
    <x v="254"/>
    <x v="253"/>
    <x v="6"/>
    <s v="Sales Consultant"/>
    <n v="87940"/>
    <x v="3"/>
  </r>
  <r>
    <s v="00-20043277"/>
    <s v="Madison"/>
    <s v="Morse"/>
    <x v="0"/>
    <s v="Illinois"/>
    <s v="Naperville"/>
    <s v="High School"/>
    <d v="1959-06-29T00:00:00"/>
    <x v="255"/>
    <x v="254"/>
    <x v="0"/>
    <s v="Help Desk Technician"/>
    <n v="58676"/>
    <x v="0"/>
  </r>
  <r>
    <s v="00-93652460"/>
    <s v="David"/>
    <s v="Barker"/>
    <x v="1"/>
    <s v="New York"/>
    <s v="New York City"/>
    <s v="High School"/>
    <d v="1993-06-09T00:00:00"/>
    <x v="256"/>
    <x v="255"/>
    <x v="1"/>
    <s v="IT Support Specialist"/>
    <n v="66001"/>
    <x v="0"/>
  </r>
  <r>
    <s v="00-54099326"/>
    <s v="Richard"/>
    <s v="Nelson"/>
    <x v="1"/>
    <s v="Ohio"/>
    <s v="Cleveland"/>
    <s v="High School"/>
    <d v="1992-03-02T00:00:00"/>
    <x v="257"/>
    <x v="37"/>
    <x v="0"/>
    <s v="Customer Service Representative"/>
    <n v="61836"/>
    <x v="0"/>
  </r>
  <r>
    <s v="00-52501540"/>
    <s v="Troy"/>
    <s v="Miller"/>
    <x v="0"/>
    <s v="New York"/>
    <s v="New York City"/>
    <s v="Bachelor"/>
    <d v="1986-03-12T00:00:00"/>
    <x v="258"/>
    <x v="256"/>
    <x v="6"/>
    <s v="Sales Representative"/>
    <n v="72320"/>
    <x v="2"/>
  </r>
  <r>
    <s v="00-82613940"/>
    <s v="Pamela"/>
    <s v="Navarro"/>
    <x v="0"/>
    <s v="New York"/>
    <s v="New York City"/>
    <s v="Bachelor"/>
    <d v="1977-12-26T00:00:00"/>
    <x v="259"/>
    <x v="257"/>
    <x v="0"/>
    <s v="Help Desk Technician"/>
    <n v="67779"/>
    <x v="0"/>
  </r>
  <r>
    <s v="00-94712997"/>
    <s v="John"/>
    <s v="Davis"/>
    <x v="0"/>
    <s v="New York"/>
    <s v="New York City"/>
    <s v="Bachelor"/>
    <d v="1990-09-06T00:00:00"/>
    <x v="260"/>
    <x v="258"/>
    <x v="0"/>
    <s v="Help Desk Technician"/>
    <n v="76637"/>
    <x v="3"/>
  </r>
  <r>
    <s v="00-22130508"/>
    <s v="Mary"/>
    <s v="Johnston"/>
    <x v="1"/>
    <s v="New York"/>
    <s v="New York City"/>
    <s v="Bachelor"/>
    <d v="1986-11-16T00:00:00"/>
    <x v="261"/>
    <x v="259"/>
    <x v="2"/>
    <s v="Inventory Specialist"/>
    <n v="58495"/>
    <x v="1"/>
  </r>
  <r>
    <s v="00-95060193"/>
    <s v="Yvonne"/>
    <s v="Chambers"/>
    <x v="0"/>
    <s v="New York"/>
    <s v="New York City"/>
    <s v="Bachelor"/>
    <d v="1967-01-15T00:00:00"/>
    <x v="262"/>
    <x v="260"/>
    <x v="0"/>
    <s v="Support Specialist"/>
    <n v="62938"/>
    <x v="1"/>
  </r>
  <r>
    <s v="00-32329103"/>
    <s v="Barbara"/>
    <s v="Hines"/>
    <x v="1"/>
    <s v="West Virginia"/>
    <s v="Huntington"/>
    <s v="High School"/>
    <d v="1981-04-01T00:00:00"/>
    <x v="263"/>
    <x v="261"/>
    <x v="0"/>
    <s v="Help Desk Technician"/>
    <n v="67455"/>
    <x v="0"/>
  </r>
  <r>
    <s v="00-53536830"/>
    <s v="Thomas"/>
    <s v="Pearson"/>
    <x v="0"/>
    <s v="New York"/>
    <s v="New York City"/>
    <s v="Bachelor"/>
    <d v="1985-07-08T00:00:00"/>
    <x v="264"/>
    <x v="262"/>
    <x v="2"/>
    <s v="Logistics Coordinator"/>
    <n v="57243"/>
    <x v="2"/>
  </r>
  <r>
    <s v="00-60310319"/>
    <s v="Joshua"/>
    <s v="Shea"/>
    <x v="1"/>
    <s v="New York"/>
    <s v="New York City"/>
    <s v="Bachelor"/>
    <d v="1980-08-21T00:00:00"/>
    <x v="265"/>
    <x v="263"/>
    <x v="4"/>
    <s v="Marketing Coordinator"/>
    <n v="77791"/>
    <x v="2"/>
  </r>
  <r>
    <s v="00-65304649"/>
    <s v="Cynthia"/>
    <s v="Vasquez"/>
    <x v="1"/>
    <s v="New York"/>
    <s v="New York City"/>
    <s v="Master"/>
    <d v="1982-10-16T00:00:00"/>
    <x v="266"/>
    <x v="264"/>
    <x v="4"/>
    <s v="Marketing Manager"/>
    <n v="94659"/>
    <x v="3"/>
  </r>
  <r>
    <s v="00-33497411"/>
    <s v="Theodore"/>
    <s v="Ortiz"/>
    <x v="1"/>
    <s v="New York"/>
    <s v="New York City"/>
    <s v="Bachelor"/>
    <d v="1975-05-05T00:00:00"/>
    <x v="267"/>
    <x v="265"/>
    <x v="0"/>
    <s v="Customer Service Representative"/>
    <n v="70991"/>
    <x v="0"/>
  </r>
  <r>
    <s v="00-42323627"/>
    <s v="Elizabeth"/>
    <s v="Hodge"/>
    <x v="0"/>
    <s v="New York"/>
    <s v="New York City"/>
    <s v="Bachelor"/>
    <d v="1982-03-24T00:00:00"/>
    <x v="268"/>
    <x v="266"/>
    <x v="6"/>
    <s v="Sales Representative"/>
    <n v="67107"/>
    <x v="2"/>
  </r>
  <r>
    <s v="00-41163805"/>
    <s v="Robert"/>
    <s v="Simpson"/>
    <x v="1"/>
    <s v="New York"/>
    <s v="New York City"/>
    <s v="Bachelor"/>
    <d v="1983-07-03T00:00:00"/>
    <x v="269"/>
    <x v="267"/>
    <x v="2"/>
    <s v="Logistics Coordinator"/>
    <n v="67154"/>
    <x v="1"/>
  </r>
  <r>
    <s v="00-44269370"/>
    <s v="Sierra"/>
    <s v="Cervantes"/>
    <x v="0"/>
    <s v="New York"/>
    <s v="New York City"/>
    <s v="Bachelor"/>
    <d v="1987-02-22T00:00:00"/>
    <x v="270"/>
    <x v="33"/>
    <x v="2"/>
    <s v="Inventory Specialist"/>
    <n v="57452"/>
    <x v="2"/>
  </r>
  <r>
    <s v="00-83363160"/>
    <s v="Benjamin"/>
    <s v="Miller"/>
    <x v="1"/>
    <s v="Illinois"/>
    <s v="Chicago"/>
    <s v="High School"/>
    <d v="1992-07-08T00:00:00"/>
    <x v="271"/>
    <x v="268"/>
    <x v="0"/>
    <s v="Customer Service Representative"/>
    <n v="61258"/>
    <x v="0"/>
  </r>
  <r>
    <s v="00-88862539"/>
    <s v="Marcus"/>
    <s v="Cordova"/>
    <x v="0"/>
    <s v="New York"/>
    <s v="New York City"/>
    <s v="Bachelor"/>
    <d v="1970-05-23T00:00:00"/>
    <x v="272"/>
    <x v="253"/>
    <x v="6"/>
    <s v="Sales Representative"/>
    <n v="65222"/>
    <x v="0"/>
  </r>
  <r>
    <s v="00-43567615"/>
    <s v="Michelle"/>
    <s v="Bryan"/>
    <x v="0"/>
    <s v="New York"/>
    <s v="New York City"/>
    <s v="High School"/>
    <d v="1996-08-28T00:00:00"/>
    <x v="135"/>
    <x v="269"/>
    <x v="4"/>
    <s v="SEO Specialist"/>
    <n v="76873"/>
    <x v="0"/>
  </r>
  <r>
    <s v="00-61632653"/>
    <s v="Diane"/>
    <s v="Daniels"/>
    <x v="0"/>
    <s v="New York"/>
    <s v="New York City"/>
    <s v="Bachelor"/>
    <d v="1983-10-06T00:00:00"/>
    <x v="273"/>
    <x v="270"/>
    <x v="6"/>
    <s v="Sales Representative"/>
    <n v="68800"/>
    <x v="3"/>
  </r>
  <r>
    <s v="00-61185849"/>
    <s v="Brian"/>
    <s v="Stone"/>
    <x v="1"/>
    <s v="New York"/>
    <s v="New York City"/>
    <s v="Bachelor"/>
    <d v="1964-02-08T00:00:00"/>
    <x v="94"/>
    <x v="91"/>
    <x v="2"/>
    <s v="Operations Analyst"/>
    <n v="79458"/>
    <x v="1"/>
  </r>
  <r>
    <s v="00-49625201"/>
    <s v="Katherine"/>
    <s v="Garrett"/>
    <x v="0"/>
    <s v="North Carolina"/>
    <s v="Raleigh"/>
    <s v="Bachelor"/>
    <d v="1981-06-05T00:00:00"/>
    <x v="274"/>
    <x v="271"/>
    <x v="2"/>
    <s v="Logistics Coordinator"/>
    <n v="53471"/>
    <x v="3"/>
  </r>
  <r>
    <s v="00-46840133"/>
    <s v="Brett"/>
    <s v="Adams"/>
    <x v="1"/>
    <s v="North Carolina"/>
    <s v="Charlotte"/>
    <s v="Bachelor"/>
    <d v="1975-04-10T00:00:00"/>
    <x v="275"/>
    <x v="272"/>
    <x v="6"/>
    <s v="Sales Representative"/>
    <n v="68009"/>
    <x v="1"/>
  </r>
  <r>
    <s v="00-16582607"/>
    <s v="Sara"/>
    <s v="Kim"/>
    <x v="0"/>
    <s v="New York"/>
    <s v="New York City"/>
    <s v="Bachelor"/>
    <d v="1984-04-20T00:00:00"/>
    <x v="276"/>
    <x v="273"/>
    <x v="6"/>
    <s v="Sales Representative"/>
    <n v="68240"/>
    <x v="2"/>
  </r>
  <r>
    <s v="00-48412328"/>
    <s v="Todd"/>
    <s v="Johnson"/>
    <x v="1"/>
    <s v="New York"/>
    <s v="New York City"/>
    <s v="Master"/>
    <d v="1973-03-21T00:00:00"/>
    <x v="277"/>
    <x v="243"/>
    <x v="1"/>
    <s v="System Administrator"/>
    <n v="96095"/>
    <x v="3"/>
  </r>
  <r>
    <s v="00-43638559"/>
    <s v="Lance"/>
    <s v="Smith"/>
    <x v="1"/>
    <s v="New York"/>
    <s v="New York City"/>
    <s v="Master"/>
    <d v="1982-08-08T00:00:00"/>
    <x v="278"/>
    <x v="274"/>
    <x v="6"/>
    <s v="Sales Consultant"/>
    <n v="92568"/>
    <x v="3"/>
  </r>
  <r>
    <s v="00-98473848"/>
    <s v="Christopher"/>
    <s v="Gay"/>
    <x v="1"/>
    <s v="Michigan"/>
    <s v="Grand Rapids"/>
    <s v="Bachelor"/>
    <d v="1959-09-25T00:00:00"/>
    <x v="279"/>
    <x v="275"/>
    <x v="2"/>
    <s v="Logistics Coordinator"/>
    <n v="63038"/>
    <x v="1"/>
  </r>
  <r>
    <s v="00-23041121"/>
    <s v="Daniel"/>
    <s v="Valentine"/>
    <x v="1"/>
    <s v="New York"/>
    <s v="New York City"/>
    <s v="Bachelor"/>
    <d v="1983-03-23T00:00:00"/>
    <x v="280"/>
    <x v="276"/>
    <x v="2"/>
    <s v="Inventory Specialist"/>
    <n v="68256"/>
    <x v="1"/>
  </r>
  <r>
    <s v="00-51464269"/>
    <s v="Marilyn"/>
    <s v="Jimenez"/>
    <x v="1"/>
    <s v="New York"/>
    <s v="New York City"/>
    <s v="Bachelor"/>
    <d v="1977-11-13T00:00:00"/>
    <x v="281"/>
    <x v="277"/>
    <x v="2"/>
    <s v="Inventory Specialist"/>
    <n v="66936"/>
    <x v="1"/>
  </r>
  <r>
    <s v="00-58970845"/>
    <s v="Kelly"/>
    <s v="Thornton"/>
    <x v="0"/>
    <s v="New York"/>
    <s v="New York City"/>
    <s v="Bachelor"/>
    <d v="1974-05-20T00:00:00"/>
    <x v="282"/>
    <x v="278"/>
    <x v="2"/>
    <s v="Logistics Coordinator"/>
    <n v="57549"/>
    <x v="3"/>
  </r>
  <r>
    <s v="00-53851498"/>
    <s v="Mary"/>
    <s v="Baird"/>
    <x v="1"/>
    <s v="New York"/>
    <s v="New York City"/>
    <s v="Bachelor"/>
    <d v="1981-07-20T00:00:00"/>
    <x v="283"/>
    <x v="279"/>
    <x v="2"/>
    <s v="Logistics Coordinator"/>
    <n v="67506"/>
    <x v="2"/>
  </r>
  <r>
    <s v="00-27738187"/>
    <s v="Stephen"/>
    <s v="Thomas"/>
    <x v="1"/>
    <s v="New York"/>
    <s v="New York City"/>
    <s v="Master"/>
    <d v="1969-07-27T00:00:00"/>
    <x v="284"/>
    <x v="280"/>
    <x v="6"/>
    <s v="Sales Specialist"/>
    <n v="57739"/>
    <x v="3"/>
  </r>
  <r>
    <s v="00-77349752"/>
    <s v="Sandra"/>
    <s v="Romero"/>
    <x v="0"/>
    <s v="Pennsylvania"/>
    <s v="Philadelphia"/>
    <s v="Bachelor"/>
    <d v="1985-03-18T00:00:00"/>
    <x v="285"/>
    <x v="44"/>
    <x v="2"/>
    <s v="Logistics Coordinator"/>
    <n v="61624"/>
    <x v="1"/>
  </r>
  <r>
    <s v="00-74672520"/>
    <s v="Derek"/>
    <s v="Jones"/>
    <x v="1"/>
    <s v="Michigan"/>
    <s v="Detroit"/>
    <s v="Bachelor"/>
    <d v="1973-01-29T00:00:00"/>
    <x v="286"/>
    <x v="281"/>
    <x v="0"/>
    <s v="Support Specialist"/>
    <n v="67477"/>
    <x v="3"/>
  </r>
  <r>
    <s v="00-55461591"/>
    <s v="Kristy"/>
    <s v="Perry"/>
    <x v="0"/>
    <s v="New York"/>
    <s v="New York City"/>
    <s v="High School"/>
    <d v="2003-12-17T00:00:00"/>
    <x v="287"/>
    <x v="282"/>
    <x v="2"/>
    <s v="Inventory Specialist"/>
    <n v="58948"/>
    <x v="3"/>
  </r>
  <r>
    <s v="00-28892086"/>
    <s v="Kristin"/>
    <s v="Adams"/>
    <x v="0"/>
    <s v="Pennsylvania"/>
    <s v="Philadelphia"/>
    <s v="High School"/>
    <d v="1970-01-09T00:00:00"/>
    <x v="288"/>
    <x v="283"/>
    <x v="0"/>
    <s v="Help Desk Technician"/>
    <n v="75839"/>
    <x v="0"/>
  </r>
  <r>
    <s v="00-63339667"/>
    <s v="Justin"/>
    <s v="Evans"/>
    <x v="1"/>
    <s v="New York"/>
    <s v="New York City"/>
    <s v="Bachelor"/>
    <d v="1987-07-14T00:00:00"/>
    <x v="289"/>
    <x v="284"/>
    <x v="2"/>
    <s v="Logistics Coordinator"/>
    <n v="70332"/>
    <x v="1"/>
  </r>
  <r>
    <s v="00-22120246"/>
    <s v="Bethany"/>
    <s v="Keller"/>
    <x v="1"/>
    <s v="West Virginia"/>
    <s v="Charleston"/>
    <s v="Master"/>
    <d v="1977-05-18T00:00:00"/>
    <x v="290"/>
    <x v="285"/>
    <x v="2"/>
    <s v="Operations Analyst"/>
    <n v="67285"/>
    <x v="3"/>
  </r>
  <r>
    <s v="00-82017516"/>
    <s v="Edgar"/>
    <s v="Ryan"/>
    <x v="0"/>
    <s v="New York"/>
    <s v="New York City"/>
    <s v="Bachelor"/>
    <d v="1990-04-10T00:00:00"/>
    <x v="291"/>
    <x v="286"/>
    <x v="1"/>
    <s v="IT Support Specialist"/>
    <n v="59936"/>
    <x v="1"/>
  </r>
  <r>
    <s v="00-45186708"/>
    <s v="Martin"/>
    <s v="Hines"/>
    <x v="1"/>
    <s v="New York"/>
    <s v="New York City"/>
    <s v="Bachelor"/>
    <d v="1964-05-27T00:00:00"/>
    <x v="292"/>
    <x v="287"/>
    <x v="2"/>
    <s v="Logistics Coordinator"/>
    <n v="68848"/>
    <x v="1"/>
  </r>
  <r>
    <s v="00-24541967"/>
    <s v="Stanley"/>
    <s v="Morris"/>
    <x v="0"/>
    <s v="New York"/>
    <s v="New York City"/>
    <s v="Bachelor"/>
    <d v="1972-03-27T00:00:00"/>
    <x v="293"/>
    <x v="288"/>
    <x v="6"/>
    <s v="Sales Representative"/>
    <n v="66482"/>
    <x v="2"/>
  </r>
  <r>
    <s v="00-93154172"/>
    <s v="Tina"/>
    <s v="Allen"/>
    <x v="0"/>
    <s v="New York"/>
    <s v="New York City"/>
    <s v="Master"/>
    <d v="1967-05-20T00:00:00"/>
    <x v="294"/>
    <x v="289"/>
    <x v="0"/>
    <s v="Customer Service Manager"/>
    <n v="69548"/>
    <x v="1"/>
  </r>
  <r>
    <s v="00-72312933"/>
    <s v="Louis"/>
    <s v="Kennedy"/>
    <x v="1"/>
    <s v="Michigan"/>
    <s v="Grand Rapids"/>
    <s v="Master"/>
    <d v="1990-09-14T00:00:00"/>
    <x v="295"/>
    <x v="290"/>
    <x v="1"/>
    <s v="Software Developer"/>
    <n v="89090"/>
    <x v="3"/>
  </r>
  <r>
    <s v="00-64800542"/>
    <s v="Lisa"/>
    <s v="Hughes"/>
    <x v="1"/>
    <s v="Michigan"/>
    <s v="Grand Rapids"/>
    <s v="Bachelor"/>
    <d v="1976-07-09T00:00:00"/>
    <x v="296"/>
    <x v="291"/>
    <x v="0"/>
    <s v="Customer Service Representative"/>
    <n v="61136"/>
    <x v="3"/>
  </r>
  <r>
    <s v="00-50851122"/>
    <s v="Laura"/>
    <s v="Pearson"/>
    <x v="0"/>
    <s v="New York"/>
    <s v="New York City"/>
    <s v="Master"/>
    <d v="1999-01-28T00:00:00"/>
    <x v="297"/>
    <x v="292"/>
    <x v="6"/>
    <s v="Sales Consultant"/>
    <n v="86367"/>
    <x v="3"/>
  </r>
  <r>
    <s v="00-41514326"/>
    <s v="Tyler"/>
    <s v="Johnson"/>
    <x v="0"/>
    <s v="New York"/>
    <s v="New York City"/>
    <s v="Bachelor"/>
    <d v="1989-02-20T00:00:00"/>
    <x v="298"/>
    <x v="293"/>
    <x v="1"/>
    <s v="System Administrator"/>
    <n v="79711"/>
    <x v="0"/>
  </r>
  <r>
    <s v="00-70887034"/>
    <s v="Tammy"/>
    <s v="Rivera"/>
    <x v="1"/>
    <s v="New York"/>
    <s v="New York City"/>
    <s v="Bachelor"/>
    <d v="1995-05-23T00:00:00"/>
    <x v="299"/>
    <x v="5"/>
    <x v="3"/>
    <s v="Accounts Payable Specialist"/>
    <n v="63065"/>
    <x v="1"/>
  </r>
  <r>
    <s v="00-82503409"/>
    <s v="Morgan"/>
    <s v="Alexander"/>
    <x v="1"/>
    <s v="Ohio"/>
    <s v="Columbus"/>
    <s v="Bachelor"/>
    <d v="1976-02-07T00:00:00"/>
    <x v="300"/>
    <x v="294"/>
    <x v="6"/>
    <s v="Sales Consultant"/>
    <n v="82504"/>
    <x v="2"/>
  </r>
  <r>
    <s v="00-30739712"/>
    <s v="Renee"/>
    <s v="Smith"/>
    <x v="1"/>
    <s v="New York"/>
    <s v="New York City"/>
    <s v="High School"/>
    <d v="1981-10-11T00:00:00"/>
    <x v="301"/>
    <x v="295"/>
    <x v="0"/>
    <s v="Support Specialist"/>
    <n v="61422"/>
    <x v="0"/>
  </r>
  <r>
    <s v="00-75679047"/>
    <s v="Robert"/>
    <s v="Pena"/>
    <x v="0"/>
    <s v="New York"/>
    <s v="New York City"/>
    <s v="Bachelor"/>
    <d v="2002-12-01T00:00:00"/>
    <x v="302"/>
    <x v="206"/>
    <x v="3"/>
    <s v="Accountant"/>
    <n v="74745"/>
    <x v="1"/>
  </r>
  <r>
    <s v="00-59731689"/>
    <s v="Charles"/>
    <s v="Harrington"/>
    <x v="0"/>
    <s v="Illinois"/>
    <s v="Chicago"/>
    <s v="High School"/>
    <d v="1964-12-27T00:00:00"/>
    <x v="303"/>
    <x v="296"/>
    <x v="0"/>
    <s v="Support Specialist"/>
    <n v="65592"/>
    <x v="0"/>
  </r>
  <r>
    <s v="00-58678896"/>
    <s v="Matthew"/>
    <s v="Schwartz"/>
    <x v="1"/>
    <s v="New York"/>
    <s v="New York City"/>
    <s v="Bachelor"/>
    <d v="1964-06-09T00:00:00"/>
    <x v="304"/>
    <x v="168"/>
    <x v="2"/>
    <s v="Inventory Specialist"/>
    <n v="68263"/>
    <x v="1"/>
  </r>
  <r>
    <s v="00-83076970"/>
    <s v="Christopher"/>
    <s v="Murphy"/>
    <x v="0"/>
    <s v="Illinois"/>
    <s v="Aurora"/>
    <s v="High School"/>
    <d v="1982-01-12T00:00:00"/>
    <x v="305"/>
    <x v="76"/>
    <x v="0"/>
    <s v="Support Specialist"/>
    <n v="63173"/>
    <x v="0"/>
  </r>
  <r>
    <s v="00-18126895"/>
    <s v="Michele"/>
    <s v="James"/>
    <x v="0"/>
    <s v="New York"/>
    <s v="New York City"/>
    <s v="Bachelor"/>
    <d v="1977-03-15T00:00:00"/>
    <x v="306"/>
    <x v="297"/>
    <x v="4"/>
    <s v="Marketing Coordinator"/>
    <n v="61924"/>
    <x v="1"/>
  </r>
  <r>
    <s v="00-71031132"/>
    <s v="Courtney"/>
    <s v="Clay"/>
    <x v="1"/>
    <s v="New York"/>
    <s v="New York City"/>
    <s v="Bachelor"/>
    <d v="1974-11-21T00:00:00"/>
    <x v="307"/>
    <x v="298"/>
    <x v="1"/>
    <s v="Software Developer"/>
    <n v="92714"/>
    <x v="1"/>
  </r>
  <r>
    <s v="00-95831286"/>
    <s v="Monique"/>
    <s v="Johnson"/>
    <x v="0"/>
    <s v="New York"/>
    <s v="New York City"/>
    <s v="Bachelor"/>
    <d v="1995-12-14T00:00:00"/>
    <x v="308"/>
    <x v="299"/>
    <x v="6"/>
    <s v="Sales Specialist"/>
    <n v="76920"/>
    <x v="1"/>
  </r>
  <r>
    <s v="00-54762841"/>
    <s v="Jimmy"/>
    <s v="Cohen"/>
    <x v="0"/>
    <s v="New York"/>
    <s v="New York City"/>
    <s v="Bachelor"/>
    <d v="1962-08-26T00:00:00"/>
    <x v="248"/>
    <x v="300"/>
    <x v="4"/>
    <s v="Content Creator"/>
    <n v="64316"/>
    <x v="2"/>
  </r>
  <r>
    <s v="00-88703005"/>
    <s v="Tiffany"/>
    <s v="Hodges"/>
    <x v="1"/>
    <s v="New York"/>
    <s v="New York City"/>
    <s v="High School"/>
    <d v="1985-07-13T00:00:00"/>
    <x v="309"/>
    <x v="301"/>
    <x v="2"/>
    <s v="Inventory Specialist"/>
    <n v="60526"/>
    <x v="0"/>
  </r>
  <r>
    <s v="00-29804386"/>
    <s v="Monique"/>
    <s v="Wallace"/>
    <x v="0"/>
    <s v="Illinois"/>
    <s v="Naperville"/>
    <s v="Bachelor"/>
    <d v="1972-05-18T00:00:00"/>
    <x v="310"/>
    <x v="302"/>
    <x v="3"/>
    <s v="Accountant"/>
    <n v="70513"/>
    <x v="1"/>
  </r>
  <r>
    <s v="00-47215199"/>
    <s v="Kevin"/>
    <s v="Johnson"/>
    <x v="1"/>
    <s v="New York"/>
    <s v="New York City"/>
    <s v="Bachelor"/>
    <d v="1983-12-20T00:00:00"/>
    <x v="311"/>
    <x v="303"/>
    <x v="6"/>
    <s v="Sales Consultant"/>
    <n v="74982"/>
    <x v="3"/>
  </r>
  <r>
    <s v="00-82506491"/>
    <s v="Laura"/>
    <s v="Carter"/>
    <x v="1"/>
    <s v="North Carolina"/>
    <s v="Greensboro"/>
    <s v="High School"/>
    <d v="1990-05-31T00:00:00"/>
    <x v="312"/>
    <x v="304"/>
    <x v="4"/>
    <s v="Content Creator"/>
    <n v="62882"/>
    <x v="0"/>
  </r>
  <r>
    <s v="00-98725654"/>
    <s v="Ryan"/>
    <s v="Sanchez"/>
    <x v="1"/>
    <s v="New York"/>
    <s v="New York City"/>
    <s v="Master"/>
    <d v="1966-04-20T00:00:00"/>
    <x v="313"/>
    <x v="305"/>
    <x v="2"/>
    <s v="Operations Analyst"/>
    <n v="72764"/>
    <x v="1"/>
  </r>
  <r>
    <s v="00-58082464"/>
    <s v="Ashlee"/>
    <s v="Sparks"/>
    <x v="0"/>
    <s v="North Carolina"/>
    <s v="Greensboro"/>
    <s v="Bachelor"/>
    <d v="1981-06-22T00:00:00"/>
    <x v="314"/>
    <x v="306"/>
    <x v="2"/>
    <s v="Operations Analyst"/>
    <n v="80418"/>
    <x v="3"/>
  </r>
  <r>
    <s v="00-53455870"/>
    <s v="Gregory"/>
    <s v="Lynch"/>
    <x v="0"/>
    <s v="New York"/>
    <s v="New York City"/>
    <s v="Bachelor"/>
    <d v="1980-06-03T00:00:00"/>
    <x v="315"/>
    <x v="307"/>
    <x v="2"/>
    <s v="Inventory Specialist"/>
    <n v="60390"/>
    <x v="3"/>
  </r>
  <r>
    <s v="00-27013243"/>
    <s v="Christine"/>
    <s v="Allen"/>
    <x v="1"/>
    <s v="New York"/>
    <s v="New York City"/>
    <s v="Bachelor"/>
    <d v="1978-05-07T00:00:00"/>
    <x v="279"/>
    <x v="275"/>
    <x v="2"/>
    <s v="Logistics Coordinator"/>
    <n v="63500"/>
    <x v="3"/>
  </r>
  <r>
    <s v="00-18530615"/>
    <s v="Brandy"/>
    <s v="Hall"/>
    <x v="1"/>
    <s v="North Carolina"/>
    <s v="Charlotte"/>
    <s v="Bachelor"/>
    <d v="2002-09-18T00:00:00"/>
    <x v="316"/>
    <x v="308"/>
    <x v="0"/>
    <s v="Support Specialist"/>
    <n v="63879"/>
    <x v="1"/>
  </r>
  <r>
    <s v="00-89680504"/>
    <s v="Jonathan"/>
    <s v="Scott"/>
    <x v="1"/>
    <s v="New York"/>
    <s v="New York City"/>
    <s v="Bachelor"/>
    <d v="1988-07-03T00:00:00"/>
    <x v="317"/>
    <x v="309"/>
    <x v="3"/>
    <s v="Accounts Payable Specialist"/>
    <n v="61505"/>
    <x v="1"/>
  </r>
  <r>
    <s v="00-92558242"/>
    <s v="Rachel"/>
    <s v="Marshall"/>
    <x v="1"/>
    <s v="New York"/>
    <s v="New York City"/>
    <s v="High School"/>
    <d v="1992-01-21T00:00:00"/>
    <x v="318"/>
    <x v="310"/>
    <x v="0"/>
    <s v="Customer Service Representative"/>
    <n v="59618"/>
    <x v="3"/>
  </r>
  <r>
    <s v="00-50484137"/>
    <s v="Erica"/>
    <s v="Moore"/>
    <x v="1"/>
    <s v="New York"/>
    <s v="New York City"/>
    <s v="Bachelor"/>
    <d v="1974-09-13T00:00:00"/>
    <x v="319"/>
    <x v="311"/>
    <x v="2"/>
    <s v="Operations Manager"/>
    <n v="106190"/>
    <x v="1"/>
  </r>
  <r>
    <s v="00-74287863"/>
    <s v="Sierra"/>
    <s v="Huerta"/>
    <x v="0"/>
    <s v="Michigan"/>
    <s v="Warren"/>
    <s v="Bachelor"/>
    <d v="1983-05-13T00:00:00"/>
    <x v="320"/>
    <x v="312"/>
    <x v="2"/>
    <s v="Logistics Coordinator"/>
    <n v="57162"/>
    <x v="2"/>
  </r>
  <r>
    <s v="00-24490391"/>
    <s v="Danielle"/>
    <s v="Coleman"/>
    <x v="1"/>
    <s v="Pennsylvania"/>
    <s v="Philadelphia"/>
    <s v="Bachelor"/>
    <d v="2003-04-26T00:00:00"/>
    <x v="321"/>
    <x v="313"/>
    <x v="1"/>
    <s v="Software Developer"/>
    <n v="105074"/>
    <x v="1"/>
  </r>
  <r>
    <s v="00-20843514"/>
    <s v="Stephen"/>
    <s v="Turner"/>
    <x v="1"/>
    <s v="New York"/>
    <s v="New York City"/>
    <s v="Bachelor"/>
    <d v="1987-02-25T00:00:00"/>
    <x v="322"/>
    <x v="65"/>
    <x v="2"/>
    <s v="Logistics Coordinator"/>
    <n v="73542"/>
    <x v="2"/>
  </r>
  <r>
    <s v="00-83599154"/>
    <s v="Ashley"/>
    <s v="Andrews"/>
    <x v="0"/>
    <s v="Michigan"/>
    <s v="Warren"/>
    <s v="Master"/>
    <d v="1989-08-27T00:00:00"/>
    <x v="256"/>
    <x v="255"/>
    <x v="2"/>
    <s v="Operations Analyst"/>
    <n v="86465"/>
    <x v="3"/>
  </r>
  <r>
    <s v="00-81210133"/>
    <s v="Kenneth"/>
    <s v="Spence"/>
    <x v="0"/>
    <s v="New York"/>
    <s v="New York City"/>
    <s v="High School"/>
    <d v="1984-09-19T00:00:00"/>
    <x v="323"/>
    <x v="245"/>
    <x v="0"/>
    <s v="Support Specialist"/>
    <n v="57737"/>
    <x v="0"/>
  </r>
  <r>
    <s v="00-67740376"/>
    <s v="Randy"/>
    <s v="Smith"/>
    <x v="0"/>
    <s v="New York"/>
    <s v="New York City"/>
    <s v="Bachelor"/>
    <d v="1972-06-23T00:00:00"/>
    <x v="324"/>
    <x v="265"/>
    <x v="0"/>
    <s v="Help Desk Technician"/>
    <n v="72249"/>
    <x v="1"/>
  </r>
  <r>
    <s v="00-97874085"/>
    <s v="Gina"/>
    <s v="Garner"/>
    <x v="0"/>
    <s v="New York"/>
    <s v="New York City"/>
    <s v="Bachelor"/>
    <d v="1996-01-18T00:00:00"/>
    <x v="236"/>
    <x v="233"/>
    <x v="6"/>
    <s v="Sales Representative"/>
    <n v="64270"/>
    <x v="1"/>
  </r>
  <r>
    <s v="00-38859907"/>
    <s v="Renee"/>
    <s v="Mcgee"/>
    <x v="0"/>
    <s v="Illinois"/>
    <s v="Chicago"/>
    <s v="Master"/>
    <d v="1979-10-01T00:00:00"/>
    <x v="325"/>
    <x v="314"/>
    <x v="1"/>
    <s v="System Administrator"/>
    <n v="78290"/>
    <x v="3"/>
  </r>
  <r>
    <s v="00-55490631"/>
    <s v="Rebecca"/>
    <s v="Mitchell"/>
    <x v="1"/>
    <s v="New York"/>
    <s v="New York City"/>
    <s v="High School"/>
    <d v="1973-04-28T00:00:00"/>
    <x v="326"/>
    <x v="315"/>
    <x v="0"/>
    <s v="Help Desk Technician"/>
    <n v="84336"/>
    <x v="0"/>
  </r>
  <r>
    <s v="00-22762205"/>
    <s v="Jerry"/>
    <s v="Pham"/>
    <x v="1"/>
    <s v="New York"/>
    <s v="New York City"/>
    <s v="Bachelor"/>
    <d v="1991-03-15T00:00:00"/>
    <x v="327"/>
    <x v="316"/>
    <x v="2"/>
    <s v="Logistics Coordinator"/>
    <n v="70063"/>
    <x v="1"/>
  </r>
  <r>
    <s v="00-44210729"/>
    <s v="Dana"/>
    <s v="Oliver"/>
    <x v="0"/>
    <s v="New York"/>
    <s v="New York City"/>
    <s v="Master"/>
    <d v="1986-07-13T00:00:00"/>
    <x v="328"/>
    <x v="317"/>
    <x v="1"/>
    <s v="Software Developer"/>
    <n v="109652"/>
    <x v="1"/>
  </r>
  <r>
    <s v="00-73655158"/>
    <s v="Karla"/>
    <s v="Saunders"/>
    <x v="0"/>
    <s v="Pennsylvania"/>
    <s v="Allentown"/>
    <s v="High School"/>
    <d v="1988-03-25T00:00:00"/>
    <x v="329"/>
    <x v="318"/>
    <x v="2"/>
    <s v="Inventory Specialist"/>
    <n v="53673"/>
    <x v="3"/>
  </r>
  <r>
    <s v="00-67965485"/>
    <s v="Mary"/>
    <s v="Fuller"/>
    <x v="1"/>
    <s v="New York"/>
    <s v="New York City"/>
    <s v="Master"/>
    <d v="1966-03-16T00:00:00"/>
    <x v="330"/>
    <x v="319"/>
    <x v="1"/>
    <s v="System Administrator"/>
    <n v="78950"/>
    <x v="1"/>
  </r>
  <r>
    <s v="00-27463800"/>
    <s v="Courtney"/>
    <s v="Williams"/>
    <x v="1"/>
    <s v="New York"/>
    <s v="New York City"/>
    <s v="Bachelor"/>
    <d v="1992-12-09T00:00:00"/>
    <x v="331"/>
    <x v="320"/>
    <x v="3"/>
    <s v="Accountant"/>
    <n v="92292"/>
    <x v="1"/>
  </r>
  <r>
    <s v="00-85387867"/>
    <s v="Scott"/>
    <s v="Riley"/>
    <x v="1"/>
    <s v="New York"/>
    <s v="New York City"/>
    <s v="Bachelor"/>
    <d v="1973-03-16T00:00:00"/>
    <x v="332"/>
    <x v="321"/>
    <x v="1"/>
    <s v="Software Developer"/>
    <n v="83600"/>
    <x v="1"/>
  </r>
  <r>
    <s v="00-57459130"/>
    <s v="David"/>
    <s v="Browning"/>
    <x v="1"/>
    <s v="Michigan"/>
    <s v="Detroit"/>
    <s v="Bachelor"/>
    <d v="1971-05-12T00:00:00"/>
    <x v="333"/>
    <x v="322"/>
    <x v="1"/>
    <s v="IT Support Specialist"/>
    <n v="67517"/>
    <x v="2"/>
  </r>
  <r>
    <s v="00-16904975"/>
    <s v="Julie"/>
    <s v="Thompson"/>
    <x v="0"/>
    <s v="New York"/>
    <s v="New York City"/>
    <s v="Master"/>
    <d v="1967-07-01T00:00:00"/>
    <x v="334"/>
    <x v="323"/>
    <x v="1"/>
    <s v="System Administrator"/>
    <n v="91226"/>
    <x v="3"/>
  </r>
  <r>
    <s v="00-57197152"/>
    <s v="Kristin"/>
    <s v="Walter"/>
    <x v="1"/>
    <s v="New York"/>
    <s v="New York City"/>
    <s v="Bachelor"/>
    <d v="1997-05-21T00:00:00"/>
    <x v="335"/>
    <x v="324"/>
    <x v="3"/>
    <s v="Accountant"/>
    <n v="61904"/>
    <x v="1"/>
  </r>
  <r>
    <s v="00-30767532"/>
    <s v="Alyssa"/>
    <s v="Mcintyre"/>
    <x v="1"/>
    <s v="Michigan"/>
    <s v="Detroit"/>
    <s v="Bachelor"/>
    <d v="1988-02-03T00:00:00"/>
    <x v="106"/>
    <x v="103"/>
    <x v="3"/>
    <s v="Accountant"/>
    <n v="84689"/>
    <x v="1"/>
  </r>
  <r>
    <s v="00-24524825"/>
    <s v="Franklin"/>
    <s v="Sloan"/>
    <x v="1"/>
    <s v="New York"/>
    <s v="New York City"/>
    <s v="Bachelor"/>
    <d v="1973-09-03T00:00:00"/>
    <x v="336"/>
    <x v="325"/>
    <x v="2"/>
    <s v="Operations Analyst"/>
    <n v="82682"/>
    <x v="2"/>
  </r>
  <r>
    <s v="00-25419645"/>
    <s v="Tammy"/>
    <s v="Phillips"/>
    <x v="0"/>
    <s v="New York"/>
    <s v="New York City"/>
    <s v="High School"/>
    <d v="1977-09-13T00:00:00"/>
    <x v="337"/>
    <x v="326"/>
    <x v="0"/>
    <s v="Support Specialist"/>
    <n v="67032"/>
    <x v="0"/>
  </r>
  <r>
    <s v="00-67594492"/>
    <s v="Matthew"/>
    <s v="Wilson"/>
    <x v="0"/>
    <s v="Illinois"/>
    <s v="Aurora"/>
    <s v="Bachelor"/>
    <d v="1993-11-23T00:00:00"/>
    <x v="338"/>
    <x v="327"/>
    <x v="4"/>
    <s v="Content Creator"/>
    <n v="56797"/>
    <x v="1"/>
  </r>
  <r>
    <s v="00-96261621"/>
    <s v="Donald"/>
    <s v="Levy"/>
    <x v="0"/>
    <s v="Michigan"/>
    <s v="Grand Rapids"/>
    <s v="Bachelor"/>
    <d v="1995-12-26T00:00:00"/>
    <x v="339"/>
    <x v="328"/>
    <x v="0"/>
    <s v="Help Desk Technician"/>
    <n v="67650"/>
    <x v="1"/>
  </r>
  <r>
    <s v="00-45896226"/>
    <s v="Erica"/>
    <s v="Craig"/>
    <x v="0"/>
    <s v="New York"/>
    <s v="New York City"/>
    <s v="Bachelor"/>
    <d v="1975-10-31T00:00:00"/>
    <x v="340"/>
    <x v="329"/>
    <x v="6"/>
    <s v="Sales Representative"/>
    <n v="68757"/>
    <x v="3"/>
  </r>
  <r>
    <s v="00-51471222"/>
    <s v="Tammy"/>
    <s v="Ballard"/>
    <x v="0"/>
    <s v="New York"/>
    <s v="New York City"/>
    <s v="High School"/>
    <d v="1970-03-31T00:00:00"/>
    <x v="341"/>
    <x v="330"/>
    <x v="1"/>
    <s v="IT Support Specialist"/>
    <n v="60774"/>
    <x v="0"/>
  </r>
  <r>
    <s v="00-34347841"/>
    <s v="Christopher"/>
    <s v="Foster"/>
    <x v="1"/>
    <s v="New York"/>
    <s v="New York City"/>
    <s v="Bachelor"/>
    <d v="1992-11-17T00:00:00"/>
    <x v="342"/>
    <x v="331"/>
    <x v="5"/>
    <s v="HR Coordinator"/>
    <n v="61927"/>
    <x v="1"/>
  </r>
  <r>
    <s v="00-63792364"/>
    <s v="Amanda"/>
    <s v="Gibson"/>
    <x v="0"/>
    <s v="New York"/>
    <s v="New York City"/>
    <s v="High School"/>
    <d v="1972-09-13T00:00:00"/>
    <x v="343"/>
    <x v="332"/>
    <x v="0"/>
    <s v="Support Specialist"/>
    <n v="63658"/>
    <x v="0"/>
  </r>
  <r>
    <s v="00-14114726"/>
    <s v="Kaitlyn"/>
    <s v="Baker"/>
    <x v="1"/>
    <s v="Illinois"/>
    <s v="Chicago"/>
    <s v="Bachelor"/>
    <d v="1973-03-05T00:00:00"/>
    <x v="344"/>
    <x v="333"/>
    <x v="6"/>
    <s v="Sales Representative"/>
    <n v="87636"/>
    <x v="1"/>
  </r>
  <r>
    <s v="00-60491958"/>
    <s v="Lynn"/>
    <s v="Bentley"/>
    <x v="1"/>
    <s v="New York"/>
    <s v="New York City"/>
    <s v="Bachelor"/>
    <d v="1979-05-03T00:00:00"/>
    <x v="345"/>
    <x v="334"/>
    <x v="4"/>
    <s v="Marketing Coordinator"/>
    <n v="72762"/>
    <x v="1"/>
  </r>
  <r>
    <s v="00-59667685"/>
    <s v="Emily"/>
    <s v="Ruiz"/>
    <x v="0"/>
    <s v="Pennsylvania"/>
    <s v="Pittsburgh"/>
    <s v="Bachelor"/>
    <d v="1974-01-24T00:00:00"/>
    <x v="346"/>
    <x v="335"/>
    <x v="2"/>
    <s v="Inventory Specialist"/>
    <n v="57980"/>
    <x v="3"/>
  </r>
  <r>
    <s v="00-86181117"/>
    <s v="Nicole"/>
    <s v="Hoffman"/>
    <x v="1"/>
    <s v="New York"/>
    <s v="New York City"/>
    <s v="Bachelor"/>
    <d v="1982-07-14T00:00:00"/>
    <x v="347"/>
    <x v="325"/>
    <x v="6"/>
    <s v="Sales Representative"/>
    <n v="84521"/>
    <x v="1"/>
  </r>
  <r>
    <s v="00-31127198"/>
    <s v="Chelsea"/>
    <s v="Holland"/>
    <x v="1"/>
    <s v="Illinois"/>
    <s v="Chicago"/>
    <s v="High School"/>
    <d v="1960-12-24T00:00:00"/>
    <x v="348"/>
    <x v="336"/>
    <x v="0"/>
    <s v="Customer Service Representative"/>
    <n v="63466"/>
    <x v="0"/>
  </r>
  <r>
    <s v="00-20949687"/>
    <s v="Madison"/>
    <s v="Blankenship"/>
    <x v="1"/>
    <s v="New York"/>
    <s v="New York City"/>
    <s v="Bachelor"/>
    <d v="1961-06-08T00:00:00"/>
    <x v="349"/>
    <x v="199"/>
    <x v="6"/>
    <s v="Sales Representative"/>
    <n v="75091"/>
    <x v="3"/>
  </r>
  <r>
    <s v="00-75184410"/>
    <s v="Debra"/>
    <s v="Wilson"/>
    <x v="1"/>
    <s v="New York"/>
    <s v="New York City"/>
    <s v="Bachelor"/>
    <d v="1983-08-01T00:00:00"/>
    <x v="350"/>
    <x v="337"/>
    <x v="6"/>
    <s v="Sales Representative"/>
    <n v="83010"/>
    <x v="3"/>
  </r>
  <r>
    <s v="00-38933176"/>
    <s v="Sophia"/>
    <s v="Torres"/>
    <x v="0"/>
    <s v="New York"/>
    <s v="New York City"/>
    <s v="High School"/>
    <d v="1981-06-27T00:00:00"/>
    <x v="351"/>
    <x v="338"/>
    <x v="0"/>
    <s v="Help Desk Technician"/>
    <n v="56691"/>
    <x v="0"/>
  </r>
  <r>
    <s v="00-89609131"/>
    <s v="Derek"/>
    <s v="Chavez"/>
    <x v="1"/>
    <s v="New York"/>
    <s v="New York City"/>
    <s v="Bachelor"/>
    <d v="1997-12-09T00:00:00"/>
    <x v="352"/>
    <x v="339"/>
    <x v="3"/>
    <s v="Accounts Payable Specialist"/>
    <n v="61471"/>
    <x v="0"/>
  </r>
  <r>
    <s v="00-16095815"/>
    <s v="Stacy"/>
    <s v="Horton"/>
    <x v="0"/>
    <s v="New York"/>
    <s v="New York City"/>
    <s v="Bachelor"/>
    <d v="1986-02-10T00:00:00"/>
    <x v="257"/>
    <x v="339"/>
    <x v="4"/>
    <s v="SEO Specialist"/>
    <n v="62257"/>
    <x v="2"/>
  </r>
  <r>
    <s v="00-28419343"/>
    <s v="Nicole"/>
    <s v="Pena"/>
    <x v="0"/>
    <s v="New York"/>
    <s v="New York City"/>
    <s v="Bachelor"/>
    <d v="1979-05-19T00:00:00"/>
    <x v="144"/>
    <x v="142"/>
    <x v="3"/>
    <s v="Accounts Payable Specialist"/>
    <n v="58656"/>
    <x v="1"/>
  </r>
  <r>
    <s v="00-26104026"/>
    <s v="Tracy"/>
    <s v="Russell"/>
    <x v="0"/>
    <s v="Illinois"/>
    <s v="Chicago"/>
    <s v="High School"/>
    <d v="1982-01-16T00:00:00"/>
    <x v="353"/>
    <x v="340"/>
    <x v="0"/>
    <s v="Help Desk Technician"/>
    <n v="68102"/>
    <x v="0"/>
  </r>
  <r>
    <s v="00-40884937"/>
    <s v="Sean"/>
    <s v="Young"/>
    <x v="0"/>
    <s v="New York"/>
    <s v="New York City"/>
    <s v="Bachelor"/>
    <d v="1964-06-02T00:00:00"/>
    <x v="354"/>
    <x v="341"/>
    <x v="6"/>
    <s v="Sales Representative"/>
    <n v="65617"/>
    <x v="2"/>
  </r>
  <r>
    <s v="00-68548403"/>
    <s v="Rachel"/>
    <s v="Newman"/>
    <x v="0"/>
    <s v="New York"/>
    <s v="New York City"/>
    <s v="Bachelor"/>
    <d v="1977-08-19T00:00:00"/>
    <x v="355"/>
    <x v="342"/>
    <x v="6"/>
    <s v="Sales Representative"/>
    <n v="52981"/>
    <x v="1"/>
  </r>
  <r>
    <s v="00-52018286"/>
    <s v="Raymond"/>
    <s v="Lopez"/>
    <x v="1"/>
    <s v="New York"/>
    <s v="New York City"/>
    <s v="Bachelor"/>
    <d v="1966-03-14T00:00:00"/>
    <x v="356"/>
    <x v="343"/>
    <x v="1"/>
    <s v="System Administrator"/>
    <n v="75569"/>
    <x v="1"/>
  </r>
  <r>
    <s v="00-95918360"/>
    <s v="Stacy"/>
    <s v="Holloway"/>
    <x v="0"/>
    <s v="New York"/>
    <s v="New York City"/>
    <s v="High School"/>
    <d v="1995-10-05T00:00:00"/>
    <x v="357"/>
    <x v="344"/>
    <x v="2"/>
    <s v="Inventory Specialist"/>
    <n v="53099"/>
    <x v="0"/>
  </r>
  <r>
    <s v="00-12799319"/>
    <s v="Elizabeth"/>
    <s v="May"/>
    <x v="0"/>
    <s v="New York"/>
    <s v="New York City"/>
    <s v="Bachelor"/>
    <d v="1983-12-04T00:00:00"/>
    <x v="358"/>
    <x v="345"/>
    <x v="1"/>
    <s v="Software Developer"/>
    <n v="79955"/>
    <x v="2"/>
  </r>
  <r>
    <s v="00-92963368"/>
    <s v="Tasha"/>
    <s v="Williams"/>
    <x v="1"/>
    <s v="Michigan"/>
    <s v="Detroit"/>
    <s v="Bachelor"/>
    <d v="1967-05-14T00:00:00"/>
    <x v="359"/>
    <x v="346"/>
    <x v="6"/>
    <s v="Sales Representative"/>
    <n v="73482"/>
    <x v="1"/>
  </r>
  <r>
    <s v="00-21828592"/>
    <s v="John"/>
    <s v="Martinez"/>
    <x v="0"/>
    <s v="Illinois"/>
    <s v="Aurora"/>
    <s v="Master"/>
    <d v="1997-12-28T00:00:00"/>
    <x v="360"/>
    <x v="347"/>
    <x v="6"/>
    <s v="Sales Manager"/>
    <n v="90215"/>
    <x v="3"/>
  </r>
  <r>
    <s v="00-68475513"/>
    <s v="Jamie"/>
    <s v="Gallegos"/>
    <x v="1"/>
    <s v="Illinois"/>
    <s v="Aurora"/>
    <s v="PhD"/>
    <d v="1982-01-29T00:00:00"/>
    <x v="361"/>
    <x v="348"/>
    <x v="6"/>
    <s v="Sales Specialist"/>
    <n v="62776"/>
    <x v="3"/>
  </r>
  <r>
    <s v="00-63118906"/>
    <s v="Jamie"/>
    <s v="Robinson"/>
    <x v="0"/>
    <s v="New York"/>
    <s v="New York City"/>
    <s v="Bachelor"/>
    <d v="1968-02-24T00:00:00"/>
    <x v="362"/>
    <x v="349"/>
    <x v="1"/>
    <s v="Software Developer"/>
    <n v="87013"/>
    <x v="1"/>
  </r>
  <r>
    <s v="00-39738898"/>
    <s v="Jesse"/>
    <s v="Schroeder"/>
    <x v="0"/>
    <s v="Ohio"/>
    <s v="Cincinnati"/>
    <s v="Bachelor"/>
    <d v="1984-06-03T00:00:00"/>
    <x v="221"/>
    <x v="350"/>
    <x v="3"/>
    <s v="Accounts Payable Specialist"/>
    <n v="59789"/>
    <x v="2"/>
  </r>
  <r>
    <s v="00-78515906"/>
    <s v="Rachel"/>
    <s v="Smith"/>
    <x v="0"/>
    <s v="New York"/>
    <s v="New York City"/>
    <s v="Bachelor"/>
    <d v="1979-02-10T00:00:00"/>
    <x v="363"/>
    <x v="351"/>
    <x v="3"/>
    <s v="Accountant"/>
    <n v="71440"/>
    <x v="1"/>
  </r>
  <r>
    <s v="00-36025314"/>
    <s v="Tracey"/>
    <s v="Huerta"/>
    <x v="1"/>
    <s v="Pennsylvania"/>
    <s v="Pittsburgh"/>
    <s v="Bachelor"/>
    <d v="1984-08-21T00:00:00"/>
    <x v="257"/>
    <x v="37"/>
    <x v="6"/>
    <s v="Sales Representative"/>
    <n v="61839"/>
    <x v="3"/>
  </r>
  <r>
    <s v="00-96629889"/>
    <s v="John"/>
    <s v="Thompson"/>
    <x v="0"/>
    <s v="New York"/>
    <s v="New York City"/>
    <s v="Bachelor"/>
    <d v="1990-11-21T00:00:00"/>
    <x v="364"/>
    <x v="352"/>
    <x v="2"/>
    <s v="Operations Analyst"/>
    <n v="82312"/>
    <x v="1"/>
  </r>
  <r>
    <s v="00-29655410"/>
    <s v="Michelle"/>
    <s v="Anderson"/>
    <x v="1"/>
    <s v="New York"/>
    <s v="New York City"/>
    <s v="PhD"/>
    <d v="1993-12-27T00:00:00"/>
    <x v="365"/>
    <x v="353"/>
    <x v="0"/>
    <s v="Customer Service Manager"/>
    <n v="88028"/>
    <x v="3"/>
  </r>
  <r>
    <s v="00-30517835"/>
    <s v="Kristy"/>
    <s v="Young"/>
    <x v="1"/>
    <s v="New York"/>
    <s v="New York City"/>
    <s v="Bachelor"/>
    <d v="1992-01-07T00:00:00"/>
    <x v="366"/>
    <x v="354"/>
    <x v="6"/>
    <s v="Sales Consultant"/>
    <n v="97258"/>
    <x v="2"/>
  </r>
  <r>
    <s v="00-33776150"/>
    <s v="Alfred"/>
    <s v="Baker"/>
    <x v="0"/>
    <s v="New York"/>
    <s v="New York City"/>
    <s v="High School"/>
    <d v="1971-03-21T00:00:00"/>
    <x v="367"/>
    <x v="355"/>
    <x v="0"/>
    <s v="Customer Service Representative"/>
    <n v="62902"/>
    <x v="0"/>
  </r>
  <r>
    <s v="00-72270726"/>
    <s v="Judy"/>
    <s v="Fox"/>
    <x v="1"/>
    <s v="New York"/>
    <s v="New York City"/>
    <s v="High School"/>
    <d v="1998-07-08T00:00:00"/>
    <x v="368"/>
    <x v="356"/>
    <x v="0"/>
    <s v="Support Specialist"/>
    <n v="55023"/>
    <x v="0"/>
  </r>
  <r>
    <s v="00-85764804"/>
    <s v="Bryce"/>
    <s v="West"/>
    <x v="1"/>
    <s v="New York"/>
    <s v="New York City"/>
    <s v="Bachelor"/>
    <d v="2000-02-08T00:00:00"/>
    <x v="369"/>
    <x v="357"/>
    <x v="2"/>
    <s v="Logistics Coordinator"/>
    <n v="69131"/>
    <x v="1"/>
  </r>
  <r>
    <s v="00-94183695"/>
    <s v="William"/>
    <s v="Rodriguez"/>
    <x v="1"/>
    <s v="New York"/>
    <s v="New York City"/>
    <s v="Bachelor"/>
    <d v="1965-07-20T00:00:00"/>
    <x v="370"/>
    <x v="358"/>
    <x v="2"/>
    <s v="Logistics Coordinator"/>
    <n v="65842"/>
    <x v="2"/>
  </r>
  <r>
    <s v="00-72937522"/>
    <s v="Jeffrey"/>
    <s v="Gilbert"/>
    <x v="1"/>
    <s v="New York"/>
    <s v="New York City"/>
    <s v="Bachelor"/>
    <d v="1985-07-01T00:00:00"/>
    <x v="371"/>
    <x v="359"/>
    <x v="2"/>
    <s v="Logistics Coordinator"/>
    <n v="67507"/>
    <x v="1"/>
  </r>
  <r>
    <s v="00-46866075"/>
    <s v="Krista"/>
    <s v="Camacho"/>
    <x v="0"/>
    <s v="New York"/>
    <s v="New York City"/>
    <s v="Bachelor"/>
    <d v="2002-08-19T00:00:00"/>
    <x v="372"/>
    <x v="360"/>
    <x v="4"/>
    <s v="Marketing Coordinator"/>
    <n v="68202"/>
    <x v="3"/>
  </r>
  <r>
    <s v="00-19957701"/>
    <s v="Kevin"/>
    <s v="Schneider"/>
    <x v="0"/>
    <s v="New York"/>
    <s v="New York City"/>
    <s v="Bachelor"/>
    <d v="1996-04-08T00:00:00"/>
    <x v="373"/>
    <x v="361"/>
    <x v="2"/>
    <s v="Logistics Coordinator"/>
    <n v="54343"/>
    <x v="2"/>
  </r>
  <r>
    <s v="00-17635653"/>
    <s v="Bruce"/>
    <s v="Mendoza"/>
    <x v="1"/>
    <s v="Ohio"/>
    <s v="Columbus"/>
    <s v="Bachelor"/>
    <d v="1974-02-05T00:00:00"/>
    <x v="374"/>
    <x v="362"/>
    <x v="1"/>
    <s v="System Administrator"/>
    <n v="103091"/>
    <x v="2"/>
  </r>
  <r>
    <s v="00-96525668"/>
    <s v="Ronald"/>
    <s v="Rodriguez"/>
    <x v="1"/>
    <s v="New York"/>
    <s v="New York City"/>
    <s v="Bachelor"/>
    <d v="1980-01-21T00:00:00"/>
    <x v="375"/>
    <x v="363"/>
    <x v="4"/>
    <s v="Content Creator"/>
    <n v="59360"/>
    <x v="2"/>
  </r>
  <r>
    <s v="00-89736043"/>
    <s v="Renee"/>
    <s v="Jones"/>
    <x v="1"/>
    <s v="New York"/>
    <s v="New York City"/>
    <s v="Bachelor"/>
    <d v="1986-03-02T00:00:00"/>
    <x v="376"/>
    <x v="230"/>
    <x v="2"/>
    <s v="Inventory Specialist"/>
    <n v="61715"/>
    <x v="1"/>
  </r>
  <r>
    <s v="00-84399083"/>
    <s v="Marc"/>
    <s v="Hernandez"/>
    <x v="1"/>
    <s v="New York"/>
    <s v="New York City"/>
    <s v="High School"/>
    <d v="2004-05-10T00:00:00"/>
    <x v="367"/>
    <x v="355"/>
    <x v="0"/>
    <s v="Support Specialist"/>
    <n v="54169"/>
    <x v="0"/>
  </r>
  <r>
    <s v="00-70362235"/>
    <s v="Joshua"/>
    <s v="Schultz"/>
    <x v="0"/>
    <s v="New York"/>
    <s v="New York City"/>
    <s v="High School"/>
    <d v="1996-02-28T00:00:00"/>
    <x v="377"/>
    <x v="364"/>
    <x v="0"/>
    <s v="Customer Service Representative"/>
    <n v="59545"/>
    <x v="0"/>
  </r>
  <r>
    <s v="00-35265073"/>
    <s v="Jennifer"/>
    <s v="James"/>
    <x v="1"/>
    <s v="North Carolina"/>
    <s v="Raleigh"/>
    <s v="High School"/>
    <d v="1983-11-13T00:00:00"/>
    <x v="378"/>
    <x v="365"/>
    <x v="0"/>
    <s v="Customer Service Representative"/>
    <n v="61048"/>
    <x v="3"/>
  </r>
  <r>
    <s v="00-30248230"/>
    <s v="Alyssa"/>
    <s v="Chavez"/>
    <x v="0"/>
    <s v="New York"/>
    <s v="New York City"/>
    <s v="Bachelor"/>
    <d v="1974-08-30T00:00:00"/>
    <x v="379"/>
    <x v="366"/>
    <x v="4"/>
    <s v="Marketing Coordinator"/>
    <n v="66315"/>
    <x v="1"/>
  </r>
  <r>
    <s v="00-56095437"/>
    <s v="Russell"/>
    <s v="Mcguire"/>
    <x v="1"/>
    <s v="New York"/>
    <s v="New York City"/>
    <s v="PhD"/>
    <d v="1986-05-21T00:00:00"/>
    <x v="195"/>
    <x v="191"/>
    <x v="6"/>
    <s v="Sales Consultant"/>
    <n v="85948"/>
    <x v="3"/>
  </r>
  <r>
    <s v="00-96721710"/>
    <s v="Melissa"/>
    <s v="Curtis"/>
    <x v="1"/>
    <s v="West Virginia"/>
    <s v="Huntington"/>
    <s v="Bachelor"/>
    <d v="1996-05-15T00:00:00"/>
    <x v="380"/>
    <x v="367"/>
    <x v="2"/>
    <s v="Operations Analyst"/>
    <n v="67086"/>
    <x v="2"/>
  </r>
  <r>
    <s v="00-68754920"/>
    <s v="Andrea"/>
    <s v="Glenn"/>
    <x v="0"/>
    <s v="New York"/>
    <s v="New York City"/>
    <s v="Bachelor"/>
    <d v="1987-05-11T00:00:00"/>
    <x v="381"/>
    <x v="368"/>
    <x v="0"/>
    <s v="Support Specialist"/>
    <n v="60537"/>
    <x v="0"/>
  </r>
  <r>
    <s v="00-91846696"/>
    <s v="Shannon"/>
    <s v="Perez"/>
    <x v="0"/>
    <s v="West Virginia"/>
    <s v="Charleston"/>
    <s v="Master"/>
    <d v="1988-08-26T00:00:00"/>
    <x v="382"/>
    <x v="369"/>
    <x v="2"/>
    <s v="Operations Analyst"/>
    <n v="57264"/>
    <x v="3"/>
  </r>
  <r>
    <s v="00-61998170"/>
    <s v="Maria"/>
    <s v="Ross"/>
    <x v="1"/>
    <s v="Virginia"/>
    <s v="Norfolk"/>
    <s v="High School"/>
    <d v="1999-04-09T00:00:00"/>
    <x v="383"/>
    <x v="370"/>
    <x v="0"/>
    <s v="Customer Service Representative"/>
    <n v="59603"/>
    <x v="0"/>
  </r>
  <r>
    <s v="00-90246882"/>
    <s v="Cody"/>
    <s v="Simmons"/>
    <x v="1"/>
    <s v="New York"/>
    <s v="New York City"/>
    <s v="Bachelor"/>
    <d v="1988-02-28T00:00:00"/>
    <x v="384"/>
    <x v="371"/>
    <x v="2"/>
    <s v="Logistics Coordinator"/>
    <n v="61601"/>
    <x v="2"/>
  </r>
  <r>
    <s v="00-54915875"/>
    <s v="Jonathan"/>
    <s v="Mckay"/>
    <x v="0"/>
    <s v="New York"/>
    <s v="New York City"/>
    <s v="High School"/>
    <d v="2000-10-28T00:00:00"/>
    <x v="385"/>
    <x v="372"/>
    <x v="0"/>
    <s v="Customer Service Representative"/>
    <n v="62539"/>
    <x v="3"/>
  </r>
  <r>
    <s v="00-61883769"/>
    <s v="Sandra"/>
    <s v="Jones"/>
    <x v="0"/>
    <s v="New York"/>
    <s v="New York City"/>
    <s v="High School"/>
    <d v="1978-01-11T00:00:00"/>
    <x v="386"/>
    <x v="373"/>
    <x v="2"/>
    <s v="Inventory Specialist"/>
    <n v="60781"/>
    <x v="0"/>
  </r>
  <r>
    <s v="00-98122539"/>
    <s v="Christopher"/>
    <s v="Reynolds"/>
    <x v="0"/>
    <s v="New York"/>
    <s v="New York City"/>
    <s v="Bachelor"/>
    <d v="1963-01-03T00:00:00"/>
    <x v="387"/>
    <x v="374"/>
    <x v="4"/>
    <s v="SEO Specialist"/>
    <n v="89319"/>
    <x v="0"/>
  </r>
  <r>
    <s v="00-30182766"/>
    <s v="Joanne"/>
    <s v="Cain"/>
    <x v="0"/>
    <s v="New York"/>
    <s v="New York City"/>
    <s v="Master"/>
    <d v="2001-05-30T00:00:00"/>
    <x v="388"/>
    <x v="375"/>
    <x v="1"/>
    <s v="Software Developer"/>
    <n v="79321"/>
    <x v="3"/>
  </r>
  <r>
    <s v="00-28982195"/>
    <s v="Brian"/>
    <s v="Frye"/>
    <x v="0"/>
    <s v="New York"/>
    <s v="New York City"/>
    <s v="Bachelor"/>
    <d v="2002-09-25T00:00:00"/>
    <x v="389"/>
    <x v="376"/>
    <x v="2"/>
    <s v="Logistics Coordinator"/>
    <n v="54814"/>
    <x v="1"/>
  </r>
  <r>
    <s v="00-98870276"/>
    <s v="Mark"/>
    <s v="Martinez"/>
    <x v="0"/>
    <s v="New York"/>
    <s v="New York City"/>
    <s v="Master"/>
    <d v="1985-04-06T00:00:00"/>
    <x v="390"/>
    <x v="64"/>
    <x v="6"/>
    <s v="Sales Specialist"/>
    <n v="90335"/>
    <x v="3"/>
  </r>
  <r>
    <s v="00-21370793"/>
    <s v="Morgan"/>
    <s v="Pugh"/>
    <x v="1"/>
    <s v="Illinois"/>
    <s v="Aurora"/>
    <s v="Bachelor"/>
    <d v="1966-09-30T00:00:00"/>
    <x v="391"/>
    <x v="377"/>
    <x v="3"/>
    <s v="Financial Analyst"/>
    <n v="86323"/>
    <x v="1"/>
  </r>
  <r>
    <s v="00-54087376"/>
    <s v="Miranda"/>
    <s v="Griffith"/>
    <x v="1"/>
    <s v="New York"/>
    <s v="New York City"/>
    <s v="High School"/>
    <d v="1966-12-25T00:00:00"/>
    <x v="392"/>
    <x v="378"/>
    <x v="4"/>
    <s v="Content Creator"/>
    <n v="64366"/>
    <x v="0"/>
  </r>
  <r>
    <s v="00-80651318"/>
    <s v="Caroline"/>
    <s v="Bell"/>
    <x v="1"/>
    <s v="New York"/>
    <s v="New York City"/>
    <s v="High School"/>
    <d v="1966-09-27T00:00:00"/>
    <x v="393"/>
    <x v="379"/>
    <x v="1"/>
    <s v="IT Support Specialist"/>
    <n v="64874"/>
    <x v="0"/>
  </r>
  <r>
    <s v="00-78248169"/>
    <s v="William"/>
    <s v="Moore"/>
    <x v="0"/>
    <s v="New York"/>
    <s v="New York City"/>
    <s v="Master"/>
    <d v="1977-10-05T00:00:00"/>
    <x v="336"/>
    <x v="380"/>
    <x v="1"/>
    <s v="System Administrator"/>
    <n v="106998"/>
    <x v="1"/>
  </r>
  <r>
    <s v="00-34194479"/>
    <s v="Jeffrey"/>
    <s v="Rodriguez"/>
    <x v="1"/>
    <s v="New York"/>
    <s v="New York City"/>
    <s v="Master"/>
    <d v="1985-05-15T00:00:00"/>
    <x v="394"/>
    <x v="381"/>
    <x v="3"/>
    <s v="Financial Analyst"/>
    <n v="74915"/>
    <x v="3"/>
  </r>
  <r>
    <s v="00-75266178"/>
    <s v="Angela"/>
    <s v="Wilson"/>
    <x v="0"/>
    <s v="New York"/>
    <s v="New York City"/>
    <s v="High School"/>
    <d v="2002-12-02T00:00:00"/>
    <x v="395"/>
    <x v="382"/>
    <x v="1"/>
    <s v="IT Support Specialist"/>
    <n v="52103"/>
    <x v="3"/>
  </r>
  <r>
    <s v="00-20356922"/>
    <s v="Audrey"/>
    <s v="Aguirre"/>
    <x v="1"/>
    <s v="New York"/>
    <s v="New York City"/>
    <s v="Bachelor"/>
    <d v="1980-03-24T00:00:00"/>
    <x v="105"/>
    <x v="383"/>
    <x v="4"/>
    <s v="SEO Specialist"/>
    <n v="68068"/>
    <x v="3"/>
  </r>
  <r>
    <s v="00-82446804"/>
    <s v="Ann"/>
    <s v="Saunders"/>
    <x v="0"/>
    <s v="New York"/>
    <s v="New York City"/>
    <s v="Bachelor"/>
    <d v="1972-10-16T00:00:00"/>
    <x v="396"/>
    <x v="384"/>
    <x v="0"/>
    <s v="Customer Service Representative"/>
    <n v="55930"/>
    <x v="1"/>
  </r>
  <r>
    <s v="00-98842638"/>
    <s v="Christina"/>
    <s v="Day"/>
    <x v="0"/>
    <s v="Virginia"/>
    <s v="Virginia Beach"/>
    <s v="Bachelor"/>
    <d v="1983-01-10T00:00:00"/>
    <x v="397"/>
    <x v="385"/>
    <x v="2"/>
    <s v="Logistics Coordinator"/>
    <n v="58847"/>
    <x v="0"/>
  </r>
  <r>
    <s v="00-90161060"/>
    <s v="Chelsea"/>
    <s v="Barrett"/>
    <x v="0"/>
    <s v="Ohio"/>
    <s v="Columbus"/>
    <s v="PhD"/>
    <d v="1985-01-02T00:00:00"/>
    <x v="170"/>
    <x v="154"/>
    <x v="6"/>
    <s v="Sales Specialist"/>
    <n v="70819"/>
    <x v="3"/>
  </r>
  <r>
    <s v="00-93851247"/>
    <s v="Joseph"/>
    <s v="White"/>
    <x v="1"/>
    <s v="New York"/>
    <s v="New York City"/>
    <s v="Bachelor"/>
    <d v="1997-09-20T00:00:00"/>
    <x v="398"/>
    <x v="386"/>
    <x v="3"/>
    <s v="Accountant"/>
    <n v="86643"/>
    <x v="1"/>
  </r>
  <r>
    <s v="00-68743530"/>
    <s v="Kathryn"/>
    <s v="Dorsey"/>
    <x v="0"/>
    <s v="New York"/>
    <s v="New York City"/>
    <s v="Bachelor"/>
    <d v="2004-02-20T00:00:00"/>
    <x v="399"/>
    <x v="387"/>
    <x v="1"/>
    <s v="IT Support Specialist"/>
    <n v="60942"/>
    <x v="1"/>
  </r>
  <r>
    <s v="00-41880763"/>
    <s v="Adam"/>
    <s v="Kane"/>
    <x v="1"/>
    <s v="New York"/>
    <s v="New York City"/>
    <s v="Bachelor"/>
    <d v="1990-03-19T00:00:00"/>
    <x v="400"/>
    <x v="388"/>
    <x v="1"/>
    <s v="Software Developer"/>
    <n v="88560"/>
    <x v="1"/>
  </r>
  <r>
    <s v="00-70254091"/>
    <s v="Diane"/>
    <s v="Jones"/>
    <x v="1"/>
    <s v="New York"/>
    <s v="New York City"/>
    <s v="High School"/>
    <d v="1985-06-02T00:00:00"/>
    <x v="244"/>
    <x v="389"/>
    <x v="2"/>
    <s v="Inventory Specialist"/>
    <n v="57135"/>
    <x v="0"/>
  </r>
  <r>
    <s v="00-72950208"/>
    <s v="Cynthia"/>
    <s v="Johnson"/>
    <x v="1"/>
    <s v="New York"/>
    <s v="New York City"/>
    <s v="Bachelor"/>
    <d v="1995-12-22T00:00:00"/>
    <x v="29"/>
    <x v="390"/>
    <x v="2"/>
    <s v="Logistics Coordinator"/>
    <n v="63169"/>
    <x v="1"/>
  </r>
  <r>
    <s v="00-86560394"/>
    <s v="Alyssa"/>
    <s v="Bennett"/>
    <x v="0"/>
    <s v="New York"/>
    <s v="New York City"/>
    <s v="Bachelor"/>
    <d v="1983-03-15T00:00:00"/>
    <x v="401"/>
    <x v="391"/>
    <x v="4"/>
    <s v="SEO Specialist"/>
    <n v="65631"/>
    <x v="1"/>
  </r>
  <r>
    <s v="00-47818761"/>
    <s v="Matthew"/>
    <s v="Wood"/>
    <x v="1"/>
    <s v="New York"/>
    <s v="New York City"/>
    <s v="Bachelor"/>
    <d v="1969-09-10T00:00:00"/>
    <x v="402"/>
    <x v="392"/>
    <x v="6"/>
    <s v="Sales Representative"/>
    <n v="88827"/>
    <x v="1"/>
  </r>
  <r>
    <s v="00-66191704"/>
    <s v="Mark"/>
    <s v="Pugh"/>
    <x v="0"/>
    <s v="Michigan"/>
    <s v="Detroit"/>
    <s v="Master"/>
    <d v="1996-08-05T00:00:00"/>
    <x v="358"/>
    <x v="345"/>
    <x v="2"/>
    <s v="Operations Analyst"/>
    <n v="78171"/>
    <x v="1"/>
  </r>
  <r>
    <s v="00-96057593"/>
    <s v="Karen"/>
    <s v="Williams"/>
    <x v="0"/>
    <s v="New York"/>
    <s v="New York City"/>
    <s v="Bachelor"/>
    <d v="1990-05-07T00:00:00"/>
    <x v="403"/>
    <x v="393"/>
    <x v="6"/>
    <s v="Sales Representative"/>
    <n v="75714"/>
    <x v="1"/>
  </r>
  <r>
    <s v="00-23769360"/>
    <s v="Joseph"/>
    <s v="Stanley"/>
    <x v="0"/>
    <s v="New York"/>
    <s v="New York City"/>
    <s v="Master"/>
    <d v="1965-03-07T00:00:00"/>
    <x v="404"/>
    <x v="394"/>
    <x v="6"/>
    <s v="Sales Specialist"/>
    <n v="88335"/>
    <x v="3"/>
  </r>
  <r>
    <s v="00-26733967"/>
    <s v="Catherine"/>
    <s v="Perry"/>
    <x v="1"/>
    <s v="Pennsylvania"/>
    <s v="Pittsburgh"/>
    <s v="High School"/>
    <d v="1971-05-26T00:00:00"/>
    <x v="405"/>
    <x v="395"/>
    <x v="0"/>
    <s v="Help Desk Technician"/>
    <n v="74004"/>
    <x v="3"/>
  </r>
  <r>
    <s v="00-70306604"/>
    <s v="Kari"/>
    <s v="Wilson"/>
    <x v="1"/>
    <s v="New York"/>
    <s v="New York City"/>
    <s v="Bachelor"/>
    <d v="2002-04-13T00:00:00"/>
    <x v="406"/>
    <x v="396"/>
    <x v="1"/>
    <s v="IT Support Specialist"/>
    <n v="69688"/>
    <x v="2"/>
  </r>
  <r>
    <s v="00-68716573"/>
    <s v="Daniel"/>
    <s v="Gregory"/>
    <x v="0"/>
    <s v="New York"/>
    <s v="New York City"/>
    <s v="Master"/>
    <d v="1978-11-03T00:00:00"/>
    <x v="407"/>
    <x v="397"/>
    <x v="1"/>
    <s v="Software Developer"/>
    <n v="103528"/>
    <x v="1"/>
  </r>
  <r>
    <s v="00-70549373"/>
    <s v="Tommy"/>
    <s v="Estrada"/>
    <x v="1"/>
    <s v="New York"/>
    <s v="New York City"/>
    <s v="Bachelor"/>
    <d v="1967-01-14T00:00:00"/>
    <x v="408"/>
    <x v="398"/>
    <x v="6"/>
    <s v="Sales Representative"/>
    <n v="83745"/>
    <x v="2"/>
  </r>
  <r>
    <s v="00-17148018"/>
    <s v="Jeffrey"/>
    <s v="Joyce"/>
    <x v="0"/>
    <s v="New York"/>
    <s v="New York City"/>
    <s v="PhD"/>
    <d v="1964-11-07T00:00:00"/>
    <x v="409"/>
    <x v="399"/>
    <x v="6"/>
    <s v="Sales Specialist"/>
    <n v="79998"/>
    <x v="3"/>
  </r>
  <r>
    <s v="00-61830338"/>
    <s v="Adrian"/>
    <s v="Turner"/>
    <x v="0"/>
    <s v="New York"/>
    <s v="New York City"/>
    <s v="High School"/>
    <d v="1988-12-30T00:00:00"/>
    <x v="145"/>
    <x v="40"/>
    <x v="2"/>
    <s v="Inventory Specialist"/>
    <n v="56282"/>
    <x v="0"/>
  </r>
  <r>
    <s v="00-13783268"/>
    <s v="Katrina"/>
    <s v="Duran"/>
    <x v="1"/>
    <s v="New York"/>
    <s v="New York City"/>
    <s v="Bachelor"/>
    <d v="1996-01-27T00:00:00"/>
    <x v="410"/>
    <x v="400"/>
    <x v="2"/>
    <s v="Inventory Specialist"/>
    <n v="61488"/>
    <x v="1"/>
  </r>
  <r>
    <s v="00-97236246"/>
    <s v="Mark"/>
    <s v="Smith"/>
    <x v="0"/>
    <s v="New York"/>
    <s v="New York City"/>
    <s v="Bachelor"/>
    <d v="1997-06-12T00:00:00"/>
    <x v="411"/>
    <x v="401"/>
    <x v="0"/>
    <s v="Customer Service Representative"/>
    <n v="54570"/>
    <x v="0"/>
  </r>
  <r>
    <s v="00-15140967"/>
    <s v="Ryan"/>
    <s v="Anderson"/>
    <x v="0"/>
    <s v="Michigan"/>
    <s v="Grand Rapids"/>
    <s v="Bachelor"/>
    <d v="1992-02-16T00:00:00"/>
    <x v="412"/>
    <x v="402"/>
    <x v="3"/>
    <s v="Accounts Payable Specialist"/>
    <n v="58678"/>
    <x v="0"/>
  </r>
  <r>
    <s v="00-28628439"/>
    <s v="Jane"/>
    <s v="Mason"/>
    <x v="1"/>
    <s v="New York"/>
    <s v="New York City"/>
    <s v="High School"/>
    <d v="1986-09-17T00:00:00"/>
    <x v="144"/>
    <x v="403"/>
    <x v="2"/>
    <s v="Inventory Specialist"/>
    <n v="63760"/>
    <x v="0"/>
  </r>
  <r>
    <s v="00-92590645"/>
    <s v="Elizabeth"/>
    <s v="Gomez"/>
    <x v="1"/>
    <s v="New York"/>
    <s v="New York City"/>
    <s v="Bachelor"/>
    <d v="1974-10-11T00:00:00"/>
    <x v="340"/>
    <x v="404"/>
    <x v="1"/>
    <s v="System Administrator"/>
    <n v="91567"/>
    <x v="2"/>
  </r>
  <r>
    <s v="00-44349528"/>
    <s v="Michelle"/>
    <s v="Williams"/>
    <x v="0"/>
    <s v="Michigan"/>
    <s v="Warren"/>
    <s v="Bachelor"/>
    <d v="1960-05-06T00:00:00"/>
    <x v="413"/>
    <x v="405"/>
    <x v="0"/>
    <s v="Customer Service Representative"/>
    <n v="56722"/>
    <x v="3"/>
  </r>
  <r>
    <s v="00-91722503"/>
    <s v="Steve"/>
    <s v="Miller"/>
    <x v="0"/>
    <s v="New York"/>
    <s v="New York City"/>
    <s v="Master"/>
    <d v="2000-07-23T00:00:00"/>
    <x v="414"/>
    <x v="406"/>
    <x v="1"/>
    <s v="System Administrator"/>
    <n v="85152"/>
    <x v="1"/>
  </r>
  <r>
    <s v="00-48668339"/>
    <s v="Barbara"/>
    <s v="Berry"/>
    <x v="0"/>
    <s v="Pennsylvania"/>
    <s v="Philadelphia"/>
    <s v="High School"/>
    <d v="1990-12-12T00:00:00"/>
    <x v="415"/>
    <x v="363"/>
    <x v="0"/>
    <s v="Support Specialist"/>
    <n v="56998"/>
    <x v="0"/>
  </r>
  <r>
    <s v="00-42002808"/>
    <s v="Danielle"/>
    <s v="Roberts"/>
    <x v="1"/>
    <s v="New York"/>
    <s v="New York City"/>
    <s v="Master"/>
    <d v="1990-01-16T00:00:00"/>
    <x v="416"/>
    <x v="407"/>
    <x v="6"/>
    <s v="Sales Consultant"/>
    <n v="79402"/>
    <x v="1"/>
  </r>
  <r>
    <s v="00-42472386"/>
    <s v="Samantha"/>
    <s v="Davis"/>
    <x v="0"/>
    <s v="New York"/>
    <s v="New York City"/>
    <s v="High School"/>
    <d v="1977-11-07T00:00:00"/>
    <x v="417"/>
    <x v="408"/>
    <x v="2"/>
    <s v="Inventory Specialist"/>
    <n v="55752"/>
    <x v="0"/>
  </r>
  <r>
    <s v="00-10209961"/>
    <s v="Daniel"/>
    <s v="Graham"/>
    <x v="1"/>
    <s v="New York"/>
    <s v="New York City"/>
    <s v="Bachelor"/>
    <d v="1989-05-30T00:00:00"/>
    <x v="418"/>
    <x v="409"/>
    <x v="6"/>
    <s v="Sales Representative"/>
    <n v="64892"/>
    <x v="1"/>
  </r>
  <r>
    <s v="00-65910756"/>
    <s v="Alexandria"/>
    <s v="Foster"/>
    <x v="1"/>
    <s v="New York"/>
    <s v="New York City"/>
    <s v="Bachelor"/>
    <d v="1982-10-18T00:00:00"/>
    <x v="419"/>
    <x v="410"/>
    <x v="5"/>
    <s v="HR Coordinator"/>
    <n v="70789"/>
    <x v="2"/>
  </r>
  <r>
    <s v="00-80260907"/>
    <s v="Julie"/>
    <s v="Walker"/>
    <x v="0"/>
    <s v="Michigan"/>
    <s v="Detroit"/>
    <s v="Bachelor"/>
    <d v="1980-06-19T00:00:00"/>
    <x v="420"/>
    <x v="411"/>
    <x v="5"/>
    <s v="HR Coordinator"/>
    <n v="53320"/>
    <x v="3"/>
  </r>
  <r>
    <s v="00-83025444"/>
    <s v="Gary"/>
    <s v="Dixon"/>
    <x v="1"/>
    <s v="Michigan"/>
    <s v="Warren"/>
    <s v="PhD"/>
    <d v="1960-03-02T00:00:00"/>
    <x v="237"/>
    <x v="397"/>
    <x v="6"/>
    <s v="Sales Consultant"/>
    <n v="74235"/>
    <x v="3"/>
  </r>
  <r>
    <s v="00-12729224"/>
    <s v="Alyssa"/>
    <s v="Lee"/>
    <x v="1"/>
    <s v="Michigan"/>
    <s v="Detroit"/>
    <s v="Bachelor"/>
    <d v="1969-06-12T00:00:00"/>
    <x v="421"/>
    <x v="412"/>
    <x v="2"/>
    <s v="Inventory Specialist"/>
    <n v="68058"/>
    <x v="1"/>
  </r>
  <r>
    <s v="00-95318289"/>
    <s v="Michael"/>
    <s v="Luna"/>
    <x v="1"/>
    <s v="New York"/>
    <s v="New York City"/>
    <s v="Bachelor"/>
    <d v="1997-10-22T00:00:00"/>
    <x v="422"/>
    <x v="413"/>
    <x v="1"/>
    <s v="Software Developer"/>
    <n v="88518"/>
    <x v="2"/>
  </r>
  <r>
    <s v="00-12179995"/>
    <s v="Debbie"/>
    <s v="Hernandez"/>
    <x v="1"/>
    <s v="New York"/>
    <s v="New York City"/>
    <s v="Bachelor"/>
    <d v="1969-09-30T00:00:00"/>
    <x v="423"/>
    <x v="4"/>
    <x v="1"/>
    <s v="IT Support Specialist"/>
    <n v="74100"/>
    <x v="2"/>
  </r>
  <r>
    <s v="00-42363373"/>
    <s v="Dwayne"/>
    <s v="Gonzalez"/>
    <x v="1"/>
    <s v="New York"/>
    <s v="New York City"/>
    <s v="Bachelor"/>
    <d v="1986-11-04T00:00:00"/>
    <x v="424"/>
    <x v="414"/>
    <x v="2"/>
    <s v="Logistics Coordinator"/>
    <n v="68805"/>
    <x v="1"/>
  </r>
  <r>
    <s v="00-88101741"/>
    <s v="Eric"/>
    <s v="Malone"/>
    <x v="1"/>
    <s v="New York"/>
    <s v="New York City"/>
    <s v="PhD"/>
    <d v="1978-11-19T00:00:00"/>
    <x v="425"/>
    <x v="415"/>
    <x v="6"/>
    <s v="Sales Consultant"/>
    <n v="70602"/>
    <x v="3"/>
  </r>
  <r>
    <s v="00-15950635"/>
    <s v="Gregory"/>
    <s v="Mejia"/>
    <x v="0"/>
    <s v="Illinois"/>
    <s v="Chicago"/>
    <s v="Bachelor"/>
    <d v="2003-08-26T00:00:00"/>
    <x v="426"/>
    <x v="416"/>
    <x v="2"/>
    <s v="Inventory Specialist"/>
    <n v="57414"/>
    <x v="2"/>
  </r>
  <r>
    <s v="00-96274567"/>
    <s v="Steven"/>
    <s v="Elliott"/>
    <x v="1"/>
    <s v="New York"/>
    <s v="New York City"/>
    <s v="High School"/>
    <d v="1994-08-23T00:00:00"/>
    <x v="427"/>
    <x v="417"/>
    <x v="1"/>
    <s v="IT Support Specialist"/>
    <n v="57147"/>
    <x v="0"/>
  </r>
  <r>
    <s v="00-74227366"/>
    <s v="Shane"/>
    <s v="Glass"/>
    <x v="1"/>
    <s v="New York"/>
    <s v="New York City"/>
    <s v="Bachelor"/>
    <d v="1976-11-16T00:00:00"/>
    <x v="428"/>
    <x v="121"/>
    <x v="0"/>
    <s v="Customer Service Representative"/>
    <n v="71339"/>
    <x v="3"/>
  </r>
  <r>
    <s v="00-71428713"/>
    <s v="Dawn"/>
    <s v="Downs"/>
    <x v="0"/>
    <s v="New York"/>
    <s v="New York City"/>
    <s v="Bachelor"/>
    <d v="1996-03-13T00:00:00"/>
    <x v="429"/>
    <x v="418"/>
    <x v="1"/>
    <s v="Software Developer"/>
    <n v="91584"/>
    <x v="2"/>
  </r>
  <r>
    <s v="00-36772387"/>
    <s v="Michelle"/>
    <s v="Burton"/>
    <x v="1"/>
    <s v="New York"/>
    <s v="New York City"/>
    <s v="PhD"/>
    <d v="1978-09-08T00:00:00"/>
    <x v="430"/>
    <x v="419"/>
    <x v="3"/>
    <s v="Finance Manager"/>
    <n v="122140"/>
    <x v="3"/>
  </r>
  <r>
    <s v="00-79173614"/>
    <s v="Scott"/>
    <s v="Harrison"/>
    <x v="1"/>
    <s v="Michigan"/>
    <s v="Detroit"/>
    <s v="Bachelor"/>
    <d v="1959-10-16T00:00:00"/>
    <x v="431"/>
    <x v="420"/>
    <x v="2"/>
    <s v="Logistics Coordinator"/>
    <n v="73999"/>
    <x v="1"/>
  </r>
  <r>
    <s v="00-43999198"/>
    <s v="Kevin"/>
    <s v="Hill"/>
    <x v="1"/>
    <s v="New York"/>
    <s v="New York City"/>
    <s v="Bachelor"/>
    <d v="1987-11-13T00:00:00"/>
    <x v="432"/>
    <x v="421"/>
    <x v="2"/>
    <s v="Inventory Specialist"/>
    <n v="67909"/>
    <x v="2"/>
  </r>
  <r>
    <s v="00-48401154"/>
    <s v="Michael"/>
    <s v="Jones"/>
    <x v="1"/>
    <s v="New York"/>
    <s v="New York City"/>
    <s v="High School"/>
    <d v="1977-05-07T00:00:00"/>
    <x v="433"/>
    <x v="422"/>
    <x v="0"/>
    <s v="Customer Service Representative"/>
    <n v="64203"/>
    <x v="3"/>
  </r>
  <r>
    <s v="00-98010774"/>
    <s v="Shannon"/>
    <s v="Brown"/>
    <x v="1"/>
    <s v="Michigan"/>
    <s v="Grand Rapids"/>
    <s v="Master"/>
    <d v="1970-06-10T00:00:00"/>
    <x v="434"/>
    <x v="244"/>
    <x v="1"/>
    <s v="System Administrator"/>
    <n v="78187"/>
    <x v="3"/>
  </r>
  <r>
    <s v="00-59394697"/>
    <s v="Justin"/>
    <s v="Newman"/>
    <x v="0"/>
    <s v="Pennsylvania"/>
    <s v="Pittsburgh"/>
    <s v="Bachelor"/>
    <d v="2003-06-26T00:00:00"/>
    <x v="435"/>
    <x v="423"/>
    <x v="2"/>
    <s v="Logistics Coordinator"/>
    <n v="54812"/>
    <x v="1"/>
  </r>
  <r>
    <s v="00-69020451"/>
    <s v="Christopher"/>
    <s v="Wheeler"/>
    <x v="0"/>
    <s v="New York"/>
    <s v="New York City"/>
    <s v="Bachelor"/>
    <d v="1969-10-26T00:00:00"/>
    <x v="436"/>
    <x v="424"/>
    <x v="2"/>
    <s v="Logistics Coordinator"/>
    <n v="54046"/>
    <x v="1"/>
  </r>
  <r>
    <s v="00-35074182"/>
    <s v="Steven"/>
    <s v="Spencer"/>
    <x v="1"/>
    <s v="New York"/>
    <s v="New York City"/>
    <s v="Bachelor"/>
    <d v="1992-09-25T00:00:00"/>
    <x v="437"/>
    <x v="425"/>
    <x v="4"/>
    <s v="Content Creator"/>
    <n v="64441"/>
    <x v="2"/>
  </r>
  <r>
    <s v="00-79696025"/>
    <s v="Joanne"/>
    <s v="Williams"/>
    <x v="1"/>
    <s v="North Carolina"/>
    <s v="Charlotte"/>
    <s v="High School"/>
    <d v="2003-07-19T00:00:00"/>
    <x v="438"/>
    <x v="426"/>
    <x v="0"/>
    <s v="Support Specialist"/>
    <n v="61791"/>
    <x v="0"/>
  </r>
  <r>
    <s v="00-66975380"/>
    <s v="Lisa"/>
    <s v="Pearson"/>
    <x v="0"/>
    <s v="New York"/>
    <s v="New York City"/>
    <s v="Bachelor"/>
    <d v="1978-11-13T00:00:00"/>
    <x v="267"/>
    <x v="427"/>
    <x v="5"/>
    <s v="Recruiter"/>
    <n v="73946"/>
    <x v="2"/>
  </r>
  <r>
    <s v="00-34220459"/>
    <s v="Cassidy"/>
    <s v="Mason"/>
    <x v="0"/>
    <s v="New York"/>
    <s v="New York City"/>
    <s v="Bachelor"/>
    <d v="2001-11-01T00:00:00"/>
    <x v="439"/>
    <x v="428"/>
    <x v="2"/>
    <s v="Logistics Coordinator"/>
    <n v="61906"/>
    <x v="1"/>
  </r>
  <r>
    <s v="00-20746667"/>
    <s v="Shannon"/>
    <s v="Shepherd"/>
    <x v="1"/>
    <s v="Pennsylvania"/>
    <s v="Allentown"/>
    <s v="Bachelor"/>
    <d v="1996-06-30T00:00:00"/>
    <x v="440"/>
    <x v="429"/>
    <x v="1"/>
    <s v="System Administrator"/>
    <n v="94377"/>
    <x v="3"/>
  </r>
  <r>
    <s v="00-69849800"/>
    <s v="Matthew"/>
    <s v="Klein"/>
    <x v="0"/>
    <s v="New York"/>
    <s v="New York City"/>
    <s v="Bachelor"/>
    <d v="1978-05-19T00:00:00"/>
    <x v="441"/>
    <x v="430"/>
    <x v="2"/>
    <s v="Inventory Specialist"/>
    <n v="57243"/>
    <x v="0"/>
  </r>
  <r>
    <s v="00-69580374"/>
    <s v="Debbie"/>
    <s v="Williams"/>
    <x v="1"/>
    <s v="New York"/>
    <s v="New York City"/>
    <s v="Master"/>
    <d v="1970-08-19T00:00:00"/>
    <x v="442"/>
    <x v="431"/>
    <x v="6"/>
    <s v="Sales Consultant"/>
    <n v="89439"/>
    <x v="3"/>
  </r>
  <r>
    <s v="00-57319709"/>
    <s v="Samuel"/>
    <s v="Gonzales"/>
    <x v="1"/>
    <s v="New York"/>
    <s v="New York City"/>
    <s v="Bachelor"/>
    <d v="1981-11-03T00:00:00"/>
    <x v="443"/>
    <x v="432"/>
    <x v="1"/>
    <s v="Software Developer"/>
    <n v="113040"/>
    <x v="2"/>
  </r>
  <r>
    <s v="00-95828117"/>
    <s v="Chelsea"/>
    <s v="Cox"/>
    <x v="1"/>
    <s v="Michigan"/>
    <s v="Warren"/>
    <s v="Master"/>
    <d v="1967-02-06T00:00:00"/>
    <x v="444"/>
    <x v="433"/>
    <x v="6"/>
    <s v="Sales Specialist"/>
    <n v="81588"/>
    <x v="1"/>
  </r>
  <r>
    <s v="00-95565484"/>
    <s v="Justin"/>
    <s v="Ortiz"/>
    <x v="0"/>
    <s v="Michigan"/>
    <s v="Detroit"/>
    <s v="Bachelor"/>
    <d v="1996-12-28T00:00:00"/>
    <x v="445"/>
    <x v="434"/>
    <x v="6"/>
    <s v="Sales Representative"/>
    <n v="70593"/>
    <x v="2"/>
  </r>
  <r>
    <s v="00-31473054"/>
    <s v="Erika"/>
    <s v="Williams"/>
    <x v="1"/>
    <s v="New York"/>
    <s v="New York City"/>
    <s v="Master"/>
    <d v="1990-06-20T00:00:00"/>
    <x v="446"/>
    <x v="435"/>
    <x v="6"/>
    <s v="Sales Specialist"/>
    <n v="74000"/>
    <x v="3"/>
  </r>
  <r>
    <s v="00-91547054"/>
    <s v="Deborah"/>
    <s v="Jones"/>
    <x v="1"/>
    <s v="New York"/>
    <s v="New York City"/>
    <s v="High School"/>
    <d v="1962-09-18T00:00:00"/>
    <x v="447"/>
    <x v="436"/>
    <x v="4"/>
    <s v="Content Creator"/>
    <n v="60242"/>
    <x v="0"/>
  </r>
  <r>
    <s v="00-26942307"/>
    <s v="Angela"/>
    <s v="Hughes"/>
    <x v="1"/>
    <s v="New York"/>
    <s v="New York City"/>
    <s v="Master"/>
    <d v="1976-01-08T00:00:00"/>
    <x v="448"/>
    <x v="437"/>
    <x v="6"/>
    <s v="Sales Specialist"/>
    <n v="67201"/>
    <x v="1"/>
  </r>
  <r>
    <s v="00-58607028"/>
    <s v="Jennifer"/>
    <s v="Douglas"/>
    <x v="0"/>
    <s v="New York"/>
    <s v="New York City"/>
    <s v="Bachelor"/>
    <d v="1997-05-09T00:00:00"/>
    <x v="449"/>
    <x v="438"/>
    <x v="6"/>
    <s v="Sales Representative"/>
    <n v="60073"/>
    <x v="0"/>
  </r>
  <r>
    <s v="00-91214453"/>
    <s v="Carrie"/>
    <s v="Hernandez"/>
    <x v="0"/>
    <s v="Michigan"/>
    <s v="Grand Rapids"/>
    <s v="High School"/>
    <d v="2002-12-25T00:00:00"/>
    <x v="450"/>
    <x v="439"/>
    <x v="4"/>
    <s v="SEO Specialist"/>
    <n v="58810"/>
    <x v="0"/>
  </r>
  <r>
    <s v="00-59930790"/>
    <s v="Brandi"/>
    <s v="Thomas"/>
    <x v="0"/>
    <s v="Michigan"/>
    <s v="Grand Rapids"/>
    <s v="High School"/>
    <d v="1975-06-16T00:00:00"/>
    <x v="451"/>
    <x v="440"/>
    <x v="1"/>
    <s v="IT Support Specialist"/>
    <n v="58882"/>
    <x v="0"/>
  </r>
  <r>
    <s v="00-28481124"/>
    <s v="Kyle"/>
    <s v="Douglas"/>
    <x v="1"/>
    <s v="New York"/>
    <s v="New York City"/>
    <s v="PhD"/>
    <d v="1985-07-18T00:00:00"/>
    <x v="452"/>
    <x v="248"/>
    <x v="3"/>
    <s v="Financial Analyst"/>
    <n v="77136"/>
    <x v="3"/>
  </r>
  <r>
    <s v="00-97182566"/>
    <s v="Philip"/>
    <s v="Larson"/>
    <x v="1"/>
    <s v="New York"/>
    <s v="New York City"/>
    <s v="PhD"/>
    <d v="1991-10-10T00:00:00"/>
    <x v="453"/>
    <x v="441"/>
    <x v="6"/>
    <s v="Sales Manager"/>
    <n v="85655"/>
    <x v="3"/>
  </r>
  <r>
    <s v="00-34970946"/>
    <s v="Kyle"/>
    <s v="Bennett"/>
    <x v="1"/>
    <s v="New York"/>
    <s v="New York City"/>
    <s v="Bachelor"/>
    <d v="1984-08-18T00:00:00"/>
    <x v="437"/>
    <x v="442"/>
    <x v="2"/>
    <s v="Inventory Specialist"/>
    <n v="63732"/>
    <x v="2"/>
  </r>
  <r>
    <s v="00-25805613"/>
    <s v="Mark"/>
    <s v="Anderson"/>
    <x v="0"/>
    <s v="New York"/>
    <s v="New York City"/>
    <s v="Bachelor"/>
    <d v="1986-01-26T00:00:00"/>
    <x v="398"/>
    <x v="443"/>
    <x v="2"/>
    <s v="Logistics Coordinator"/>
    <n v="62658"/>
    <x v="1"/>
  </r>
  <r>
    <s v="00-69897763"/>
    <s v="Maria"/>
    <s v="Rodgers"/>
    <x v="1"/>
    <s v="New York"/>
    <s v="New York City"/>
    <s v="High School"/>
    <d v="1997-06-01T00:00:00"/>
    <x v="454"/>
    <x v="249"/>
    <x v="2"/>
    <s v="Inventory Specialist"/>
    <n v="59333"/>
    <x v="0"/>
  </r>
  <r>
    <s v="00-75927774"/>
    <s v="Rita"/>
    <s v="Davis"/>
    <x v="0"/>
    <s v="New York"/>
    <s v="New York City"/>
    <s v="Bachelor"/>
    <d v="1970-12-09T00:00:00"/>
    <x v="55"/>
    <x v="341"/>
    <x v="6"/>
    <s v="Sales Representative"/>
    <n v="60945"/>
    <x v="2"/>
  </r>
  <r>
    <s v="00-19939096"/>
    <s v="Rodney"/>
    <s v="Cox"/>
    <x v="0"/>
    <s v="New York"/>
    <s v="New York City"/>
    <s v="Bachelor"/>
    <d v="1975-09-10T00:00:00"/>
    <x v="455"/>
    <x v="444"/>
    <x v="2"/>
    <s v="Inventory Specialist"/>
    <n v="61008"/>
    <x v="2"/>
  </r>
  <r>
    <s v="00-21783073"/>
    <s v="Kyle"/>
    <s v="Bean"/>
    <x v="0"/>
    <s v="New York"/>
    <s v="New York City"/>
    <s v="Bachelor"/>
    <d v="1994-08-08T00:00:00"/>
    <x v="456"/>
    <x v="445"/>
    <x v="6"/>
    <s v="Sales Representative"/>
    <n v="67369"/>
    <x v="1"/>
  </r>
  <r>
    <s v="00-56630633"/>
    <s v="Stacey"/>
    <s v="Tucker"/>
    <x v="0"/>
    <s v="New York"/>
    <s v="New York City"/>
    <s v="Bachelor"/>
    <d v="1996-11-26T00:00:00"/>
    <x v="457"/>
    <x v="446"/>
    <x v="2"/>
    <s v="Logistics Coordinator"/>
    <n v="58815"/>
    <x v="1"/>
  </r>
  <r>
    <s v="00-48971765"/>
    <s v="Zoe"/>
    <s v="Moore"/>
    <x v="0"/>
    <s v="New York"/>
    <s v="New York City"/>
    <s v="Bachelor"/>
    <d v="1973-03-01T00:00:00"/>
    <x v="458"/>
    <x v="447"/>
    <x v="2"/>
    <s v="Inventory Specialist"/>
    <n v="62697"/>
    <x v="1"/>
  </r>
  <r>
    <s v="00-95590648"/>
    <s v="Megan"/>
    <s v="Garcia"/>
    <x v="1"/>
    <s v="Michigan"/>
    <s v="Warren"/>
    <s v="Master"/>
    <d v="1979-10-26T00:00:00"/>
    <x v="459"/>
    <x v="448"/>
    <x v="6"/>
    <s v="Sales Specialist"/>
    <n v="58400"/>
    <x v="1"/>
  </r>
  <r>
    <s v="00-40097200"/>
    <s v="Amber"/>
    <s v="Rodgers"/>
    <x v="0"/>
    <s v="New York"/>
    <s v="New York City"/>
    <s v="PhD"/>
    <d v="1996-01-19T00:00:00"/>
    <x v="460"/>
    <x v="171"/>
    <x v="6"/>
    <s v="Sales Consultant"/>
    <n v="103249"/>
    <x v="3"/>
  </r>
  <r>
    <s v="00-28639738"/>
    <s v="Benjamin"/>
    <s v="Rogers"/>
    <x v="1"/>
    <s v="New York"/>
    <s v="New York City"/>
    <s v="Bachelor"/>
    <d v="1995-01-18T00:00:00"/>
    <x v="461"/>
    <x v="449"/>
    <x v="2"/>
    <s v="Logistics Coordinator"/>
    <n v="64015"/>
    <x v="1"/>
  </r>
  <r>
    <s v="00-58438711"/>
    <s v="Christine"/>
    <s v="Harper"/>
    <x v="0"/>
    <s v="Pennsylvania"/>
    <s v="Allentown"/>
    <s v="Bachelor"/>
    <d v="1985-07-26T00:00:00"/>
    <x v="462"/>
    <x v="450"/>
    <x v="2"/>
    <s v="Operations Manager"/>
    <n v="95684"/>
    <x v="3"/>
  </r>
  <r>
    <s v="00-84040798"/>
    <s v="Francis"/>
    <s v="Guerra"/>
    <x v="0"/>
    <s v="New York"/>
    <s v="New York City"/>
    <s v="Bachelor"/>
    <d v="1980-01-28T00:00:00"/>
    <x v="463"/>
    <x v="451"/>
    <x v="3"/>
    <s v="Accountant"/>
    <n v="62508"/>
    <x v="3"/>
  </r>
  <r>
    <s v="00-51512297"/>
    <s v="Colleen"/>
    <s v="Orr"/>
    <x v="1"/>
    <s v="New York"/>
    <s v="New York City"/>
    <s v="Bachelor"/>
    <d v="1982-01-18T00:00:00"/>
    <x v="464"/>
    <x v="452"/>
    <x v="2"/>
    <s v="Operations Analyst"/>
    <n v="92796"/>
    <x v="2"/>
  </r>
  <r>
    <s v="00-74245343"/>
    <s v="Samuel"/>
    <s v="Jenkins"/>
    <x v="0"/>
    <s v="West Virginia"/>
    <s v="Charleston"/>
    <s v="Bachelor"/>
    <d v="1995-04-19T00:00:00"/>
    <x v="465"/>
    <x v="453"/>
    <x v="2"/>
    <s v="Inventory Specialist"/>
    <n v="58835"/>
    <x v="1"/>
  </r>
  <r>
    <s v="00-87161840"/>
    <s v="Jennifer"/>
    <s v="Montes"/>
    <x v="1"/>
    <s v="New York"/>
    <s v="New York City"/>
    <s v="Bachelor"/>
    <d v="1972-10-26T00:00:00"/>
    <x v="466"/>
    <x v="454"/>
    <x v="1"/>
    <s v="Software Developer"/>
    <n v="95974"/>
    <x v="0"/>
  </r>
  <r>
    <s v="00-19954260"/>
    <s v="Justin"/>
    <s v="Goodman"/>
    <x v="0"/>
    <s v="New York"/>
    <s v="New York City"/>
    <s v="Bachelor"/>
    <d v="1983-09-16T00:00:00"/>
    <x v="467"/>
    <x v="455"/>
    <x v="0"/>
    <s v="Customer Service Representative"/>
    <n v="61555"/>
    <x v="1"/>
  </r>
  <r>
    <s v="00-77493234"/>
    <s v="Micheal"/>
    <s v="Valentine"/>
    <x v="0"/>
    <s v="New York"/>
    <s v="New York City"/>
    <s v="Bachelor"/>
    <d v="1993-11-19T00:00:00"/>
    <x v="468"/>
    <x v="456"/>
    <x v="3"/>
    <s v="Financial Analyst"/>
    <n v="69086"/>
    <x v="2"/>
  </r>
  <r>
    <s v="00-26664623"/>
    <s v="Steven"/>
    <s v="Campbell"/>
    <x v="1"/>
    <s v="New York"/>
    <s v="New York City"/>
    <s v="Master"/>
    <d v="1989-03-21T00:00:00"/>
    <x v="469"/>
    <x v="457"/>
    <x v="6"/>
    <s v="Sales Consultant"/>
    <n v="79231"/>
    <x v="3"/>
  </r>
  <r>
    <s v="00-31738837"/>
    <s v="Wesley"/>
    <s v="Barnes"/>
    <x v="1"/>
    <s v="North Carolina"/>
    <s v="Greensboro"/>
    <s v="Master"/>
    <d v="1999-04-15T00:00:00"/>
    <x v="470"/>
    <x v="458"/>
    <x v="6"/>
    <s v="Sales Consultant"/>
    <n v="77094"/>
    <x v="3"/>
  </r>
  <r>
    <s v="00-56442431"/>
    <s v="Lisa"/>
    <s v="Solis"/>
    <x v="1"/>
    <s v="New York"/>
    <s v="New York City"/>
    <s v="Bachelor"/>
    <d v="1994-12-04T00:00:00"/>
    <x v="471"/>
    <x v="459"/>
    <x v="1"/>
    <s v="IT Support Specialist"/>
    <n v="63722"/>
    <x v="1"/>
  </r>
  <r>
    <s v="00-20584397"/>
    <s v="Monique"/>
    <s v="Williams"/>
    <x v="1"/>
    <s v="New York"/>
    <s v="New York City"/>
    <s v="Bachelor"/>
    <d v="1981-04-23T00:00:00"/>
    <x v="472"/>
    <x v="460"/>
    <x v="6"/>
    <s v="Sales Representative"/>
    <n v="70989"/>
    <x v="3"/>
  </r>
  <r>
    <s v="00-46836194"/>
    <s v="Morgan"/>
    <s v="Spencer"/>
    <x v="0"/>
    <s v="Pennsylvania"/>
    <s v="Philadelphia"/>
    <s v="Bachelor"/>
    <d v="1995-05-13T00:00:00"/>
    <x v="473"/>
    <x v="461"/>
    <x v="6"/>
    <s v="Sales Representative"/>
    <n v="65299"/>
    <x v="1"/>
  </r>
  <r>
    <s v="00-81602209"/>
    <s v="Jennifer"/>
    <s v="Black"/>
    <x v="0"/>
    <s v="Michigan"/>
    <s v="Grand Rapids"/>
    <s v="High School"/>
    <d v="1986-08-03T00:00:00"/>
    <x v="474"/>
    <x v="462"/>
    <x v="1"/>
    <s v="IT Support Specialist"/>
    <n v="61437"/>
    <x v="0"/>
  </r>
  <r>
    <s v="00-89431184"/>
    <s v="Justin"/>
    <s v="Hines"/>
    <x v="1"/>
    <s v="New York"/>
    <s v="New York City"/>
    <s v="Bachelor"/>
    <d v="1971-09-27T00:00:00"/>
    <x v="475"/>
    <x v="463"/>
    <x v="2"/>
    <s v="Inventory Specialist"/>
    <n v="61847"/>
    <x v="1"/>
  </r>
  <r>
    <s v="00-98413629"/>
    <s v="Shannon"/>
    <s v="Palmer"/>
    <x v="1"/>
    <s v="New York"/>
    <s v="New York City"/>
    <s v="Bachelor"/>
    <d v="1997-04-01T00:00:00"/>
    <x v="476"/>
    <x v="464"/>
    <x v="3"/>
    <s v="Accountant"/>
    <n v="64667"/>
    <x v="1"/>
  </r>
  <r>
    <s v="00-85647532"/>
    <s v="Samuel"/>
    <s v="Potts"/>
    <x v="0"/>
    <s v="New York"/>
    <s v="New York City"/>
    <s v="Bachelor"/>
    <d v="1973-04-30T00:00:00"/>
    <x v="477"/>
    <x v="465"/>
    <x v="1"/>
    <s v="IT Support Specialist"/>
    <n v="56478"/>
    <x v="1"/>
  </r>
  <r>
    <s v="00-16101779"/>
    <s v="Lisa"/>
    <s v="Wilkerson"/>
    <x v="1"/>
    <s v="Michigan"/>
    <s v="Grand Rapids"/>
    <s v="High School"/>
    <d v="1985-04-05T00:00:00"/>
    <x v="120"/>
    <x v="117"/>
    <x v="5"/>
    <s v="HR Assistant"/>
    <n v="60533"/>
    <x v="0"/>
  </r>
  <r>
    <s v="00-97393186"/>
    <s v="Anthony"/>
    <s v="Brown"/>
    <x v="0"/>
    <s v="North Carolina"/>
    <s v="Greensboro"/>
    <s v="High School"/>
    <d v="1971-05-28T00:00:00"/>
    <x v="478"/>
    <x v="466"/>
    <x v="0"/>
    <s v="Help Desk Technician"/>
    <n v="61689"/>
    <x v="0"/>
  </r>
  <r>
    <s v="00-92961108"/>
    <s v="Nathaniel"/>
    <s v="Hughes"/>
    <x v="0"/>
    <s v="New York"/>
    <s v="New York City"/>
    <s v="Bachelor"/>
    <d v="1973-12-17T00:00:00"/>
    <x v="479"/>
    <x v="467"/>
    <x v="4"/>
    <s v="Marketing Manager"/>
    <n v="98920"/>
    <x v="3"/>
  </r>
  <r>
    <s v="00-83226170"/>
    <s v="Nicholas"/>
    <s v="Johnson"/>
    <x v="1"/>
    <s v="New York"/>
    <s v="New York City"/>
    <s v="Master"/>
    <d v="1970-09-11T00:00:00"/>
    <x v="480"/>
    <x v="468"/>
    <x v="1"/>
    <s v="System Administrator"/>
    <n v="68864"/>
    <x v="3"/>
  </r>
  <r>
    <s v="00-42866956"/>
    <s v="Cory"/>
    <s v="Espinoza"/>
    <x v="1"/>
    <s v="New York"/>
    <s v="New York City"/>
    <s v="Bachelor"/>
    <d v="1994-02-11T00:00:00"/>
    <x v="148"/>
    <x v="146"/>
    <x v="2"/>
    <s v="Logistics Coordinator"/>
    <n v="68092"/>
    <x v="1"/>
  </r>
  <r>
    <s v="00-49920898"/>
    <s v="Lacey"/>
    <s v="Taylor"/>
    <x v="1"/>
    <s v="New York"/>
    <s v="New York City"/>
    <s v="Bachelor"/>
    <d v="1996-08-04T00:00:00"/>
    <x v="481"/>
    <x v="469"/>
    <x v="2"/>
    <s v="Logistics Coordinator"/>
    <n v="67357"/>
    <x v="1"/>
  </r>
  <r>
    <s v="00-31217198"/>
    <s v="Samantha"/>
    <s v="Kennedy"/>
    <x v="1"/>
    <s v="New York"/>
    <s v="New York City"/>
    <s v="Master"/>
    <d v="1992-08-26T00:00:00"/>
    <x v="482"/>
    <x v="221"/>
    <x v="3"/>
    <s v="Financial Analyst"/>
    <n v="82596"/>
    <x v="1"/>
  </r>
  <r>
    <s v="00-37383505"/>
    <s v="Dominic"/>
    <s v="Thornton"/>
    <x v="0"/>
    <s v="Ohio"/>
    <s v="Columbus"/>
    <s v="High School"/>
    <d v="1993-03-09T00:00:00"/>
    <x v="483"/>
    <x v="470"/>
    <x v="0"/>
    <s v="Help Desk Technician"/>
    <n v="64487"/>
    <x v="0"/>
  </r>
  <r>
    <s v="00-52857920"/>
    <s v="Christina"/>
    <s v="Bullock"/>
    <x v="0"/>
    <s v="New York"/>
    <s v="New York City"/>
    <s v="Bachelor"/>
    <d v="1984-07-18T00:00:00"/>
    <x v="484"/>
    <x v="471"/>
    <x v="2"/>
    <s v="Inventory Specialist"/>
    <n v="65346"/>
    <x v="1"/>
  </r>
  <r>
    <s v="00-27551135"/>
    <s v="Jonathan"/>
    <s v="Conley"/>
    <x v="0"/>
    <s v="New York"/>
    <s v="New York City"/>
    <s v="Bachelor"/>
    <d v="2003-05-09T00:00:00"/>
    <x v="270"/>
    <x v="472"/>
    <x v="1"/>
    <s v="IT Support Specialist"/>
    <n v="52574"/>
    <x v="1"/>
  </r>
  <r>
    <s v="00-24251766"/>
    <s v="Shelby"/>
    <s v="Lynch"/>
    <x v="1"/>
    <s v="Ohio"/>
    <s v="Cleveland"/>
    <s v="Bachelor"/>
    <d v="1984-08-30T00:00:00"/>
    <x v="391"/>
    <x v="473"/>
    <x v="2"/>
    <s v="Inventory Specialist"/>
    <n v="62945"/>
    <x v="1"/>
  </r>
  <r>
    <s v="00-45899440"/>
    <s v="Daniel"/>
    <s v="Roberts"/>
    <x v="1"/>
    <s v="New York"/>
    <s v="New York City"/>
    <s v="Bachelor"/>
    <d v="1959-07-31T00:00:00"/>
    <x v="485"/>
    <x v="474"/>
    <x v="4"/>
    <s v="SEO Specialist"/>
    <n v="91080"/>
    <x v="3"/>
  </r>
  <r>
    <s v="00-16792127"/>
    <s v="David"/>
    <s v="Allen"/>
    <x v="0"/>
    <s v="New York"/>
    <s v="New York City"/>
    <s v="High School"/>
    <d v="1990-08-15T00:00:00"/>
    <x v="486"/>
    <x v="475"/>
    <x v="4"/>
    <s v="Content Creator"/>
    <n v="60358"/>
    <x v="0"/>
  </r>
  <r>
    <s v="00-92594562"/>
    <s v="Laura"/>
    <s v="Bryant"/>
    <x v="1"/>
    <s v="New York"/>
    <s v="New York City"/>
    <s v="Bachelor"/>
    <d v="1995-09-19T00:00:00"/>
    <x v="487"/>
    <x v="476"/>
    <x v="2"/>
    <s v="Logistics Coordinator"/>
    <n v="69470"/>
    <x v="2"/>
  </r>
  <r>
    <s v="00-53947691"/>
    <s v="Mary"/>
    <s v="Porter"/>
    <x v="1"/>
    <s v="New York"/>
    <s v="New York City"/>
    <s v="High School"/>
    <d v="1967-12-09T00:00:00"/>
    <x v="488"/>
    <x v="477"/>
    <x v="0"/>
    <s v="Support Specialist"/>
    <n v="62053"/>
    <x v="0"/>
  </r>
  <r>
    <s v="00-35479101"/>
    <s v="Allen"/>
    <s v="Robertson"/>
    <x v="1"/>
    <s v="New York"/>
    <s v="New York City"/>
    <s v="High School"/>
    <d v="1970-05-26T00:00:00"/>
    <x v="489"/>
    <x v="478"/>
    <x v="2"/>
    <s v="Inventory Specialist"/>
    <n v="67166"/>
    <x v="0"/>
  </r>
  <r>
    <s v="00-72654864"/>
    <s v="Jennifer"/>
    <s v="Carter"/>
    <x v="1"/>
    <s v="West Virginia"/>
    <s v="Huntington"/>
    <s v="Master"/>
    <d v="1995-03-18T00:00:00"/>
    <x v="490"/>
    <x v="479"/>
    <x v="1"/>
    <s v="System Administrator"/>
    <n v="73800"/>
    <x v="3"/>
  </r>
  <r>
    <s v="00-13110670"/>
    <s v="Christina"/>
    <s v="Allen"/>
    <x v="0"/>
    <s v="Michigan"/>
    <s v="Grand Rapids"/>
    <s v="Bachelor"/>
    <d v="1982-06-06T00:00:00"/>
    <x v="171"/>
    <x v="480"/>
    <x v="6"/>
    <s v="Sales Consultant"/>
    <n v="95022"/>
    <x v="2"/>
  </r>
  <r>
    <s v="00-71368457"/>
    <s v="Jacob"/>
    <s v="Barnett"/>
    <x v="0"/>
    <s v="Michigan"/>
    <s v="Detroit"/>
    <s v="Bachelor"/>
    <d v="1973-09-08T00:00:00"/>
    <x v="491"/>
    <x v="481"/>
    <x v="6"/>
    <s v="Sales Representative"/>
    <n v="63268"/>
    <x v="2"/>
  </r>
  <r>
    <s v="00-57364777"/>
    <s v="Theresa"/>
    <s v="Jones"/>
    <x v="0"/>
    <s v="Virginia"/>
    <s v="Virginia Beach"/>
    <s v="Bachelor"/>
    <d v="1996-06-25T00:00:00"/>
    <x v="492"/>
    <x v="482"/>
    <x v="1"/>
    <s v="Software Developer"/>
    <n v="84569"/>
    <x v="1"/>
  </r>
  <r>
    <s v="00-90197611"/>
    <s v="Amy"/>
    <s v="Hartman"/>
    <x v="0"/>
    <s v="North Carolina"/>
    <s v="Charlotte"/>
    <s v="Bachelor"/>
    <d v="1994-11-17T00:00:00"/>
    <x v="32"/>
    <x v="32"/>
    <x v="2"/>
    <s v="Logistics Coordinator"/>
    <n v="58084"/>
    <x v="2"/>
  </r>
  <r>
    <s v="00-24428014"/>
    <s v="Bradley"/>
    <s v="Hughes"/>
    <x v="1"/>
    <s v="New York"/>
    <s v="New York City"/>
    <s v="Bachelor"/>
    <d v="1969-07-12T00:00:00"/>
    <x v="493"/>
    <x v="483"/>
    <x v="0"/>
    <s v="Help Desk Technician"/>
    <n v="88167"/>
    <x v="1"/>
  </r>
  <r>
    <s v="00-59093843"/>
    <s v="Jon"/>
    <s v="Smith"/>
    <x v="0"/>
    <s v="New York"/>
    <s v="New York City"/>
    <s v="Bachelor"/>
    <d v="1959-09-21T00:00:00"/>
    <x v="494"/>
    <x v="484"/>
    <x v="0"/>
    <s v="Help Desk Technician"/>
    <n v="73895"/>
    <x v="1"/>
  </r>
  <r>
    <s v="00-63765155"/>
    <s v="Carlos"/>
    <s v="Allen"/>
    <x v="1"/>
    <s v="New York"/>
    <s v="New York City"/>
    <s v="Bachelor"/>
    <d v="1995-07-06T00:00:00"/>
    <x v="495"/>
    <x v="485"/>
    <x v="2"/>
    <s v="Operations Manager"/>
    <n v="107787"/>
    <x v="2"/>
  </r>
  <r>
    <s v="00-58657117"/>
    <s v="Courtney"/>
    <s v="Ingram"/>
    <x v="1"/>
    <s v="New York"/>
    <s v="New York City"/>
    <s v="High School"/>
    <d v="1987-02-28T00:00:00"/>
    <x v="496"/>
    <x v="486"/>
    <x v="2"/>
    <s v="Inventory Specialist"/>
    <n v="58463"/>
    <x v="0"/>
  </r>
  <r>
    <s v="00-77680031"/>
    <s v="Katherine"/>
    <s v="Anderson"/>
    <x v="1"/>
    <s v="New York"/>
    <s v="New York City"/>
    <s v="Bachelor"/>
    <d v="2001-09-30T00:00:00"/>
    <x v="497"/>
    <x v="487"/>
    <x v="6"/>
    <s v="Sales Representative"/>
    <n v="60800"/>
    <x v="1"/>
  </r>
  <r>
    <s v="00-93650068"/>
    <s v="Amy"/>
    <s v="Li"/>
    <x v="0"/>
    <s v="New York"/>
    <s v="New York City"/>
    <s v="High School"/>
    <d v="1994-10-04T00:00:00"/>
    <x v="498"/>
    <x v="488"/>
    <x v="4"/>
    <s v="Content Creator"/>
    <n v="60380"/>
    <x v="3"/>
  </r>
  <r>
    <s v="00-22976369"/>
    <s v="Maria"/>
    <s v="Cohen"/>
    <x v="0"/>
    <s v="New York"/>
    <s v="New York City"/>
    <s v="High School"/>
    <d v="1991-08-28T00:00:00"/>
    <x v="499"/>
    <x v="489"/>
    <x v="1"/>
    <s v="IT Support Specialist"/>
    <n v="61217"/>
    <x v="0"/>
  </r>
  <r>
    <s v="00-59070856"/>
    <s v="Timothy"/>
    <s v="White"/>
    <x v="1"/>
    <s v="Michigan"/>
    <s v="Grand Rapids"/>
    <s v="High School"/>
    <d v="1973-04-29T00:00:00"/>
    <x v="500"/>
    <x v="490"/>
    <x v="1"/>
    <s v="IT Support Specialist"/>
    <n v="64881"/>
    <x v="0"/>
  </r>
  <r>
    <s v="00-78333267"/>
    <s v="Bryan"/>
    <s v="Parsons"/>
    <x v="0"/>
    <s v="New York"/>
    <s v="New York City"/>
    <s v="High School"/>
    <d v="1999-10-26T00:00:00"/>
    <x v="501"/>
    <x v="491"/>
    <x v="5"/>
    <s v="Recruiter"/>
    <n v="64537"/>
    <x v="0"/>
  </r>
  <r>
    <s v="00-15222944"/>
    <s v="Benjamin"/>
    <s v="Harris"/>
    <x v="0"/>
    <s v="New York"/>
    <s v="New York City"/>
    <s v="Bachelor"/>
    <d v="1984-01-13T00:00:00"/>
    <x v="242"/>
    <x v="492"/>
    <x v="6"/>
    <s v="Sales Representative"/>
    <n v="73247"/>
    <x v="1"/>
  </r>
  <r>
    <s v="00-73584863"/>
    <s v="James"/>
    <s v="Williams"/>
    <x v="0"/>
    <s v="New York"/>
    <s v="New York City"/>
    <s v="Master"/>
    <d v="1995-07-05T00:00:00"/>
    <x v="502"/>
    <x v="470"/>
    <x v="1"/>
    <s v="Software Developer"/>
    <n v="86075"/>
    <x v="3"/>
  </r>
  <r>
    <s v="00-79190008"/>
    <s v="Kyle"/>
    <s v="Sanders"/>
    <x v="1"/>
    <s v="Michigan"/>
    <s v="Warren"/>
    <s v="High School"/>
    <d v="1964-09-29T00:00:00"/>
    <x v="503"/>
    <x v="304"/>
    <x v="0"/>
    <s v="Customer Service Representative"/>
    <n v="57871"/>
    <x v="0"/>
  </r>
  <r>
    <s v="00-31810655"/>
    <s v="Amy"/>
    <s v="King"/>
    <x v="0"/>
    <s v="New York"/>
    <s v="New York City"/>
    <s v="High School"/>
    <d v="2003-12-18T00:00:00"/>
    <x v="504"/>
    <x v="493"/>
    <x v="5"/>
    <s v="Recruiter"/>
    <n v="65022"/>
    <x v="0"/>
  </r>
  <r>
    <s v="00-50162553"/>
    <s v="Deborah"/>
    <s v="Mitchell"/>
    <x v="0"/>
    <s v="North Carolina"/>
    <s v="Charlotte"/>
    <s v="Bachelor"/>
    <d v="1980-10-03T00:00:00"/>
    <x v="339"/>
    <x v="328"/>
    <x v="6"/>
    <s v="Sales Specialist"/>
    <n v="75269"/>
    <x v="0"/>
  </r>
  <r>
    <s v="00-78412668"/>
    <s v="Kimberly"/>
    <s v="Glenn"/>
    <x v="1"/>
    <s v="Pennsylvania"/>
    <s v="Philadelphia"/>
    <s v="Bachelor"/>
    <d v="1986-09-24T00:00:00"/>
    <x v="268"/>
    <x v="494"/>
    <x v="0"/>
    <s v="Help Desk Technician"/>
    <n v="96041"/>
    <x v="1"/>
  </r>
  <r>
    <s v="00-50237208"/>
    <s v="Joshua"/>
    <s v="Lloyd"/>
    <x v="0"/>
    <s v="New York"/>
    <s v="New York City"/>
    <s v="Bachelor"/>
    <d v="1989-11-19T00:00:00"/>
    <x v="265"/>
    <x v="495"/>
    <x v="3"/>
    <s v="Accounts Payable Specialist"/>
    <n v="58786"/>
    <x v="1"/>
  </r>
  <r>
    <s v="00-54458225"/>
    <s v="Pamela"/>
    <s v="Paul"/>
    <x v="1"/>
    <s v="New York"/>
    <s v="New York City"/>
    <s v="Bachelor"/>
    <d v="1988-09-11T00:00:00"/>
    <x v="505"/>
    <x v="496"/>
    <x v="0"/>
    <s v="Support Specialist"/>
    <n v="63925"/>
    <x v="3"/>
  </r>
  <r>
    <s v="00-51295819"/>
    <s v="Stephanie"/>
    <s v="Morgan"/>
    <x v="1"/>
    <s v="New York"/>
    <s v="New York City"/>
    <s v="Bachelor"/>
    <d v="1991-04-18T00:00:00"/>
    <x v="506"/>
    <x v="497"/>
    <x v="6"/>
    <s v="Sales Consultant"/>
    <n v="93364"/>
    <x v="3"/>
  </r>
  <r>
    <s v="00-94457912"/>
    <s v="Tyler"/>
    <s v="Jimenez"/>
    <x v="0"/>
    <s v="Pennsylvania"/>
    <s v="Pittsburgh"/>
    <s v="Master"/>
    <d v="1963-01-07T00:00:00"/>
    <x v="507"/>
    <x v="498"/>
    <x v="1"/>
    <s v="System Administrator"/>
    <n v="110836"/>
    <x v="1"/>
  </r>
  <r>
    <s v="00-97991930"/>
    <s v="Laura"/>
    <s v="Adams"/>
    <x v="0"/>
    <s v="New York"/>
    <s v="New York City"/>
    <s v="High School"/>
    <d v="1990-05-20T00:00:00"/>
    <x v="508"/>
    <x v="499"/>
    <x v="0"/>
    <s v="Support Specialist"/>
    <n v="59444"/>
    <x v="0"/>
  </r>
  <r>
    <s v="00-40540334"/>
    <s v="Jessica"/>
    <s v="Miller"/>
    <x v="0"/>
    <s v="Illinois"/>
    <s v="Aurora"/>
    <s v="Bachelor"/>
    <d v="1993-06-05T00:00:00"/>
    <x v="424"/>
    <x v="414"/>
    <x v="6"/>
    <s v="Sales Specialist"/>
    <n v="59327"/>
    <x v="2"/>
  </r>
  <r>
    <s v="00-32885741"/>
    <s v="Wanda"/>
    <s v="White"/>
    <x v="1"/>
    <s v="New York"/>
    <s v="New York City"/>
    <s v="Bachelor"/>
    <d v="1986-10-21T00:00:00"/>
    <x v="509"/>
    <x v="500"/>
    <x v="2"/>
    <s v="Logistics Coordinator"/>
    <n v="62992"/>
    <x v="3"/>
  </r>
  <r>
    <s v="00-61028283"/>
    <s v="Manuel"/>
    <s v="Miller"/>
    <x v="0"/>
    <s v="Michigan"/>
    <s v="Grand Rapids"/>
    <s v="Bachelor"/>
    <d v="1995-07-31T00:00:00"/>
    <x v="364"/>
    <x v="501"/>
    <x v="0"/>
    <s v="Support Specialist"/>
    <n v="61119"/>
    <x v="1"/>
  </r>
  <r>
    <s v="00-14237322"/>
    <s v="Kenneth"/>
    <s v="Griffin"/>
    <x v="1"/>
    <s v="New York"/>
    <s v="New York City"/>
    <s v="Master"/>
    <d v="1990-04-13T00:00:00"/>
    <x v="510"/>
    <x v="502"/>
    <x v="1"/>
    <s v="IT Manager"/>
    <n v="131494"/>
    <x v="3"/>
  </r>
  <r>
    <s v="00-35606639"/>
    <s v="Ronald"/>
    <s v="Norris"/>
    <x v="1"/>
    <s v="Michigan"/>
    <s v="Grand Rapids"/>
    <s v="Bachelor"/>
    <d v="1998-12-04T00:00:00"/>
    <x v="399"/>
    <x v="503"/>
    <x v="1"/>
    <s v="Software Developer"/>
    <n v="87048"/>
    <x v="2"/>
  </r>
  <r>
    <s v="00-30324759"/>
    <s v="Sergio"/>
    <s v="Acosta"/>
    <x v="1"/>
    <s v="New York"/>
    <s v="New York City"/>
    <s v="Bachelor"/>
    <d v="1983-12-29T00:00:00"/>
    <x v="511"/>
    <x v="504"/>
    <x v="6"/>
    <s v="Sales Representative"/>
    <n v="64194"/>
    <x v="1"/>
  </r>
  <r>
    <s v="00-77353073"/>
    <s v="Michael"/>
    <s v="Bolton"/>
    <x v="0"/>
    <s v="New York"/>
    <s v="New York City"/>
    <s v="High School"/>
    <d v="2003-04-04T00:00:00"/>
    <x v="512"/>
    <x v="505"/>
    <x v="4"/>
    <s v="Content Creator"/>
    <n v="58980"/>
    <x v="0"/>
  </r>
  <r>
    <s v="00-18359252"/>
    <s v="Danielle"/>
    <s v="Moody"/>
    <x v="1"/>
    <s v="Michigan"/>
    <s v="Warren"/>
    <s v="Bachelor"/>
    <d v="1990-10-19T00:00:00"/>
    <x v="513"/>
    <x v="210"/>
    <x v="0"/>
    <s v="Support Specialist"/>
    <n v="61190"/>
    <x v="2"/>
  </r>
  <r>
    <s v="00-85280948"/>
    <s v="Charles"/>
    <s v="Walsh"/>
    <x v="0"/>
    <s v="Michigan"/>
    <s v="Detroit"/>
    <s v="Bachelor"/>
    <d v="1983-05-30T00:00:00"/>
    <x v="514"/>
    <x v="506"/>
    <x v="6"/>
    <s v="Sales Representative"/>
    <n v="55533"/>
    <x v="1"/>
  </r>
  <r>
    <s v="00-80528349"/>
    <s v="William"/>
    <s v="Brady"/>
    <x v="0"/>
    <s v="New York"/>
    <s v="New York City"/>
    <s v="PhD"/>
    <d v="1995-07-26T00:00:00"/>
    <x v="470"/>
    <x v="507"/>
    <x v="3"/>
    <s v="Financial Analyst"/>
    <n v="81660"/>
    <x v="3"/>
  </r>
  <r>
    <s v="00-81555103"/>
    <s v="Stephanie"/>
    <s v="Thomas"/>
    <x v="1"/>
    <s v="Michigan"/>
    <s v="Warren"/>
    <s v="High School"/>
    <d v="1981-09-09T00:00:00"/>
    <x v="515"/>
    <x v="508"/>
    <x v="4"/>
    <s v="Content Creator"/>
    <n v="57604"/>
    <x v="3"/>
  </r>
  <r>
    <s v="00-96343485"/>
    <s v="Erika"/>
    <s v="Kim"/>
    <x v="1"/>
    <s v="New York"/>
    <s v="New York City"/>
    <s v="Master"/>
    <d v="1987-07-27T00:00:00"/>
    <x v="516"/>
    <x v="509"/>
    <x v="1"/>
    <s v="System Administrator"/>
    <n v="88001"/>
    <x v="3"/>
  </r>
  <r>
    <s v="00-74985553"/>
    <s v="Carlos"/>
    <s v="Osborne"/>
    <x v="1"/>
    <s v="New York"/>
    <s v="New York City"/>
    <s v="Bachelor"/>
    <d v="2000-10-15T00:00:00"/>
    <x v="517"/>
    <x v="510"/>
    <x v="6"/>
    <s v="Sales Representative"/>
    <n v="71220"/>
    <x v="1"/>
  </r>
  <r>
    <s v="00-48789478"/>
    <s v="Cassie"/>
    <s v="Shelton"/>
    <x v="0"/>
    <s v="New York"/>
    <s v="New York City"/>
    <s v="Bachelor"/>
    <d v="1979-06-17T00:00:00"/>
    <x v="518"/>
    <x v="511"/>
    <x v="4"/>
    <s v="Content Creator"/>
    <n v="52793"/>
    <x v="2"/>
  </r>
  <r>
    <s v="00-75632882"/>
    <s v="Nathan"/>
    <s v="Hines"/>
    <x v="1"/>
    <s v="New York"/>
    <s v="New York City"/>
    <s v="Bachelor"/>
    <d v="2002-08-25T00:00:00"/>
    <x v="175"/>
    <x v="173"/>
    <x v="6"/>
    <s v="Sales Representative"/>
    <n v="76043"/>
    <x v="2"/>
  </r>
  <r>
    <s v="00-82905845"/>
    <s v="Debra"/>
    <s v="Wright"/>
    <x v="0"/>
    <s v="New York"/>
    <s v="New York City"/>
    <s v="Bachelor"/>
    <d v="1993-08-15T00:00:00"/>
    <x v="519"/>
    <x v="92"/>
    <x v="2"/>
    <s v="Inventory Specialist"/>
    <n v="61175"/>
    <x v="1"/>
  </r>
  <r>
    <s v="00-56323191"/>
    <s v="Anthony"/>
    <s v="Lopez"/>
    <x v="1"/>
    <s v="New York"/>
    <s v="New York City"/>
    <s v="High School"/>
    <d v="1973-08-19T00:00:00"/>
    <x v="520"/>
    <x v="512"/>
    <x v="2"/>
    <s v="Inventory Specialist"/>
    <n v="64342"/>
    <x v="0"/>
  </r>
  <r>
    <s v="00-15646068"/>
    <s v="Paul"/>
    <s v="Hoffman"/>
    <x v="1"/>
    <s v="Michigan"/>
    <s v="Grand Rapids"/>
    <s v="Bachelor"/>
    <d v="1965-02-04T00:00:00"/>
    <x v="521"/>
    <x v="513"/>
    <x v="1"/>
    <s v="IT Support Specialist"/>
    <n v="75475"/>
    <x v="1"/>
  </r>
  <r>
    <s v="00-56488123"/>
    <s v="Kimberly"/>
    <s v="Padilla"/>
    <x v="0"/>
    <s v="North Carolina"/>
    <s v="Charlotte"/>
    <s v="Bachelor"/>
    <d v="1978-07-20T00:00:00"/>
    <x v="522"/>
    <x v="514"/>
    <x v="0"/>
    <s v="Customer Service Representative"/>
    <n v="64626"/>
    <x v="3"/>
  </r>
  <r>
    <s v="00-74300930"/>
    <s v="Wendy"/>
    <s v="Mitchell"/>
    <x v="1"/>
    <s v="New York"/>
    <s v="New York City"/>
    <s v="Bachelor"/>
    <d v="2004-01-21T00:00:00"/>
    <x v="264"/>
    <x v="515"/>
    <x v="2"/>
    <s v="Inventory Specialist"/>
    <n v="63645"/>
    <x v="1"/>
  </r>
  <r>
    <s v="00-85432781"/>
    <s v="Yolanda"/>
    <s v="Gonzalez"/>
    <x v="1"/>
    <s v="New York"/>
    <s v="New York City"/>
    <s v="High School"/>
    <d v="1992-03-28T00:00:00"/>
    <x v="500"/>
    <x v="490"/>
    <x v="2"/>
    <s v="Inventory Specialist"/>
    <n v="64251"/>
    <x v="0"/>
  </r>
  <r>
    <s v="00-92634772"/>
    <s v="Melissa"/>
    <s v="Hayes"/>
    <x v="0"/>
    <s v="Pennsylvania"/>
    <s v="Allentown"/>
    <s v="High School"/>
    <d v="2003-10-03T00:00:00"/>
    <x v="523"/>
    <x v="516"/>
    <x v="0"/>
    <s v="Support Specialist"/>
    <n v="54961"/>
    <x v="0"/>
  </r>
  <r>
    <s v="00-16813620"/>
    <s v="Jennifer"/>
    <s v="Osborn"/>
    <x v="0"/>
    <s v="New York"/>
    <s v="New York City"/>
    <s v="High School"/>
    <d v="1985-02-11T00:00:00"/>
    <x v="118"/>
    <x v="115"/>
    <x v="2"/>
    <s v="Inventory Specialist"/>
    <n v="61212"/>
    <x v="0"/>
  </r>
  <r>
    <s v="00-95623471"/>
    <s v="Evelyn"/>
    <s v="Bruce"/>
    <x v="0"/>
    <s v="New York"/>
    <s v="New York City"/>
    <s v="Bachelor"/>
    <d v="1987-01-12T00:00:00"/>
    <x v="524"/>
    <x v="517"/>
    <x v="0"/>
    <s v="Help Desk Technician"/>
    <n v="87620"/>
    <x v="0"/>
  </r>
  <r>
    <s v="00-54331259"/>
    <s v="Elizabeth"/>
    <s v="Mckinney"/>
    <x v="0"/>
    <s v="New York"/>
    <s v="New York City"/>
    <s v="High School"/>
    <d v="1983-09-15T00:00:00"/>
    <x v="270"/>
    <x v="17"/>
    <x v="0"/>
    <s v="Support Specialist"/>
    <n v="65530"/>
    <x v="0"/>
  </r>
  <r>
    <s v="00-28450513"/>
    <s v="Amber"/>
    <s v="Vance"/>
    <x v="0"/>
    <s v="New York"/>
    <s v="New York City"/>
    <s v="Bachelor"/>
    <d v="1971-10-11T00:00:00"/>
    <x v="525"/>
    <x v="518"/>
    <x v="2"/>
    <s v="Logistics Coordinator"/>
    <n v="64649"/>
    <x v="1"/>
  </r>
  <r>
    <s v="00-64614193"/>
    <s v="Eric"/>
    <s v="Mckinney"/>
    <x v="1"/>
    <s v="New York"/>
    <s v="New York City"/>
    <s v="Master"/>
    <d v="1972-08-03T00:00:00"/>
    <x v="256"/>
    <x v="255"/>
    <x v="2"/>
    <s v="Operations Analyst"/>
    <n v="81221"/>
    <x v="1"/>
  </r>
  <r>
    <s v="00-97313825"/>
    <s v="Dana"/>
    <s v="Leon"/>
    <x v="0"/>
    <s v="New York"/>
    <s v="New York City"/>
    <s v="High School"/>
    <d v="1971-05-21T00:00:00"/>
    <x v="32"/>
    <x v="519"/>
    <x v="4"/>
    <s v="Content Creator"/>
    <n v="55055"/>
    <x v="0"/>
  </r>
  <r>
    <s v="00-48307798"/>
    <s v="Jeffrey"/>
    <s v="Galloway"/>
    <x v="0"/>
    <s v="New York"/>
    <s v="New York City"/>
    <s v="Bachelor"/>
    <d v="1991-08-19T00:00:00"/>
    <x v="526"/>
    <x v="520"/>
    <x v="1"/>
    <s v="System Administrator"/>
    <n v="89837"/>
    <x v="1"/>
  </r>
  <r>
    <s v="00-87058874"/>
    <s v="Dominic"/>
    <s v="Tyler"/>
    <x v="0"/>
    <s v="North Carolina"/>
    <s v="Raleigh"/>
    <s v="Bachelor"/>
    <d v="1974-04-19T00:00:00"/>
    <x v="527"/>
    <x v="521"/>
    <x v="0"/>
    <s v="Support Specialist"/>
    <n v="66282"/>
    <x v="3"/>
  </r>
  <r>
    <s v="00-15006085"/>
    <s v="Michael"/>
    <s v="Armstrong"/>
    <x v="1"/>
    <s v="Michigan"/>
    <s v="Warren"/>
    <s v="Master"/>
    <d v="1979-06-26T00:00:00"/>
    <x v="528"/>
    <x v="428"/>
    <x v="2"/>
    <s v="Operations Analyst"/>
    <n v="67293"/>
    <x v="1"/>
  </r>
  <r>
    <s v="00-33593960"/>
    <s v="Linda"/>
    <s v="Arnold"/>
    <x v="0"/>
    <s v="New York"/>
    <s v="New York City"/>
    <s v="High School"/>
    <d v="1997-09-27T00:00:00"/>
    <x v="529"/>
    <x v="522"/>
    <x v="2"/>
    <s v="Inventory Specialist"/>
    <n v="59592"/>
    <x v="0"/>
  </r>
  <r>
    <s v="00-63283709"/>
    <s v="Nicole"/>
    <s v="Jones"/>
    <x v="1"/>
    <s v="New York"/>
    <s v="New York City"/>
    <s v="Bachelor"/>
    <d v="1983-01-28T00:00:00"/>
    <x v="530"/>
    <x v="523"/>
    <x v="3"/>
    <s v="Accounts Payable Specialist"/>
    <n v="61465"/>
    <x v="1"/>
  </r>
  <r>
    <s v="00-48851599"/>
    <s v="Yvonne"/>
    <s v="Higgins"/>
    <x v="0"/>
    <s v="Pennsylvania"/>
    <s v="Philadelphia"/>
    <s v="Bachelor"/>
    <d v="1994-12-19T00:00:00"/>
    <x v="531"/>
    <x v="524"/>
    <x v="5"/>
    <s v="Recruiter"/>
    <n v="73461"/>
    <x v="1"/>
  </r>
  <r>
    <s v="00-86230551"/>
    <s v="Robert"/>
    <s v="Ortiz"/>
    <x v="0"/>
    <s v="New York"/>
    <s v="New York City"/>
    <s v="Bachelor"/>
    <d v="1980-05-16T00:00:00"/>
    <x v="532"/>
    <x v="525"/>
    <x v="6"/>
    <s v="Sales Specialist"/>
    <n v="57475"/>
    <x v="1"/>
  </r>
  <r>
    <s v="00-70981700"/>
    <s v="Charles"/>
    <s v="Compton"/>
    <x v="1"/>
    <s v="New York"/>
    <s v="New York City"/>
    <s v="Master"/>
    <d v="1980-04-03T00:00:00"/>
    <x v="533"/>
    <x v="526"/>
    <x v="1"/>
    <s v="System Administrator"/>
    <n v="69069"/>
    <x v="3"/>
  </r>
  <r>
    <s v="00-76291802"/>
    <s v="Charles"/>
    <s v="Owens"/>
    <x v="1"/>
    <s v="New York"/>
    <s v="New York City"/>
    <s v="Bachelor"/>
    <d v="1996-07-18T00:00:00"/>
    <x v="534"/>
    <x v="270"/>
    <x v="2"/>
    <s v="Logistics Coordinator"/>
    <n v="61015"/>
    <x v="2"/>
  </r>
  <r>
    <s v="00-77674279"/>
    <s v="Melvin"/>
    <s v="Humphrey"/>
    <x v="1"/>
    <s v="Pennsylvania"/>
    <s v="Philadelphia"/>
    <s v="Master"/>
    <d v="1980-12-15T00:00:00"/>
    <x v="535"/>
    <x v="527"/>
    <x v="6"/>
    <s v="Sales Manager"/>
    <n v="117180"/>
    <x v="3"/>
  </r>
  <r>
    <s v="00-25119192"/>
    <s v="Andrea"/>
    <s v="Matthews"/>
    <x v="1"/>
    <s v="West Virginia"/>
    <s v="Charleston"/>
    <s v="Bachelor"/>
    <d v="1996-10-22T00:00:00"/>
    <x v="536"/>
    <x v="528"/>
    <x v="0"/>
    <s v="Customer Service Representative"/>
    <n v="58585"/>
    <x v="1"/>
  </r>
  <r>
    <s v="00-97011385"/>
    <s v="Tammy"/>
    <s v="Reynolds"/>
    <x v="1"/>
    <s v="Michigan"/>
    <s v="Detroit"/>
    <s v="PhD"/>
    <d v="1960-08-20T00:00:00"/>
    <x v="438"/>
    <x v="529"/>
    <x v="6"/>
    <s v="Sales Specialist"/>
    <n v="58073"/>
    <x v="3"/>
  </r>
  <r>
    <s v="00-55246430"/>
    <s v="Miranda"/>
    <s v="Guerra"/>
    <x v="0"/>
    <s v="New York"/>
    <s v="New York City"/>
    <s v="Master"/>
    <d v="1993-06-11T00:00:00"/>
    <x v="537"/>
    <x v="530"/>
    <x v="2"/>
    <s v="Operations Analyst"/>
    <n v="69136"/>
    <x v="1"/>
  </r>
  <r>
    <s v="00-35925669"/>
    <s v="Eric"/>
    <s v="Martin"/>
    <x v="0"/>
    <s v="New York"/>
    <s v="New York City"/>
    <s v="High School"/>
    <d v="1988-09-10T00:00:00"/>
    <x v="538"/>
    <x v="531"/>
    <x v="2"/>
    <s v="Inventory Specialist"/>
    <n v="62641"/>
    <x v="0"/>
  </r>
  <r>
    <s v="00-67405358"/>
    <s v="Sarah"/>
    <s v="Perez"/>
    <x v="0"/>
    <s v="New York"/>
    <s v="New York City"/>
    <s v="Bachelor"/>
    <d v="1965-06-01T00:00:00"/>
    <x v="539"/>
    <x v="370"/>
    <x v="4"/>
    <s v="Marketing Coordinator"/>
    <n v="55460"/>
    <x v="1"/>
  </r>
  <r>
    <s v="00-99826000"/>
    <s v="Patty"/>
    <s v="Singleton"/>
    <x v="1"/>
    <s v="New York"/>
    <s v="New York City"/>
    <s v="Bachelor"/>
    <d v="1980-05-13T00:00:00"/>
    <x v="448"/>
    <x v="532"/>
    <x v="2"/>
    <s v="Logistics Coordinator"/>
    <n v="63096"/>
    <x v="1"/>
  </r>
  <r>
    <s v="00-53433080"/>
    <s v="James"/>
    <s v="Huber"/>
    <x v="0"/>
    <s v="Pennsylvania"/>
    <s v="Philadelphia"/>
    <s v="High School"/>
    <d v="1993-04-11T00:00:00"/>
    <x v="540"/>
    <x v="533"/>
    <x v="2"/>
    <s v="Inventory Specialist"/>
    <n v="63880"/>
    <x v="0"/>
  </r>
  <r>
    <s v="00-61482483"/>
    <s v="David"/>
    <s v="Turner"/>
    <x v="1"/>
    <s v="New York"/>
    <s v="New York City"/>
    <s v="Bachelor"/>
    <d v="1981-07-18T00:00:00"/>
    <x v="541"/>
    <x v="534"/>
    <x v="4"/>
    <s v="Content Creator"/>
    <n v="64090"/>
    <x v="3"/>
  </r>
  <r>
    <s v="00-50526484"/>
    <s v="Clarence"/>
    <s v="Davidson"/>
    <x v="0"/>
    <s v="New York"/>
    <s v="New York City"/>
    <s v="Bachelor"/>
    <d v="1993-01-14T00:00:00"/>
    <x v="542"/>
    <x v="535"/>
    <x v="3"/>
    <s v="Financial Analyst"/>
    <n v="78013"/>
    <x v="2"/>
  </r>
  <r>
    <s v="00-45105069"/>
    <s v="Shelly"/>
    <s v="Moore"/>
    <x v="0"/>
    <s v="New York"/>
    <s v="New York City"/>
    <s v="High School"/>
    <d v="1973-11-09T00:00:00"/>
    <x v="543"/>
    <x v="310"/>
    <x v="0"/>
    <s v="Support Specialist"/>
    <n v="58190"/>
    <x v="0"/>
  </r>
  <r>
    <s v="00-18338186"/>
    <s v="Claudia"/>
    <s v="Winters"/>
    <x v="1"/>
    <s v="New York"/>
    <s v="New York City"/>
    <s v="Bachelor"/>
    <d v="1973-10-24T00:00:00"/>
    <x v="544"/>
    <x v="536"/>
    <x v="2"/>
    <s v="Operations Analyst"/>
    <n v="65703"/>
    <x v="2"/>
  </r>
  <r>
    <s v="00-31436829"/>
    <s v="Megan"/>
    <s v="Elliott"/>
    <x v="1"/>
    <s v="New York"/>
    <s v="New York City"/>
    <s v="Master"/>
    <d v="1972-08-04T00:00:00"/>
    <x v="545"/>
    <x v="537"/>
    <x v="1"/>
    <s v="IT Manager"/>
    <n v="94413"/>
    <x v="1"/>
  </r>
  <r>
    <s v="00-51738753"/>
    <s v="Michelle"/>
    <s v="Miller"/>
    <x v="0"/>
    <s v="New York"/>
    <s v="New York City"/>
    <s v="Master"/>
    <d v="2003-05-11T00:00:00"/>
    <x v="185"/>
    <x v="181"/>
    <x v="2"/>
    <s v="Operations Analyst"/>
    <n v="87933"/>
    <x v="3"/>
  </r>
  <r>
    <s v="00-59330907"/>
    <s v="Kelli"/>
    <s v="Baker"/>
    <x v="0"/>
    <s v="New York"/>
    <s v="New York City"/>
    <s v="Bachelor"/>
    <d v="1997-05-02T00:00:00"/>
    <x v="546"/>
    <x v="538"/>
    <x v="4"/>
    <s v="Content Creator"/>
    <n v="61699"/>
    <x v="1"/>
  </r>
  <r>
    <s v="00-74180488"/>
    <s v="Katie"/>
    <s v="Butler"/>
    <x v="1"/>
    <s v="Ohio"/>
    <s v="Cincinnati"/>
    <s v="Bachelor"/>
    <d v="1979-02-17T00:00:00"/>
    <x v="486"/>
    <x v="475"/>
    <x v="0"/>
    <s v="Help Desk Technician"/>
    <n v="83942"/>
    <x v="2"/>
  </r>
  <r>
    <s v="00-60147077"/>
    <s v="Anthony"/>
    <s v="Small"/>
    <x v="1"/>
    <s v="New York"/>
    <s v="New York City"/>
    <s v="Bachelor"/>
    <d v="1998-01-19T00:00:00"/>
    <x v="547"/>
    <x v="539"/>
    <x v="2"/>
    <s v="Logistics Coordinator"/>
    <n v="68032"/>
    <x v="2"/>
  </r>
  <r>
    <s v="00-82144402"/>
    <s v="Keith"/>
    <s v="Frye"/>
    <x v="1"/>
    <s v="New York"/>
    <s v="New York City"/>
    <s v="Bachelor"/>
    <d v="1986-01-13T00:00:00"/>
    <x v="548"/>
    <x v="540"/>
    <x v="2"/>
    <s v="Logistics Coordinator"/>
    <n v="63082"/>
    <x v="2"/>
  </r>
  <r>
    <s v="00-43214247"/>
    <s v="John"/>
    <s v="Aguirre"/>
    <x v="0"/>
    <s v="North Carolina"/>
    <s v="Greensboro"/>
    <s v="High School"/>
    <d v="1977-06-29T00:00:00"/>
    <x v="549"/>
    <x v="541"/>
    <x v="2"/>
    <s v="Inventory Specialist"/>
    <n v="58453"/>
    <x v="3"/>
  </r>
  <r>
    <s v="00-20988446"/>
    <s v="Kenneth"/>
    <s v="Jones"/>
    <x v="0"/>
    <s v="Michigan"/>
    <s v="Grand Rapids"/>
    <s v="Bachelor"/>
    <d v="1986-11-12T00:00:00"/>
    <x v="550"/>
    <x v="542"/>
    <x v="0"/>
    <s v="Support Specialist"/>
    <n v="59488"/>
    <x v="2"/>
  </r>
  <r>
    <s v="00-58557943"/>
    <s v="Eric"/>
    <s v="Perry"/>
    <x v="0"/>
    <s v="New York"/>
    <s v="New York City"/>
    <s v="High School"/>
    <d v="1987-07-25T00:00:00"/>
    <x v="551"/>
    <x v="419"/>
    <x v="0"/>
    <s v="Customer Service Representative"/>
    <n v="59823"/>
    <x v="0"/>
  </r>
  <r>
    <s v="00-18289024"/>
    <s v="James"/>
    <s v="Lawson"/>
    <x v="1"/>
    <s v="New York"/>
    <s v="New York City"/>
    <s v="Bachelor"/>
    <d v="1980-07-02T00:00:00"/>
    <x v="552"/>
    <x v="543"/>
    <x v="1"/>
    <s v="IT Support Specialist"/>
    <n v="67031"/>
    <x v="1"/>
  </r>
  <r>
    <s v="00-86866717"/>
    <s v="Michelle"/>
    <s v="Flores"/>
    <x v="1"/>
    <s v="North Carolina"/>
    <s v="Raleigh"/>
    <s v="High School"/>
    <d v="1992-11-29T00:00:00"/>
    <x v="339"/>
    <x v="544"/>
    <x v="0"/>
    <s v="Support Specialist"/>
    <n v="64904"/>
    <x v="0"/>
  </r>
  <r>
    <s v="00-79839059"/>
    <s v="Michael"/>
    <s v="Ross"/>
    <x v="0"/>
    <s v="New York"/>
    <s v="New York City"/>
    <s v="High School"/>
    <d v="1978-09-16T00:00:00"/>
    <x v="553"/>
    <x v="545"/>
    <x v="0"/>
    <s v="Support Specialist"/>
    <n v="63124"/>
    <x v="0"/>
  </r>
  <r>
    <s v="00-88268756"/>
    <s v="Mitchell"/>
    <s v="Hoffman"/>
    <x v="0"/>
    <s v="West Virginia"/>
    <s v="Huntington"/>
    <s v="Master"/>
    <d v="1972-07-24T00:00:00"/>
    <x v="554"/>
    <x v="546"/>
    <x v="5"/>
    <s v="HR Coordinator"/>
    <n v="62596"/>
    <x v="3"/>
  </r>
  <r>
    <s v="00-17467311"/>
    <s v="John"/>
    <s v="Martinez"/>
    <x v="0"/>
    <s v="Michigan"/>
    <s v="Detroit"/>
    <s v="High School"/>
    <d v="1995-01-13T00:00:00"/>
    <x v="467"/>
    <x v="291"/>
    <x v="0"/>
    <s v="Help Desk Technician"/>
    <n v="84792"/>
    <x v="3"/>
  </r>
  <r>
    <s v="00-71310453"/>
    <s v="John"/>
    <s v="Davis"/>
    <x v="0"/>
    <s v="New York"/>
    <s v="New York City"/>
    <s v="Bachelor"/>
    <d v="1987-07-17T00:00:00"/>
    <x v="555"/>
    <x v="547"/>
    <x v="6"/>
    <s v="Sales Consultant"/>
    <n v="90504"/>
    <x v="1"/>
  </r>
  <r>
    <s v="00-51361818"/>
    <s v="Sonia"/>
    <s v="Lin"/>
    <x v="0"/>
    <s v="New York"/>
    <s v="New York City"/>
    <s v="High School"/>
    <d v="1983-04-12T00:00:00"/>
    <x v="556"/>
    <x v="548"/>
    <x v="0"/>
    <s v="Customer Service Representative"/>
    <n v="54612"/>
    <x v="0"/>
  </r>
  <r>
    <s v="00-10404729"/>
    <s v="John"/>
    <s v="Grimes"/>
    <x v="0"/>
    <s v="Virginia"/>
    <s v="Virginia Beach"/>
    <s v="Bachelor"/>
    <d v="1981-07-14T00:00:00"/>
    <x v="557"/>
    <x v="549"/>
    <x v="0"/>
    <s v="Help Desk Technician"/>
    <n v="58407"/>
    <x v="1"/>
  </r>
  <r>
    <s v="00-16078694"/>
    <s v="Lisa"/>
    <s v="Peck"/>
    <x v="0"/>
    <s v="New York"/>
    <s v="New York City"/>
    <s v="Master"/>
    <d v="1977-06-04T00:00:00"/>
    <x v="464"/>
    <x v="550"/>
    <x v="1"/>
    <s v="Software Developer"/>
    <n v="113135"/>
    <x v="1"/>
  </r>
  <r>
    <s v="00-82633735"/>
    <s v="Larry"/>
    <s v="Hines"/>
    <x v="0"/>
    <s v="New York"/>
    <s v="New York City"/>
    <s v="Bachelor"/>
    <d v="1989-09-19T00:00:00"/>
    <x v="27"/>
    <x v="27"/>
    <x v="3"/>
    <s v="Accountant"/>
    <n v="57963"/>
    <x v="1"/>
  </r>
  <r>
    <s v="00-14259382"/>
    <s v="Wendy"/>
    <s v="Owens"/>
    <x v="1"/>
    <s v="New York"/>
    <s v="New York City"/>
    <s v="Master"/>
    <d v="1996-06-27T00:00:00"/>
    <x v="100"/>
    <x v="97"/>
    <x v="1"/>
    <s v="System Administrator"/>
    <n v="70113"/>
    <x v="3"/>
  </r>
  <r>
    <s v="00-28176954"/>
    <s v="Kyle"/>
    <s v="Johnson"/>
    <x v="0"/>
    <s v="Ohio"/>
    <s v="Cleveland"/>
    <s v="Bachelor"/>
    <d v="1991-10-30T00:00:00"/>
    <x v="558"/>
    <x v="551"/>
    <x v="2"/>
    <s v="Inventory Specialist"/>
    <n v="56679"/>
    <x v="1"/>
  </r>
  <r>
    <s v="00-66420024"/>
    <s v="William"/>
    <s v="Levy"/>
    <x v="1"/>
    <s v="New York"/>
    <s v="New York City"/>
    <s v="Bachelor"/>
    <d v="1998-11-21T00:00:00"/>
    <x v="559"/>
    <x v="552"/>
    <x v="2"/>
    <s v="Inventory Specialist"/>
    <n v="62547"/>
    <x v="2"/>
  </r>
  <r>
    <s v="00-60666702"/>
    <s v="Brandy"/>
    <s v="Williams"/>
    <x v="1"/>
    <s v="New York"/>
    <s v="New York City"/>
    <s v="High School"/>
    <d v="1993-12-21T00:00:00"/>
    <x v="560"/>
    <x v="98"/>
    <x v="0"/>
    <s v="Customer Service Representative"/>
    <n v="65191"/>
    <x v="0"/>
  </r>
  <r>
    <s v="00-82383656"/>
    <s v="Troy"/>
    <s v="Khan"/>
    <x v="0"/>
    <s v="New York"/>
    <s v="New York City"/>
    <s v="Bachelor"/>
    <d v="2002-05-20T00:00:00"/>
    <x v="561"/>
    <x v="553"/>
    <x v="2"/>
    <s v="Logistics Coordinator"/>
    <n v="57030"/>
    <x v="3"/>
  </r>
  <r>
    <s v="00-33954324"/>
    <s v="Emily"/>
    <s v="Mitchell"/>
    <x v="0"/>
    <s v="New York"/>
    <s v="New York City"/>
    <s v="Master"/>
    <d v="1987-03-19T00:00:00"/>
    <x v="562"/>
    <x v="420"/>
    <x v="2"/>
    <s v="Operations Analyst"/>
    <n v="87587"/>
    <x v="3"/>
  </r>
  <r>
    <s v="00-27092236"/>
    <s v="Melanie"/>
    <s v="Jordan"/>
    <x v="1"/>
    <s v="New York"/>
    <s v="New York City"/>
    <s v="Bachelor"/>
    <d v="1970-08-01T00:00:00"/>
    <x v="63"/>
    <x v="62"/>
    <x v="1"/>
    <s v="Software Developer"/>
    <n v="95371"/>
    <x v="1"/>
  </r>
  <r>
    <s v="00-10466177"/>
    <s v="Joseph"/>
    <s v="Diaz"/>
    <x v="0"/>
    <s v="Michigan"/>
    <s v="Warren"/>
    <s v="Bachelor"/>
    <d v="1991-05-11T00:00:00"/>
    <x v="563"/>
    <x v="554"/>
    <x v="3"/>
    <s v="Accountant"/>
    <n v="53179"/>
    <x v="2"/>
  </r>
  <r>
    <s v="00-83074216"/>
    <s v="Michael"/>
    <s v="Morales"/>
    <x v="1"/>
    <s v="Michigan"/>
    <s v="Detroit"/>
    <s v="Bachelor"/>
    <d v="1998-07-10T00:00:00"/>
    <x v="564"/>
    <x v="555"/>
    <x v="2"/>
    <s v="Logistics Coordinator"/>
    <n v="64190"/>
    <x v="3"/>
  </r>
  <r>
    <s v="00-40824989"/>
    <s v="Anna"/>
    <s v="Cox"/>
    <x v="1"/>
    <s v="Pennsylvania"/>
    <s v="Allentown"/>
    <s v="High School"/>
    <d v="2003-10-11T00:00:00"/>
    <x v="565"/>
    <x v="131"/>
    <x v="0"/>
    <s v="Support Specialist"/>
    <n v="53419"/>
    <x v="0"/>
  </r>
  <r>
    <s v="00-46997080"/>
    <s v="Charles"/>
    <s v="Gordon"/>
    <x v="1"/>
    <s v="New York"/>
    <s v="New York City"/>
    <s v="High School"/>
    <d v="1963-02-14T00:00:00"/>
    <x v="566"/>
    <x v="197"/>
    <x v="2"/>
    <s v="Inventory Specialist"/>
    <n v="54923"/>
    <x v="3"/>
  </r>
  <r>
    <s v="00-92533595"/>
    <s v="Erin"/>
    <s v="Wilson"/>
    <x v="0"/>
    <s v="New York"/>
    <s v="New York City"/>
    <s v="Bachelor"/>
    <d v="1981-01-09T00:00:00"/>
    <x v="567"/>
    <x v="556"/>
    <x v="2"/>
    <s v="Logistics Coordinator"/>
    <n v="57130"/>
    <x v="1"/>
  </r>
  <r>
    <s v="00-69920305"/>
    <s v="Angela"/>
    <s v="Diaz"/>
    <x v="1"/>
    <s v="New York"/>
    <s v="New York City"/>
    <s v="Bachelor"/>
    <d v="1989-05-09T00:00:00"/>
    <x v="568"/>
    <x v="557"/>
    <x v="6"/>
    <s v="Sales Representative"/>
    <n v="79304"/>
    <x v="2"/>
  </r>
  <r>
    <s v="00-16533225"/>
    <s v="James"/>
    <s v="Hicks"/>
    <x v="0"/>
    <s v="Michigan"/>
    <s v="Grand Rapids"/>
    <s v="Bachelor"/>
    <d v="1972-10-29T00:00:00"/>
    <x v="478"/>
    <x v="466"/>
    <x v="4"/>
    <s v="Content Creator"/>
    <n v="58058"/>
    <x v="1"/>
  </r>
  <r>
    <s v="00-68916591"/>
    <s v="Billy"/>
    <s v="Williams"/>
    <x v="1"/>
    <s v="New York"/>
    <s v="New York City"/>
    <s v="Bachelor"/>
    <d v="1986-10-20T00:00:00"/>
    <x v="569"/>
    <x v="400"/>
    <x v="4"/>
    <s v="Content Creator"/>
    <n v="63949"/>
    <x v="1"/>
  </r>
  <r>
    <s v="00-17575790"/>
    <s v="Mason"/>
    <s v="Wells"/>
    <x v="1"/>
    <s v="New York"/>
    <s v="New York City"/>
    <s v="High School"/>
    <d v="1980-01-14T00:00:00"/>
    <x v="570"/>
    <x v="558"/>
    <x v="2"/>
    <s v="Inventory Specialist"/>
    <n v="61782"/>
    <x v="0"/>
  </r>
  <r>
    <s v="00-87324220"/>
    <s v="Eduardo"/>
    <s v="Barry"/>
    <x v="1"/>
    <s v="Michigan"/>
    <s v="Detroit"/>
    <s v="Bachelor"/>
    <d v="1967-08-14T00:00:00"/>
    <x v="571"/>
    <x v="559"/>
    <x v="6"/>
    <s v="Sales Specialist"/>
    <n v="76023"/>
    <x v="1"/>
  </r>
  <r>
    <s v="00-53038943"/>
    <s v="Mark"/>
    <s v="Austin"/>
    <x v="0"/>
    <s v="New York"/>
    <s v="New York City"/>
    <s v="Master"/>
    <d v="1973-11-25T00:00:00"/>
    <x v="572"/>
    <x v="532"/>
    <x v="2"/>
    <s v="Operations Analyst"/>
    <n v="82239"/>
    <x v="3"/>
  </r>
  <r>
    <s v="00-79961132"/>
    <s v="Phillip"/>
    <s v="Jensen"/>
    <x v="1"/>
    <s v="New York"/>
    <s v="New York City"/>
    <s v="Bachelor"/>
    <d v="2002-04-23T00:00:00"/>
    <x v="573"/>
    <x v="560"/>
    <x v="2"/>
    <s v="Logistics Coordinator"/>
    <n v="63634"/>
    <x v="1"/>
  </r>
  <r>
    <s v="00-18181595"/>
    <s v="Kevin"/>
    <s v="Rogers"/>
    <x v="1"/>
    <s v="Michigan"/>
    <s v="Detroit"/>
    <s v="Bachelor"/>
    <d v="1961-04-13T00:00:00"/>
    <x v="574"/>
    <x v="60"/>
    <x v="6"/>
    <s v="Sales Representative"/>
    <n v="79328"/>
    <x v="2"/>
  </r>
  <r>
    <s v="00-33505978"/>
    <s v="William"/>
    <s v="Burns"/>
    <x v="1"/>
    <s v="New York"/>
    <s v="New York City"/>
    <s v="Bachelor"/>
    <d v="1969-05-26T00:00:00"/>
    <x v="575"/>
    <x v="561"/>
    <x v="2"/>
    <s v="Inventory Specialist"/>
    <n v="70361"/>
    <x v="2"/>
  </r>
  <r>
    <s v="00-76521096"/>
    <s v="Kevin"/>
    <s v="Cabrera"/>
    <x v="0"/>
    <s v="Michigan"/>
    <s v="Detroit"/>
    <s v="Bachelor"/>
    <d v="1987-10-25T00:00:00"/>
    <x v="576"/>
    <x v="562"/>
    <x v="1"/>
    <s v="IT Support Specialist"/>
    <n v="61939"/>
    <x v="2"/>
  </r>
  <r>
    <s v="00-61157708"/>
    <s v="Mark"/>
    <s v="Rodriguez"/>
    <x v="0"/>
    <s v="New York"/>
    <s v="New York City"/>
    <s v="PhD"/>
    <d v="1970-08-18T00:00:00"/>
    <x v="172"/>
    <x v="170"/>
    <x v="3"/>
    <s v="Financial Analyst"/>
    <n v="105567"/>
    <x v="3"/>
  </r>
  <r>
    <s v="00-65878146"/>
    <s v="Brandy"/>
    <s v="Robles"/>
    <x v="0"/>
    <s v="New York"/>
    <s v="New York City"/>
    <s v="Bachelor"/>
    <d v="1993-07-13T00:00:00"/>
    <x v="577"/>
    <x v="563"/>
    <x v="6"/>
    <s v="Sales Representative"/>
    <n v="56716"/>
    <x v="1"/>
  </r>
  <r>
    <s v="00-34679818"/>
    <s v="Monica"/>
    <s v="Soto"/>
    <x v="0"/>
    <s v="New York"/>
    <s v="New York City"/>
    <s v="Master"/>
    <d v="1991-04-08T00:00:00"/>
    <x v="578"/>
    <x v="564"/>
    <x v="1"/>
    <s v="Software Developer"/>
    <n v="99379"/>
    <x v="3"/>
  </r>
  <r>
    <s v="00-40245233"/>
    <s v="Thomas"/>
    <s v="Coffey"/>
    <x v="1"/>
    <s v="New York"/>
    <s v="New York City"/>
    <s v="Bachelor"/>
    <d v="1995-10-09T00:00:00"/>
    <x v="579"/>
    <x v="565"/>
    <x v="0"/>
    <s v="Support Specialist"/>
    <n v="60496"/>
    <x v="1"/>
  </r>
  <r>
    <s v="00-72146184"/>
    <s v="Teresa"/>
    <s v="Lane"/>
    <x v="1"/>
    <s v="New York"/>
    <s v="New York City"/>
    <s v="Master"/>
    <d v="1970-03-12T00:00:00"/>
    <x v="580"/>
    <x v="566"/>
    <x v="1"/>
    <s v="System Administrator"/>
    <n v="87672"/>
    <x v="3"/>
  </r>
  <r>
    <s v="00-65902739"/>
    <s v="Jennifer"/>
    <s v="Silva"/>
    <x v="1"/>
    <s v="New York"/>
    <s v="New York City"/>
    <s v="Bachelor"/>
    <d v="1985-06-06T00:00:00"/>
    <x v="581"/>
    <x v="567"/>
    <x v="6"/>
    <s v="Sales Representative"/>
    <n v="67869"/>
    <x v="1"/>
  </r>
  <r>
    <s v="00-42595918"/>
    <s v="Alexandria"/>
    <s v="Griffith"/>
    <x v="1"/>
    <s v="New York"/>
    <s v="New York City"/>
    <s v="Bachelor"/>
    <d v="1988-08-16T00:00:00"/>
    <x v="582"/>
    <x v="236"/>
    <x v="2"/>
    <s v="Logistics Coordinator"/>
    <n v="66072"/>
    <x v="3"/>
  </r>
  <r>
    <s v="00-20612653"/>
    <s v="Maureen"/>
    <s v="Hernandez"/>
    <x v="0"/>
    <s v="New York"/>
    <s v="New York City"/>
    <s v="High School"/>
    <d v="1982-07-11T00:00:00"/>
    <x v="328"/>
    <x v="317"/>
    <x v="4"/>
    <s v="SEO Specialist"/>
    <n v="82068"/>
    <x v="0"/>
  </r>
  <r>
    <s v="00-81891784"/>
    <s v="John"/>
    <s v="Armstrong"/>
    <x v="1"/>
    <s v="New York"/>
    <s v="New York City"/>
    <s v="Master"/>
    <d v="1998-04-15T00:00:00"/>
    <x v="4"/>
    <x v="4"/>
    <x v="5"/>
    <s v="HR Coordinator"/>
    <n v="55146"/>
    <x v="3"/>
  </r>
  <r>
    <s v="00-46032304"/>
    <s v="Daniel"/>
    <s v="Smith"/>
    <x v="0"/>
    <s v="New York"/>
    <s v="New York City"/>
    <s v="Bachelor"/>
    <d v="1972-08-22T00:00:00"/>
    <x v="82"/>
    <x v="568"/>
    <x v="2"/>
    <s v="Logistics Coordinator"/>
    <n v="58529"/>
    <x v="1"/>
  </r>
  <r>
    <s v="00-15307982"/>
    <s v="Robert"/>
    <s v="Gutierrez"/>
    <x v="1"/>
    <s v="New York"/>
    <s v="New York City"/>
    <s v="High School"/>
    <d v="1991-01-07T00:00:00"/>
    <x v="583"/>
    <x v="569"/>
    <x v="2"/>
    <s v="Inventory Specialist"/>
    <n v="59202"/>
    <x v="0"/>
  </r>
  <r>
    <s v="00-88864147"/>
    <s v="Robert"/>
    <s v="Hampton"/>
    <x v="1"/>
    <s v="New York"/>
    <s v="New York City"/>
    <s v="High School"/>
    <d v="1988-07-24T00:00:00"/>
    <x v="584"/>
    <x v="570"/>
    <x v="0"/>
    <s v="Customer Service Representative"/>
    <n v="59013"/>
    <x v="0"/>
  </r>
  <r>
    <s v="00-74343201"/>
    <s v="Thomas"/>
    <s v="Charles"/>
    <x v="0"/>
    <s v="New York"/>
    <s v="New York City"/>
    <s v="Bachelor"/>
    <d v="1971-12-05T00:00:00"/>
    <x v="585"/>
    <x v="571"/>
    <x v="0"/>
    <s v="Support Specialist"/>
    <n v="63118"/>
    <x v="1"/>
  </r>
  <r>
    <s v="00-12058055"/>
    <s v="Bryan"/>
    <s v="Taylor"/>
    <x v="0"/>
    <s v="New York"/>
    <s v="New York City"/>
    <s v="Bachelor"/>
    <d v="1975-06-11T00:00:00"/>
    <x v="586"/>
    <x v="572"/>
    <x v="2"/>
    <s v="Logistics Coordinator"/>
    <n v="55963"/>
    <x v="0"/>
  </r>
  <r>
    <s v="00-25745913"/>
    <s v="Ann"/>
    <s v="Bolton"/>
    <x v="0"/>
    <s v="New York"/>
    <s v="New York City"/>
    <s v="Master"/>
    <d v="2001-09-19T00:00:00"/>
    <x v="587"/>
    <x v="573"/>
    <x v="6"/>
    <s v="Sales Consultant"/>
    <n v="96838"/>
    <x v="3"/>
  </r>
  <r>
    <s v="00-91121400"/>
    <s v="Alicia"/>
    <s v="Edwards"/>
    <x v="1"/>
    <s v="New York"/>
    <s v="New York City"/>
    <s v="High School"/>
    <d v="1980-12-17T00:00:00"/>
    <x v="498"/>
    <x v="488"/>
    <x v="0"/>
    <s v="Support Specialist"/>
    <n v="58081"/>
    <x v="0"/>
  </r>
  <r>
    <s v="00-84098828"/>
    <s v="Steve"/>
    <s v="Patel"/>
    <x v="1"/>
    <s v="Michigan"/>
    <s v="Detroit"/>
    <s v="High School"/>
    <d v="2004-03-23T00:00:00"/>
    <x v="588"/>
    <x v="396"/>
    <x v="0"/>
    <s v="Customer Service Representative"/>
    <n v="59674"/>
    <x v="0"/>
  </r>
  <r>
    <s v="00-72579077"/>
    <s v="Michael"/>
    <s v="Ingram"/>
    <x v="0"/>
    <s v="New York"/>
    <s v="New York City"/>
    <s v="PhD"/>
    <d v="1989-05-24T00:00:00"/>
    <x v="589"/>
    <x v="574"/>
    <x v="3"/>
    <s v="Financial Analyst"/>
    <n v="98661"/>
    <x v="3"/>
  </r>
  <r>
    <s v="00-45106207"/>
    <s v="Erin"/>
    <s v="Lara"/>
    <x v="1"/>
    <s v="New York"/>
    <s v="New York City"/>
    <s v="Bachelor"/>
    <d v="1986-04-08T00:00:00"/>
    <x v="250"/>
    <x v="575"/>
    <x v="1"/>
    <s v="IT Support Specialist"/>
    <n v="67673"/>
    <x v="0"/>
  </r>
  <r>
    <s v="00-23234972"/>
    <s v="Chelsea"/>
    <s v="Lee"/>
    <x v="1"/>
    <s v="New York"/>
    <s v="New York City"/>
    <s v="Bachelor"/>
    <d v="2001-10-11T00:00:00"/>
    <x v="590"/>
    <x v="576"/>
    <x v="1"/>
    <s v="System Administrator"/>
    <n v="93212"/>
    <x v="0"/>
  </r>
  <r>
    <s v="00-52980983"/>
    <s v="Joshua"/>
    <s v="Evans"/>
    <x v="1"/>
    <s v="New York"/>
    <s v="New York City"/>
    <s v="Bachelor"/>
    <d v="1960-05-27T00:00:00"/>
    <x v="591"/>
    <x v="577"/>
    <x v="1"/>
    <s v="Software Developer"/>
    <n v="95680"/>
    <x v="2"/>
  </r>
  <r>
    <s v="00-65556767"/>
    <s v="Kellie"/>
    <s v="Bush"/>
    <x v="1"/>
    <s v="New York"/>
    <s v="New York City"/>
    <s v="Bachelor"/>
    <d v="2000-08-04T00:00:00"/>
    <x v="592"/>
    <x v="76"/>
    <x v="1"/>
    <s v="System Administrator"/>
    <n v="89228"/>
    <x v="3"/>
  </r>
  <r>
    <s v="00-29585415"/>
    <s v="Janet"/>
    <s v="Stewart"/>
    <x v="1"/>
    <s v="Michigan"/>
    <s v="Grand Rapids"/>
    <s v="Bachelor"/>
    <d v="1998-07-22T00:00:00"/>
    <x v="593"/>
    <x v="578"/>
    <x v="2"/>
    <s v="Logistics Coordinator"/>
    <n v="63362"/>
    <x v="1"/>
  </r>
  <r>
    <s v="00-87731247"/>
    <s v="Ann"/>
    <s v="Michael"/>
    <x v="1"/>
    <s v="New York"/>
    <s v="New York City"/>
    <s v="PhD"/>
    <d v="1967-06-11T00:00:00"/>
    <x v="594"/>
    <x v="579"/>
    <x v="6"/>
    <s v="Sales Consultant"/>
    <n v="94222"/>
    <x v="3"/>
  </r>
  <r>
    <s v="00-36332415"/>
    <s v="Joshua"/>
    <s v="Martinez"/>
    <x v="1"/>
    <s v="Virginia"/>
    <s v="Norfolk"/>
    <s v="High School"/>
    <d v="1988-11-03T00:00:00"/>
    <x v="595"/>
    <x v="580"/>
    <x v="2"/>
    <s v="Inventory Specialist"/>
    <n v="64384"/>
    <x v="0"/>
  </r>
  <r>
    <s v="00-42981324"/>
    <s v="Amy"/>
    <s v="Huang"/>
    <x v="1"/>
    <s v="Michigan"/>
    <s v="Grand Rapids"/>
    <s v="Bachelor"/>
    <d v="2001-06-30T00:00:00"/>
    <x v="596"/>
    <x v="581"/>
    <x v="1"/>
    <s v="Software Developer"/>
    <n v="93626"/>
    <x v="3"/>
  </r>
  <r>
    <s v="00-55307111"/>
    <s v="Loretta"/>
    <s v="Blevins"/>
    <x v="1"/>
    <s v="New York"/>
    <s v="New York City"/>
    <s v="Bachelor"/>
    <d v="1973-02-09T00:00:00"/>
    <x v="597"/>
    <x v="582"/>
    <x v="2"/>
    <s v="Logistics Coordinator"/>
    <n v="68912"/>
    <x v="2"/>
  </r>
  <r>
    <s v="00-96126771"/>
    <s v="Dwayne"/>
    <s v="Williams"/>
    <x v="1"/>
    <s v="New York"/>
    <s v="New York City"/>
    <s v="High School"/>
    <d v="1978-01-07T00:00:00"/>
    <x v="598"/>
    <x v="583"/>
    <x v="2"/>
    <s v="Inventory Specialist"/>
    <n v="61186"/>
    <x v="0"/>
  </r>
  <r>
    <s v="00-57268285"/>
    <s v="Christian"/>
    <s v="Bradshaw"/>
    <x v="1"/>
    <s v="New York"/>
    <s v="New York City"/>
    <s v="Bachelor"/>
    <d v="1981-06-12T00:00:00"/>
    <x v="561"/>
    <x v="584"/>
    <x v="6"/>
    <s v="Sales Representative"/>
    <n v="75082"/>
    <x v="1"/>
  </r>
  <r>
    <s v="00-75540707"/>
    <s v="Jonathan"/>
    <s v="Mendoza"/>
    <x v="1"/>
    <s v="Michigan"/>
    <s v="Warren"/>
    <s v="High School"/>
    <d v="1989-07-05T00:00:00"/>
    <x v="599"/>
    <x v="585"/>
    <x v="2"/>
    <s v="Inventory Specialist"/>
    <n v="57702"/>
    <x v="0"/>
  </r>
  <r>
    <s v="00-17882882"/>
    <s v="Maria"/>
    <s v="Nelson"/>
    <x v="0"/>
    <s v="New York"/>
    <s v="New York City"/>
    <s v="Bachelor"/>
    <d v="1984-01-03T00:00:00"/>
    <x v="600"/>
    <x v="90"/>
    <x v="2"/>
    <s v="Logistics Coordinator"/>
    <n v="56487"/>
    <x v="1"/>
  </r>
  <r>
    <s v="00-99686372"/>
    <s v="Heather"/>
    <s v="Taylor"/>
    <x v="0"/>
    <s v="New York"/>
    <s v="New York City"/>
    <s v="Bachelor"/>
    <d v="1975-08-25T00:00:00"/>
    <x v="601"/>
    <x v="586"/>
    <x v="4"/>
    <s v="Marketing Coordinator"/>
    <n v="74502"/>
    <x v="1"/>
  </r>
  <r>
    <s v="00-28453800"/>
    <s v="Joyce"/>
    <s v="Allen"/>
    <x v="0"/>
    <s v="New York"/>
    <s v="New York City"/>
    <s v="Master"/>
    <d v="1974-01-29T00:00:00"/>
    <x v="602"/>
    <x v="587"/>
    <x v="1"/>
    <s v="Software Developer"/>
    <n v="100558"/>
    <x v="3"/>
  </r>
  <r>
    <s v="00-30270856"/>
    <s v="Elizabeth"/>
    <s v="Schmidt"/>
    <x v="0"/>
    <s v="New York"/>
    <s v="New York City"/>
    <s v="Bachelor"/>
    <d v="1984-08-27T00:00:00"/>
    <x v="603"/>
    <x v="588"/>
    <x v="1"/>
    <s v="Software Developer"/>
    <n v="85918"/>
    <x v="1"/>
  </r>
  <r>
    <s v="00-60090149"/>
    <s v="Jesse"/>
    <s v="Garcia"/>
    <x v="0"/>
    <s v="New York"/>
    <s v="New York City"/>
    <s v="Bachelor"/>
    <d v="1970-08-15T00:00:00"/>
    <x v="604"/>
    <x v="589"/>
    <x v="0"/>
    <s v="Help Desk Technician"/>
    <n v="88835"/>
    <x v="1"/>
  </r>
  <r>
    <s v="00-92747827"/>
    <s v="Jennifer"/>
    <s v="Garcia"/>
    <x v="0"/>
    <s v="New York"/>
    <s v="New York City"/>
    <s v="Bachelor"/>
    <d v="1987-10-17T00:00:00"/>
    <x v="536"/>
    <x v="590"/>
    <x v="6"/>
    <s v="Sales Specialist"/>
    <n v="62944"/>
    <x v="1"/>
  </r>
  <r>
    <s v="00-12111482"/>
    <s v="Derrick"/>
    <s v="Oconnell"/>
    <x v="1"/>
    <s v="New York"/>
    <s v="New York City"/>
    <s v="Bachelor"/>
    <d v="1964-01-20T00:00:00"/>
    <x v="605"/>
    <x v="365"/>
    <x v="2"/>
    <s v="Operations Analyst"/>
    <n v="91666"/>
    <x v="2"/>
  </r>
  <r>
    <s v="00-11590610"/>
    <s v="Eric"/>
    <s v="Delgado"/>
    <x v="0"/>
    <s v="New York"/>
    <s v="New York City"/>
    <s v="Bachelor"/>
    <d v="1986-08-20T00:00:00"/>
    <x v="606"/>
    <x v="591"/>
    <x v="6"/>
    <s v="Sales Representative"/>
    <n v="61011"/>
    <x v="2"/>
  </r>
  <r>
    <s v="00-81905550"/>
    <s v="Natalie"/>
    <s v="Woods"/>
    <x v="0"/>
    <s v="New York"/>
    <s v="New York City"/>
    <s v="Master"/>
    <d v="1975-12-01T00:00:00"/>
    <x v="607"/>
    <x v="592"/>
    <x v="1"/>
    <s v="Software Developer"/>
    <n v="109779"/>
    <x v="1"/>
  </r>
  <r>
    <s v="00-67790557"/>
    <s v="Katelyn"/>
    <s v="Mitchell"/>
    <x v="0"/>
    <s v="Virginia"/>
    <s v="Richmond"/>
    <s v="High School"/>
    <d v="1985-01-14T00:00:00"/>
    <x v="608"/>
    <x v="593"/>
    <x v="0"/>
    <s v="Support Specialist"/>
    <n v="54788"/>
    <x v="0"/>
  </r>
  <r>
    <s v="00-22927031"/>
    <s v="Debbie"/>
    <s v="Velez"/>
    <x v="0"/>
    <s v="New York"/>
    <s v="New York City"/>
    <s v="Bachelor"/>
    <d v="1980-11-30T00:00:00"/>
    <x v="609"/>
    <x v="594"/>
    <x v="0"/>
    <s v="Support Specialist"/>
    <n v="58562"/>
    <x v="1"/>
  </r>
  <r>
    <s v="00-93185576"/>
    <s v="Denise"/>
    <s v="Hall"/>
    <x v="0"/>
    <s v="Michigan"/>
    <s v="Grand Rapids"/>
    <s v="Master"/>
    <d v="2002-06-26T00:00:00"/>
    <x v="610"/>
    <x v="232"/>
    <x v="2"/>
    <s v="Operations Analyst"/>
    <n v="88719"/>
    <x v="3"/>
  </r>
  <r>
    <s v="00-63270536"/>
    <s v="Jennifer"/>
    <s v="Zuniga"/>
    <x v="1"/>
    <s v="New York"/>
    <s v="New York City"/>
    <s v="Bachelor"/>
    <d v="1995-01-14T00:00:00"/>
    <x v="611"/>
    <x v="215"/>
    <x v="0"/>
    <s v="Help Desk Technician"/>
    <n v="70388"/>
    <x v="1"/>
  </r>
  <r>
    <s v="00-85833309"/>
    <s v="Sandra"/>
    <s v="Butler"/>
    <x v="1"/>
    <s v="New York"/>
    <s v="New York City"/>
    <s v="High School"/>
    <d v="1993-06-17T00:00:00"/>
    <x v="612"/>
    <x v="535"/>
    <x v="1"/>
    <s v="IT Support Specialist"/>
    <n v="63808"/>
    <x v="0"/>
  </r>
  <r>
    <s v="00-50261914"/>
    <s v="Gregory"/>
    <s v="Gillespie"/>
    <x v="0"/>
    <s v="New York"/>
    <s v="New York City"/>
    <s v="Bachelor"/>
    <d v="1986-05-26T00:00:00"/>
    <x v="613"/>
    <x v="595"/>
    <x v="2"/>
    <s v="Operations Analyst"/>
    <n v="57527"/>
    <x v="0"/>
  </r>
  <r>
    <s v="00-97227356"/>
    <s v="Randy"/>
    <s v="Simpson"/>
    <x v="0"/>
    <s v="New York"/>
    <s v="New York City"/>
    <s v="Master"/>
    <d v="1972-06-16T00:00:00"/>
    <x v="614"/>
    <x v="596"/>
    <x v="6"/>
    <s v="Sales Specialist"/>
    <n v="89227"/>
    <x v="1"/>
  </r>
  <r>
    <s v="00-60903955"/>
    <s v="Kaitlyn"/>
    <s v="Brennan"/>
    <x v="1"/>
    <s v="New York"/>
    <s v="New York City"/>
    <s v="Bachelor"/>
    <d v="1989-01-30T00:00:00"/>
    <x v="410"/>
    <x v="399"/>
    <x v="0"/>
    <s v="Help Desk Technician"/>
    <n v="77002"/>
    <x v="1"/>
  </r>
  <r>
    <s v="00-95462880"/>
    <s v="Nancy"/>
    <s v="Smith"/>
    <x v="1"/>
    <s v="New York"/>
    <s v="New York City"/>
    <s v="Master"/>
    <d v="1998-06-02T00:00:00"/>
    <x v="615"/>
    <x v="597"/>
    <x v="6"/>
    <s v="Sales Manager"/>
    <n v="105185"/>
    <x v="3"/>
  </r>
  <r>
    <s v="00-77089857"/>
    <s v="Carrie"/>
    <s v="Hebert"/>
    <x v="1"/>
    <s v="Ohio"/>
    <s v="Columbus"/>
    <s v="Bachelor"/>
    <d v="1993-08-04T00:00:00"/>
    <x v="148"/>
    <x v="146"/>
    <x v="1"/>
    <s v="Software Developer"/>
    <n v="109997"/>
    <x v="0"/>
  </r>
  <r>
    <s v="00-54462389"/>
    <s v="Justin"/>
    <s v="Hays"/>
    <x v="0"/>
    <s v="New York"/>
    <s v="New York City"/>
    <s v="Bachelor"/>
    <d v="1992-02-24T00:00:00"/>
    <x v="616"/>
    <x v="598"/>
    <x v="3"/>
    <s v="Accountant"/>
    <n v="68701"/>
    <x v="3"/>
  </r>
  <r>
    <s v="00-15711200"/>
    <s v="Alice"/>
    <s v="Small"/>
    <x v="1"/>
    <s v="Michigan"/>
    <s v="Warren"/>
    <s v="PhD"/>
    <d v="1984-01-05T00:00:00"/>
    <x v="617"/>
    <x v="599"/>
    <x v="6"/>
    <s v="Sales Consultant"/>
    <n v="76460"/>
    <x v="3"/>
  </r>
  <r>
    <s v="00-73820568"/>
    <s v="Melissa"/>
    <s v="Mcdonald"/>
    <x v="1"/>
    <s v="New York"/>
    <s v="New York City"/>
    <s v="Bachelor"/>
    <d v="1980-01-31T00:00:00"/>
    <x v="284"/>
    <x v="600"/>
    <x v="0"/>
    <s v="Customer Service Representative"/>
    <n v="74179"/>
    <x v="1"/>
  </r>
  <r>
    <s v="00-47631028"/>
    <s v="Lisa"/>
    <s v="Rivera"/>
    <x v="1"/>
    <s v="New York"/>
    <s v="New York City"/>
    <s v="Bachelor"/>
    <d v="1979-10-04T00:00:00"/>
    <x v="21"/>
    <x v="601"/>
    <x v="6"/>
    <s v="Sales Representative"/>
    <n v="69336"/>
    <x v="0"/>
  </r>
  <r>
    <s v="00-14416002"/>
    <s v="Stephen"/>
    <s v="Scott"/>
    <x v="1"/>
    <s v="Pennsylvania"/>
    <s v="Pittsburgh"/>
    <s v="Master"/>
    <d v="1983-11-08T00:00:00"/>
    <x v="85"/>
    <x v="602"/>
    <x v="6"/>
    <s v="Sales Specialist"/>
    <n v="55995"/>
    <x v="3"/>
  </r>
  <r>
    <s v="00-37804291"/>
    <s v="Alexis"/>
    <s v="Rogers"/>
    <x v="1"/>
    <s v="New York"/>
    <s v="New York City"/>
    <s v="High School"/>
    <d v="2003-07-02T00:00:00"/>
    <x v="509"/>
    <x v="603"/>
    <x v="2"/>
    <s v="Inventory Specialist"/>
    <n v="55990"/>
    <x v="0"/>
  </r>
  <r>
    <s v="00-63458386"/>
    <s v="Ashley"/>
    <s v="Todd"/>
    <x v="1"/>
    <s v="New York"/>
    <s v="New York City"/>
    <s v="High School"/>
    <d v="1969-10-18T00:00:00"/>
    <x v="618"/>
    <x v="604"/>
    <x v="0"/>
    <s v="Help Desk Technician"/>
    <n v="65427"/>
    <x v="0"/>
  </r>
  <r>
    <s v="00-85693188"/>
    <s v="Cheryl"/>
    <s v="Fowler"/>
    <x v="1"/>
    <s v="Michigan"/>
    <s v="Warren"/>
    <s v="Bachelor"/>
    <d v="2003-07-20T00:00:00"/>
    <x v="619"/>
    <x v="605"/>
    <x v="1"/>
    <s v="Software Developer"/>
    <n v="100742"/>
    <x v="1"/>
  </r>
  <r>
    <s v="00-82553061"/>
    <s v="Margaret"/>
    <s v="Robertson"/>
    <x v="0"/>
    <s v="New York"/>
    <s v="New York City"/>
    <s v="Bachelor"/>
    <d v="1977-08-04T00:00:00"/>
    <x v="620"/>
    <x v="606"/>
    <x v="4"/>
    <s v="Marketing Coordinator"/>
    <n v="78014"/>
    <x v="3"/>
  </r>
  <r>
    <s v="00-20526386"/>
    <s v="Richard"/>
    <s v="Davis"/>
    <x v="0"/>
    <s v="New York"/>
    <s v="New York City"/>
    <s v="Bachelor"/>
    <d v="1985-04-16T00:00:00"/>
    <x v="621"/>
    <x v="607"/>
    <x v="0"/>
    <s v="Support Specialist"/>
    <n v="56682"/>
    <x v="2"/>
  </r>
  <r>
    <s v="00-23111164"/>
    <s v="Thomas"/>
    <s v="Boyle"/>
    <x v="0"/>
    <s v="New York"/>
    <s v="New York City"/>
    <s v="Bachelor"/>
    <d v="1973-10-04T00:00:00"/>
    <x v="622"/>
    <x v="608"/>
    <x v="0"/>
    <s v="Support Specialist"/>
    <n v="58722"/>
    <x v="2"/>
  </r>
  <r>
    <s v="00-91224373"/>
    <s v="Jose"/>
    <s v="Young"/>
    <x v="1"/>
    <s v="New York"/>
    <s v="New York City"/>
    <s v="Bachelor"/>
    <d v="1975-10-18T00:00:00"/>
    <x v="623"/>
    <x v="609"/>
    <x v="2"/>
    <s v="Inventory Specialist"/>
    <n v="63989"/>
    <x v="2"/>
  </r>
  <r>
    <s v="00-53805532"/>
    <s v="Joseph"/>
    <s v="Rivera"/>
    <x v="1"/>
    <s v="New York"/>
    <s v="New York City"/>
    <s v="High School"/>
    <d v="1986-02-26T00:00:00"/>
    <x v="624"/>
    <x v="610"/>
    <x v="4"/>
    <s v="Content Creator"/>
    <n v="67403"/>
    <x v="0"/>
  </r>
  <r>
    <s v="00-70471823"/>
    <s v="Jennifer"/>
    <s v="Smith"/>
    <x v="1"/>
    <s v="New York"/>
    <s v="New York City"/>
    <s v="PhD"/>
    <d v="1965-02-27T00:00:00"/>
    <x v="625"/>
    <x v="611"/>
    <x v="3"/>
    <s v="Financial Analyst"/>
    <n v="80730"/>
    <x v="3"/>
  </r>
  <r>
    <s v="00-60388958"/>
    <s v="Michael"/>
    <s v="Young"/>
    <x v="1"/>
    <s v="New York"/>
    <s v="New York City"/>
    <s v="Master"/>
    <d v="1983-02-11T00:00:00"/>
    <x v="626"/>
    <x v="612"/>
    <x v="4"/>
    <s v="Marketing Manager"/>
    <n v="101400"/>
    <x v="3"/>
  </r>
  <r>
    <s v="00-98673882"/>
    <s v="David"/>
    <s v="Parker"/>
    <x v="0"/>
    <s v="Illinois"/>
    <s v="Chicago"/>
    <s v="Bachelor"/>
    <d v="1986-09-11T00:00:00"/>
    <x v="627"/>
    <x v="613"/>
    <x v="1"/>
    <s v="System Administrator"/>
    <n v="65937"/>
    <x v="1"/>
  </r>
  <r>
    <s v="00-43077929"/>
    <s v="Gina"/>
    <s v="Leblanc"/>
    <x v="0"/>
    <s v="New York"/>
    <s v="New York City"/>
    <s v="Bachelor"/>
    <d v="1993-02-20T00:00:00"/>
    <x v="628"/>
    <x v="614"/>
    <x v="4"/>
    <s v="Marketing Manager"/>
    <n v="88250"/>
    <x v="1"/>
  </r>
  <r>
    <s v="00-30699187"/>
    <s v="Jade"/>
    <s v="Collins"/>
    <x v="1"/>
    <s v="New York"/>
    <s v="New York City"/>
    <s v="Bachelor"/>
    <d v="1971-12-02T00:00:00"/>
    <x v="629"/>
    <x v="615"/>
    <x v="2"/>
    <s v="Logistics Coordinator"/>
    <n v="73636"/>
    <x v="2"/>
  </r>
  <r>
    <s v="00-62294176"/>
    <s v="Danielle"/>
    <s v="Shepard"/>
    <x v="1"/>
    <s v="Michigan"/>
    <s v="Grand Rapids"/>
    <s v="Bachelor"/>
    <d v="1986-06-18T00:00:00"/>
    <x v="630"/>
    <x v="616"/>
    <x v="6"/>
    <s v="Sales Representative"/>
    <n v="81468"/>
    <x v="1"/>
  </r>
  <r>
    <s v="00-10697290"/>
    <s v="Christina"/>
    <s v="Robinson"/>
    <x v="0"/>
    <s v="Pennsylvania"/>
    <s v="Pittsburgh"/>
    <s v="Bachelor"/>
    <d v="1979-12-10T00:00:00"/>
    <x v="334"/>
    <x v="323"/>
    <x v="0"/>
    <s v="Customer Service Representative"/>
    <n v="55001"/>
    <x v="1"/>
  </r>
  <r>
    <s v="00-46207439"/>
    <s v="Timothy"/>
    <s v="Gibson"/>
    <x v="0"/>
    <s v="New York"/>
    <s v="New York City"/>
    <s v="Bachelor"/>
    <d v="1988-03-07T00:00:00"/>
    <x v="631"/>
    <x v="617"/>
    <x v="4"/>
    <s v="Marketing Coordinator"/>
    <n v="75502"/>
    <x v="1"/>
  </r>
  <r>
    <s v="00-67845091"/>
    <s v="Nathaniel"/>
    <s v="Miles"/>
    <x v="0"/>
    <s v="New York"/>
    <s v="New York City"/>
    <s v="High School"/>
    <d v="1991-10-15T00:00:00"/>
    <x v="511"/>
    <x v="504"/>
    <x v="5"/>
    <s v="Recruiter"/>
    <n v="59234"/>
    <x v="0"/>
  </r>
  <r>
    <s v="00-64766762"/>
    <s v="Thomas"/>
    <s v="Medina"/>
    <x v="1"/>
    <s v="New York"/>
    <s v="New York City"/>
    <s v="Bachelor"/>
    <d v="1973-10-09T00:00:00"/>
    <x v="296"/>
    <x v="618"/>
    <x v="4"/>
    <s v="Marketing Coordinator"/>
    <n v="69113"/>
    <x v="1"/>
  </r>
  <r>
    <s v="00-84386123"/>
    <s v="Margaret"/>
    <s v="Gill"/>
    <x v="0"/>
    <s v="Pennsylvania"/>
    <s v="Philadelphia"/>
    <s v="Master"/>
    <d v="1996-01-12T00:00:00"/>
    <x v="329"/>
    <x v="619"/>
    <x v="6"/>
    <s v="Sales Manager"/>
    <n v="124824"/>
    <x v="1"/>
  </r>
  <r>
    <s v="00-53544301"/>
    <s v="Karen"/>
    <s v="Marks"/>
    <x v="0"/>
    <s v="New York"/>
    <s v="New York City"/>
    <s v="Bachelor"/>
    <d v="1995-09-22T00:00:00"/>
    <x v="169"/>
    <x v="167"/>
    <x v="2"/>
    <s v="Logistics Coordinator"/>
    <n v="55550"/>
    <x v="3"/>
  </r>
  <r>
    <s v="00-65540647"/>
    <s v="Alicia"/>
    <s v="Rice"/>
    <x v="1"/>
    <s v="New York"/>
    <s v="New York City"/>
    <s v="Bachelor"/>
    <d v="1975-05-26T00:00:00"/>
    <x v="632"/>
    <x v="620"/>
    <x v="3"/>
    <s v="Accounts Payable Specialist"/>
    <n v="69230"/>
    <x v="1"/>
  </r>
  <r>
    <s v="00-85099723"/>
    <s v="Christian"/>
    <s v="Elliott"/>
    <x v="0"/>
    <s v="New York"/>
    <s v="New York City"/>
    <s v="Bachelor"/>
    <d v="1999-03-03T00:00:00"/>
    <x v="633"/>
    <x v="621"/>
    <x v="3"/>
    <s v="Accountant"/>
    <n v="79248"/>
    <x v="0"/>
  </r>
  <r>
    <s v="00-79941466"/>
    <s v="Maria"/>
    <s v="Leach"/>
    <x v="1"/>
    <s v="New York"/>
    <s v="New York City"/>
    <s v="Master"/>
    <d v="1982-11-15T00:00:00"/>
    <x v="599"/>
    <x v="622"/>
    <x v="1"/>
    <s v="Software Developer"/>
    <n v="78924"/>
    <x v="1"/>
  </r>
  <r>
    <s v="00-28634797"/>
    <s v="Ashley"/>
    <s v="Hernandez"/>
    <x v="0"/>
    <s v="Pennsylvania"/>
    <s v="Pittsburgh"/>
    <s v="High School"/>
    <d v="1999-01-05T00:00:00"/>
    <x v="634"/>
    <x v="623"/>
    <x v="2"/>
    <s v="Inventory Specialist"/>
    <n v="58307"/>
    <x v="0"/>
  </r>
  <r>
    <s v="00-29587040"/>
    <s v="Melissa"/>
    <s v="Ramos"/>
    <x v="1"/>
    <s v="New York"/>
    <s v="New York City"/>
    <s v="Bachelor"/>
    <d v="1975-01-21T00:00:00"/>
    <x v="329"/>
    <x v="624"/>
    <x v="1"/>
    <s v="IT Support Specialist"/>
    <n v="64357"/>
    <x v="1"/>
  </r>
  <r>
    <s v="00-66519399"/>
    <s v="Jamie"/>
    <s v="Aguilar"/>
    <x v="0"/>
    <s v="North Carolina"/>
    <s v="Raleigh"/>
    <s v="Bachelor"/>
    <d v="1993-04-05T00:00:00"/>
    <x v="635"/>
    <x v="63"/>
    <x v="3"/>
    <s v="Accountant"/>
    <n v="74163"/>
    <x v="2"/>
  </r>
  <r>
    <s v="00-43782566"/>
    <s v="Rachel"/>
    <s v="Griffin"/>
    <x v="0"/>
    <s v="New York"/>
    <s v="New York City"/>
    <s v="Bachelor"/>
    <d v="1980-05-07T00:00:00"/>
    <x v="67"/>
    <x v="66"/>
    <x v="0"/>
    <s v="Support Specialist"/>
    <n v="62598"/>
    <x v="2"/>
  </r>
  <r>
    <s v="00-76545476"/>
    <s v="Shawn"/>
    <s v="Palmer"/>
    <x v="1"/>
    <s v="New York"/>
    <s v="New York City"/>
    <s v="Bachelor"/>
    <d v="1962-07-19T00:00:00"/>
    <x v="636"/>
    <x v="625"/>
    <x v="5"/>
    <s v="HR Coordinator"/>
    <n v="72109"/>
    <x v="1"/>
  </r>
  <r>
    <s v="00-24357588"/>
    <s v="Anne"/>
    <s v="Hansen"/>
    <x v="1"/>
    <s v="New York"/>
    <s v="New York City"/>
    <s v="Bachelor"/>
    <d v="1979-08-21T00:00:00"/>
    <x v="637"/>
    <x v="626"/>
    <x v="0"/>
    <s v="Help Desk Technician"/>
    <n v="94356"/>
    <x v="1"/>
  </r>
  <r>
    <s v="00-54589439"/>
    <s v="Lindsay"/>
    <s v="Cummings"/>
    <x v="0"/>
    <s v="New York"/>
    <s v="New York City"/>
    <s v="High School"/>
    <d v="1986-05-26T00:00:00"/>
    <x v="638"/>
    <x v="627"/>
    <x v="0"/>
    <s v="Support Specialist"/>
    <n v="53603"/>
    <x v="0"/>
  </r>
  <r>
    <s v="00-54230340"/>
    <s v="Jonathan"/>
    <s v="Smith"/>
    <x v="1"/>
    <s v="New York"/>
    <s v="New York City"/>
    <s v="Bachelor"/>
    <d v="1977-09-12T00:00:00"/>
    <x v="639"/>
    <x v="13"/>
    <x v="1"/>
    <s v="Software Developer"/>
    <n v="104238"/>
    <x v="3"/>
  </r>
  <r>
    <s v="00-97380687"/>
    <s v="Beth"/>
    <s v="Williams"/>
    <x v="0"/>
    <s v="New York"/>
    <s v="New York City"/>
    <s v="Bachelor"/>
    <d v="2003-03-29T00:00:00"/>
    <x v="640"/>
    <x v="628"/>
    <x v="0"/>
    <s v="Customer Service Manager"/>
    <n v="79326"/>
    <x v="2"/>
  </r>
  <r>
    <s v="00-53038948"/>
    <s v="Isabella"/>
    <s v="Weaver"/>
    <x v="1"/>
    <s v="Pennsylvania"/>
    <s v="Pittsburgh"/>
    <s v="Bachelor"/>
    <d v="1994-03-23T00:00:00"/>
    <x v="641"/>
    <x v="629"/>
    <x v="0"/>
    <s v="Customer Service Representative"/>
    <n v="66937"/>
    <x v="1"/>
  </r>
  <r>
    <s v="00-74291599"/>
    <s v="Sarah"/>
    <s v="Jones"/>
    <x v="0"/>
    <s v="New York"/>
    <s v="New York City"/>
    <s v="Master"/>
    <d v="1997-10-05T00:00:00"/>
    <x v="642"/>
    <x v="630"/>
    <x v="4"/>
    <s v="Marketing Manager"/>
    <n v="91548"/>
    <x v="3"/>
  </r>
  <r>
    <s v="00-49117508"/>
    <s v="Thomas"/>
    <s v="Mitchell"/>
    <x v="1"/>
    <s v="Virginia"/>
    <s v="Norfolk"/>
    <s v="Bachelor"/>
    <d v="1990-03-03T00:00:00"/>
    <x v="643"/>
    <x v="631"/>
    <x v="0"/>
    <s v="Support Specialist"/>
    <n v="64799"/>
    <x v="2"/>
  </r>
  <r>
    <s v="00-87293208"/>
    <s v="Kayla"/>
    <s v="Cannon"/>
    <x v="1"/>
    <s v="New York"/>
    <s v="New York City"/>
    <s v="High School"/>
    <d v="1966-04-02T00:00:00"/>
    <x v="21"/>
    <x v="632"/>
    <x v="0"/>
    <s v="Support Specialist"/>
    <n v="64678"/>
    <x v="0"/>
  </r>
  <r>
    <s v="00-47621248"/>
    <s v="Debbie"/>
    <s v="Fisher"/>
    <x v="1"/>
    <s v="New York"/>
    <s v="New York City"/>
    <s v="Bachelor"/>
    <d v="1969-08-17T00:00:00"/>
    <x v="177"/>
    <x v="633"/>
    <x v="2"/>
    <s v="Inventory Specialist"/>
    <n v="67180"/>
    <x v="1"/>
  </r>
  <r>
    <s v="00-25285764"/>
    <s v="Patrick"/>
    <s v="Kane"/>
    <x v="1"/>
    <s v="Michigan"/>
    <s v="Warren"/>
    <s v="Bachelor"/>
    <d v="1985-07-17T00:00:00"/>
    <x v="449"/>
    <x v="634"/>
    <x v="4"/>
    <s v="Marketing Coordinator"/>
    <n v="72036"/>
    <x v="1"/>
  </r>
  <r>
    <s v="00-83233096"/>
    <s v="Nicholas"/>
    <s v="Miller"/>
    <x v="1"/>
    <s v="New York"/>
    <s v="New York City"/>
    <s v="Bachelor"/>
    <d v="1977-03-09T00:00:00"/>
    <x v="138"/>
    <x v="635"/>
    <x v="2"/>
    <s v="Logistics Coordinator"/>
    <n v="65261"/>
    <x v="2"/>
  </r>
  <r>
    <s v="00-71957885"/>
    <s v="Nancy"/>
    <s v="Anderson"/>
    <x v="1"/>
    <s v="Virginia"/>
    <s v="Richmond"/>
    <s v="Bachelor"/>
    <d v="1983-08-24T00:00:00"/>
    <x v="644"/>
    <x v="636"/>
    <x v="6"/>
    <s v="Sales Specialist"/>
    <n v="79202"/>
    <x v="0"/>
  </r>
  <r>
    <s v="00-49101812"/>
    <s v="Michael"/>
    <s v="White"/>
    <x v="0"/>
    <s v="New York"/>
    <s v="New York City"/>
    <s v="High School"/>
    <d v="1981-06-26T00:00:00"/>
    <x v="11"/>
    <x v="11"/>
    <x v="2"/>
    <s v="Inventory Specialist"/>
    <n v="59575"/>
    <x v="3"/>
  </r>
  <r>
    <s v="00-64914054"/>
    <s v="Phillip"/>
    <s v="Anderson"/>
    <x v="1"/>
    <s v="New York"/>
    <s v="New York City"/>
    <s v="High School"/>
    <d v="1979-10-21T00:00:00"/>
    <x v="645"/>
    <x v="637"/>
    <x v="0"/>
    <s v="Support Specialist"/>
    <n v="65819"/>
    <x v="0"/>
  </r>
  <r>
    <s v="00-50645509"/>
    <s v="Mary"/>
    <s v="Avila"/>
    <x v="0"/>
    <s v="New York"/>
    <s v="New York City"/>
    <s v="Bachelor"/>
    <d v="1983-02-01T00:00:00"/>
    <x v="646"/>
    <x v="638"/>
    <x v="1"/>
    <s v="Software Developer"/>
    <n v="76103"/>
    <x v="2"/>
  </r>
  <r>
    <s v="00-66791272"/>
    <s v="Steven"/>
    <s v="Ball"/>
    <x v="1"/>
    <s v="Michigan"/>
    <s v="Warren"/>
    <s v="Bachelor"/>
    <d v="1986-01-23T00:00:00"/>
    <x v="66"/>
    <x v="65"/>
    <x v="1"/>
    <s v="System Administrator"/>
    <n v="101429"/>
    <x v="1"/>
  </r>
  <r>
    <s v="00-90253323"/>
    <s v="Amanda"/>
    <s v="Morrow"/>
    <x v="0"/>
    <s v="New York"/>
    <s v="New York City"/>
    <s v="High School"/>
    <d v="1981-11-23T00:00:00"/>
    <x v="647"/>
    <x v="30"/>
    <x v="0"/>
    <s v="Customer Service Representative"/>
    <n v="66508"/>
    <x v="0"/>
  </r>
  <r>
    <s v="00-77996397"/>
    <s v="Steven"/>
    <s v="Moore"/>
    <x v="0"/>
    <s v="New York"/>
    <s v="New York City"/>
    <s v="Bachelor"/>
    <d v="2002-11-21T00:00:00"/>
    <x v="648"/>
    <x v="639"/>
    <x v="2"/>
    <s v="Logistics Coordinator"/>
    <n v="58903"/>
    <x v="2"/>
  </r>
  <r>
    <s v="00-82966824"/>
    <s v="Sharon"/>
    <s v="Hardy"/>
    <x v="0"/>
    <s v="New York"/>
    <s v="New York City"/>
    <s v="Master"/>
    <d v="1988-05-14T00:00:00"/>
    <x v="649"/>
    <x v="546"/>
    <x v="5"/>
    <s v="HR Coordinator"/>
    <n v="61697"/>
    <x v="3"/>
  </r>
  <r>
    <s v="00-82062301"/>
    <s v="Antonio"/>
    <s v="Keller"/>
    <x v="0"/>
    <s v="New York"/>
    <s v="New York City"/>
    <s v="Bachelor"/>
    <d v="1995-03-24T00:00:00"/>
    <x v="650"/>
    <x v="640"/>
    <x v="6"/>
    <s v="Sales Representative"/>
    <n v="63501"/>
    <x v="1"/>
  </r>
  <r>
    <s v="00-43316996"/>
    <s v="Katie"/>
    <s v="Stephenson"/>
    <x v="1"/>
    <s v="Virginia"/>
    <s v="Virginia Beach"/>
    <s v="Bachelor"/>
    <d v="1982-12-18T00:00:00"/>
    <x v="651"/>
    <x v="641"/>
    <x v="0"/>
    <s v="Support Specialist"/>
    <n v="69977"/>
    <x v="1"/>
  </r>
  <r>
    <s v="00-96838849"/>
    <s v="John"/>
    <s v="Jones"/>
    <x v="1"/>
    <s v="New York"/>
    <s v="New York City"/>
    <s v="Bachelor"/>
    <d v="1997-03-19T00:00:00"/>
    <x v="652"/>
    <x v="642"/>
    <x v="4"/>
    <s v="Marketing Coordinator"/>
    <n v="77675"/>
    <x v="3"/>
  </r>
  <r>
    <s v="00-96804457"/>
    <s v="Arthur"/>
    <s v="Harper"/>
    <x v="0"/>
    <s v="New York"/>
    <s v="New York City"/>
    <s v="Bachelor"/>
    <d v="1985-06-23T00:00:00"/>
    <x v="653"/>
    <x v="643"/>
    <x v="0"/>
    <s v="Support Specialist"/>
    <n v="62225"/>
    <x v="2"/>
  </r>
  <r>
    <s v="00-39796480"/>
    <s v="Richard"/>
    <s v="Young"/>
    <x v="1"/>
    <s v="New York"/>
    <s v="New York City"/>
    <s v="Bachelor"/>
    <d v="1999-09-30T00:00:00"/>
    <x v="654"/>
    <x v="644"/>
    <x v="1"/>
    <s v="System Administrator"/>
    <n v="94657"/>
    <x v="3"/>
  </r>
  <r>
    <s v="00-87915846"/>
    <s v="Karen"/>
    <s v="Parsons"/>
    <x v="0"/>
    <s v="Illinois"/>
    <s v="Aurora"/>
    <s v="Bachelor"/>
    <d v="1992-10-18T00:00:00"/>
    <x v="655"/>
    <x v="645"/>
    <x v="0"/>
    <s v="Support Specialist"/>
    <n v="63449"/>
    <x v="0"/>
  </r>
  <r>
    <s v="00-60213478"/>
    <s v="William"/>
    <s v="Roberts"/>
    <x v="1"/>
    <s v="New York"/>
    <s v="New York City"/>
    <s v="Master"/>
    <d v="1991-09-14T00:00:00"/>
    <x v="656"/>
    <x v="646"/>
    <x v="1"/>
    <s v="Software Developer"/>
    <n v="84331"/>
    <x v="3"/>
  </r>
  <r>
    <s v="00-77171380"/>
    <s v="Sabrina"/>
    <s v="Johnston"/>
    <x v="1"/>
    <s v="New York"/>
    <s v="New York City"/>
    <s v="High School"/>
    <d v="1991-11-12T00:00:00"/>
    <x v="81"/>
    <x v="647"/>
    <x v="2"/>
    <s v="Inventory Specialist"/>
    <n v="66482"/>
    <x v="0"/>
  </r>
  <r>
    <s v="00-29015320"/>
    <s v="Joel"/>
    <s v="Walter"/>
    <x v="1"/>
    <s v="New York"/>
    <s v="New York City"/>
    <s v="Bachelor"/>
    <d v="1987-09-13T00:00:00"/>
    <x v="657"/>
    <x v="648"/>
    <x v="0"/>
    <s v="Help Desk Technician"/>
    <n v="72620"/>
    <x v="1"/>
  </r>
  <r>
    <s v="00-37765262"/>
    <s v="Adriana"/>
    <s v="Gutierrez"/>
    <x v="0"/>
    <s v="New York"/>
    <s v="New York City"/>
    <s v="Bachelor"/>
    <d v="1983-04-15T00:00:00"/>
    <x v="658"/>
    <x v="649"/>
    <x v="2"/>
    <s v="Logistics Coordinator"/>
    <n v="56196"/>
    <x v="1"/>
  </r>
  <r>
    <s v="00-23102741"/>
    <s v="Bruce"/>
    <s v="Fry"/>
    <x v="0"/>
    <s v="New York"/>
    <s v="New York City"/>
    <s v="Bachelor"/>
    <d v="1960-08-28T00:00:00"/>
    <x v="659"/>
    <x v="650"/>
    <x v="6"/>
    <s v="Sales Representative"/>
    <n v="64099"/>
    <x v="2"/>
  </r>
  <r>
    <s v="00-52803305"/>
    <s v="Jill"/>
    <s v="Thompson"/>
    <x v="1"/>
    <s v="New York"/>
    <s v="New York City"/>
    <s v="Bachelor"/>
    <d v="1999-11-13T00:00:00"/>
    <x v="660"/>
    <x v="65"/>
    <x v="1"/>
    <s v="Software Developer"/>
    <n v="96108"/>
    <x v="1"/>
  </r>
  <r>
    <s v="00-25446483"/>
    <s v="Ronald"/>
    <s v="Simpson"/>
    <x v="0"/>
    <s v="New York"/>
    <s v="New York City"/>
    <s v="Bachelor"/>
    <d v="1996-05-29T00:00:00"/>
    <x v="661"/>
    <x v="651"/>
    <x v="2"/>
    <s v="Inventory Specialist"/>
    <n v="54990"/>
    <x v="1"/>
  </r>
  <r>
    <s v="00-24678410"/>
    <s v="Shelly"/>
    <s v="Powers"/>
    <x v="1"/>
    <s v="New York"/>
    <s v="New York City"/>
    <s v="Bachelor"/>
    <d v="2004-03-23T00:00:00"/>
    <x v="662"/>
    <x v="652"/>
    <x v="2"/>
    <s v="Inventory Specialist"/>
    <n v="61461"/>
    <x v="1"/>
  </r>
  <r>
    <s v="00-42737441"/>
    <s v="Alice"/>
    <s v="Horton"/>
    <x v="1"/>
    <s v="New York"/>
    <s v="New York City"/>
    <s v="Bachelor"/>
    <d v="1999-03-08T00:00:00"/>
    <x v="663"/>
    <x v="653"/>
    <x v="2"/>
    <s v="Inventory Specialist"/>
    <n v="60507"/>
    <x v="1"/>
  </r>
  <r>
    <s v="00-54424679"/>
    <s v="Edward"/>
    <s v="Bennett"/>
    <x v="0"/>
    <s v="New York"/>
    <s v="New York City"/>
    <s v="Bachelor"/>
    <d v="1991-07-09T00:00:00"/>
    <x v="664"/>
    <x v="654"/>
    <x v="6"/>
    <s v="Sales Representative"/>
    <n v="57557"/>
    <x v="1"/>
  </r>
  <r>
    <s v="00-64364546"/>
    <s v="Amanda"/>
    <s v="Allen"/>
    <x v="0"/>
    <s v="New York"/>
    <s v="New York City"/>
    <s v="Bachelor"/>
    <d v="1995-01-18T00:00:00"/>
    <x v="665"/>
    <x v="655"/>
    <x v="2"/>
    <s v="Logistics Coordinator"/>
    <n v="57996"/>
    <x v="1"/>
  </r>
  <r>
    <s v="00-98222374"/>
    <s v="Kevin"/>
    <s v="Zimmerman"/>
    <x v="1"/>
    <s v="New York"/>
    <s v="New York City"/>
    <s v="PhD"/>
    <d v="1970-09-16T00:00:00"/>
    <x v="666"/>
    <x v="656"/>
    <x v="6"/>
    <s v="Sales Consultant"/>
    <n v="83008"/>
    <x v="3"/>
  </r>
  <r>
    <s v="00-92424037"/>
    <s v="Steven"/>
    <s v="Brown"/>
    <x v="0"/>
    <s v="Pennsylvania"/>
    <s v="Philadelphia"/>
    <s v="Master"/>
    <d v="1980-03-13T00:00:00"/>
    <x v="313"/>
    <x v="305"/>
    <x v="1"/>
    <s v="System Administrator"/>
    <n v="94473"/>
    <x v="1"/>
  </r>
  <r>
    <s v="00-67653606"/>
    <s v="Tammy"/>
    <s v="Grant"/>
    <x v="0"/>
    <s v="Michigan"/>
    <s v="Grand Rapids"/>
    <s v="High School"/>
    <d v="1990-10-08T00:00:00"/>
    <x v="667"/>
    <x v="657"/>
    <x v="0"/>
    <s v="Customer Service Representative"/>
    <n v="65399"/>
    <x v="0"/>
  </r>
  <r>
    <s v="00-37619925"/>
    <s v="Paul"/>
    <s v="Scott"/>
    <x v="0"/>
    <s v="New York"/>
    <s v="New York City"/>
    <s v="Bachelor"/>
    <d v="2001-08-09T00:00:00"/>
    <x v="668"/>
    <x v="658"/>
    <x v="6"/>
    <s v="Sales Representative"/>
    <n v="65945"/>
    <x v="1"/>
  </r>
  <r>
    <s v="00-18397164"/>
    <s v="Deborah"/>
    <s v="Nielsen"/>
    <x v="1"/>
    <s v="New York"/>
    <s v="New York City"/>
    <s v="Master"/>
    <d v="1980-02-12T00:00:00"/>
    <x v="669"/>
    <x v="153"/>
    <x v="1"/>
    <s v="Software Developer"/>
    <n v="86973"/>
    <x v="1"/>
  </r>
  <r>
    <s v="00-59095909"/>
    <s v="Nathan"/>
    <s v="Nichols"/>
    <x v="1"/>
    <s v="Illinois"/>
    <s v="Aurora"/>
    <s v="PhD"/>
    <d v="1961-01-18T00:00:00"/>
    <x v="434"/>
    <x v="244"/>
    <x v="6"/>
    <s v="Sales Specialist"/>
    <n v="83005"/>
    <x v="3"/>
  </r>
  <r>
    <s v="00-45212476"/>
    <s v="James"/>
    <s v="Adams"/>
    <x v="1"/>
    <s v="New York"/>
    <s v="New York City"/>
    <s v="Bachelor"/>
    <d v="2000-02-20T00:00:00"/>
    <x v="260"/>
    <x v="659"/>
    <x v="1"/>
    <s v="Software Developer"/>
    <n v="108825"/>
    <x v="1"/>
  </r>
  <r>
    <s v="00-95779702"/>
    <s v="Cassidy"/>
    <s v="Williams"/>
    <x v="0"/>
    <s v="New York"/>
    <s v="New York City"/>
    <s v="Bachelor"/>
    <d v="1991-05-14T00:00:00"/>
    <x v="670"/>
    <x v="660"/>
    <x v="6"/>
    <s v="Sales Representative"/>
    <n v="66164"/>
    <x v="1"/>
  </r>
  <r>
    <s v="00-62686364"/>
    <s v="Jacob"/>
    <s v="Gill"/>
    <x v="1"/>
    <s v="New York"/>
    <s v="New York City"/>
    <s v="High School"/>
    <d v="1969-07-04T00:00:00"/>
    <x v="671"/>
    <x v="661"/>
    <x v="0"/>
    <s v="Customer Service Representative"/>
    <n v="63385"/>
    <x v="0"/>
  </r>
  <r>
    <s v="00-71453007"/>
    <s v="Emily"/>
    <s v="Robinson"/>
    <x v="0"/>
    <s v="Virginia"/>
    <s v="Norfolk"/>
    <s v="High School"/>
    <d v="1971-05-17T00:00:00"/>
    <x v="546"/>
    <x v="538"/>
    <x v="2"/>
    <s v="Inventory Specialist"/>
    <n v="59746"/>
    <x v="0"/>
  </r>
  <r>
    <s v="00-49922369"/>
    <s v="Molly"/>
    <s v="Cook"/>
    <x v="1"/>
    <s v="New York"/>
    <s v="New York City"/>
    <s v="High School"/>
    <d v="1959-06-25T00:00:00"/>
    <x v="672"/>
    <x v="662"/>
    <x v="0"/>
    <s v="Customer Service Representative"/>
    <n v="62527"/>
    <x v="0"/>
  </r>
  <r>
    <s v="00-27978165"/>
    <s v="Alexis"/>
    <s v="Giles"/>
    <x v="1"/>
    <s v="New York"/>
    <s v="New York City"/>
    <s v="Bachelor"/>
    <d v="2004-02-09T00:00:00"/>
    <x v="673"/>
    <x v="663"/>
    <x v="6"/>
    <s v="Sales Specialist"/>
    <n v="61237"/>
    <x v="1"/>
  </r>
  <r>
    <s v="00-25696616"/>
    <s v="David"/>
    <s v="Key"/>
    <x v="0"/>
    <s v="New York"/>
    <s v="New York City"/>
    <s v="Master"/>
    <d v="1986-11-16T00:00:00"/>
    <x v="674"/>
    <x v="664"/>
    <x v="3"/>
    <s v="Financial Analyst"/>
    <n v="91996"/>
    <x v="3"/>
  </r>
  <r>
    <s v="00-78561753"/>
    <s v="Robin"/>
    <s v="Dominguez"/>
    <x v="0"/>
    <s v="New York"/>
    <s v="New York City"/>
    <s v="Bachelor"/>
    <d v="1980-12-04T00:00:00"/>
    <x v="675"/>
    <x v="665"/>
    <x v="0"/>
    <s v="Support Specialist"/>
    <n v="64142"/>
    <x v="1"/>
  </r>
  <r>
    <s v="00-87149161"/>
    <s v="James"/>
    <s v="Herman"/>
    <x v="1"/>
    <s v="New York"/>
    <s v="New York City"/>
    <s v="Bachelor"/>
    <d v="1977-11-07T00:00:00"/>
    <x v="676"/>
    <x v="666"/>
    <x v="6"/>
    <s v="Sales Representative"/>
    <n v="68752"/>
    <x v="1"/>
  </r>
  <r>
    <s v="00-95295586"/>
    <s v="Marc"/>
    <s v="Campbell"/>
    <x v="0"/>
    <s v="New York"/>
    <s v="New York City"/>
    <s v="Master"/>
    <d v="1988-11-04T00:00:00"/>
    <x v="677"/>
    <x v="667"/>
    <x v="6"/>
    <s v="Sales Specialist"/>
    <n v="71298"/>
    <x v="3"/>
  </r>
  <r>
    <s v="00-84479105"/>
    <s v="Amanda"/>
    <s v="Howard"/>
    <x v="1"/>
    <s v="North Carolina"/>
    <s v="Charlotte"/>
    <s v="High School"/>
    <d v="1995-02-25T00:00:00"/>
    <x v="521"/>
    <x v="668"/>
    <x v="0"/>
    <s v="Help Desk Technician"/>
    <n v="58313"/>
    <x v="0"/>
  </r>
  <r>
    <s v="00-35111946"/>
    <s v="Michael"/>
    <s v="Andrade"/>
    <x v="1"/>
    <s v="Pennsylvania"/>
    <s v="Allentown"/>
    <s v="High School"/>
    <d v="2001-11-07T00:00:00"/>
    <x v="678"/>
    <x v="669"/>
    <x v="0"/>
    <s v="Help Desk Technician"/>
    <n v="73163"/>
    <x v="0"/>
  </r>
  <r>
    <s v="00-17195581"/>
    <s v="Corey"/>
    <s v="Zavala"/>
    <x v="0"/>
    <s v="Illinois"/>
    <s v="Naperville"/>
    <s v="Bachelor"/>
    <d v="1989-10-04T00:00:00"/>
    <x v="679"/>
    <x v="670"/>
    <x v="6"/>
    <s v="Sales Representative"/>
    <n v="74548"/>
    <x v="2"/>
  </r>
  <r>
    <s v="00-28325379"/>
    <s v="Kathleen"/>
    <s v="Flores"/>
    <x v="1"/>
    <s v="New York"/>
    <s v="New York City"/>
    <s v="Bachelor"/>
    <d v="1993-06-16T00:00:00"/>
    <x v="599"/>
    <x v="670"/>
    <x v="6"/>
    <s v="Sales Representative"/>
    <n v="80099"/>
    <x v="1"/>
  </r>
  <r>
    <s v="00-77838742"/>
    <s v="Nathan"/>
    <s v="Gutierrez"/>
    <x v="1"/>
    <s v="New York"/>
    <s v="New York City"/>
    <s v="High School"/>
    <d v="1969-10-05T00:00:00"/>
    <x v="680"/>
    <x v="671"/>
    <x v="0"/>
    <s v="Help Desk Technician"/>
    <n v="90756"/>
    <x v="0"/>
  </r>
  <r>
    <s v="00-75998330"/>
    <s v="Michelle"/>
    <s v="Figueroa"/>
    <x v="1"/>
    <s v="New York"/>
    <s v="New York City"/>
    <s v="High School"/>
    <d v="1976-08-01T00:00:00"/>
    <x v="681"/>
    <x v="672"/>
    <x v="1"/>
    <s v="IT Support Specialist"/>
    <n v="58080"/>
    <x v="0"/>
  </r>
  <r>
    <s v="00-32448383"/>
    <s v="Jose"/>
    <s v="Donovan"/>
    <x v="1"/>
    <s v="New York"/>
    <s v="New York City"/>
    <s v="High School"/>
    <d v="2004-02-04T00:00:00"/>
    <x v="393"/>
    <x v="159"/>
    <x v="2"/>
    <s v="Inventory Specialist"/>
    <n v="60965"/>
    <x v="0"/>
  </r>
  <r>
    <s v="00-39598969"/>
    <s v="Jennifer"/>
    <s v="Phillips"/>
    <x v="0"/>
    <s v="New York"/>
    <s v="New York City"/>
    <s v="Bachelor"/>
    <d v="1991-11-23T00:00:00"/>
    <x v="682"/>
    <x v="673"/>
    <x v="5"/>
    <s v="HR Assistant"/>
    <n v="54114"/>
    <x v="2"/>
  </r>
  <r>
    <s v="00-82156607"/>
    <s v="Mark"/>
    <s v="James"/>
    <x v="1"/>
    <s v="New York"/>
    <s v="New York City"/>
    <s v="Bachelor"/>
    <d v="1992-01-31T00:00:00"/>
    <x v="386"/>
    <x v="674"/>
    <x v="0"/>
    <s v="Support Specialist"/>
    <n v="61368"/>
    <x v="0"/>
  </r>
  <r>
    <s v="00-76479831"/>
    <s v="John"/>
    <s v="Pierce"/>
    <x v="1"/>
    <s v="New York"/>
    <s v="New York City"/>
    <s v="Bachelor"/>
    <d v="2004-05-07T00:00:00"/>
    <x v="683"/>
    <x v="675"/>
    <x v="6"/>
    <s v="Sales Representative"/>
    <n v="67970"/>
    <x v="0"/>
  </r>
  <r>
    <s v="00-25328557"/>
    <s v="Matthew"/>
    <s v="Hines"/>
    <x v="1"/>
    <s v="Ohio"/>
    <s v="Columbus"/>
    <s v="Master"/>
    <d v="1975-03-16T00:00:00"/>
    <x v="216"/>
    <x v="676"/>
    <x v="6"/>
    <s v="Sales Consultant"/>
    <n v="92906"/>
    <x v="3"/>
  </r>
  <r>
    <s v="00-59239353"/>
    <s v="Tammy"/>
    <s v="May"/>
    <x v="0"/>
    <s v="Michigan"/>
    <s v="Grand Rapids"/>
    <s v="PhD"/>
    <d v="1962-11-03T00:00:00"/>
    <x v="684"/>
    <x v="677"/>
    <x v="6"/>
    <s v="Sales Consultant"/>
    <n v="112880"/>
    <x v="3"/>
  </r>
  <r>
    <s v="00-69239219"/>
    <s v="Steven"/>
    <s v="Oconnor"/>
    <x v="1"/>
    <s v="Illinois"/>
    <s v="Chicago"/>
    <s v="Bachelor"/>
    <d v="1972-06-19T00:00:00"/>
    <x v="685"/>
    <x v="678"/>
    <x v="6"/>
    <s v="Sales Specialist"/>
    <n v="92805"/>
    <x v="3"/>
  </r>
  <r>
    <s v="00-97734330"/>
    <s v="Gary"/>
    <s v="Cortez"/>
    <x v="1"/>
    <s v="New York"/>
    <s v="New York City"/>
    <s v="Bachelor"/>
    <d v="1979-07-12T00:00:00"/>
    <x v="686"/>
    <x v="679"/>
    <x v="1"/>
    <s v="Software Developer"/>
    <n v="97728"/>
    <x v="1"/>
  </r>
  <r>
    <s v="00-14325890"/>
    <s v="Jack"/>
    <s v="Preston"/>
    <x v="1"/>
    <s v="New York"/>
    <s v="New York City"/>
    <s v="Bachelor"/>
    <d v="1974-06-04T00:00:00"/>
    <x v="687"/>
    <x v="301"/>
    <x v="6"/>
    <s v="Sales Representative"/>
    <n v="78078"/>
    <x v="1"/>
  </r>
  <r>
    <s v="00-21674661"/>
    <s v="Susan"/>
    <s v="Warren"/>
    <x v="0"/>
    <s v="New York"/>
    <s v="New York City"/>
    <s v="Bachelor"/>
    <d v="1964-03-24T00:00:00"/>
    <x v="688"/>
    <x v="680"/>
    <x v="2"/>
    <s v="Inventory Specialist"/>
    <n v="64103"/>
    <x v="1"/>
  </r>
  <r>
    <s v="00-41802361"/>
    <s v="Melanie"/>
    <s v="Landry"/>
    <x v="0"/>
    <s v="New York"/>
    <s v="New York City"/>
    <s v="Bachelor"/>
    <d v="1998-01-03T00:00:00"/>
    <x v="181"/>
    <x v="681"/>
    <x v="1"/>
    <s v="IT Support Specialist"/>
    <n v="59095"/>
    <x v="1"/>
  </r>
  <r>
    <s v="00-57060874"/>
    <s v="Brandon"/>
    <s v="Smith"/>
    <x v="0"/>
    <s v="North Carolina"/>
    <s v="Greensboro"/>
    <s v="Master"/>
    <d v="1973-07-26T00:00:00"/>
    <x v="689"/>
    <x v="230"/>
    <x v="6"/>
    <s v="Sales Consultant"/>
    <n v="100507"/>
    <x v="3"/>
  </r>
  <r>
    <s v="00-67467610"/>
    <s v="Megan"/>
    <s v="Hall"/>
    <x v="1"/>
    <s v="New York"/>
    <s v="New York City"/>
    <s v="Bachelor"/>
    <d v="1994-12-26T00:00:00"/>
    <x v="690"/>
    <x v="682"/>
    <x v="6"/>
    <s v="Sales Representative"/>
    <n v="59038"/>
    <x v="2"/>
  </r>
  <r>
    <s v="00-37732020"/>
    <s v="Edward"/>
    <s v="Robinson"/>
    <x v="0"/>
    <s v="New York"/>
    <s v="New York City"/>
    <s v="Bachelor"/>
    <d v="1988-06-27T00:00:00"/>
    <x v="691"/>
    <x v="683"/>
    <x v="0"/>
    <s v="Support Specialist"/>
    <n v="57504"/>
    <x v="2"/>
  </r>
  <r>
    <s v="00-57085656"/>
    <s v="Nathaniel"/>
    <s v="Williamson"/>
    <x v="1"/>
    <s v="New York"/>
    <s v="New York City"/>
    <s v="Bachelor"/>
    <d v="1988-04-07T00:00:00"/>
    <x v="692"/>
    <x v="602"/>
    <x v="2"/>
    <s v="Logistics Coordinator"/>
    <n v="64145"/>
    <x v="2"/>
  </r>
  <r>
    <s v="00-32599227"/>
    <s v="Sarah"/>
    <s v="Durham"/>
    <x v="0"/>
    <s v="Michigan"/>
    <s v="Detroit"/>
    <s v="Master"/>
    <d v="1983-02-20T00:00:00"/>
    <x v="657"/>
    <x v="684"/>
    <x v="6"/>
    <s v="Sales Specialist"/>
    <n v="77284"/>
    <x v="3"/>
  </r>
  <r>
    <s v="00-48833650"/>
    <s v="Tony"/>
    <s v="Smith"/>
    <x v="1"/>
    <s v="New York"/>
    <s v="New York City"/>
    <s v="Bachelor"/>
    <d v="1995-01-31T00:00:00"/>
    <x v="693"/>
    <x v="685"/>
    <x v="2"/>
    <s v="Logistics Coordinator"/>
    <n v="62526"/>
    <x v="1"/>
  </r>
  <r>
    <s v="00-22780905"/>
    <s v="Robert"/>
    <s v="Smith"/>
    <x v="0"/>
    <s v="New York"/>
    <s v="New York City"/>
    <s v="Bachelor"/>
    <d v="1972-09-26T00:00:00"/>
    <x v="402"/>
    <x v="686"/>
    <x v="2"/>
    <s v="Inventory Specialist"/>
    <n v="53687"/>
    <x v="1"/>
  </r>
  <r>
    <s v="00-47221734"/>
    <s v="Joshua"/>
    <s v="Madden"/>
    <x v="1"/>
    <s v="North Carolina"/>
    <s v="Charlotte"/>
    <s v="Bachelor"/>
    <d v="1965-11-26T00:00:00"/>
    <x v="694"/>
    <x v="266"/>
    <x v="2"/>
    <s v="Inventory Specialist"/>
    <n v="64605"/>
    <x v="3"/>
  </r>
  <r>
    <s v="00-43226234"/>
    <s v="Linda"/>
    <s v="Browning"/>
    <x v="1"/>
    <s v="New York"/>
    <s v="New York City"/>
    <s v="Bachelor"/>
    <d v="1988-06-15T00:00:00"/>
    <x v="695"/>
    <x v="687"/>
    <x v="2"/>
    <s v="Logistics Coordinator"/>
    <n v="64169"/>
    <x v="1"/>
  </r>
  <r>
    <s v="00-75694038"/>
    <s v="Samantha"/>
    <s v="Warren"/>
    <x v="1"/>
    <s v="New York"/>
    <s v="New York City"/>
    <s v="Master"/>
    <d v="1969-10-29T00:00:00"/>
    <x v="696"/>
    <x v="1"/>
    <x v="2"/>
    <s v="Operations Analyst"/>
    <n v="70469"/>
    <x v="3"/>
  </r>
  <r>
    <s v="00-94263610"/>
    <s v="James"/>
    <s v="Fox"/>
    <x v="1"/>
    <s v="New York"/>
    <s v="New York City"/>
    <s v="Master"/>
    <d v="1999-02-06T00:00:00"/>
    <x v="656"/>
    <x v="156"/>
    <x v="2"/>
    <s v="Operations Analyst"/>
    <n v="56781"/>
    <x v="3"/>
  </r>
  <r>
    <s v="00-95044078"/>
    <s v="Michael"/>
    <s v="Norton"/>
    <x v="1"/>
    <s v="New York"/>
    <s v="New York City"/>
    <s v="Bachelor"/>
    <d v="1985-06-22T00:00:00"/>
    <x v="697"/>
    <x v="688"/>
    <x v="2"/>
    <s v="Logistics Coordinator"/>
    <n v="63688"/>
    <x v="1"/>
  </r>
  <r>
    <s v="00-79204468"/>
    <s v="Nathan"/>
    <s v="Sullivan"/>
    <x v="1"/>
    <s v="New York"/>
    <s v="New York City"/>
    <s v="Bachelor"/>
    <d v="1982-03-30T00:00:00"/>
    <x v="698"/>
    <x v="689"/>
    <x v="6"/>
    <s v="Sales Consultant"/>
    <n v="83782"/>
    <x v="1"/>
  </r>
  <r>
    <s v="00-71028216"/>
    <s v="John"/>
    <s v="Terry"/>
    <x v="0"/>
    <s v="Ohio"/>
    <s v="Cincinnati"/>
    <s v="High School"/>
    <d v="1976-02-29T00:00:00"/>
    <x v="99"/>
    <x v="96"/>
    <x v="2"/>
    <s v="Inventory Specialist"/>
    <n v="63561"/>
    <x v="0"/>
  </r>
  <r>
    <s v="00-10331931"/>
    <s v="Gabriella"/>
    <s v="Abbott"/>
    <x v="1"/>
    <s v="New York"/>
    <s v="New York City"/>
    <s v="PhD"/>
    <d v="1989-01-22T00:00:00"/>
    <x v="699"/>
    <x v="690"/>
    <x v="6"/>
    <s v="Sales Specialist"/>
    <n v="78790"/>
    <x v="3"/>
  </r>
  <r>
    <s v="00-71532017"/>
    <s v="Victoria"/>
    <s v="Santos"/>
    <x v="1"/>
    <s v="New York"/>
    <s v="New York City"/>
    <s v="Bachelor"/>
    <d v="2003-06-17T00:00:00"/>
    <x v="700"/>
    <x v="691"/>
    <x v="6"/>
    <s v="Sales Specialist"/>
    <n v="67947"/>
    <x v="0"/>
  </r>
  <r>
    <s v="00-18500100"/>
    <s v="Clayton"/>
    <s v="Gray"/>
    <x v="0"/>
    <s v="New York"/>
    <s v="New York City"/>
    <s v="Bachelor"/>
    <d v="1989-07-24T00:00:00"/>
    <x v="701"/>
    <x v="692"/>
    <x v="6"/>
    <s v="Sales Consultant"/>
    <n v="74475"/>
    <x v="1"/>
  </r>
  <r>
    <s v="00-67665720"/>
    <s v="Thomas"/>
    <s v="Walsh"/>
    <x v="1"/>
    <s v="New York"/>
    <s v="New York City"/>
    <s v="Bachelor"/>
    <d v="1980-07-15T00:00:00"/>
    <x v="398"/>
    <x v="386"/>
    <x v="0"/>
    <s v="Support Specialist"/>
    <n v="63322"/>
    <x v="1"/>
  </r>
  <r>
    <s v="00-53334226"/>
    <s v="George"/>
    <s v="Porter"/>
    <x v="1"/>
    <s v="New York"/>
    <s v="New York City"/>
    <s v="PhD"/>
    <d v="1988-08-28T00:00:00"/>
    <x v="702"/>
    <x v="693"/>
    <x v="6"/>
    <s v="Sales Specialist"/>
    <n v="65014"/>
    <x v="3"/>
  </r>
  <r>
    <s v="00-87568940"/>
    <s v="Deanna"/>
    <s v="Rivera"/>
    <x v="1"/>
    <s v="North Carolina"/>
    <s v="Greensboro"/>
    <s v="PhD"/>
    <d v="1966-06-20T00:00:00"/>
    <x v="703"/>
    <x v="694"/>
    <x v="0"/>
    <s v="Customer Service Manager"/>
    <n v="67049"/>
    <x v="3"/>
  </r>
  <r>
    <s v="00-56135950"/>
    <s v="Terri"/>
    <s v="Jacobson"/>
    <x v="0"/>
    <s v="Illinois"/>
    <s v="Chicago"/>
    <s v="Bachelor"/>
    <d v="1975-02-11T00:00:00"/>
    <x v="704"/>
    <x v="695"/>
    <x v="2"/>
    <s v="Logistics Coordinator"/>
    <n v="65761"/>
    <x v="2"/>
  </r>
  <r>
    <s v="00-23364695"/>
    <s v="Brad"/>
    <s v="Lewis"/>
    <x v="1"/>
    <s v="New York"/>
    <s v="New York City"/>
    <s v="Bachelor"/>
    <d v="1977-07-08T00:00:00"/>
    <x v="705"/>
    <x v="696"/>
    <x v="0"/>
    <s v="Customer Service Representative"/>
    <n v="68751"/>
    <x v="1"/>
  </r>
  <r>
    <s v="00-26674831"/>
    <s v="Heather"/>
    <s v="Knight"/>
    <x v="1"/>
    <s v="Pennsylvania"/>
    <s v="Pittsburgh"/>
    <s v="Bachelor"/>
    <d v="1975-10-23T00:00:00"/>
    <x v="475"/>
    <x v="463"/>
    <x v="2"/>
    <s v="Inventory Specialist"/>
    <n v="62465"/>
    <x v="2"/>
  </r>
  <r>
    <s v="00-71272827"/>
    <s v="Brandon"/>
    <s v="Jones"/>
    <x v="1"/>
    <s v="New York"/>
    <s v="New York City"/>
    <s v="Master"/>
    <d v="2003-11-26T00:00:00"/>
    <x v="706"/>
    <x v="697"/>
    <x v="6"/>
    <s v="Sales Specialist"/>
    <n v="58102"/>
    <x v="3"/>
  </r>
  <r>
    <s v="00-27705074"/>
    <s v="Juan"/>
    <s v="Daniels"/>
    <x v="0"/>
    <s v="New York"/>
    <s v="New York City"/>
    <s v="Bachelor"/>
    <d v="2004-01-23T00:00:00"/>
    <x v="323"/>
    <x v="698"/>
    <x v="2"/>
    <s v="Logistics Coordinator"/>
    <n v="57789"/>
    <x v="0"/>
  </r>
  <r>
    <s v="00-46778269"/>
    <s v="Antonio"/>
    <s v="Mcfarland"/>
    <x v="0"/>
    <s v="New York"/>
    <s v="New York City"/>
    <s v="Bachelor"/>
    <d v="1978-12-23T00:00:00"/>
    <x v="707"/>
    <x v="104"/>
    <x v="1"/>
    <s v="IT Support Specialist"/>
    <n v="62995"/>
    <x v="2"/>
  </r>
  <r>
    <s v="00-21062296"/>
    <s v="Alexis"/>
    <s v="Clark"/>
    <x v="1"/>
    <s v="New York"/>
    <s v="New York City"/>
    <s v="Bachelor"/>
    <d v="2000-02-12T00:00:00"/>
    <x v="708"/>
    <x v="699"/>
    <x v="4"/>
    <s v="Marketing Coordinator"/>
    <n v="74615"/>
    <x v="1"/>
  </r>
  <r>
    <s v="00-16950770"/>
    <s v="Karen"/>
    <s v="Marquez"/>
    <x v="0"/>
    <s v="New York"/>
    <s v="New York City"/>
    <s v="Master"/>
    <d v="2000-05-19T00:00:00"/>
    <x v="709"/>
    <x v="700"/>
    <x v="6"/>
    <s v="Sales Specialist"/>
    <n v="83426"/>
    <x v="1"/>
  </r>
  <r>
    <s v="00-41426254"/>
    <s v="Sarah"/>
    <s v="Evans"/>
    <x v="0"/>
    <s v="New York"/>
    <s v="New York City"/>
    <s v="Bachelor"/>
    <d v="1996-11-12T00:00:00"/>
    <x v="360"/>
    <x v="701"/>
    <x v="2"/>
    <s v="Operations Analyst"/>
    <n v="83222"/>
    <x v="1"/>
  </r>
  <r>
    <s v="00-22775337"/>
    <s v="John"/>
    <s v="Davenport"/>
    <x v="0"/>
    <s v="Pennsylvania"/>
    <s v="Allentown"/>
    <s v="Bachelor"/>
    <d v="1981-06-03T00:00:00"/>
    <x v="710"/>
    <x v="702"/>
    <x v="2"/>
    <s v="Logistics Coordinator"/>
    <n v="57215"/>
    <x v="1"/>
  </r>
  <r>
    <s v="00-27810664"/>
    <s v="Erica"/>
    <s v="Fernandez"/>
    <x v="1"/>
    <s v="New York"/>
    <s v="New York City"/>
    <s v="Bachelor"/>
    <d v="2003-10-22T00:00:00"/>
    <x v="711"/>
    <x v="703"/>
    <x v="2"/>
    <s v="Inventory Specialist"/>
    <n v="59469"/>
    <x v="1"/>
  </r>
  <r>
    <s v="00-69735865"/>
    <s v="Karla"/>
    <s v="Taylor"/>
    <x v="0"/>
    <s v="New York"/>
    <s v="New York City"/>
    <s v="High School"/>
    <d v="1989-01-24T00:00:00"/>
    <x v="712"/>
    <x v="224"/>
    <x v="5"/>
    <s v="Recruiter"/>
    <n v="73592"/>
    <x v="0"/>
  </r>
  <r>
    <s v="00-26185823"/>
    <s v="Jennifer"/>
    <s v="Mason"/>
    <x v="1"/>
    <s v="Michigan"/>
    <s v="Warren"/>
    <s v="Master"/>
    <d v="1986-04-10T00:00:00"/>
    <x v="713"/>
    <x v="704"/>
    <x v="6"/>
    <s v="Sales Specialist"/>
    <n v="68928"/>
    <x v="3"/>
  </r>
  <r>
    <s v="00-27740248"/>
    <s v="Brian"/>
    <s v="Kim"/>
    <x v="0"/>
    <s v="Pennsylvania"/>
    <s v="Pittsburgh"/>
    <s v="Bachelor"/>
    <d v="1980-11-26T00:00:00"/>
    <x v="688"/>
    <x v="645"/>
    <x v="0"/>
    <s v="Help Desk Technician"/>
    <n v="76265"/>
    <x v="1"/>
  </r>
  <r>
    <s v="00-21989814"/>
    <s v="Charles"/>
    <s v="Jacobs"/>
    <x v="1"/>
    <s v="New York"/>
    <s v="New York City"/>
    <s v="Bachelor"/>
    <d v="1983-01-25T00:00:00"/>
    <x v="714"/>
    <x v="705"/>
    <x v="0"/>
    <s v="Support Specialist"/>
    <n v="62667"/>
    <x v="2"/>
  </r>
  <r>
    <s v="00-52057323"/>
    <s v="Stephanie"/>
    <s v="Sanders"/>
    <x v="1"/>
    <s v="Michigan"/>
    <s v="Grand Rapids"/>
    <s v="Bachelor"/>
    <d v="1983-11-07T00:00:00"/>
    <x v="715"/>
    <x v="706"/>
    <x v="6"/>
    <s v="Sales Specialist"/>
    <n v="76384"/>
    <x v="1"/>
  </r>
  <r>
    <s v="00-61367949"/>
    <s v="Mark"/>
    <s v="Walters"/>
    <x v="0"/>
    <s v="Michigan"/>
    <s v="Detroit"/>
    <s v="Bachelor"/>
    <d v="1976-08-12T00:00:00"/>
    <x v="716"/>
    <x v="707"/>
    <x v="2"/>
    <s v="Logistics Coordinator"/>
    <n v="55791"/>
    <x v="2"/>
  </r>
  <r>
    <s v="00-29173414"/>
    <s v="Victoria"/>
    <s v="Henry"/>
    <x v="0"/>
    <s v="Michigan"/>
    <s v="Warren"/>
    <s v="Master"/>
    <d v="2002-10-02T00:00:00"/>
    <x v="717"/>
    <x v="708"/>
    <x v="1"/>
    <s v="Software Developer"/>
    <n v="94458"/>
    <x v="3"/>
  </r>
  <r>
    <s v="00-91915661"/>
    <s v="Angela"/>
    <s v="Bennett"/>
    <x v="1"/>
    <s v="New York"/>
    <s v="New York City"/>
    <s v="High School"/>
    <d v="1983-08-28T00:00:00"/>
    <x v="718"/>
    <x v="709"/>
    <x v="2"/>
    <s v="Inventory Specialist"/>
    <n v="59258"/>
    <x v="0"/>
  </r>
  <r>
    <s v="00-38595818"/>
    <s v="Erin"/>
    <s v="Guerrero"/>
    <x v="0"/>
    <s v="North Carolina"/>
    <s v="Raleigh"/>
    <s v="Bachelor"/>
    <d v="1967-07-16T00:00:00"/>
    <x v="719"/>
    <x v="710"/>
    <x v="2"/>
    <s v="Operations Analyst"/>
    <n v="58109"/>
    <x v="2"/>
  </r>
  <r>
    <s v="00-92688322"/>
    <s v="Kelsey"/>
    <s v="Phillips"/>
    <x v="1"/>
    <s v="New York"/>
    <s v="New York City"/>
    <s v="Bachelor"/>
    <d v="1969-07-22T00:00:00"/>
    <x v="720"/>
    <x v="337"/>
    <x v="1"/>
    <s v="IT Support Specialist"/>
    <n v="59579"/>
    <x v="2"/>
  </r>
  <r>
    <s v="00-23484199"/>
    <s v="Jennifer"/>
    <s v="Miller"/>
    <x v="1"/>
    <s v="Ohio"/>
    <s v="Cincinnati"/>
    <s v="Bachelor"/>
    <d v="1971-08-10T00:00:00"/>
    <x v="721"/>
    <x v="711"/>
    <x v="6"/>
    <s v="Sales Representative"/>
    <n v="76734"/>
    <x v="2"/>
  </r>
  <r>
    <s v="00-61543890"/>
    <s v="Norman"/>
    <s v="Bowers"/>
    <x v="1"/>
    <s v="New York"/>
    <s v="New York City"/>
    <s v="Bachelor"/>
    <d v="1981-02-14T00:00:00"/>
    <x v="722"/>
    <x v="712"/>
    <x v="6"/>
    <s v="Sales Specialist"/>
    <n v="77985"/>
    <x v="1"/>
  </r>
  <r>
    <s v="00-43308414"/>
    <s v="Christopher"/>
    <s v="Hahn"/>
    <x v="1"/>
    <s v="Michigan"/>
    <s v="Warren"/>
    <s v="High School"/>
    <d v="1988-07-11T00:00:00"/>
    <x v="723"/>
    <x v="111"/>
    <x v="0"/>
    <s v="Customer Service Representative"/>
    <n v="66529"/>
    <x v="0"/>
  </r>
  <r>
    <s v="00-91549765"/>
    <s v="Michael"/>
    <s v="Nelson"/>
    <x v="1"/>
    <s v="New York"/>
    <s v="New York City"/>
    <s v="Bachelor"/>
    <d v="1981-12-20T00:00:00"/>
    <x v="724"/>
    <x v="713"/>
    <x v="6"/>
    <s v="Sales Representative"/>
    <n v="67819"/>
    <x v="1"/>
  </r>
  <r>
    <s v="00-98369672"/>
    <s v="Christopher"/>
    <s v="Jordan"/>
    <x v="0"/>
    <s v="New York"/>
    <s v="New York City"/>
    <s v="Bachelor"/>
    <d v="1966-10-10T00:00:00"/>
    <x v="23"/>
    <x v="714"/>
    <x v="3"/>
    <s v="Accountant"/>
    <n v="59461"/>
    <x v="3"/>
  </r>
  <r>
    <s v="00-91460345"/>
    <s v="Angela"/>
    <s v="Russell"/>
    <x v="0"/>
    <s v="New York"/>
    <s v="New York City"/>
    <s v="High School"/>
    <d v="1964-01-07T00:00:00"/>
    <x v="725"/>
    <x v="715"/>
    <x v="1"/>
    <s v="IT Support Specialist"/>
    <n v="60402"/>
    <x v="3"/>
  </r>
  <r>
    <s v="00-49666982"/>
    <s v="Christopher"/>
    <s v="Spencer"/>
    <x v="0"/>
    <s v="Virginia"/>
    <s v="Richmond"/>
    <s v="Bachelor"/>
    <d v="1975-07-24T00:00:00"/>
    <x v="160"/>
    <x v="716"/>
    <x v="1"/>
    <s v="IT Support Specialist"/>
    <n v="55994"/>
    <x v="3"/>
  </r>
  <r>
    <s v="00-61792685"/>
    <s v="Carly"/>
    <s v="Nguyen"/>
    <x v="0"/>
    <s v="Michigan"/>
    <s v="Detroit"/>
    <s v="Bachelor"/>
    <d v="1976-06-21T00:00:00"/>
    <x v="726"/>
    <x v="717"/>
    <x v="3"/>
    <s v="Accounts Payable Specialist"/>
    <n v="54791"/>
    <x v="1"/>
  </r>
  <r>
    <s v="00-89715904"/>
    <s v="Alexander"/>
    <s v="Gutierrez"/>
    <x v="0"/>
    <s v="Ohio"/>
    <s v="Cleveland"/>
    <s v="Bachelor"/>
    <d v="1971-04-27T00:00:00"/>
    <x v="727"/>
    <x v="718"/>
    <x v="2"/>
    <s v="Logistics Coordinator"/>
    <n v="64308"/>
    <x v="2"/>
  </r>
  <r>
    <s v="00-52476240"/>
    <s v="Christopher"/>
    <s v="Santana"/>
    <x v="1"/>
    <s v="New York"/>
    <s v="New York City"/>
    <s v="Bachelor"/>
    <d v="1961-07-17T00:00:00"/>
    <x v="60"/>
    <x v="59"/>
    <x v="2"/>
    <s v="Inventory Specialist"/>
    <n v="64044"/>
    <x v="1"/>
  </r>
  <r>
    <s v="00-59044830"/>
    <s v="Victoria"/>
    <s v="Sanchez"/>
    <x v="1"/>
    <s v="Michigan"/>
    <s v="Detroit"/>
    <s v="High School"/>
    <d v="1974-10-19T00:00:00"/>
    <x v="372"/>
    <x v="719"/>
    <x v="2"/>
    <s v="Inventory Specialist"/>
    <n v="61578"/>
    <x v="0"/>
  </r>
  <r>
    <s v="00-73218512"/>
    <s v="Gavin"/>
    <s v="James"/>
    <x v="1"/>
    <s v="Illinois"/>
    <s v="Chicago"/>
    <s v="Master"/>
    <d v="1977-04-07T00:00:00"/>
    <x v="471"/>
    <x v="459"/>
    <x v="1"/>
    <s v="Software Developer"/>
    <n v="73871"/>
    <x v="1"/>
  </r>
  <r>
    <s v="00-88834594"/>
    <s v="Joseph"/>
    <s v="Adams"/>
    <x v="1"/>
    <s v="New York"/>
    <s v="New York City"/>
    <s v="PhD"/>
    <d v="1997-01-26T00:00:00"/>
    <x v="728"/>
    <x v="720"/>
    <x v="6"/>
    <s v="Sales Specialist"/>
    <n v="76777"/>
    <x v="3"/>
  </r>
  <r>
    <s v="00-15345470"/>
    <s v="Bryan"/>
    <s v="Hamilton"/>
    <x v="0"/>
    <s v="New York"/>
    <s v="New York City"/>
    <s v="Bachelor"/>
    <d v="1991-12-11T00:00:00"/>
    <x v="729"/>
    <x v="708"/>
    <x v="0"/>
    <s v="Customer Service Representative"/>
    <n v="57457"/>
    <x v="1"/>
  </r>
  <r>
    <s v="00-48451741"/>
    <s v="Kevin"/>
    <s v="Patton"/>
    <x v="0"/>
    <s v="Pennsylvania"/>
    <s v="Philadelphia"/>
    <s v="High School"/>
    <d v="1998-02-28T00:00:00"/>
    <x v="369"/>
    <x v="721"/>
    <x v="2"/>
    <s v="Inventory Specialist"/>
    <n v="60551"/>
    <x v="0"/>
  </r>
  <r>
    <s v="00-65758338"/>
    <s v="Johnathan"/>
    <s v="Wright"/>
    <x v="1"/>
    <s v="New York"/>
    <s v="New York City"/>
    <s v="Bachelor"/>
    <d v="1991-09-12T00:00:00"/>
    <x v="730"/>
    <x v="722"/>
    <x v="2"/>
    <s v="Logistics Coordinator"/>
    <n v="61458"/>
    <x v="3"/>
  </r>
  <r>
    <s v="00-95971459"/>
    <s v="Tyler"/>
    <s v="Jensen"/>
    <x v="1"/>
    <s v="New York"/>
    <s v="New York City"/>
    <s v="Bachelor"/>
    <d v="1978-01-31T00:00:00"/>
    <x v="636"/>
    <x v="723"/>
    <x v="2"/>
    <s v="Logistics Coordinator"/>
    <n v="74903"/>
    <x v="2"/>
  </r>
  <r>
    <s v="00-47241089"/>
    <s v="Daniel"/>
    <s v="Torres"/>
    <x v="1"/>
    <s v="New York"/>
    <s v="New York City"/>
    <s v="Bachelor"/>
    <d v="1996-12-10T00:00:00"/>
    <x v="731"/>
    <x v="724"/>
    <x v="6"/>
    <s v="Sales Specialist"/>
    <n v="66450"/>
    <x v="1"/>
  </r>
  <r>
    <s v="00-37272705"/>
    <s v="Martin"/>
    <s v="Oliver"/>
    <x v="1"/>
    <s v="New York"/>
    <s v="New York City"/>
    <s v="Bachelor"/>
    <d v="1995-10-14T00:00:00"/>
    <x v="732"/>
    <x v="725"/>
    <x v="4"/>
    <s v="Content Creator"/>
    <n v="60027"/>
    <x v="2"/>
  </r>
  <r>
    <s v="00-53855682"/>
    <s v="Michelle"/>
    <s v="Alexander"/>
    <x v="1"/>
    <s v="New York"/>
    <s v="New York City"/>
    <s v="High School"/>
    <d v="1987-11-01T00:00:00"/>
    <x v="733"/>
    <x v="726"/>
    <x v="1"/>
    <s v="IT Support Specialist"/>
    <n v="61785"/>
    <x v="0"/>
  </r>
  <r>
    <s v="00-97219985"/>
    <s v="Lisa"/>
    <s v="Villarreal"/>
    <x v="1"/>
    <s v="New York"/>
    <s v="New York City"/>
    <s v="Bachelor"/>
    <d v="1979-08-18T00:00:00"/>
    <x v="734"/>
    <x v="727"/>
    <x v="4"/>
    <s v="Marketing Coordinator"/>
    <n v="77437"/>
    <x v="2"/>
  </r>
  <r>
    <s v="00-68718382"/>
    <s v="Derek"/>
    <s v="Flores"/>
    <x v="0"/>
    <s v="New York"/>
    <s v="New York City"/>
    <s v="PhD"/>
    <d v="1992-05-13T00:00:00"/>
    <x v="174"/>
    <x v="728"/>
    <x v="3"/>
    <s v="Financial Analyst"/>
    <n v="82977"/>
    <x v="3"/>
  </r>
  <r>
    <s v="00-42813517"/>
    <s v="James"/>
    <s v="Edwards"/>
    <x v="0"/>
    <s v="North Carolina"/>
    <s v="Greensboro"/>
    <s v="Bachelor"/>
    <d v="1983-12-04T00:00:00"/>
    <x v="735"/>
    <x v="729"/>
    <x v="2"/>
    <s v="Logistics Coordinator"/>
    <n v="55177"/>
    <x v="1"/>
  </r>
  <r>
    <s v="00-70850538"/>
    <s v="Tanya"/>
    <s v="Carter"/>
    <x v="1"/>
    <s v="New York"/>
    <s v="New York City"/>
    <s v="PhD"/>
    <d v="1989-06-26T00:00:00"/>
    <x v="736"/>
    <x v="730"/>
    <x v="6"/>
    <s v="Sales Consultant"/>
    <n v="84520"/>
    <x v="3"/>
  </r>
  <r>
    <s v="00-99399687"/>
    <s v="Cynthia"/>
    <s v="Faulkner"/>
    <x v="1"/>
    <s v="Pennsylvania"/>
    <s v="Philadelphia"/>
    <s v="High School"/>
    <d v="1998-06-26T00:00:00"/>
    <x v="737"/>
    <x v="731"/>
    <x v="2"/>
    <s v="Inventory Specialist"/>
    <n v="58264"/>
    <x v="0"/>
  </r>
  <r>
    <s v="00-26031369"/>
    <s v="John"/>
    <s v="Bennett"/>
    <x v="0"/>
    <s v="Illinois"/>
    <s v="Naperville"/>
    <s v="Bachelor"/>
    <d v="1959-09-13T00:00:00"/>
    <x v="738"/>
    <x v="732"/>
    <x v="2"/>
    <s v="Inventory Specialist"/>
    <n v="59625"/>
    <x v="1"/>
  </r>
  <r>
    <s v="00-11523452"/>
    <s v="Kristi"/>
    <s v="Diaz"/>
    <x v="0"/>
    <s v="New York"/>
    <s v="New York City"/>
    <s v="Master"/>
    <d v="1984-04-17T00:00:00"/>
    <x v="480"/>
    <x v="733"/>
    <x v="1"/>
    <s v="Software Developer"/>
    <n v="94351"/>
    <x v="1"/>
  </r>
  <r>
    <s v="00-79420474"/>
    <s v="Anne"/>
    <s v="Vargas"/>
    <x v="0"/>
    <s v="New York"/>
    <s v="New York City"/>
    <s v="Bachelor"/>
    <d v="1986-07-23T00:00:00"/>
    <x v="739"/>
    <x v="734"/>
    <x v="0"/>
    <s v="Customer Service Representative"/>
    <n v="54248"/>
    <x v="0"/>
  </r>
  <r>
    <s v="00-32409388"/>
    <s v="Hector"/>
    <s v="Saunders"/>
    <x v="1"/>
    <s v="New York"/>
    <s v="New York City"/>
    <s v="Master"/>
    <d v="1970-01-15T00:00:00"/>
    <x v="397"/>
    <x v="735"/>
    <x v="6"/>
    <s v="Sales Specialist"/>
    <n v="85379"/>
    <x v="1"/>
  </r>
  <r>
    <s v="00-46072958"/>
    <s v="Stephanie"/>
    <s v="Murray"/>
    <x v="1"/>
    <s v="New York"/>
    <s v="New York City"/>
    <s v="PhD"/>
    <d v="1994-09-23T00:00:00"/>
    <x v="740"/>
    <x v="480"/>
    <x v="1"/>
    <s v="IT Manager"/>
    <n v="120635"/>
    <x v="3"/>
  </r>
  <r>
    <s v="00-13940129"/>
    <s v="Jason"/>
    <s v="Salinas"/>
    <x v="1"/>
    <s v="New York"/>
    <s v="New York City"/>
    <s v="Bachelor"/>
    <d v="1990-08-07T00:00:00"/>
    <x v="434"/>
    <x v="300"/>
    <x v="3"/>
    <s v="Accountant"/>
    <n v="65005"/>
    <x v="0"/>
  </r>
  <r>
    <s v="00-80310522"/>
    <s v="Heather"/>
    <s v="Fuentes"/>
    <x v="0"/>
    <s v="New York"/>
    <s v="New York City"/>
    <s v="Bachelor"/>
    <d v="1977-06-02T00:00:00"/>
    <x v="741"/>
    <x v="736"/>
    <x v="2"/>
    <s v="Logistics Coordinator"/>
    <n v="56923"/>
    <x v="3"/>
  </r>
  <r>
    <s v="00-94226031"/>
    <s v="Laura"/>
    <s v="Chambers"/>
    <x v="0"/>
    <s v="North Carolina"/>
    <s v="Charlotte"/>
    <s v="Bachelor"/>
    <d v="1987-06-09T00:00:00"/>
    <x v="742"/>
    <x v="737"/>
    <x v="2"/>
    <s v="Logistics Coordinator"/>
    <n v="55231"/>
    <x v="2"/>
  </r>
  <r>
    <s v="00-58335011"/>
    <s v="Cynthia"/>
    <s v="Allen"/>
    <x v="1"/>
    <s v="Pennsylvania"/>
    <s v="Allentown"/>
    <s v="Bachelor"/>
    <d v="1984-06-05T00:00:00"/>
    <x v="495"/>
    <x v="738"/>
    <x v="2"/>
    <s v="Logistics Coordinator"/>
    <n v="67786"/>
    <x v="1"/>
  </r>
  <r>
    <s v="00-59350218"/>
    <s v="Eric"/>
    <s v="Henderson"/>
    <x v="0"/>
    <s v="New York"/>
    <s v="New York City"/>
    <s v="Master"/>
    <d v="1991-05-24T00:00:00"/>
    <x v="743"/>
    <x v="739"/>
    <x v="6"/>
    <s v="Sales Manager"/>
    <n v="107510"/>
    <x v="3"/>
  </r>
  <r>
    <s v="00-25479814"/>
    <s v="Charles"/>
    <s v="Ewing"/>
    <x v="0"/>
    <s v="New York"/>
    <s v="New York City"/>
    <s v="High School"/>
    <d v="1995-03-10T00:00:00"/>
    <x v="472"/>
    <x v="460"/>
    <x v="0"/>
    <s v="Customer Service Representative"/>
    <n v="56546"/>
    <x v="0"/>
  </r>
  <r>
    <s v="00-15910667"/>
    <s v="Brandi"/>
    <s v="Ferguson"/>
    <x v="1"/>
    <s v="New York"/>
    <s v="New York City"/>
    <s v="Bachelor"/>
    <d v="2000-08-28T00:00:00"/>
    <x v="45"/>
    <x v="740"/>
    <x v="6"/>
    <s v="Sales Consultant"/>
    <n v="89077"/>
    <x v="1"/>
  </r>
  <r>
    <s v="00-16171536"/>
    <s v="Samantha"/>
    <s v="Holt"/>
    <x v="1"/>
    <s v="New York"/>
    <s v="New York City"/>
    <s v="Bachelor"/>
    <d v="1980-11-17T00:00:00"/>
    <x v="547"/>
    <x v="247"/>
    <x v="2"/>
    <s v="Logistics Coordinator"/>
    <n v="68156"/>
    <x v="2"/>
  </r>
  <r>
    <s v="00-34019729"/>
    <s v="Benjamin"/>
    <s v="Schmitt"/>
    <x v="1"/>
    <s v="New York"/>
    <s v="New York City"/>
    <s v="Bachelor"/>
    <d v="1960-04-11T00:00:00"/>
    <x v="196"/>
    <x v="192"/>
    <x v="2"/>
    <s v="Logistics Coordinator"/>
    <n v="68783"/>
    <x v="1"/>
  </r>
  <r>
    <s v="00-98007006"/>
    <s v="Paula"/>
    <s v="Herrera"/>
    <x v="0"/>
    <s v="Virginia"/>
    <s v="Richmond"/>
    <s v="Master"/>
    <d v="1977-10-02T00:00:00"/>
    <x v="316"/>
    <x v="741"/>
    <x v="1"/>
    <s v="Software Developer"/>
    <n v="88303"/>
    <x v="3"/>
  </r>
  <r>
    <s v="00-65869014"/>
    <s v="Robin"/>
    <s v="Rodriguez"/>
    <x v="1"/>
    <s v="New York"/>
    <s v="New York City"/>
    <s v="Bachelor"/>
    <d v="2004-03-20T00:00:00"/>
    <x v="744"/>
    <x v="742"/>
    <x v="3"/>
    <s v="Accountant"/>
    <n v="75078"/>
    <x v="2"/>
  </r>
  <r>
    <s v="00-20453825"/>
    <s v="Diane"/>
    <s v="Kelly"/>
    <x v="1"/>
    <s v="Illinois"/>
    <s v="Aurora"/>
    <s v="Bachelor"/>
    <d v="1999-05-12T00:00:00"/>
    <x v="745"/>
    <x v="743"/>
    <x v="3"/>
    <s v="Financial Analyst"/>
    <n v="80435"/>
    <x v="2"/>
  </r>
  <r>
    <s v="00-17069536"/>
    <s v="Cheyenne"/>
    <s v="Hart"/>
    <x v="1"/>
    <s v="New York"/>
    <s v="New York City"/>
    <s v="Bachelor"/>
    <d v="2002-08-28T00:00:00"/>
    <x v="746"/>
    <x v="744"/>
    <x v="2"/>
    <s v="Logistics Coordinator"/>
    <n v="63585"/>
    <x v="3"/>
  </r>
  <r>
    <s v="00-63811222"/>
    <s v="Erica"/>
    <s v="Ross"/>
    <x v="0"/>
    <s v="New York"/>
    <s v="New York City"/>
    <s v="High School"/>
    <d v="1984-01-01T00:00:00"/>
    <x v="747"/>
    <x v="745"/>
    <x v="2"/>
    <s v="Inventory Specialist"/>
    <n v="54994"/>
    <x v="0"/>
  </r>
  <r>
    <s v="00-47890586"/>
    <s v="Martin"/>
    <s v="Hogan"/>
    <x v="1"/>
    <s v="New York"/>
    <s v="New York City"/>
    <s v="Bachelor"/>
    <d v="1984-03-12T00:00:00"/>
    <x v="101"/>
    <x v="98"/>
    <x v="4"/>
    <s v="Content Creator"/>
    <n v="68828"/>
    <x v="3"/>
  </r>
  <r>
    <s v="00-21594468"/>
    <s v="Alex"/>
    <s v="Green"/>
    <x v="1"/>
    <s v="New York"/>
    <s v="New York City"/>
    <s v="Bachelor"/>
    <d v="1977-12-19T00:00:00"/>
    <x v="748"/>
    <x v="597"/>
    <x v="2"/>
    <s v="Inventory Specialist"/>
    <n v="68994"/>
    <x v="2"/>
  </r>
  <r>
    <s v="00-36933626"/>
    <s v="Julie"/>
    <s v="Grant"/>
    <x v="0"/>
    <s v="Michigan"/>
    <s v="Detroit"/>
    <s v="PhD"/>
    <d v="1993-12-30T00:00:00"/>
    <x v="749"/>
    <x v="746"/>
    <x v="6"/>
    <s v="Sales Specialist"/>
    <n v="64736"/>
    <x v="3"/>
  </r>
  <r>
    <s v="00-93579731"/>
    <s v="Barbara"/>
    <s v="Griffin"/>
    <x v="1"/>
    <s v="Pennsylvania"/>
    <s v="Pittsburgh"/>
    <s v="Bachelor"/>
    <d v="1995-05-12T00:00:00"/>
    <x v="750"/>
    <x v="747"/>
    <x v="2"/>
    <s v="Inventory Specialist"/>
    <n v="62922"/>
    <x v="3"/>
  </r>
  <r>
    <s v="00-76217748"/>
    <s v="Steven"/>
    <s v="Frazier"/>
    <x v="1"/>
    <s v="Ohio"/>
    <s v="Columbus"/>
    <s v="Bachelor"/>
    <d v="1995-02-19T00:00:00"/>
    <x v="751"/>
    <x v="748"/>
    <x v="0"/>
    <s v="Customer Service Representative"/>
    <n v="67268"/>
    <x v="0"/>
  </r>
  <r>
    <s v="00-83357939"/>
    <s v="Vincent"/>
    <s v="Cooper"/>
    <x v="0"/>
    <s v="New York"/>
    <s v="New York City"/>
    <s v="Bachelor"/>
    <d v="2000-07-21T00:00:00"/>
    <x v="752"/>
    <x v="749"/>
    <x v="5"/>
    <s v="HR Coordinator"/>
    <n v="57402"/>
    <x v="1"/>
  </r>
  <r>
    <s v="00-10856024"/>
    <s v="Timothy"/>
    <s v="Phillips"/>
    <x v="1"/>
    <s v="Virginia"/>
    <s v="Richmond"/>
    <s v="Bachelor"/>
    <d v="2002-04-29T00:00:00"/>
    <x v="753"/>
    <x v="750"/>
    <x v="2"/>
    <s v="Inventory Specialist"/>
    <n v="61322"/>
    <x v="3"/>
  </r>
  <r>
    <s v="00-82684966"/>
    <s v="Suzanne"/>
    <s v="Wilson"/>
    <x v="1"/>
    <s v="Michigan"/>
    <s v="Grand Rapids"/>
    <s v="Bachelor"/>
    <d v="1982-08-27T00:00:00"/>
    <x v="754"/>
    <x v="674"/>
    <x v="2"/>
    <s v="Inventory Specialist"/>
    <n v="59023"/>
    <x v="1"/>
  </r>
  <r>
    <s v="00-54965270"/>
    <s v="Donald"/>
    <s v="Collins"/>
    <x v="0"/>
    <s v="North Carolina"/>
    <s v="Charlotte"/>
    <s v="High School"/>
    <d v="1992-02-22T00:00:00"/>
    <x v="755"/>
    <x v="751"/>
    <x v="2"/>
    <s v="Inventory Specialist"/>
    <n v="60768"/>
    <x v="0"/>
  </r>
  <r>
    <s v="00-51273379"/>
    <s v="Kristen"/>
    <s v="Boyd"/>
    <x v="0"/>
    <s v="New York"/>
    <s v="New York City"/>
    <s v="Bachelor"/>
    <d v="1961-02-19T00:00:00"/>
    <x v="756"/>
    <x v="752"/>
    <x v="2"/>
    <s v="Logistics Coordinator"/>
    <n v="59658"/>
    <x v="1"/>
  </r>
  <r>
    <s v="00-66346728"/>
    <s v="Thomas"/>
    <s v="Kim"/>
    <x v="1"/>
    <s v="New York"/>
    <s v="New York City"/>
    <s v="High School"/>
    <d v="1976-06-22T00:00:00"/>
    <x v="757"/>
    <x v="753"/>
    <x v="1"/>
    <s v="IT Support Specialist"/>
    <n v="60654"/>
    <x v="3"/>
  </r>
  <r>
    <s v="00-47557512"/>
    <s v="Shaun"/>
    <s v="Jones"/>
    <x v="0"/>
    <s v="New York"/>
    <s v="New York City"/>
    <s v="Bachelor"/>
    <d v="1969-08-13T00:00:00"/>
    <x v="758"/>
    <x v="754"/>
    <x v="0"/>
    <s v="Help Desk Technician"/>
    <n v="58869"/>
    <x v="1"/>
  </r>
  <r>
    <s v="00-79760901"/>
    <s v="Lisa"/>
    <s v="Wilson"/>
    <x v="1"/>
    <s v="New York"/>
    <s v="New York City"/>
    <s v="Bachelor"/>
    <d v="1976-07-19T00:00:00"/>
    <x v="759"/>
    <x v="295"/>
    <x v="6"/>
    <s v="Sales Representative"/>
    <n v="84224"/>
    <x v="2"/>
  </r>
  <r>
    <s v="00-21395409"/>
    <s v="Matthew"/>
    <s v="Rodriguez"/>
    <x v="1"/>
    <s v="New York"/>
    <s v="New York City"/>
    <s v="Bachelor"/>
    <d v="1962-09-02T00:00:00"/>
    <x v="760"/>
    <x v="135"/>
    <x v="0"/>
    <s v="Support Specialist"/>
    <n v="76724"/>
    <x v="1"/>
  </r>
  <r>
    <s v="00-95525640"/>
    <s v="Frank"/>
    <s v="Riggs"/>
    <x v="1"/>
    <s v="Michigan"/>
    <s v="Grand Rapids"/>
    <s v="Bachelor"/>
    <d v="1990-11-10T00:00:00"/>
    <x v="761"/>
    <x v="755"/>
    <x v="2"/>
    <s v="Operations Analyst"/>
    <n v="72364"/>
    <x v="2"/>
  </r>
  <r>
    <s v="00-86211608"/>
    <s v="Zachary"/>
    <s v="Arnold"/>
    <x v="0"/>
    <s v="New York"/>
    <s v="New York City"/>
    <s v="Bachelor"/>
    <d v="2002-10-05T00:00:00"/>
    <x v="604"/>
    <x v="756"/>
    <x v="6"/>
    <s v="Sales Representative"/>
    <n v="64491"/>
    <x v="1"/>
  </r>
  <r>
    <s v="00-41778964"/>
    <s v="Anita"/>
    <s v="Mullen"/>
    <x v="1"/>
    <s v="New York"/>
    <s v="New York City"/>
    <s v="Bachelor"/>
    <d v="1971-01-12T00:00:00"/>
    <x v="762"/>
    <x v="757"/>
    <x v="0"/>
    <s v="Customer Service Representative"/>
    <n v="64668"/>
    <x v="2"/>
  </r>
  <r>
    <s v="00-62741214"/>
    <s v="Lauren"/>
    <s v="Soto"/>
    <x v="1"/>
    <s v="Pennsylvania"/>
    <s v="Allentown"/>
    <s v="High School"/>
    <d v="2002-02-04T00:00:00"/>
    <x v="718"/>
    <x v="709"/>
    <x v="0"/>
    <s v="Customer Service Representative"/>
    <n v="59413"/>
    <x v="0"/>
  </r>
  <r>
    <s v="00-52688984"/>
    <s v="Danielle"/>
    <s v="Reynolds"/>
    <x v="0"/>
    <s v="New York"/>
    <s v="New York City"/>
    <s v="Bachelor"/>
    <d v="1994-01-23T00:00:00"/>
    <x v="763"/>
    <x v="758"/>
    <x v="2"/>
    <s v="Logistics Coordinator"/>
    <n v="61056"/>
    <x v="1"/>
  </r>
  <r>
    <s v="00-37207628"/>
    <s v="Jo"/>
    <s v="Ware"/>
    <x v="0"/>
    <s v="New York"/>
    <s v="New York City"/>
    <s v="Bachelor"/>
    <d v="1973-12-06T00:00:00"/>
    <x v="764"/>
    <x v="270"/>
    <x v="2"/>
    <s v="Operations Analyst"/>
    <n v="74120"/>
    <x v="1"/>
  </r>
  <r>
    <s v="00-30858851"/>
    <s v="Brittany"/>
    <s v="Price"/>
    <x v="0"/>
    <s v="New York"/>
    <s v="New York City"/>
    <s v="High School"/>
    <d v="1971-04-20T00:00:00"/>
    <x v="765"/>
    <x v="759"/>
    <x v="1"/>
    <s v="IT Support Specialist"/>
    <n v="56337"/>
    <x v="3"/>
  </r>
  <r>
    <s v="00-52148834"/>
    <s v="Jason"/>
    <s v="Ramirez"/>
    <x v="0"/>
    <s v="New York"/>
    <s v="New York City"/>
    <s v="Bachelor"/>
    <d v="1999-10-19T00:00:00"/>
    <x v="653"/>
    <x v="458"/>
    <x v="2"/>
    <s v="Inventory Specialist"/>
    <n v="59142"/>
    <x v="1"/>
  </r>
  <r>
    <s v="00-37868462"/>
    <s v="Lindsey"/>
    <s v="Brown"/>
    <x v="1"/>
    <s v="Michigan"/>
    <s v="Grand Rapids"/>
    <s v="Bachelor"/>
    <d v="1990-10-19T00:00:00"/>
    <x v="766"/>
    <x v="760"/>
    <x v="2"/>
    <s v="Logistics Coordinator"/>
    <n v="67180"/>
    <x v="1"/>
  </r>
  <r>
    <s v="00-26094525"/>
    <s v="Lauren"/>
    <s v="Herrera"/>
    <x v="0"/>
    <s v="Michigan"/>
    <s v="Warren"/>
    <s v="High School"/>
    <d v="1995-01-17T00:00:00"/>
    <x v="335"/>
    <x v="761"/>
    <x v="0"/>
    <s v="Customer Service Representative"/>
    <n v="60177"/>
    <x v="3"/>
  </r>
  <r>
    <s v="00-90973889"/>
    <s v="Mark"/>
    <s v="Ellis"/>
    <x v="1"/>
    <s v="Michigan"/>
    <s v="Detroit"/>
    <s v="Bachelor"/>
    <d v="1982-08-14T00:00:00"/>
    <x v="767"/>
    <x v="762"/>
    <x v="1"/>
    <s v="IT Support Specialist"/>
    <n v="68661"/>
    <x v="2"/>
  </r>
  <r>
    <s v="00-22242388"/>
    <s v="Emily"/>
    <s v="Burns"/>
    <x v="1"/>
    <s v="New York"/>
    <s v="New York City"/>
    <s v="Bachelor"/>
    <d v="1970-07-13T00:00:00"/>
    <x v="39"/>
    <x v="39"/>
    <x v="2"/>
    <s v="Operations Analyst"/>
    <n v="81510"/>
    <x v="2"/>
  </r>
  <r>
    <s v="00-78915391"/>
    <s v="Lawrence"/>
    <s v="Price"/>
    <x v="0"/>
    <s v="New York"/>
    <s v="New York City"/>
    <s v="Bachelor"/>
    <d v="1973-11-26T00:00:00"/>
    <x v="768"/>
    <x v="763"/>
    <x v="2"/>
    <s v="Operations Analyst"/>
    <n v="83267"/>
    <x v="3"/>
  </r>
  <r>
    <s v="00-33336132"/>
    <s v="Brenda"/>
    <s v="Bailey"/>
    <x v="0"/>
    <s v="New York"/>
    <s v="New York City"/>
    <s v="Bachelor"/>
    <d v="2003-03-14T00:00:00"/>
    <x v="769"/>
    <x v="764"/>
    <x v="2"/>
    <s v="Inventory Specialist"/>
    <n v="61566"/>
    <x v="0"/>
  </r>
  <r>
    <s v="00-70693413"/>
    <s v="Stephen"/>
    <s v="Thompson"/>
    <x v="0"/>
    <s v="New York"/>
    <s v="New York City"/>
    <s v="Master"/>
    <d v="1987-12-18T00:00:00"/>
    <x v="770"/>
    <x v="257"/>
    <x v="1"/>
    <s v="Software Developer"/>
    <n v="96890"/>
    <x v="3"/>
  </r>
  <r>
    <s v="00-22713811"/>
    <s v="Janice"/>
    <s v="Evans"/>
    <x v="0"/>
    <s v="Michigan"/>
    <s v="Grand Rapids"/>
    <s v="Bachelor"/>
    <d v="2002-02-26T00:00:00"/>
    <x v="771"/>
    <x v="765"/>
    <x v="2"/>
    <s v="Operations Manager"/>
    <n v="85260"/>
    <x v="1"/>
  </r>
  <r>
    <s v="00-11604831"/>
    <s v="Brittany"/>
    <s v="Powers"/>
    <x v="1"/>
    <s v="New York"/>
    <s v="New York City"/>
    <s v="Bachelor"/>
    <d v="1996-09-02T00:00:00"/>
    <x v="772"/>
    <x v="546"/>
    <x v="0"/>
    <s v="Help Desk Technician"/>
    <n v="92489"/>
    <x v="1"/>
  </r>
  <r>
    <s v="00-36592965"/>
    <s v="David"/>
    <s v="Torres"/>
    <x v="1"/>
    <s v="Michigan"/>
    <s v="Detroit"/>
    <s v="Bachelor"/>
    <d v="1981-07-04T00:00:00"/>
    <x v="773"/>
    <x v="766"/>
    <x v="1"/>
    <s v="Software Developer"/>
    <n v="94069"/>
    <x v="0"/>
  </r>
  <r>
    <s v="00-94597104"/>
    <s v="Nathaniel"/>
    <s v="Thomas"/>
    <x v="0"/>
    <s v="North Carolina"/>
    <s v="Raleigh"/>
    <s v="Master"/>
    <d v="1959-12-01T00:00:00"/>
    <x v="774"/>
    <x v="767"/>
    <x v="2"/>
    <s v="Operations Analyst"/>
    <n v="86995"/>
    <x v="1"/>
  </r>
  <r>
    <s v="00-88667527"/>
    <s v="Robert"/>
    <s v="Taylor"/>
    <x v="0"/>
    <s v="North Carolina"/>
    <s v="Charlotte"/>
    <s v="Bachelor"/>
    <d v="1982-02-04T00:00:00"/>
    <x v="775"/>
    <x v="641"/>
    <x v="6"/>
    <s v="Sales Representative"/>
    <n v="72745"/>
    <x v="3"/>
  </r>
  <r>
    <s v="00-18653290"/>
    <s v="Rodney"/>
    <s v="Tucker"/>
    <x v="0"/>
    <s v="New York"/>
    <s v="New York City"/>
    <s v="Bachelor"/>
    <d v="1998-12-26T00:00:00"/>
    <x v="11"/>
    <x v="11"/>
    <x v="6"/>
    <s v="Sales Specialist"/>
    <n v="61665"/>
    <x v="1"/>
  </r>
  <r>
    <s v="00-27286109"/>
    <s v="Heather"/>
    <s v="Brewer"/>
    <x v="0"/>
    <s v="Michigan"/>
    <s v="Grand Rapids"/>
    <s v="Bachelor"/>
    <d v="1964-08-11T00:00:00"/>
    <x v="776"/>
    <x v="768"/>
    <x v="2"/>
    <s v="Inventory Specialist"/>
    <n v="59458"/>
    <x v="1"/>
  </r>
  <r>
    <s v="00-15730602"/>
    <s v="Angela"/>
    <s v="Burns"/>
    <x v="0"/>
    <s v="New York"/>
    <s v="New York City"/>
    <s v="Master"/>
    <d v="1973-04-01T00:00:00"/>
    <x v="777"/>
    <x v="769"/>
    <x v="0"/>
    <s v="Customer Service Manager"/>
    <n v="79702"/>
    <x v="3"/>
  </r>
  <r>
    <s v="00-87025433"/>
    <s v="Jacob"/>
    <s v="Wilkinson"/>
    <x v="0"/>
    <s v="New York"/>
    <s v="New York City"/>
    <s v="Bachelor"/>
    <d v="2003-02-14T00:00:00"/>
    <x v="778"/>
    <x v="770"/>
    <x v="2"/>
    <s v="Logistics Coordinator"/>
    <n v="53029"/>
    <x v="1"/>
  </r>
  <r>
    <s v="00-76588957"/>
    <s v="Brian"/>
    <s v="Howard"/>
    <x v="1"/>
    <s v="Michigan"/>
    <s v="Warren"/>
    <s v="Bachelor"/>
    <d v="1995-12-03T00:00:00"/>
    <x v="779"/>
    <x v="771"/>
    <x v="6"/>
    <s v="Sales Consultant"/>
    <n v="84676"/>
    <x v="1"/>
  </r>
  <r>
    <s v="00-33193791"/>
    <s v="Todd"/>
    <s v="Lee"/>
    <x v="1"/>
    <s v="New York"/>
    <s v="New York City"/>
    <s v="Bachelor"/>
    <d v="1979-11-01T00:00:00"/>
    <x v="322"/>
    <x v="772"/>
    <x v="2"/>
    <s v="Inventory Specialist"/>
    <n v="59856"/>
    <x v="2"/>
  </r>
  <r>
    <s v="00-47561442"/>
    <s v="Tamara"/>
    <s v="Wagner"/>
    <x v="1"/>
    <s v="New York"/>
    <s v="New York City"/>
    <s v="Bachelor"/>
    <d v="1962-10-05T00:00:00"/>
    <x v="780"/>
    <x v="773"/>
    <x v="2"/>
    <s v="Inventory Specialist"/>
    <n v="65428"/>
    <x v="1"/>
  </r>
  <r>
    <s v="00-92423989"/>
    <s v="Robert"/>
    <s v="Vasquez"/>
    <x v="0"/>
    <s v="New York"/>
    <s v="New York City"/>
    <s v="Master"/>
    <d v="2002-01-01T00:00:00"/>
    <x v="781"/>
    <x v="774"/>
    <x v="1"/>
    <s v="Software Developer"/>
    <n v="83279"/>
    <x v="1"/>
  </r>
  <r>
    <s v="00-49608344"/>
    <s v="Mary"/>
    <s v="Burns"/>
    <x v="1"/>
    <s v="Illinois"/>
    <s v="Naperville"/>
    <s v="Bachelor"/>
    <d v="1980-06-21T00:00:00"/>
    <x v="782"/>
    <x v="775"/>
    <x v="2"/>
    <s v="Operations Analyst"/>
    <n v="70711"/>
    <x v="1"/>
  </r>
  <r>
    <s v="00-18184472"/>
    <s v="Ariana"/>
    <s v="Flynn"/>
    <x v="1"/>
    <s v="New York"/>
    <s v="New York City"/>
    <s v="Bachelor"/>
    <d v="1983-05-02T00:00:00"/>
    <x v="783"/>
    <x v="540"/>
    <x v="6"/>
    <s v="Sales Representative"/>
    <n v="68840"/>
    <x v="1"/>
  </r>
  <r>
    <s v="00-66268745"/>
    <s v="Kelly"/>
    <s v="Hill"/>
    <x v="0"/>
    <s v="New York"/>
    <s v="New York City"/>
    <s v="Bachelor"/>
    <d v="1982-10-04T00:00:00"/>
    <x v="11"/>
    <x v="776"/>
    <x v="2"/>
    <s v="Inventory Specialist"/>
    <n v="54544"/>
    <x v="0"/>
  </r>
  <r>
    <s v="00-94658420"/>
    <s v="Keith"/>
    <s v="Norman"/>
    <x v="0"/>
    <s v="Illinois"/>
    <s v="Chicago"/>
    <s v="Bachelor"/>
    <d v="1987-05-07T00:00:00"/>
    <x v="400"/>
    <x v="388"/>
    <x v="2"/>
    <s v="Logistics Coordinator"/>
    <n v="60276"/>
    <x v="1"/>
  </r>
  <r>
    <s v="00-12621269"/>
    <s v="Julia"/>
    <s v="Cannon"/>
    <x v="0"/>
    <s v="North Carolina"/>
    <s v="Charlotte"/>
    <s v="Bachelor"/>
    <d v="2000-08-14T00:00:00"/>
    <x v="588"/>
    <x v="777"/>
    <x v="2"/>
    <s v="Inventory Specialist"/>
    <n v="61107"/>
    <x v="2"/>
  </r>
  <r>
    <s v="00-74382155"/>
    <s v="William"/>
    <s v="Armstrong"/>
    <x v="1"/>
    <s v="New York"/>
    <s v="New York City"/>
    <s v="Bachelor"/>
    <d v="1983-05-17T00:00:00"/>
    <x v="784"/>
    <x v="778"/>
    <x v="3"/>
    <s v="Accountant"/>
    <n v="65736"/>
    <x v="1"/>
  </r>
  <r>
    <s v="00-85920407"/>
    <s v="Kimberly"/>
    <s v="Morrow"/>
    <x v="0"/>
    <s v="Michigan"/>
    <s v="Grand Rapids"/>
    <s v="Bachelor"/>
    <d v="1998-12-14T00:00:00"/>
    <x v="785"/>
    <x v="779"/>
    <x v="6"/>
    <s v="Sales Consultant"/>
    <n v="67955"/>
    <x v="1"/>
  </r>
  <r>
    <s v="00-34134478"/>
    <s v="Amber"/>
    <s v="Sherman"/>
    <x v="0"/>
    <s v="Michigan"/>
    <s v="Grand Rapids"/>
    <s v="Bachelor"/>
    <d v="1985-07-18T00:00:00"/>
    <x v="274"/>
    <x v="780"/>
    <x v="2"/>
    <s v="Logistics Coordinator"/>
    <n v="59494"/>
    <x v="1"/>
  </r>
  <r>
    <s v="00-13933043"/>
    <s v="Jennifer"/>
    <s v="Payne"/>
    <x v="0"/>
    <s v="New York"/>
    <s v="New York City"/>
    <s v="Bachelor"/>
    <d v="1997-06-10T00:00:00"/>
    <x v="786"/>
    <x v="183"/>
    <x v="2"/>
    <s v="Logistics Coordinator"/>
    <n v="59952"/>
    <x v="1"/>
  </r>
  <r>
    <s v="00-73308406"/>
    <s v="Curtis"/>
    <s v="Greer"/>
    <x v="1"/>
    <s v="New York"/>
    <s v="New York City"/>
    <s v="Bachelor"/>
    <d v="1978-06-30T00:00:00"/>
    <x v="787"/>
    <x v="781"/>
    <x v="3"/>
    <s v="Financial Analyst"/>
    <n v="103016"/>
    <x v="2"/>
  </r>
  <r>
    <s v="00-31424479"/>
    <s v="John"/>
    <s v="Golden"/>
    <x v="0"/>
    <s v="New York"/>
    <s v="New York City"/>
    <s v="Bachelor"/>
    <d v="2000-07-02T00:00:00"/>
    <x v="788"/>
    <x v="782"/>
    <x v="4"/>
    <s v="Marketing Manager"/>
    <n v="100482"/>
    <x v="1"/>
  </r>
  <r>
    <s v="00-45772648"/>
    <s v="Shannon"/>
    <s v="Bailey"/>
    <x v="1"/>
    <s v="North Carolina"/>
    <s v="Raleigh"/>
    <s v="Bachelor"/>
    <d v="1978-03-23T00:00:00"/>
    <x v="789"/>
    <x v="169"/>
    <x v="2"/>
    <s v="Logistics Coordinator"/>
    <n v="73237"/>
    <x v="1"/>
  </r>
  <r>
    <s v="00-39448924"/>
    <s v="Christopher"/>
    <s v="Grimes"/>
    <x v="0"/>
    <s v="New York"/>
    <s v="New York City"/>
    <s v="High School"/>
    <d v="1964-09-08T00:00:00"/>
    <x v="790"/>
    <x v="783"/>
    <x v="0"/>
    <s v="Support Specialist"/>
    <n v="66112"/>
    <x v="0"/>
  </r>
  <r>
    <s v="00-33315234"/>
    <s v="Kimberly"/>
    <s v="Young"/>
    <x v="1"/>
    <s v="New York"/>
    <s v="New York City"/>
    <s v="Bachelor"/>
    <d v="2000-02-08T00:00:00"/>
    <x v="791"/>
    <x v="784"/>
    <x v="6"/>
    <s v="Sales Consultant"/>
    <n v="81762"/>
    <x v="1"/>
  </r>
  <r>
    <s v="00-58155056"/>
    <s v="Joan"/>
    <s v="Norris"/>
    <x v="1"/>
    <s v="New York"/>
    <s v="New York City"/>
    <s v="Bachelor"/>
    <d v="1974-04-28T00:00:00"/>
    <x v="644"/>
    <x v="636"/>
    <x v="3"/>
    <s v="Accountant"/>
    <n v="87267"/>
    <x v="1"/>
  </r>
  <r>
    <s v="00-57201978"/>
    <s v="Jennifer"/>
    <s v="Chen"/>
    <x v="1"/>
    <s v="Michigan"/>
    <s v="Grand Rapids"/>
    <s v="Bachelor"/>
    <d v="1970-06-05T00:00:00"/>
    <x v="792"/>
    <x v="785"/>
    <x v="6"/>
    <s v="Sales Specialist"/>
    <n v="89912"/>
    <x v="2"/>
  </r>
  <r>
    <s v="00-85579195"/>
    <s v="Christina"/>
    <s v="Glover"/>
    <x v="1"/>
    <s v="New York"/>
    <s v="New York City"/>
    <s v="Bachelor"/>
    <d v="1977-04-06T00:00:00"/>
    <x v="793"/>
    <x v="786"/>
    <x v="2"/>
    <s v="Logistics Coordinator"/>
    <n v="72188"/>
    <x v="1"/>
  </r>
  <r>
    <s v="00-51480401"/>
    <s v="Jamie"/>
    <s v="Brown"/>
    <x v="0"/>
    <s v="New York"/>
    <s v="New York City"/>
    <s v="Bachelor"/>
    <d v="1986-10-22T00:00:00"/>
    <x v="794"/>
    <x v="150"/>
    <x v="2"/>
    <s v="Inventory Specialist"/>
    <n v="62997"/>
    <x v="2"/>
  </r>
  <r>
    <s v="00-17538738"/>
    <s v="Amanda"/>
    <s v="Carlson"/>
    <x v="0"/>
    <s v="New York"/>
    <s v="New York City"/>
    <s v="Master"/>
    <d v="1997-04-02T00:00:00"/>
    <x v="795"/>
    <x v="787"/>
    <x v="6"/>
    <s v="Sales Consultant"/>
    <n v="76899"/>
    <x v="3"/>
  </r>
  <r>
    <s v="00-80658723"/>
    <s v="Mario"/>
    <s v="Padilla"/>
    <x v="0"/>
    <s v="Michigan"/>
    <s v="Warren"/>
    <s v="High School"/>
    <d v="1977-10-09T00:00:00"/>
    <x v="796"/>
    <x v="788"/>
    <x v="0"/>
    <s v="Customer Service Representative"/>
    <n v="56201"/>
    <x v="0"/>
  </r>
  <r>
    <s v="00-37040091"/>
    <s v="Ashley"/>
    <s v="Farley"/>
    <x v="1"/>
    <s v="Michigan"/>
    <s v="Warren"/>
    <s v="Bachelor"/>
    <d v="1975-07-27T00:00:00"/>
    <x v="797"/>
    <x v="789"/>
    <x v="2"/>
    <s v="Logistics Coordinator"/>
    <n v="67818"/>
    <x v="1"/>
  </r>
  <r>
    <s v="00-33818260"/>
    <s v="Tricia"/>
    <s v="Shelton"/>
    <x v="1"/>
    <s v="New York"/>
    <s v="New York City"/>
    <s v="High School"/>
    <d v="1975-02-20T00:00:00"/>
    <x v="798"/>
    <x v="377"/>
    <x v="0"/>
    <s v="Customer Service Representative"/>
    <n v="58887"/>
    <x v="3"/>
  </r>
  <r>
    <s v="00-12941099"/>
    <s v="Derek"/>
    <s v="Brady"/>
    <x v="0"/>
    <s v="New York"/>
    <s v="New York City"/>
    <s v="High School"/>
    <d v="1974-11-07T00:00:00"/>
    <x v="799"/>
    <x v="790"/>
    <x v="2"/>
    <s v="Inventory Specialist"/>
    <n v="61341"/>
    <x v="0"/>
  </r>
  <r>
    <s v="00-24887509"/>
    <s v="Samantha"/>
    <s v="Riddle"/>
    <x v="0"/>
    <s v="New York"/>
    <s v="New York City"/>
    <s v="Master"/>
    <d v="1988-10-24T00:00:00"/>
    <x v="800"/>
    <x v="791"/>
    <x v="6"/>
    <s v="Sales Manager"/>
    <n v="115420"/>
    <x v="1"/>
  </r>
  <r>
    <s v="00-60142505"/>
    <s v="Diana"/>
    <s v="Miles"/>
    <x v="0"/>
    <s v="New York"/>
    <s v="New York City"/>
    <s v="High School"/>
    <d v="1982-09-15T00:00:00"/>
    <x v="801"/>
    <x v="792"/>
    <x v="2"/>
    <s v="Inventory Specialist"/>
    <n v="62479"/>
    <x v="0"/>
  </r>
  <r>
    <s v="00-88653825"/>
    <s v="John"/>
    <s v="Dawson"/>
    <x v="0"/>
    <s v="New York"/>
    <s v="New York City"/>
    <s v="Master"/>
    <d v="1981-08-04T00:00:00"/>
    <x v="802"/>
    <x v="35"/>
    <x v="6"/>
    <s v="Sales Consultant"/>
    <n v="104096"/>
    <x v="1"/>
  </r>
  <r>
    <s v="00-28314232"/>
    <s v="John"/>
    <s v="Bridges"/>
    <x v="1"/>
    <s v="Pennsylvania"/>
    <s v="Pittsburgh"/>
    <s v="Bachelor"/>
    <d v="1974-11-08T00:00:00"/>
    <x v="803"/>
    <x v="793"/>
    <x v="2"/>
    <s v="Operations Analyst"/>
    <n v="71839"/>
    <x v="1"/>
  </r>
  <r>
    <s v="00-95800828"/>
    <s v="Tracy"/>
    <s v="Ray"/>
    <x v="1"/>
    <s v="New York"/>
    <s v="New York City"/>
    <s v="Master"/>
    <d v="1990-11-13T00:00:00"/>
    <x v="804"/>
    <x v="794"/>
    <x v="1"/>
    <s v="System Administrator"/>
    <n v="65899"/>
    <x v="3"/>
  </r>
  <r>
    <s v="00-33381086"/>
    <s v="Courtney"/>
    <s v="Brooks"/>
    <x v="1"/>
    <s v="Michigan"/>
    <s v="Grand Rapids"/>
    <s v="Bachelor"/>
    <d v="1989-04-26T00:00:00"/>
    <x v="425"/>
    <x v="795"/>
    <x v="2"/>
    <s v="Inventory Specialist"/>
    <n v="59751"/>
    <x v="0"/>
  </r>
  <r>
    <s v="00-92370625"/>
    <s v="Cynthia"/>
    <s v="Beard"/>
    <x v="1"/>
    <s v="Michigan"/>
    <s v="Detroit"/>
    <s v="Bachelor"/>
    <d v="1996-03-27T00:00:00"/>
    <x v="805"/>
    <x v="796"/>
    <x v="0"/>
    <s v="Help Desk Technician"/>
    <n v="77004"/>
    <x v="2"/>
  </r>
  <r>
    <s v="00-89047551"/>
    <s v="Richard"/>
    <s v="Brady"/>
    <x v="1"/>
    <s v="New York"/>
    <s v="New York City"/>
    <s v="High School"/>
    <d v="1995-04-30T00:00:00"/>
    <x v="806"/>
    <x v="797"/>
    <x v="2"/>
    <s v="Inventory Specialist"/>
    <n v="61581"/>
    <x v="0"/>
  </r>
  <r>
    <s v="00-49529438"/>
    <s v="Sharon"/>
    <s v="Wood"/>
    <x v="1"/>
    <s v="New York"/>
    <s v="New York City"/>
    <s v="Bachelor"/>
    <d v="1964-08-18T00:00:00"/>
    <x v="307"/>
    <x v="577"/>
    <x v="0"/>
    <s v="Customer Service Representative"/>
    <n v="73414"/>
    <x v="1"/>
  </r>
  <r>
    <s v="00-86884584"/>
    <s v="Mark"/>
    <s v="Smith"/>
    <x v="1"/>
    <s v="New York"/>
    <s v="New York City"/>
    <s v="Bachelor"/>
    <d v="1999-04-28T00:00:00"/>
    <x v="210"/>
    <x v="798"/>
    <x v="1"/>
    <s v="Software Developer"/>
    <n v="102891"/>
    <x v="1"/>
  </r>
  <r>
    <s v="00-34438599"/>
    <s v="Melanie"/>
    <s v="Davis"/>
    <x v="1"/>
    <s v="New York"/>
    <s v="New York City"/>
    <s v="Master"/>
    <d v="1973-05-04T00:00:00"/>
    <x v="807"/>
    <x v="799"/>
    <x v="1"/>
    <s v="Software Developer"/>
    <n v="76778"/>
    <x v="1"/>
  </r>
  <r>
    <s v="00-95851936"/>
    <s v="Cynthia"/>
    <s v="Terry"/>
    <x v="1"/>
    <s v="New York"/>
    <s v="New York City"/>
    <s v="Bachelor"/>
    <d v="1984-10-15T00:00:00"/>
    <x v="808"/>
    <x v="800"/>
    <x v="6"/>
    <s v="Sales Consultant"/>
    <n v="104919"/>
    <x v="3"/>
  </r>
  <r>
    <s v="00-54448673"/>
    <s v="Bryan"/>
    <s v="Ferguson"/>
    <x v="1"/>
    <s v="Michigan"/>
    <s v="Grand Rapids"/>
    <s v="Master"/>
    <d v="1960-06-18T00:00:00"/>
    <x v="809"/>
    <x v="801"/>
    <x v="6"/>
    <s v="Sales Consultant"/>
    <n v="73654"/>
    <x v="3"/>
  </r>
  <r>
    <s v="00-52885071"/>
    <s v="Tammy"/>
    <s v="Summers"/>
    <x v="1"/>
    <s v="Illinois"/>
    <s v="Naperville"/>
    <s v="Bachelor"/>
    <d v="1963-04-02T00:00:00"/>
    <x v="810"/>
    <x v="802"/>
    <x v="2"/>
    <s v="Operations Analyst"/>
    <n v="97119"/>
    <x v="1"/>
  </r>
  <r>
    <s v="00-99929175"/>
    <s v="Joseph"/>
    <s v="Clayton"/>
    <x v="0"/>
    <s v="North Carolina"/>
    <s v="Greensboro"/>
    <s v="Master"/>
    <d v="1979-07-20T00:00:00"/>
    <x v="811"/>
    <x v="803"/>
    <x v="2"/>
    <s v="Operations Manager"/>
    <n v="108780"/>
    <x v="3"/>
  </r>
  <r>
    <s v="00-11529494"/>
    <s v="Amy"/>
    <s v="Anderson"/>
    <x v="1"/>
    <s v="New York"/>
    <s v="New York City"/>
    <s v="Bachelor"/>
    <d v="1970-11-30T00:00:00"/>
    <x v="812"/>
    <x v="804"/>
    <x v="2"/>
    <s v="Inventory Specialist"/>
    <n v="66416"/>
    <x v="1"/>
  </r>
  <r>
    <s v="00-19099261"/>
    <s v="Todd"/>
    <s v="Cooper"/>
    <x v="0"/>
    <s v="New York"/>
    <s v="New York City"/>
    <s v="High School"/>
    <d v="2001-08-04T00:00:00"/>
    <x v="136"/>
    <x v="134"/>
    <x v="2"/>
    <s v="Inventory Specialist"/>
    <n v="53611"/>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6">
  <r>
    <s v="00-95822412"/>
    <s v="Danielle"/>
    <s v="Johnson"/>
    <s v="Female"/>
    <s v="New York"/>
    <s v="New York City"/>
    <s v="High School"/>
    <d v="1980-02-13T00:00:00"/>
    <d v="2016-04-16T00:00:00"/>
    <d v="2021-07-05T00:00:00"/>
    <x v="0"/>
    <s v="Help Desk Technician"/>
    <n v="81552"/>
    <s v="Needs Improvement"/>
    <n v="5.2219178082191782"/>
    <s v="Terminated"/>
    <x v="0"/>
    <s v="Medium"/>
  </r>
  <r>
    <s v="00-42868828"/>
    <s v="John"/>
    <s v="Taylor"/>
    <s v="Male"/>
    <s v="North Carolina"/>
    <s v="Charlotte"/>
    <s v="Bachelor"/>
    <d v="1987-09-22T00:00:00"/>
    <d v="2017-02-09T00:00:00"/>
    <d v="2019-06-14T00:00:00"/>
    <x v="1"/>
    <s v="System Administrator"/>
    <n v="107520"/>
    <s v="Good"/>
    <n v="2.342465753424658"/>
    <s v="Terminated"/>
    <x v="1"/>
    <s v="High"/>
  </r>
  <r>
    <s v="00-83197857"/>
    <s v="Erica"/>
    <s v="Mcclain"/>
    <s v="Male"/>
    <s v="New York"/>
    <s v="New York City"/>
    <s v="Bachelor"/>
    <d v="1994-05-19T00:00:00"/>
    <d v="2016-02-03T00:00:00"/>
    <d v="2021-03-06T00:00:00"/>
    <x v="2"/>
    <s v="Logistics Coordinator"/>
    <n v="61104"/>
    <s v="Good"/>
    <n v="5.0904109589041093"/>
    <s v="Terminated"/>
    <x v="2"/>
    <s v="Medium"/>
  </r>
  <r>
    <s v="00-13999315"/>
    <s v="Brittany"/>
    <s v="Johnson"/>
    <s v="Male"/>
    <s v="New York"/>
    <s v="New York City"/>
    <s v="Bachelor"/>
    <d v="1980-04-18T00:00:00"/>
    <d v="2016-02-06T00:00:00"/>
    <d v="2018-11-06T00:00:00"/>
    <x v="2"/>
    <s v="Inventory Specialist"/>
    <n v="73770"/>
    <s v="Good"/>
    <n v="2.7506849315068491"/>
    <s v="Terminated"/>
    <x v="3"/>
    <s v="Medium"/>
  </r>
  <r>
    <s v="00-97226012"/>
    <s v="Anna"/>
    <s v="Baldwin"/>
    <s v="Female"/>
    <s v="New York"/>
    <s v="New York City"/>
    <s v="Bachelor"/>
    <d v="1988-05-31T00:00:00"/>
    <d v="2022-09-30T00:00:00"/>
    <d v="2023-03-29T00:00:00"/>
    <x v="2"/>
    <s v="Operations Analyst"/>
    <n v="73800"/>
    <s v="Good"/>
    <n v="10.24931506849315"/>
    <s v="Active"/>
    <x v="4"/>
    <s v="Medium"/>
  </r>
  <r>
    <s v="00-70291817"/>
    <s v="Amy"/>
    <s v="Robinson"/>
    <s v="Male"/>
    <s v="New York"/>
    <s v="New York City"/>
    <s v="Bachelor"/>
    <d v="1991-07-16T00:00:00"/>
    <d v="2020-08-16T00:00:00"/>
    <d v="2021-02-12T00:00:00"/>
    <x v="3"/>
    <s v="Accountant"/>
    <n v="68181"/>
    <s v="Good"/>
    <n v="0.49315068493150682"/>
    <s v="Terminated"/>
    <x v="5"/>
    <s v="Medium"/>
  </r>
  <r>
    <s v="00-31429110"/>
    <s v="Joshua"/>
    <s v="Booth"/>
    <s v="Female"/>
    <s v="New York"/>
    <s v="New York City"/>
    <s v="Bachelor"/>
    <d v="1995-09-19T00:00:00"/>
    <d v="2022-10-22T00:00:00"/>
    <d v="2023-04-20T00:00:00"/>
    <x v="3"/>
    <s v="Accounts Payable Specialist"/>
    <n v="54499"/>
    <s v="Good"/>
    <n v="0.49315068493150682"/>
    <s v="Active"/>
    <x v="6"/>
    <s v="Low"/>
  </r>
  <r>
    <s v="00-30868105"/>
    <s v="Linda"/>
    <s v="Wolfe"/>
    <s v="Male"/>
    <s v="New York"/>
    <s v="New York City"/>
    <s v="High School"/>
    <d v="2002-05-11T00:00:00"/>
    <d v="2017-05-13T00:00:00"/>
    <d v="2021-11-15T00:00:00"/>
    <x v="2"/>
    <s v="Inventory Specialist"/>
    <n v="57340"/>
    <s v="Needs Improvement"/>
    <n v="0.49315068493150682"/>
    <s v="Active"/>
    <x v="7"/>
    <s v="Low"/>
  </r>
  <r>
    <s v="00-22448136"/>
    <s v="Joshua"/>
    <s v="Lewis"/>
    <s v="Female"/>
    <s v="New York"/>
    <s v="New York City"/>
    <s v="Bachelor"/>
    <d v="1980-11-21T00:00:00"/>
    <d v="2018-10-24T00:00:00"/>
    <d v="2022-03-30T00:00:00"/>
    <x v="2"/>
    <s v="Logistics Coordinator"/>
    <n v="54065"/>
    <s v="Good"/>
    <n v="4.5123287671232877"/>
    <s v="Active"/>
    <x v="3"/>
    <s v="Low"/>
  </r>
  <r>
    <s v="00-56164955"/>
    <s v="Matthew"/>
    <s v="Davis"/>
    <s v="Female"/>
    <s v="New York"/>
    <s v="New York City"/>
    <s v="High School"/>
    <d v="1994-02-08T00:00:00"/>
    <d v="2021-02-07T00:00:00"/>
    <d v="2021-08-06T00:00:00"/>
    <x v="4"/>
    <s v="SEO Specialist"/>
    <n v="83262"/>
    <s v="Needs Improvement"/>
    <n v="3.4328767123287669"/>
    <s v="Active"/>
    <x v="8"/>
    <s v="Medium"/>
  </r>
  <r>
    <s v="00-71662963"/>
    <s v="Michael"/>
    <s v="Cooper"/>
    <s v="Female"/>
    <s v="New York"/>
    <s v="New York City"/>
    <s v="High School"/>
    <d v="1974-04-26T00:00:00"/>
    <d v="2020-04-12T00:00:00"/>
    <d v="2024-01-28T00:00:00"/>
    <x v="5"/>
    <s v="Recruiter"/>
    <n v="61651"/>
    <s v="Needs Improvement"/>
    <n v="0.49315068493150682"/>
    <s v="Terminated"/>
    <x v="9"/>
    <s v="Medium"/>
  </r>
  <r>
    <s v="00-84093639"/>
    <s v="Lindsay"/>
    <s v="Blair"/>
    <s v="Male"/>
    <s v="New York"/>
    <s v="New York City"/>
    <s v="Bachelor"/>
    <d v="1967-05-26T00:00:00"/>
    <d v="2017-07-28T00:00:00"/>
    <d v="2018-01-24T00:00:00"/>
    <x v="2"/>
    <s v="Operations Analyst"/>
    <n v="75509"/>
    <s v="Good"/>
    <n v="3.7972602739726029"/>
    <s v="Terminated"/>
    <x v="10"/>
    <s v="Medium"/>
  </r>
  <r>
    <s v="00-58537831"/>
    <s v="David"/>
    <s v="Nielsen"/>
    <s v="Female"/>
    <s v="New York"/>
    <s v="New York City"/>
    <s v="High School"/>
    <d v="2001-07-26T00:00:00"/>
    <d v="2020-01-31T00:00:00"/>
    <d v="2020-07-29T00:00:00"/>
    <x v="0"/>
    <s v="Help Desk Technician"/>
    <n v="67011"/>
    <s v="Needs Improvement"/>
    <n v="0.49315068493150682"/>
    <s v="Active"/>
    <x v="11"/>
    <s v="Medium"/>
  </r>
  <r>
    <s v="00-16150444"/>
    <s v="Andrea"/>
    <s v="Calderon"/>
    <s v="Male"/>
    <s v="Michigan"/>
    <s v="Grand Rapids"/>
    <s v="Bachelor"/>
    <d v="1987-05-22T00:00:00"/>
    <d v="2022-08-29T00:00:00"/>
    <d v="2023-02-25T00:00:00"/>
    <x v="1"/>
    <s v="IT Support Specialist"/>
    <n v="60136"/>
    <s v="Good"/>
    <n v="0.49315068493150682"/>
    <s v="Terminated"/>
    <x v="1"/>
    <s v="Medium"/>
  </r>
  <r>
    <s v="00-41244663"/>
    <s v="Nicole"/>
    <s v="Ward"/>
    <s v="Male"/>
    <s v="New York"/>
    <s v="New York City"/>
    <s v="Bachelor"/>
    <d v="1963-12-13T00:00:00"/>
    <d v="2023-03-16T00:00:00"/>
    <d v="2023-09-12T00:00:00"/>
    <x v="2"/>
    <s v="Logistics Coordinator"/>
    <n v="67552"/>
    <s v="Satisfactory"/>
    <n v="0.49315068493150682"/>
    <s v="Active"/>
    <x v="12"/>
    <s v="Medium"/>
  </r>
  <r>
    <s v="00-70855700"/>
    <s v="Janet"/>
    <s v="Williams"/>
    <s v="Male"/>
    <s v="Michigan"/>
    <s v="Grand Rapids"/>
    <s v="Bachelor"/>
    <d v="2002-12-26T00:00:00"/>
    <d v="2021-03-30T00:00:00"/>
    <d v="2021-09-26T00:00:00"/>
    <x v="2"/>
    <s v="Inventory Specialist"/>
    <n v="59934"/>
    <s v="Good"/>
    <n v="0.49315068493150682"/>
    <s v="Active"/>
    <x v="7"/>
    <s v="Low"/>
  </r>
  <r>
    <s v="00-59684848"/>
    <s v="Kendra"/>
    <s v="Galloway"/>
    <s v="Female"/>
    <s v="New York"/>
    <s v="New York City"/>
    <s v="PhD"/>
    <d v="1963-04-01T00:00:00"/>
    <d v="2018-11-29T00:00:00"/>
    <d v="2019-12-08T00:00:00"/>
    <x v="6"/>
    <s v="Sales Manager"/>
    <n v="104162"/>
    <s v="Excellent"/>
    <n v="0.49315068493150682"/>
    <s v="Active"/>
    <x v="13"/>
    <s v="High"/>
  </r>
  <r>
    <s v="00-96977837"/>
    <s v="Jesse"/>
    <s v="Garcia"/>
    <s v="Male"/>
    <s v="New York"/>
    <s v="New York City"/>
    <s v="Bachelor"/>
    <d v="1963-02-03T00:00:00"/>
    <d v="2016-04-17T00:00:00"/>
    <d v="2023-01-29T00:00:00"/>
    <x v="0"/>
    <s v="Customer Service Representative"/>
    <n v="63873"/>
    <s v="Good"/>
    <n v="1.0246575342465749"/>
    <s v="Active"/>
    <x v="13"/>
    <s v="Medium"/>
  </r>
  <r>
    <s v="00-81691040"/>
    <s v="Shawn"/>
    <s v="Flowers"/>
    <s v="Male"/>
    <s v="Michigan"/>
    <s v="Warren"/>
    <s v="Bachelor"/>
    <d v="1959-06-28T00:00:00"/>
    <d v="2022-03-05T00:00:00"/>
    <d v="2022-09-01T00:00:00"/>
    <x v="1"/>
    <s v="IT Support Specialist"/>
    <n v="66250"/>
    <s v="Excellent"/>
    <n v="6.7890410958904113"/>
    <s v="Terminated"/>
    <x v="14"/>
    <s v="Medium"/>
  </r>
  <r>
    <s v="00-60929647"/>
    <s v="Mitchell"/>
    <s v="Clark"/>
    <s v="Male"/>
    <s v="New York"/>
    <s v="New York City"/>
    <s v="Bachelor"/>
    <d v="1973-09-14T00:00:00"/>
    <d v="2017-04-14T00:00:00"/>
    <d v="2024-06-16T00:00:00"/>
    <x v="0"/>
    <s v="Support Specialist"/>
    <n v="61729"/>
    <s v="Satisfactory"/>
    <n v="0.49315068493150682"/>
    <s v="Terminated"/>
    <x v="15"/>
    <s v="Medium"/>
  </r>
  <r>
    <s v="00-84752529"/>
    <s v="Jacqueline"/>
    <s v="Sutton"/>
    <s v="Female"/>
    <s v="New York"/>
    <s v="New York City"/>
    <s v="Master"/>
    <d v="1979-06-29T00:00:00"/>
    <d v="2017-01-28T00:00:00"/>
    <d v="2022-08-06T00:00:00"/>
    <x v="6"/>
    <s v="Sales Manager"/>
    <n v="84046"/>
    <s v="Good"/>
    <n v="7.1780821917808222"/>
    <s v="Terminated"/>
    <x v="0"/>
    <s v="Medium"/>
  </r>
  <r>
    <s v="00-17507864"/>
    <s v="Chelsea"/>
    <s v="Jackson"/>
    <s v="Male"/>
    <s v="North Carolina"/>
    <s v="Raleigh"/>
    <s v="PhD"/>
    <d v="1994-07-10T00:00:00"/>
    <d v="2017-10-11T00:00:00"/>
    <d v="2018-04-09T00:00:00"/>
    <x v="6"/>
    <s v="Sales Specialist"/>
    <n v="69318"/>
    <s v="Excellent"/>
    <n v="5.5232876712328771"/>
    <s v="Terminated"/>
    <x v="2"/>
    <s v="Medium"/>
  </r>
  <r>
    <s v="00-52339391"/>
    <s v="John"/>
    <s v="Ford"/>
    <s v="Male"/>
    <s v="Pennsylvania"/>
    <s v="Philadelphia"/>
    <s v="Bachelor"/>
    <d v="2002-07-15T00:00:00"/>
    <d v="2019-04-15T00:00:00"/>
    <d v="2019-10-12T00:00:00"/>
    <x v="6"/>
    <s v="Sales Consultant"/>
    <n v="99002"/>
    <s v="Satisfactory"/>
    <n v="0.49315068493150682"/>
    <s v="Active"/>
    <x v="7"/>
    <s v="Medium"/>
  </r>
  <r>
    <s v="00-86125617"/>
    <s v="Veronica"/>
    <s v="Bowman"/>
    <s v="Male"/>
    <s v="New York"/>
    <s v="New York City"/>
    <s v="Bachelor"/>
    <d v="1990-04-16T00:00:00"/>
    <d v="2017-08-05T00:00:00"/>
    <d v="2018-02-06T00:00:00"/>
    <x v="2"/>
    <s v="Logistics Coordinator"/>
    <n v="69163"/>
    <s v="Good"/>
    <n v="0.49315068493150682"/>
    <s v="Terminated"/>
    <x v="16"/>
    <s v="Medium"/>
  </r>
  <r>
    <s v="00-97971488"/>
    <s v="Jeffrey"/>
    <s v="Nguyen"/>
    <s v="Male"/>
    <s v="New York"/>
    <s v="New York City"/>
    <s v="Bachelor"/>
    <d v="1992-12-18T00:00:00"/>
    <d v="2020-10-25T00:00:00"/>
    <d v="2021-10-27T00:00:00"/>
    <x v="2"/>
    <s v="Inventory Specialist"/>
    <n v="65830"/>
    <s v="Good"/>
    <n v="0.50684931506849318"/>
    <s v="Terminated"/>
    <x v="17"/>
    <s v="Medium"/>
  </r>
  <r>
    <s v="00-85345555"/>
    <s v="Linda"/>
    <s v="Morales"/>
    <s v="Male"/>
    <s v="New York"/>
    <s v="New York City"/>
    <s v="Bachelor"/>
    <d v="1993-04-20T00:00:00"/>
    <d v="2020-01-26T00:00:00"/>
    <d v="2021-04-09T00:00:00"/>
    <x v="6"/>
    <s v="Sales Specialist"/>
    <n v="71110"/>
    <s v="Needs Improvement"/>
    <n v="1.0054794520547941"/>
    <s v="Terminated"/>
    <x v="8"/>
    <s v="Medium"/>
  </r>
  <r>
    <s v="00-67503414"/>
    <s v="Jason"/>
    <s v="Hahn"/>
    <s v="Male"/>
    <s v="Ohio"/>
    <s v="Cleveland"/>
    <s v="Bachelor"/>
    <d v="1978-01-25T00:00:00"/>
    <d v="2017-12-07T00:00:00"/>
    <d v="2018-06-04T00:00:00"/>
    <x v="1"/>
    <s v="System Administrator"/>
    <n v="84205"/>
    <s v="Excellent"/>
    <n v="8.2410958904109588"/>
    <s v="Active"/>
    <x v="18"/>
    <s v="Medium"/>
  </r>
  <r>
    <s v="00-39436733"/>
    <s v="Jennifer"/>
    <s v="Lewis"/>
    <s v="Male"/>
    <s v="New York"/>
    <s v="New York City"/>
    <s v="Master"/>
    <d v="1982-09-18T00:00:00"/>
    <d v="2018-07-12T00:00:00"/>
    <d v="2019-01-08T00:00:00"/>
    <x v="6"/>
    <s v="Sales Specialist"/>
    <n v="67953"/>
    <s v="Good"/>
    <n v="1.2027397260273971"/>
    <s v="Terminated"/>
    <x v="19"/>
    <s v="Medium"/>
  </r>
  <r>
    <s v="00-76238574"/>
    <s v="Randall"/>
    <s v="Rocha"/>
    <s v="Male"/>
    <s v="New York"/>
    <s v="New York City"/>
    <s v="High School"/>
    <d v="1960-09-25T00:00:00"/>
    <d v="2016-06-27T00:00:00"/>
    <d v="2021-05-10T00:00:00"/>
    <x v="1"/>
    <s v="IT Support Specialist"/>
    <n v="58445"/>
    <s v="Needs Improvement"/>
    <n v="0.49041095890410957"/>
    <s v="Terminated"/>
    <x v="20"/>
    <s v="Low"/>
  </r>
  <r>
    <s v="00-24716857"/>
    <s v="Douglas"/>
    <s v="Taylor"/>
    <s v="Female"/>
    <s v="New York"/>
    <s v="New York City"/>
    <s v="Bachelor"/>
    <d v="1992-07-17T00:00:00"/>
    <d v="2017-10-17T00:00:00"/>
    <d v="2021-11-16T00:00:00"/>
    <x v="0"/>
    <s v="Customer Service Representative"/>
    <n v="58697"/>
    <s v="Satisfactory"/>
    <n v="0.49315068493150682"/>
    <s v="Terminated"/>
    <x v="17"/>
    <s v="Low"/>
  </r>
  <r>
    <s v="00-66661351"/>
    <s v="Anna"/>
    <s v="Baker"/>
    <s v="Male"/>
    <s v="New York"/>
    <s v="New York City"/>
    <s v="PhD"/>
    <d v="1970-05-12T00:00:00"/>
    <d v="2020-08-15T00:00:00"/>
    <d v="2022-11-17T00:00:00"/>
    <x v="6"/>
    <s v="Sales Specialist"/>
    <n v="77156"/>
    <s v="Excellent"/>
    <n v="4.8712328767123294"/>
    <s v="Terminated"/>
    <x v="21"/>
    <s v="Medium"/>
  </r>
  <r>
    <s v="00-89978790"/>
    <s v="Ross"/>
    <s v="Silva"/>
    <s v="Female"/>
    <s v="New York"/>
    <s v="New York City"/>
    <s v="Bachelor"/>
    <d v="2002-11-29T00:00:00"/>
    <d v="2024-05-20T00:00:00"/>
    <d v="2024-11-16T00:00:00"/>
    <x v="6"/>
    <s v="Sales Specialist"/>
    <n v="81038"/>
    <s v="Excellent"/>
    <n v="4.0849315068493146"/>
    <s v="Active"/>
    <x v="7"/>
    <s v="Medium"/>
  </r>
  <r>
    <s v="00-84252722"/>
    <s v="Jeffrey"/>
    <s v="Bright"/>
    <s v="Male"/>
    <s v="New York"/>
    <s v="New York City"/>
    <s v="Bachelor"/>
    <d v="1980-05-21T00:00:00"/>
    <d v="2017-07-17T00:00:00"/>
    <d v="2018-01-13T00:00:00"/>
    <x v="3"/>
    <s v="Accounts Payable Specialist"/>
    <n v="71339"/>
    <s v="Satisfactory"/>
    <n v="2.257534246575343"/>
    <s v="Terminated"/>
    <x v="3"/>
    <s v="Medium"/>
  </r>
  <r>
    <s v="00-25374874"/>
    <s v="Trevor"/>
    <s v="Campos"/>
    <s v="Male"/>
    <s v="New York"/>
    <s v="New York City"/>
    <s v="Master"/>
    <d v="1983-02-19T00:00:00"/>
    <d v="2022-12-01T00:00:00"/>
    <d v="2023-05-30T00:00:00"/>
    <x v="2"/>
    <s v="Operations Analyst"/>
    <n v="81316"/>
    <s v="Excellent"/>
    <n v="0.49315068493150682"/>
    <s v="Terminated"/>
    <x v="19"/>
    <s v="Medium"/>
  </r>
  <r>
    <s v="00-45812670"/>
    <s v="Daniel"/>
    <s v="Burton"/>
    <s v="Female"/>
    <s v="New York"/>
    <s v="New York City"/>
    <s v="Bachelor"/>
    <d v="2001-06-23T00:00:00"/>
    <d v="2022-11-04T00:00:00"/>
    <d v="2024-02-14T00:00:00"/>
    <x v="1"/>
    <s v="Software Developer"/>
    <n v="96947"/>
    <s v="Excellent"/>
    <n v="0.49315068493150682"/>
    <s v="Active"/>
    <x v="11"/>
    <s v="Medium"/>
  </r>
  <r>
    <s v="00-49392920"/>
    <s v="Erin"/>
    <s v="Carlson"/>
    <s v="Male"/>
    <s v="New York"/>
    <s v="New York City"/>
    <s v="Bachelor"/>
    <d v="1984-03-20T00:00:00"/>
    <d v="2019-05-30T00:00:00"/>
    <d v="2021-04-29T00:00:00"/>
    <x v="2"/>
    <s v="Logistics Coordinator"/>
    <n v="67437"/>
    <s v="Excellent"/>
    <n v="0.49315068493150682"/>
    <s v="Terminated"/>
    <x v="22"/>
    <s v="Medium"/>
  </r>
  <r>
    <s v="00-45351479"/>
    <s v="Patrick"/>
    <s v="Ferrell"/>
    <s v="Female"/>
    <s v="Michigan"/>
    <s v="Detroit"/>
    <s v="PhD"/>
    <d v="1969-05-20T00:00:00"/>
    <d v="2018-07-24T00:00:00"/>
    <d v="2019-01-20T00:00:00"/>
    <x v="6"/>
    <s v="Sales Consultant"/>
    <n v="116328"/>
    <s v="Excellent"/>
    <n v="1.279452054794521"/>
    <s v="Terminated"/>
    <x v="23"/>
    <s v="High"/>
  </r>
  <r>
    <s v="00-24282218"/>
    <s v="John"/>
    <s v="Tran"/>
    <s v="Male"/>
    <s v="Virginia"/>
    <s v="Norfolk"/>
    <s v="Bachelor"/>
    <d v="1972-01-15T00:00:00"/>
    <d v="2017-01-05T00:00:00"/>
    <d v="2018-01-25T00:00:00"/>
    <x v="2"/>
    <s v="Logistics Coordinator"/>
    <n v="67630"/>
    <s v="Satisfactory"/>
    <n v="1.9178082191780821"/>
    <s v="Terminated"/>
    <x v="24"/>
    <s v="Medium"/>
  </r>
  <r>
    <s v="00-95758349"/>
    <s v="Erin"/>
    <s v="Wilson"/>
    <s v="Female"/>
    <s v="New York"/>
    <s v="New York City"/>
    <s v="Bachelor"/>
    <d v="1981-08-15T00:00:00"/>
    <d v="2020-12-09T00:00:00"/>
    <d v="2021-12-11T00:00:00"/>
    <x v="2"/>
    <s v="Logistics Coordinator"/>
    <n v="53898"/>
    <s v="Good"/>
    <n v="0.49315068493150682"/>
    <s v="Active"/>
    <x v="25"/>
    <s v="Low"/>
  </r>
  <r>
    <s v="00-60185867"/>
    <s v="Amanda"/>
    <s v="Adams"/>
    <s v="Female"/>
    <s v="New York"/>
    <s v="New York City"/>
    <s v="Bachelor"/>
    <d v="2003-11-10T00:00:00"/>
    <d v="2022-09-06T00:00:00"/>
    <d v="2023-03-05T00:00:00"/>
    <x v="6"/>
    <s v="Sales Specialist"/>
    <n v="61534"/>
    <s v="Good"/>
    <n v="1.054794520547945"/>
    <s v="Terminated"/>
    <x v="26"/>
    <s v="Medium"/>
  </r>
  <r>
    <s v="00-81182864"/>
    <s v="Matthew"/>
    <s v="Carter"/>
    <s v="Male"/>
    <s v="New York"/>
    <s v="New York City"/>
    <s v="High School"/>
    <d v="1979-11-26T00:00:00"/>
    <d v="2024-03-02T00:00:00"/>
    <d v="2024-09-19T00:00:00"/>
    <x v="4"/>
    <s v="SEO Specialist"/>
    <n v="78184"/>
    <s v="Needs Improvement"/>
    <n v="1.0054794520547941"/>
    <s v="Terminated"/>
    <x v="0"/>
    <s v="Medium"/>
  </r>
  <r>
    <s v="00-75579548"/>
    <s v="Shawn"/>
    <s v="Mckay"/>
    <s v="Female"/>
    <s v="New York"/>
    <s v="New York City"/>
    <s v="Bachelor"/>
    <d v="1980-04-18T00:00:00"/>
    <d v="2015-12-07T00:00:00"/>
    <d v="2023-03-13T00:00:00"/>
    <x v="2"/>
    <s v="Inventory Specialist"/>
    <n v="56559"/>
    <s v="Good"/>
    <n v="0.49315068493150682"/>
    <s v="Active"/>
    <x v="3"/>
    <s v="Low"/>
  </r>
  <r>
    <s v="00-51273847"/>
    <s v="Jennifer"/>
    <s v="Stanton"/>
    <s v="Male"/>
    <s v="New York"/>
    <s v="New York City"/>
    <s v="Bachelor"/>
    <d v="1959-12-09T00:00:00"/>
    <d v="2017-10-23T00:00:00"/>
    <d v="2018-12-02T00:00:00"/>
    <x v="0"/>
    <s v="Support Specialist"/>
    <n v="68635"/>
    <s v="Satisfactory"/>
    <n v="0.55068493150684927"/>
    <s v="Terminated"/>
    <x v="14"/>
    <s v="Medium"/>
  </r>
  <r>
    <s v="00-19289546"/>
    <s v="Colleen"/>
    <s v="Skinner"/>
    <s v="Female"/>
    <s v="New York"/>
    <s v="New York City"/>
    <s v="Bachelor"/>
    <d v="1981-12-01T00:00:00"/>
    <d v="2018-07-16T00:00:00"/>
    <d v="2019-01-12T00:00:00"/>
    <x v="2"/>
    <s v="Inventory Specialist"/>
    <n v="63169"/>
    <s v="Good"/>
    <n v="7.2684931506849324"/>
    <s v="Terminated"/>
    <x v="25"/>
    <s v="Medium"/>
  </r>
  <r>
    <s v="00-26879290"/>
    <s v="Chelsea"/>
    <s v="Hernandez"/>
    <s v="Female"/>
    <s v="Pennsylvania"/>
    <s v="Philadelphia"/>
    <s v="Master"/>
    <d v="1982-10-19T00:00:00"/>
    <d v="2016-10-23T00:00:00"/>
    <d v="2019-06-05T00:00:00"/>
    <x v="6"/>
    <s v="Sales Consultant"/>
    <n v="71142"/>
    <s v="Good"/>
    <n v="1.10958904109589"/>
    <s v="Terminated"/>
    <x v="19"/>
    <s v="Medium"/>
  </r>
  <r>
    <s v="00-32162965"/>
    <s v="Evan"/>
    <s v="Ashley"/>
    <s v="Male"/>
    <s v="New York"/>
    <s v="New York City"/>
    <s v="High School"/>
    <d v="1983-09-16T00:00:00"/>
    <d v="2017-12-25T00:00:00"/>
    <d v="2018-12-07T00:00:00"/>
    <x v="2"/>
    <s v="Inventory Specialist"/>
    <n v="58830"/>
    <s v="Needs Improvement"/>
    <n v="8.3506849315068497"/>
    <s v="Active"/>
    <x v="22"/>
    <s v="Low"/>
  </r>
  <r>
    <s v="00-38427073"/>
    <s v="Alyssa"/>
    <s v="Smith"/>
    <s v="Female"/>
    <s v="Michigan"/>
    <s v="Grand Rapids"/>
    <s v="Bachelor"/>
    <d v="1970-04-24T00:00:00"/>
    <d v="2024-05-05T00:00:00"/>
    <d v="2024-11-01T00:00:00"/>
    <x v="0"/>
    <s v="Customer Service Representative"/>
    <n v="66218"/>
    <s v="Satisfactory"/>
    <n v="0.49315068493150682"/>
    <s v="Terminated"/>
    <x v="21"/>
    <s v="Medium"/>
  </r>
  <r>
    <s v="00-36998038"/>
    <s v="Tracy"/>
    <s v="Rodriguez"/>
    <s v="Female"/>
    <s v="New York"/>
    <s v="New York City"/>
    <s v="High School"/>
    <d v="1979-11-07T00:00:00"/>
    <d v="2022-05-21T00:00:00"/>
    <d v="2022-11-17T00:00:00"/>
    <x v="4"/>
    <s v="SEO Specialist"/>
    <n v="88887"/>
    <s v="Needs Improvement"/>
    <n v="2.6164383561643829"/>
    <s v="Terminated"/>
    <x v="0"/>
    <s v="Medium"/>
  </r>
  <r>
    <s v="00-97225156"/>
    <s v="Natasha"/>
    <s v="Decker"/>
    <s v="Male"/>
    <s v="New York"/>
    <s v="New York City"/>
    <s v="PhD"/>
    <d v="1959-08-05T00:00:00"/>
    <d v="2018-04-30T00:00:00"/>
    <d v="2023-11-16T00:00:00"/>
    <x v="6"/>
    <s v="Sales Consultant"/>
    <n v="72859"/>
    <s v="Excellent"/>
    <n v="0.9506849315068493"/>
    <s v="Terminated"/>
    <x v="14"/>
    <s v="Medium"/>
  </r>
  <r>
    <s v="00-26240908"/>
    <s v="John"/>
    <s v="Allen"/>
    <s v="Male"/>
    <s v="New York"/>
    <s v="New York City"/>
    <s v="Bachelor"/>
    <d v="1985-01-15T00:00:00"/>
    <d v="2017-08-09T00:00:00"/>
    <d v="2018-02-05T00:00:00"/>
    <x v="2"/>
    <s v="Logistics Coordinator"/>
    <n v="67630"/>
    <s v="Excellent"/>
    <n v="0.49315068493150682"/>
    <s v="Active"/>
    <x v="27"/>
    <s v="Medium"/>
  </r>
  <r>
    <s v="00-12823170"/>
    <s v="Stacey"/>
    <s v="Miller"/>
    <s v="Male"/>
    <s v="New York"/>
    <s v="New York City"/>
    <s v="Bachelor"/>
    <d v="1991-06-21T00:00:00"/>
    <d v="2020-07-07T00:00:00"/>
    <d v="2024-12-14T00:00:00"/>
    <x v="2"/>
    <s v="Inventory Specialist"/>
    <n v="61574"/>
    <s v="Excellent"/>
    <n v="0.49315068493150682"/>
    <s v="Terminated"/>
    <x v="5"/>
    <s v="Medium"/>
  </r>
  <r>
    <s v="00-39557077"/>
    <s v="Lisa"/>
    <s v="Spence"/>
    <s v="Male"/>
    <s v="New York"/>
    <s v="New York City"/>
    <s v="Master"/>
    <d v="1970-08-25T00:00:00"/>
    <d v="2015-07-26T00:00:00"/>
    <d v="2023-12-18T00:00:00"/>
    <x v="1"/>
    <s v="Software Developer"/>
    <n v="103756"/>
    <s v="Excellent"/>
    <n v="5.5506849315068489"/>
    <s v="Active"/>
    <x v="21"/>
    <s v="High"/>
  </r>
  <r>
    <s v="00-17901903"/>
    <s v="Katie"/>
    <s v="Anderson"/>
    <s v="Male"/>
    <s v="New York"/>
    <s v="New York City"/>
    <s v="Bachelor"/>
    <d v="1980-12-26T00:00:00"/>
    <d v="2017-07-04T00:00:00"/>
    <d v="2021-12-29T00:00:00"/>
    <x v="2"/>
    <s v="Logistics Coordinator"/>
    <n v="63227"/>
    <s v="Excellent"/>
    <n v="0.49315068493150682"/>
    <s v="Terminated"/>
    <x v="3"/>
    <s v="Medium"/>
  </r>
  <r>
    <s v="00-99788677"/>
    <s v="Monique"/>
    <s v="Henderson"/>
    <s v="Female"/>
    <s v="New York"/>
    <s v="New York City"/>
    <s v="Bachelor"/>
    <d v="1967-06-24T00:00:00"/>
    <d v="2019-03-24T00:00:00"/>
    <d v="2019-09-20T00:00:00"/>
    <x v="0"/>
    <s v="Help Desk Technician"/>
    <n v="90880"/>
    <s v="Satisfactory"/>
    <n v="4.441095890410959"/>
    <s v="Terminated"/>
    <x v="10"/>
    <s v="Medium"/>
  </r>
  <r>
    <s v="00-86644106"/>
    <s v="Sarah"/>
    <s v="Campos"/>
    <s v="Female"/>
    <s v="Pennsylvania"/>
    <s v="Philadelphia"/>
    <s v="High School"/>
    <d v="1983-06-08T00:00:00"/>
    <d v="2020-09-24T00:00:00"/>
    <d v="2022-09-02T00:00:00"/>
    <x v="4"/>
    <s v="Content Creator"/>
    <n v="52954"/>
    <s v="Excellent"/>
    <n v="8.4027397260273968"/>
    <s v="Terminated"/>
    <x v="22"/>
    <s v="Low"/>
  </r>
  <r>
    <s v="00-73481353"/>
    <s v="James"/>
    <s v="Collins"/>
    <s v="Female"/>
    <s v="New York"/>
    <s v="New York City"/>
    <s v="Bachelor"/>
    <d v="1977-05-16T00:00:00"/>
    <d v="2017-09-18T00:00:00"/>
    <d v="2018-03-16T00:00:00"/>
    <x v="2"/>
    <s v="Inventory Specialist"/>
    <n v="64475"/>
    <s v="Good"/>
    <n v="4.4904109589041097"/>
    <s v="Terminated"/>
    <x v="18"/>
    <s v="Medium"/>
  </r>
  <r>
    <s v="00-23009833"/>
    <s v="Debra"/>
    <s v="Kim"/>
    <s v="Female"/>
    <s v="Pennsylvania"/>
    <s v="Allentown"/>
    <s v="PhD"/>
    <d v="1980-01-27T00:00:00"/>
    <d v="2022-07-21T00:00:00"/>
    <d v="2023-01-17T00:00:00"/>
    <x v="6"/>
    <s v="Sales Specialist"/>
    <n v="93238"/>
    <s v="Excellent"/>
    <n v="8.7178082191780817"/>
    <s v="Active"/>
    <x v="0"/>
    <s v="Medium"/>
  </r>
  <r>
    <s v="00-65177213"/>
    <s v="Shannon"/>
    <s v="Wright"/>
    <s v="Female"/>
    <s v="Michigan"/>
    <s v="Grand Rapids"/>
    <s v="High School"/>
    <d v="2002-12-04T00:00:00"/>
    <d v="2019-01-25T00:00:00"/>
    <d v="2022-12-12T00:00:00"/>
    <x v="2"/>
    <s v="Inventory Specialist"/>
    <n v="58713"/>
    <s v="Needs Improvement"/>
    <n v="0.49315068493150682"/>
    <s v="Terminated"/>
    <x v="7"/>
    <s v="Low"/>
  </r>
  <r>
    <s v="00-97705310"/>
    <s v="Matthew"/>
    <s v="Chapman"/>
    <s v="Female"/>
    <s v="New York"/>
    <s v="New York City"/>
    <s v="Bachelor"/>
    <d v="1969-09-19T00:00:00"/>
    <d v="2024-03-30T00:00:00"/>
    <d v="2024-09-26T00:00:00"/>
    <x v="1"/>
    <s v="Software Developer"/>
    <n v="91896"/>
    <s v="Needs Improvement"/>
    <n v="1.9397260273972601"/>
    <s v="Terminated"/>
    <x v="23"/>
    <s v="Medium"/>
  </r>
  <r>
    <s v="00-64038913"/>
    <s v="Brianna"/>
    <s v="Smith"/>
    <s v="Male"/>
    <s v="New York"/>
    <s v="New York City"/>
    <s v="Bachelor"/>
    <d v="1974-01-18T00:00:00"/>
    <d v="2022-10-02T00:00:00"/>
    <d v="2023-03-31T00:00:00"/>
    <x v="2"/>
    <s v="Inventory Specialist"/>
    <n v="71608"/>
    <s v="Excellent"/>
    <n v="0.49041095890410957"/>
    <s v="Terminated"/>
    <x v="15"/>
    <s v="Medium"/>
  </r>
  <r>
    <s v="00-35714784"/>
    <s v="Crystal"/>
    <s v="Perez"/>
    <s v="Female"/>
    <s v="New York"/>
    <s v="New York City"/>
    <s v="Bachelor"/>
    <d v="1983-07-07T00:00:00"/>
    <d v="2017-12-18T00:00:00"/>
    <d v="2018-06-16T00:00:00"/>
    <x v="3"/>
    <s v="Financial Analyst"/>
    <n v="71404"/>
    <s v="Satisfactory"/>
    <n v="0.49315068493150682"/>
    <s v="Terminated"/>
    <x v="22"/>
    <s v="Medium"/>
  </r>
  <r>
    <s v="00-66623995"/>
    <s v="Anthony"/>
    <s v="Rivera"/>
    <s v="Male"/>
    <s v="New York"/>
    <s v="New York City"/>
    <s v="Bachelor"/>
    <d v="1992-02-04T00:00:00"/>
    <d v="2017-07-19T00:00:00"/>
    <d v="2021-05-16T00:00:00"/>
    <x v="2"/>
    <s v="Logistics Coordinator"/>
    <n v="59423"/>
    <s v="Good"/>
    <n v="3.882191780821918"/>
    <s v="Terminated"/>
    <x v="5"/>
    <s v="Low"/>
  </r>
  <r>
    <s v="00-20117988"/>
    <s v="John"/>
    <s v="Caldwell"/>
    <s v="Female"/>
    <s v="New York"/>
    <s v="New York City"/>
    <s v="Bachelor"/>
    <d v="1982-10-19T00:00:00"/>
    <d v="2019-03-25T00:00:00"/>
    <d v="2019-09-21T00:00:00"/>
    <x v="2"/>
    <s v="Operations Analyst"/>
    <n v="64183"/>
    <s v="Needs Improvement"/>
    <n v="0.49315068493150682"/>
    <s v="Active"/>
    <x v="19"/>
    <s v="Medium"/>
  </r>
  <r>
    <s v="00-16789850"/>
    <s v="Amber"/>
    <s v="Cummings"/>
    <s v="Male"/>
    <s v="New York"/>
    <s v="New York City"/>
    <s v="Master"/>
    <d v="1986-07-11T00:00:00"/>
    <d v="2022-12-09T00:00:00"/>
    <d v="2023-06-07T00:00:00"/>
    <x v="2"/>
    <s v="Operations Analyst"/>
    <n v="76824"/>
    <s v="Excellent"/>
    <n v="0.49315068493150682"/>
    <s v="Terminated"/>
    <x v="28"/>
    <s v="Medium"/>
  </r>
  <r>
    <s v="00-11980765"/>
    <s v="Ashley"/>
    <s v="Kennedy"/>
    <s v="Female"/>
    <s v="New York"/>
    <s v="New York City"/>
    <s v="Bachelor"/>
    <d v="2003-03-24T00:00:00"/>
    <d v="2018-10-31T00:00:00"/>
    <d v="2019-04-29T00:00:00"/>
    <x v="3"/>
    <s v="Accountant"/>
    <n v="54093"/>
    <s v="Satisfactory"/>
    <n v="0.49315068493150682"/>
    <s v="Terminated"/>
    <x v="7"/>
    <s v="Low"/>
  </r>
  <r>
    <s v="00-64547971"/>
    <s v="Thomas"/>
    <s v="Russell"/>
    <s v="Male"/>
    <s v="New York"/>
    <s v="New York City"/>
    <s v="Bachelor"/>
    <d v="1964-01-04T00:00:00"/>
    <d v="2019-02-06T00:00:00"/>
    <d v="2021-03-05T00:00:00"/>
    <x v="3"/>
    <s v="Accountant"/>
    <n v="95124"/>
    <s v="Needs Improvement"/>
    <n v="3.827397260273973"/>
    <s v="Active"/>
    <x v="12"/>
    <s v="Medium"/>
  </r>
  <r>
    <s v="00-63826716"/>
    <s v="Collin"/>
    <s v="Jordan"/>
    <s v="Female"/>
    <s v="New York"/>
    <s v="New York City"/>
    <s v="Master"/>
    <d v="1965-09-13T00:00:00"/>
    <d v="2023-06-14T00:00:00"/>
    <d v="2023-12-11T00:00:00"/>
    <x v="6"/>
    <s v="Sales Specialist"/>
    <n v="68345"/>
    <s v="Excellent"/>
    <n v="0.49315068493150682"/>
    <s v="Terminated"/>
    <x v="29"/>
    <s v="Medium"/>
  </r>
  <r>
    <s v="00-10289289"/>
    <s v="Robert"/>
    <s v="Shields"/>
    <s v="Female"/>
    <s v="New York"/>
    <s v="New York City"/>
    <s v="Bachelor"/>
    <d v="1978-07-29T00:00:00"/>
    <d v="2024-01-22T00:00:00"/>
    <d v="2024-07-20T00:00:00"/>
    <x v="0"/>
    <s v="Help Desk Technician"/>
    <n v="61403"/>
    <s v="Good"/>
    <n v="0.49315068493150682"/>
    <s v="Active"/>
    <x v="30"/>
    <s v="Medium"/>
  </r>
  <r>
    <s v="00-71070189"/>
    <s v="Emily"/>
    <s v="Joyce"/>
    <s v="Male"/>
    <s v="New York"/>
    <s v="New York City"/>
    <s v="Bachelor"/>
    <d v="1988-08-29T00:00:00"/>
    <d v="2017-02-08T00:00:00"/>
    <d v="2023-08-27T00:00:00"/>
    <x v="2"/>
    <s v="Inventory Specialist"/>
    <n v="60320"/>
    <s v="Good"/>
    <n v="0.49315068493150682"/>
    <s v="Active"/>
    <x v="4"/>
    <s v="Medium"/>
  </r>
  <r>
    <s v="00-84593961"/>
    <s v="Bruce"/>
    <s v="Chandler"/>
    <s v="Female"/>
    <s v="New York"/>
    <s v="New York City"/>
    <s v="High School"/>
    <d v="1966-01-29T00:00:00"/>
    <d v="2022-11-07T00:00:00"/>
    <d v="2023-05-06T00:00:00"/>
    <x v="2"/>
    <s v="Inventory Specialist"/>
    <n v="55060"/>
    <s v="Excellent"/>
    <n v="2.076712328767123"/>
    <s v="Active"/>
    <x v="29"/>
    <s v="Low"/>
  </r>
  <r>
    <s v="00-35487660"/>
    <s v="Michelle"/>
    <s v="Wright"/>
    <s v="Male"/>
    <s v="New York"/>
    <s v="New York City"/>
    <s v="Master"/>
    <d v="1963-07-22T00:00:00"/>
    <d v="2017-03-15T00:00:00"/>
    <d v="2018-05-06T00:00:00"/>
    <x v="2"/>
    <s v="Operations Manager"/>
    <n v="82834"/>
    <s v="Excellent"/>
    <n v="0.49315068493150682"/>
    <s v="Active"/>
    <x v="12"/>
    <s v="Medium"/>
  </r>
  <r>
    <s v="00-82772208"/>
    <s v="Amanda"/>
    <s v="Taylor"/>
    <s v="Female"/>
    <s v="New York"/>
    <s v="New York City"/>
    <s v="PhD"/>
    <d v="1988-07-10T00:00:00"/>
    <d v="2016-03-12T00:00:00"/>
    <d v="2016-11-17T00:00:00"/>
    <x v="3"/>
    <s v="Financial Analyst"/>
    <n v="76564"/>
    <s v="Excellent"/>
    <n v="0.49315068493150682"/>
    <s v="Active"/>
    <x v="4"/>
    <s v="Medium"/>
  </r>
  <r>
    <s v="00-16729990"/>
    <s v="Joshua"/>
    <s v="Wright"/>
    <s v="Male"/>
    <s v="New York"/>
    <s v="New York City"/>
    <s v="Bachelor"/>
    <d v="1991-10-07T00:00:00"/>
    <d v="2020-12-24T00:00:00"/>
    <d v="2024-07-30T00:00:00"/>
    <x v="3"/>
    <s v="Accountant"/>
    <n v="63056"/>
    <s v="Good"/>
    <n v="6.5506849315068489"/>
    <s v="Active"/>
    <x v="5"/>
    <s v="Medium"/>
  </r>
  <r>
    <s v="00-81286543"/>
    <s v="Charles"/>
    <s v="Morton"/>
    <s v="Male"/>
    <s v="New York"/>
    <s v="New York City"/>
    <s v="Bachelor"/>
    <d v="1984-09-12T00:00:00"/>
    <d v="2017-11-29T00:00:00"/>
    <d v="2018-05-28T00:00:00"/>
    <x v="3"/>
    <s v="Accountant"/>
    <n v="78616"/>
    <s v="Satisfactory"/>
    <n v="0.49315068493150682"/>
    <s v="Active"/>
    <x v="27"/>
    <s v="Medium"/>
  </r>
  <r>
    <s v="00-41568532"/>
    <s v="Mary"/>
    <s v="Novak"/>
    <s v="Female"/>
    <s v="New York"/>
    <s v="New York City"/>
    <s v="Bachelor"/>
    <d v="1981-06-12T00:00:00"/>
    <d v="2019-12-26T00:00:00"/>
    <d v="2020-06-23T00:00:00"/>
    <x v="2"/>
    <s v="Logistics Coordinator"/>
    <n v="61198"/>
    <s v="Satisfactory"/>
    <n v="1.1424657534246581"/>
    <s v="Active"/>
    <x v="25"/>
    <s v="Medium"/>
  </r>
  <r>
    <s v="00-87701200"/>
    <s v="Karen"/>
    <s v="Young"/>
    <s v="Male"/>
    <s v="New York"/>
    <s v="New York City"/>
    <s v="Bachelor"/>
    <d v="2001-06-23T00:00:00"/>
    <d v="2020-06-06T00:00:00"/>
    <d v="2020-12-03T00:00:00"/>
    <x v="1"/>
    <s v="IT Support Specialist"/>
    <n v="58331"/>
    <s v="Excellent"/>
    <n v="0.68493150684931503"/>
    <s v="Active"/>
    <x v="11"/>
    <s v="Low"/>
  </r>
  <r>
    <s v="00-66267415"/>
    <s v="Todd"/>
    <s v="Lewis"/>
    <s v="Female"/>
    <s v="Ohio"/>
    <s v="Cincinnati"/>
    <s v="Bachelor"/>
    <d v="1966-02-24T00:00:00"/>
    <d v="2022-06-05T00:00:00"/>
    <d v="2024-11-06T00:00:00"/>
    <x v="2"/>
    <s v="Logistics Coordinator"/>
    <n v="62398"/>
    <s v="Good"/>
    <n v="3.6"/>
    <s v="Active"/>
    <x v="29"/>
    <s v="Medium"/>
  </r>
  <r>
    <s v="00-52462441"/>
    <s v="Rachel"/>
    <s v="Martin"/>
    <s v="Male"/>
    <s v="New York"/>
    <s v="New York City"/>
    <s v="Bachelor"/>
    <d v="1984-08-25T00:00:00"/>
    <d v="2024-01-01T00:00:00"/>
    <d v="2024-06-29T00:00:00"/>
    <x v="6"/>
    <s v="Sales Consultant"/>
    <n v="94930"/>
    <s v="Excellent"/>
    <n v="0.49315068493150682"/>
    <s v="Active"/>
    <x v="27"/>
    <s v="Medium"/>
  </r>
  <r>
    <s v="00-52169044"/>
    <s v="Tricia"/>
    <s v="Baker"/>
    <s v="Female"/>
    <s v="New York"/>
    <s v="New York City"/>
    <s v="Bachelor"/>
    <d v="1998-06-26T00:00:00"/>
    <d v="2017-11-01T00:00:00"/>
    <d v="2021-03-06T00:00:00"/>
    <x v="0"/>
    <s v="Customer Service Representative"/>
    <n v="59179"/>
    <s v="Good"/>
    <n v="8.7041095890410958"/>
    <s v="Active"/>
    <x v="31"/>
    <s v="Low"/>
  </r>
  <r>
    <s v="00-96637649"/>
    <s v="Kristen"/>
    <s v="Mitchell"/>
    <s v="Male"/>
    <s v="North Carolina"/>
    <s v="Greensboro"/>
    <s v="Bachelor"/>
    <d v="1976-05-16T00:00:00"/>
    <d v="2017-09-28T00:00:00"/>
    <d v="2024-02-06T00:00:00"/>
    <x v="2"/>
    <s v="Logistics Coordinator"/>
    <n v="74555"/>
    <s v="Good"/>
    <n v="0.49315068493150682"/>
    <s v="Active"/>
    <x v="32"/>
    <s v="Medium"/>
  </r>
  <r>
    <s v="00-23419256"/>
    <s v="Dorothy"/>
    <s v="Tucker"/>
    <s v="Female"/>
    <s v="New York"/>
    <s v="New York City"/>
    <s v="Bachelor"/>
    <d v="1990-08-17T00:00:00"/>
    <d v="2016-03-14T00:00:00"/>
    <d v="2016-09-10T00:00:00"/>
    <x v="4"/>
    <s v="SEO Specialist"/>
    <n v="81253"/>
    <s v="Excellent"/>
    <n v="0.49315068493150682"/>
    <s v="Active"/>
    <x v="16"/>
    <s v="Medium"/>
  </r>
  <r>
    <s v="00-45594597"/>
    <s v="Kenneth"/>
    <s v="Novak"/>
    <s v="Female"/>
    <s v="New York"/>
    <s v="New York City"/>
    <s v="High School"/>
    <d v="1988-09-30T00:00:00"/>
    <d v="2017-08-13T00:00:00"/>
    <d v="2020-03-10T00:00:00"/>
    <x v="0"/>
    <s v="Customer Service Representative"/>
    <n v="56922"/>
    <s v="Needs Improvement"/>
    <n v="2.4246575342465748"/>
    <s v="Active"/>
    <x v="4"/>
    <s v="Low"/>
  </r>
  <r>
    <s v="00-42787299"/>
    <s v="Jill"/>
    <s v="Brown"/>
    <s v="Female"/>
    <s v="New York"/>
    <s v="New York City"/>
    <s v="Bachelor"/>
    <d v="1982-06-13T00:00:00"/>
    <d v="2018-05-02T00:00:00"/>
    <d v="2020-03-12T00:00:00"/>
    <x v="4"/>
    <s v="Content Creator"/>
    <n v="65108"/>
    <s v="Satisfactory"/>
    <n v="0.49315068493150682"/>
    <s v="Terminated"/>
    <x v="19"/>
    <s v="Medium"/>
  </r>
  <r>
    <s v="00-82909480"/>
    <s v="Brian"/>
    <s v="Silva"/>
    <s v="Female"/>
    <s v="New York"/>
    <s v="New York City"/>
    <s v="Bachelor"/>
    <d v="1975-10-31T00:00:00"/>
    <d v="2022-07-15T00:00:00"/>
    <d v="2023-01-11T00:00:00"/>
    <x v="2"/>
    <s v="Logistics Coordinator"/>
    <n v="61958"/>
    <s v="Good"/>
    <n v="3.3452054794520549"/>
    <s v="Terminated"/>
    <x v="33"/>
    <s v="Medium"/>
  </r>
  <r>
    <s v="00-97775215"/>
    <s v="Samantha"/>
    <s v="Schmidt"/>
    <s v="Female"/>
    <s v="New York"/>
    <s v="New York City"/>
    <s v="Bachelor"/>
    <d v="1999-01-11T00:00:00"/>
    <d v="2020-01-23T00:00:00"/>
    <d v="2022-07-30T00:00:00"/>
    <x v="0"/>
    <s v="Support Specialist"/>
    <n v="55038"/>
    <s v="Good"/>
    <n v="6.3616438356164382"/>
    <s v="Terminated"/>
    <x v="31"/>
    <s v="Low"/>
  </r>
  <r>
    <s v="00-84437458"/>
    <s v="Susan"/>
    <s v="Miller"/>
    <s v="Female"/>
    <s v="New York"/>
    <s v="New York City"/>
    <s v="Master"/>
    <d v="2002-02-06T00:00:00"/>
    <d v="2017-03-14T00:00:00"/>
    <d v="2023-04-20T00:00:00"/>
    <x v="5"/>
    <s v="HR Coordinator"/>
    <n v="63666"/>
    <s v="Excellent"/>
    <n v="9.6876712328767116"/>
    <s v="Active"/>
    <x v="11"/>
    <s v="Medium"/>
  </r>
  <r>
    <s v="00-28024248"/>
    <s v="Casey"/>
    <s v="Jones"/>
    <s v="Female"/>
    <s v="New York"/>
    <s v="New York City"/>
    <s v="High School"/>
    <d v="1979-11-09T00:00:00"/>
    <d v="2017-12-01T00:00:00"/>
    <d v="2021-02-11T00:00:00"/>
    <x v="0"/>
    <s v="Help Desk Technician"/>
    <n v="58264"/>
    <s v="Excellent"/>
    <n v="0.49315068493150682"/>
    <s v="Active"/>
    <x v="0"/>
    <s v="Low"/>
  </r>
  <r>
    <s v="00-84252420"/>
    <s v="Joe"/>
    <s v="Wilson"/>
    <s v="Male"/>
    <s v="New York"/>
    <s v="New York City"/>
    <s v="Bachelor"/>
    <d v="2003-02-06T00:00:00"/>
    <d v="2017-12-12T00:00:00"/>
    <d v="2022-09-27T00:00:00"/>
    <x v="6"/>
    <s v="Sales Representative"/>
    <n v="65128"/>
    <s v="Satisfactory"/>
    <n v="2.5753424657534252"/>
    <s v="Terminated"/>
    <x v="7"/>
    <s v="Medium"/>
  </r>
  <r>
    <s v="00-38270233"/>
    <s v="Ashley"/>
    <s v="Riley"/>
    <s v="Male"/>
    <s v="New York"/>
    <s v="New York City"/>
    <s v="Master"/>
    <d v="1967-08-05T00:00:00"/>
    <d v="2022-01-16T00:00:00"/>
    <d v="2022-07-15T00:00:00"/>
    <x v="6"/>
    <s v="Sales Consultant"/>
    <n v="69316"/>
    <s v="Excellent"/>
    <n v="1.8630136986301371"/>
    <s v="Active"/>
    <x v="10"/>
    <s v="Medium"/>
  </r>
  <r>
    <s v="00-95125977"/>
    <s v="Christine"/>
    <s v="Barnes"/>
    <s v="Male"/>
    <s v="New York"/>
    <s v="New York City"/>
    <s v="High School"/>
    <d v="1992-10-22T00:00:00"/>
    <d v="2017-08-15T00:00:00"/>
    <d v="2018-02-11T00:00:00"/>
    <x v="2"/>
    <s v="Inventory Specialist"/>
    <n v="56431"/>
    <s v="Needs Improvement"/>
    <n v="0.49315068493150682"/>
    <s v="Active"/>
    <x v="17"/>
    <s v="Low"/>
  </r>
  <r>
    <s v="00-43704923"/>
    <s v="Annette"/>
    <s v="Stewart"/>
    <s v="Male"/>
    <s v="New York"/>
    <s v="New York City"/>
    <s v="Bachelor"/>
    <d v="1997-06-19T00:00:00"/>
    <d v="2023-04-12T00:00:00"/>
    <d v="2023-10-09T00:00:00"/>
    <x v="6"/>
    <s v="Sales Representative"/>
    <n v="79043"/>
    <s v="Good"/>
    <n v="2.517808219178082"/>
    <s v="Active"/>
    <x v="34"/>
    <s v="Medium"/>
  </r>
  <r>
    <s v="00-95132217"/>
    <s v="James"/>
    <s v="Moran"/>
    <s v="Female"/>
    <s v="New York"/>
    <s v="New York City"/>
    <s v="Bachelor"/>
    <d v="1988-10-29T00:00:00"/>
    <d v="2019-04-03T00:00:00"/>
    <d v="2024-09-03T00:00:00"/>
    <x v="4"/>
    <s v="Marketing Coordinator"/>
    <n v="59137"/>
    <s v="Good"/>
    <n v="6.1041095890410961"/>
    <s v="Terminated"/>
    <x v="4"/>
    <s v="Low"/>
  </r>
  <r>
    <s v="00-10475894"/>
    <s v="Joseph"/>
    <s v="Anderson"/>
    <s v="Male"/>
    <s v="New York"/>
    <s v="New York City"/>
    <s v="Bachelor"/>
    <d v="1982-12-23T00:00:00"/>
    <d v="2018-09-08T00:00:00"/>
    <d v="2019-07-16T00:00:00"/>
    <x v="1"/>
    <s v="Software Developer"/>
    <n v="89897"/>
    <s v="Good"/>
    <n v="3.2"/>
    <s v="Terminated"/>
    <x v="19"/>
    <s v="Medium"/>
  </r>
  <r>
    <s v="00-45159040"/>
    <s v="Kevin"/>
    <s v="Stewart"/>
    <s v="Female"/>
    <s v="New York"/>
    <s v="New York City"/>
    <s v="Bachelor"/>
    <d v="1984-08-31T00:00:00"/>
    <d v="2017-10-19T00:00:00"/>
    <d v="2021-02-02T00:00:00"/>
    <x v="1"/>
    <s v="Software Developer"/>
    <n v="80501"/>
    <s v="Good"/>
    <n v="4.7945205479452051"/>
    <s v="Active"/>
    <x v="27"/>
    <s v="Medium"/>
  </r>
  <r>
    <s v="00-67403166"/>
    <s v="Shari"/>
    <s v="Smith"/>
    <s v="Male"/>
    <s v="Michigan"/>
    <s v="Detroit"/>
    <s v="Master"/>
    <d v="1984-04-05T00:00:00"/>
    <d v="2020-08-29T00:00:00"/>
    <d v="2021-02-25T00:00:00"/>
    <x v="2"/>
    <s v="Operations Analyst"/>
    <n v="83772"/>
    <s v="Good"/>
    <n v="0.49315068493150682"/>
    <s v="Terminated"/>
    <x v="22"/>
    <s v="Medium"/>
  </r>
  <r>
    <s v="00-30005727"/>
    <s v="Yolanda"/>
    <s v="Ferrell"/>
    <s v="Male"/>
    <s v="New York"/>
    <s v="New York City"/>
    <s v="Master"/>
    <d v="1982-10-05T00:00:00"/>
    <d v="2020-01-29T00:00:00"/>
    <d v="2020-07-27T00:00:00"/>
    <x v="2"/>
    <s v="Operations Analyst"/>
    <n v="55106"/>
    <s v="Excellent"/>
    <n v="0.49315068493150682"/>
    <s v="Active"/>
    <x v="19"/>
    <s v="Low"/>
  </r>
  <r>
    <s v="00-51373735"/>
    <s v="Sarah"/>
    <s v="Ibarra"/>
    <s v="Male"/>
    <s v="New York"/>
    <s v="New York City"/>
    <s v="High School"/>
    <d v="1976-07-28T00:00:00"/>
    <d v="2018-12-08T00:00:00"/>
    <d v="2021-04-25T00:00:00"/>
    <x v="0"/>
    <s v="Help Desk Technician"/>
    <n v="82441"/>
    <s v="Needs Improvement"/>
    <n v="0.49315068493150682"/>
    <s v="Active"/>
    <x v="32"/>
    <s v="Medium"/>
  </r>
  <r>
    <s v="00-38195995"/>
    <s v="John"/>
    <s v="Mitchell"/>
    <s v="Male"/>
    <s v="Michigan"/>
    <s v="Warren"/>
    <s v="Bachelor"/>
    <d v="1962-09-27T00:00:00"/>
    <d v="2022-06-20T00:00:00"/>
    <d v="2022-12-17T00:00:00"/>
    <x v="3"/>
    <s v="Accountant"/>
    <n v="85555"/>
    <s v="Good"/>
    <n v="5.4246575342465757"/>
    <s v="Active"/>
    <x v="13"/>
    <s v="Medium"/>
  </r>
  <r>
    <s v="00-57469942"/>
    <s v="Martha"/>
    <s v="Warner"/>
    <s v="Female"/>
    <s v="New York"/>
    <s v="New York City"/>
    <s v="Bachelor"/>
    <d v="1989-08-01T00:00:00"/>
    <d v="2017-08-26T00:00:00"/>
    <d v="2018-02-22T00:00:00"/>
    <x v="6"/>
    <s v="Sales Consultant"/>
    <n v="64372"/>
    <s v="Satisfactory"/>
    <n v="0.852054794520548"/>
    <s v="Active"/>
    <x v="35"/>
    <s v="Medium"/>
  </r>
  <r>
    <s v="00-30743797"/>
    <s v="Tonya"/>
    <s v="Roman"/>
    <s v="Female"/>
    <s v="Michigan"/>
    <s v="Grand Rapids"/>
    <s v="Bachelor"/>
    <d v="1971-03-15T00:00:00"/>
    <d v="2018-07-24T00:00:00"/>
    <d v="2019-01-20T00:00:00"/>
    <x v="0"/>
    <s v="Customer Service Representative"/>
    <n v="63278"/>
    <s v="Good"/>
    <n v="3.2931506849315069"/>
    <s v="Active"/>
    <x v="21"/>
    <s v="Medium"/>
  </r>
  <r>
    <s v="00-31810617"/>
    <s v="Alan"/>
    <s v="Montoya"/>
    <s v="Male"/>
    <s v="Virginia"/>
    <s v="Virginia Beach"/>
    <s v="Bachelor"/>
    <d v="1998-02-03T00:00:00"/>
    <d v="2024-04-26T00:00:00"/>
    <d v="2024-10-23T00:00:00"/>
    <x v="4"/>
    <s v="Content Creator"/>
    <n v="65358"/>
    <s v="Needs Improvement"/>
    <n v="0.49315068493150682"/>
    <s v="Active"/>
    <x v="34"/>
    <s v="Medium"/>
  </r>
  <r>
    <s v="00-13326769"/>
    <s v="Sarah"/>
    <s v="Garcia"/>
    <s v="Male"/>
    <s v="Michigan"/>
    <s v="Grand Rapids"/>
    <s v="Bachelor"/>
    <d v="1983-12-03T00:00:00"/>
    <d v="2017-12-08T00:00:00"/>
    <d v="2018-06-06T00:00:00"/>
    <x v="1"/>
    <s v="System Administrator"/>
    <n v="77267"/>
    <s v="Good"/>
    <n v="0.49315068493150682"/>
    <s v="Active"/>
    <x v="22"/>
    <s v="Medium"/>
  </r>
  <r>
    <s v="00-65259205"/>
    <s v="Dennis"/>
    <s v="Wilson"/>
    <s v="Female"/>
    <s v="New York"/>
    <s v="New York City"/>
    <s v="Bachelor"/>
    <d v="2002-03-08T00:00:00"/>
    <d v="2023-02-11T00:00:00"/>
    <d v="2023-08-10T00:00:00"/>
    <x v="6"/>
    <s v="Sales Representative"/>
    <n v="51865"/>
    <s v="Good"/>
    <n v="8.1342465753424662"/>
    <s v="Active"/>
    <x v="11"/>
    <s v="Low"/>
  </r>
  <r>
    <s v="00-43308443"/>
    <s v="Julia"/>
    <s v="Moore"/>
    <s v="Male"/>
    <s v="New York"/>
    <s v="New York City"/>
    <s v="Master"/>
    <d v="1970-09-23T00:00:00"/>
    <d v="2017-04-20T00:00:00"/>
    <d v="2024-12-19T00:00:00"/>
    <x v="1"/>
    <s v="System Administrator"/>
    <n v="92780"/>
    <s v="Excellent"/>
    <n v="2.3808219178082188"/>
    <s v="Terminated"/>
    <x v="21"/>
    <s v="Medium"/>
  </r>
  <r>
    <s v="00-61343880"/>
    <s v="Cassandra"/>
    <s v="Robbins"/>
    <s v="Female"/>
    <s v="Pennsylvania"/>
    <s v="Allentown"/>
    <s v="Bachelor"/>
    <d v="1992-05-05T00:00:00"/>
    <d v="2023-03-21T00:00:00"/>
    <d v="2023-09-17T00:00:00"/>
    <x v="0"/>
    <s v="Customer Service Representative"/>
    <n v="52588"/>
    <s v="Good"/>
    <n v="0.49315068493150682"/>
    <s v="Active"/>
    <x v="17"/>
    <s v="Low"/>
  </r>
  <r>
    <s v="00-36786211"/>
    <s v="Grace"/>
    <s v="Farrell"/>
    <s v="Female"/>
    <s v="Michigan"/>
    <s v="Detroit"/>
    <s v="Bachelor"/>
    <d v="1972-06-23T00:00:00"/>
    <d v="2023-07-16T00:00:00"/>
    <d v="2024-01-12T00:00:00"/>
    <x v="2"/>
    <s v="Inventory Specialist"/>
    <n v="64186"/>
    <s v="Good"/>
    <n v="0.49315068493150682"/>
    <s v="Terminated"/>
    <x v="36"/>
    <s v="Medium"/>
  </r>
  <r>
    <s v="00-50962024"/>
    <s v="Tracy"/>
    <s v="Whitehead"/>
    <s v="Male"/>
    <s v="New York"/>
    <s v="New York City"/>
    <s v="High School"/>
    <d v="1978-05-26T00:00:00"/>
    <d v="2017-11-25T00:00:00"/>
    <d v="2018-05-23T00:00:00"/>
    <x v="2"/>
    <s v="Inventory Specialist"/>
    <n v="61124"/>
    <s v="Needs Improvement"/>
    <n v="0.49315068493150682"/>
    <s v="Active"/>
    <x v="30"/>
    <s v="Medium"/>
  </r>
  <r>
    <s v="00-13176186"/>
    <s v="Brent"/>
    <s v="Walters"/>
    <s v="Female"/>
    <s v="New York"/>
    <s v="New York City"/>
    <s v="High School"/>
    <d v="1982-07-17T00:00:00"/>
    <d v="2022-11-19T00:00:00"/>
    <d v="2023-05-18T00:00:00"/>
    <x v="5"/>
    <s v="Recruiter"/>
    <n v="65797"/>
    <s v="Needs Improvement"/>
    <n v="0.49315068493150682"/>
    <s v="Terminated"/>
    <x v="19"/>
    <s v="Medium"/>
  </r>
  <r>
    <s v="00-47393469"/>
    <s v="Joshua"/>
    <s v="Smith"/>
    <s v="Female"/>
    <s v="Illinois"/>
    <s v="Aurora"/>
    <s v="Master"/>
    <d v="2001-01-25T00:00:00"/>
    <d v="2023-10-27T00:00:00"/>
    <d v="2024-04-24T00:00:00"/>
    <x v="6"/>
    <s v="Sales Manager"/>
    <n v="114050"/>
    <s v="Good"/>
    <n v="0.49315068493150682"/>
    <s v="Active"/>
    <x v="37"/>
    <s v="High"/>
  </r>
  <r>
    <s v="00-96098221"/>
    <s v="David"/>
    <s v="Whitney"/>
    <s v="Female"/>
    <s v="New York"/>
    <s v="New York City"/>
    <s v="High School"/>
    <d v="1975-10-13T00:00:00"/>
    <d v="2020-03-03T00:00:00"/>
    <d v="2020-08-30T00:00:00"/>
    <x v="0"/>
    <s v="Help Desk Technician"/>
    <n v="64313"/>
    <s v="Excellent"/>
    <n v="0.49315068493150682"/>
    <s v="Active"/>
    <x v="33"/>
    <s v="Medium"/>
  </r>
  <r>
    <s v="00-81969657"/>
    <s v="Joyce"/>
    <s v="Arnold"/>
    <s v="Male"/>
    <s v="Michigan"/>
    <s v="Grand Rapids"/>
    <s v="Bachelor"/>
    <d v="1989-09-11T00:00:00"/>
    <d v="2018-06-16T00:00:00"/>
    <d v="2022-04-07T00:00:00"/>
    <x v="0"/>
    <s v="Support Specialist"/>
    <n v="63557"/>
    <s v="Satisfactory"/>
    <n v="7.6712328767123283"/>
    <s v="Active"/>
    <x v="35"/>
    <s v="Medium"/>
  </r>
  <r>
    <s v="00-45059710"/>
    <s v="Ann"/>
    <s v="Rodriguez"/>
    <s v="Male"/>
    <s v="Michigan"/>
    <s v="Detroit"/>
    <s v="High School"/>
    <d v="1985-11-29T00:00:00"/>
    <d v="2017-12-09T00:00:00"/>
    <d v="2019-06-12T00:00:00"/>
    <x v="2"/>
    <s v="Inventory Specialist"/>
    <n v="59128"/>
    <s v="Needs Improvement"/>
    <n v="0.49315068493150682"/>
    <s v="Active"/>
    <x v="38"/>
    <s v="Low"/>
  </r>
  <r>
    <s v="00-24549543"/>
    <s v="Hannah"/>
    <s v="Hernandez"/>
    <s v="Female"/>
    <s v="New York"/>
    <s v="New York City"/>
    <s v="High School"/>
    <d v="1989-02-28T00:00:00"/>
    <d v="2020-01-14T00:00:00"/>
    <d v="2020-07-12T00:00:00"/>
    <x v="0"/>
    <s v="Support Specialist"/>
    <n v="54770"/>
    <s v="Needs Improvement"/>
    <n v="0.49315068493150682"/>
    <s v="Active"/>
    <x v="4"/>
    <s v="Low"/>
  </r>
  <r>
    <s v="00-52101056"/>
    <s v="Mary"/>
    <s v="Aguilar"/>
    <s v="Male"/>
    <s v="New York"/>
    <s v="New York City"/>
    <s v="Bachelor"/>
    <d v="2001-04-04T00:00:00"/>
    <d v="2019-02-27T00:00:00"/>
    <d v="2019-08-26T00:00:00"/>
    <x v="0"/>
    <s v="Support Specialist"/>
    <n v="64438"/>
    <s v="Satisfactory"/>
    <n v="0.49041095890410957"/>
    <s v="Active"/>
    <x v="37"/>
    <s v="Medium"/>
  </r>
  <r>
    <s v="00-61700055"/>
    <s v="Russell"/>
    <s v="Williams"/>
    <s v="Female"/>
    <s v="New York"/>
    <s v="New York City"/>
    <s v="High School"/>
    <d v="1970-06-19T00:00:00"/>
    <d v="2023-05-22T00:00:00"/>
    <d v="2023-11-18T00:00:00"/>
    <x v="5"/>
    <s v="Recruiter"/>
    <n v="58119"/>
    <s v="Needs Improvement"/>
    <n v="0.49315068493150682"/>
    <s v="Active"/>
    <x v="21"/>
    <s v="Low"/>
  </r>
  <r>
    <s v="00-15957459"/>
    <s v="Rachel"/>
    <s v="Flynn"/>
    <s v="Female"/>
    <s v="North Carolina"/>
    <s v="Raleigh"/>
    <s v="High School"/>
    <d v="1976-05-21T00:00:00"/>
    <d v="2022-12-01T00:00:00"/>
    <d v="2023-05-30T00:00:00"/>
    <x v="0"/>
    <s v="Help Desk Technician"/>
    <n v="82922"/>
    <s v="Needs Improvement"/>
    <n v="0.49315068493150682"/>
    <s v="Active"/>
    <x v="32"/>
    <s v="Medium"/>
  </r>
  <r>
    <s v="00-82269803"/>
    <s v="Bill"/>
    <s v="Howard"/>
    <s v="Female"/>
    <s v="New York"/>
    <s v="New York City"/>
    <s v="Bachelor"/>
    <d v="1972-02-23T00:00:00"/>
    <d v="2022-09-22T00:00:00"/>
    <d v="2023-03-21T00:00:00"/>
    <x v="4"/>
    <s v="Marketing Coordinator"/>
    <n v="74811"/>
    <s v="Satisfactory"/>
    <n v="0.49315068493150682"/>
    <s v="Active"/>
    <x v="24"/>
    <s v="Medium"/>
  </r>
  <r>
    <s v="00-36445607"/>
    <s v="John"/>
    <s v="Garcia"/>
    <s v="Male"/>
    <s v="North Carolina"/>
    <s v="Greensboro"/>
    <s v="PhD"/>
    <d v="1982-11-22T00:00:00"/>
    <d v="2018-10-30T00:00:00"/>
    <d v="2021-08-25T00:00:00"/>
    <x v="3"/>
    <s v="Financial Analyst"/>
    <n v="93475"/>
    <s v="Excellent"/>
    <n v="3.8109589041095888"/>
    <s v="Active"/>
    <x v="19"/>
    <s v="Medium"/>
  </r>
  <r>
    <s v="00-54318698"/>
    <s v="Anita"/>
    <s v="Baxter"/>
    <s v="Male"/>
    <s v="Ohio"/>
    <s v="Cleveland"/>
    <s v="High School"/>
    <d v="2002-01-06T00:00:00"/>
    <d v="2021-08-30T00:00:00"/>
    <d v="2022-02-26T00:00:00"/>
    <x v="0"/>
    <s v="Customer Service Representative"/>
    <n v="59676"/>
    <s v="Needs Improvement"/>
    <n v="1.506849315068493"/>
    <s v="Active"/>
    <x v="11"/>
    <s v="Low"/>
  </r>
  <r>
    <s v="00-26726926"/>
    <s v="Kara"/>
    <s v="Frost"/>
    <s v="Male"/>
    <s v="New York"/>
    <s v="New York City"/>
    <s v="Bachelor"/>
    <d v="1967-12-21T00:00:00"/>
    <d v="2022-04-02T00:00:00"/>
    <d v="2022-09-29T00:00:00"/>
    <x v="6"/>
    <s v="Sales Representative"/>
    <n v="77283"/>
    <s v="Needs Improvement"/>
    <n v="0.49315068493150682"/>
    <s v="Terminated"/>
    <x v="10"/>
    <s v="Medium"/>
  </r>
  <r>
    <s v="00-51511484"/>
    <s v="Michelle"/>
    <s v="Cherry"/>
    <s v="Male"/>
    <s v="New York"/>
    <s v="New York City"/>
    <s v="Bachelor"/>
    <d v="1980-01-11T00:00:00"/>
    <d v="2022-11-11T00:00:00"/>
    <d v="2023-05-10T00:00:00"/>
    <x v="4"/>
    <s v="Content Creator"/>
    <n v="62224"/>
    <s v="Satisfactory"/>
    <n v="0.49315068493150682"/>
    <s v="Terminated"/>
    <x v="0"/>
    <s v="Medium"/>
  </r>
  <r>
    <s v="00-49682169"/>
    <s v="Gregory"/>
    <s v="Gutierrez"/>
    <s v="Male"/>
    <s v="New York"/>
    <s v="New York City"/>
    <s v="Bachelor"/>
    <d v="1997-02-22T00:00:00"/>
    <d v="2020-03-10T00:00:00"/>
    <d v="2020-09-06T00:00:00"/>
    <x v="2"/>
    <s v="Logistics Coordinator"/>
    <n v="68683"/>
    <s v="Needs Improvement"/>
    <n v="0.49315068493150682"/>
    <s v="Active"/>
    <x v="39"/>
    <s v="Medium"/>
  </r>
  <r>
    <s v="00-99245317"/>
    <s v="Jill"/>
    <s v="Cook"/>
    <s v="Female"/>
    <s v="New York"/>
    <s v="New York City"/>
    <s v="High School"/>
    <d v="1967-01-18T00:00:00"/>
    <d v="2018-12-27T00:00:00"/>
    <d v="2019-06-25T00:00:00"/>
    <x v="0"/>
    <s v="Customer Service Representative"/>
    <n v="63830"/>
    <s v="Needs Improvement"/>
    <n v="0.49315068493150682"/>
    <s v="Terminated"/>
    <x v="40"/>
    <s v="Medium"/>
  </r>
  <r>
    <s v="00-33357554"/>
    <s v="Robert"/>
    <s v="Santiago"/>
    <s v="Male"/>
    <s v="New York"/>
    <s v="New York City"/>
    <s v="Master"/>
    <d v="1998-09-09T00:00:00"/>
    <d v="2021-10-13T00:00:00"/>
    <d v="2022-04-11T00:00:00"/>
    <x v="6"/>
    <s v="Sales Specialist"/>
    <n v="75850"/>
    <s v="Excellent"/>
    <n v="0.49315068493150682"/>
    <s v="Terminated"/>
    <x v="31"/>
    <s v="Medium"/>
  </r>
  <r>
    <s v="00-83542887"/>
    <s v="Lisa"/>
    <s v="Adams"/>
    <s v="Male"/>
    <s v="New York"/>
    <s v="New York City"/>
    <s v="High School"/>
    <d v="1995-12-13T00:00:00"/>
    <d v="2017-11-02T00:00:00"/>
    <d v="2018-04-30T00:00:00"/>
    <x v="0"/>
    <s v="Help Desk Technician"/>
    <n v="82965"/>
    <s v="Excellent"/>
    <n v="2.8219178082191778"/>
    <s v="Active"/>
    <x v="6"/>
    <s v="Medium"/>
  </r>
  <r>
    <s v="00-38210242"/>
    <s v="Jacqueline"/>
    <s v="Reyes"/>
    <s v="Female"/>
    <s v="New York"/>
    <s v="New York City"/>
    <s v="Bachelor"/>
    <d v="1973-12-15T00:00:00"/>
    <d v="2019-01-16T00:00:00"/>
    <d v="2019-07-15T00:00:00"/>
    <x v="2"/>
    <s v="Logistics Coordinator"/>
    <n v="54011"/>
    <s v="Good"/>
    <n v="0.49315068493150682"/>
    <s v="Terminated"/>
    <x v="15"/>
    <s v="Low"/>
  </r>
  <r>
    <s v="00-97873101"/>
    <s v="Michele"/>
    <s v="Walker"/>
    <s v="Male"/>
    <s v="New York"/>
    <s v="New York City"/>
    <s v="Bachelor"/>
    <d v="1979-05-15T00:00:00"/>
    <d v="2018-11-14T00:00:00"/>
    <d v="2022-02-04T00:00:00"/>
    <x v="6"/>
    <s v="Sales Representative"/>
    <n v="80131"/>
    <s v="Good"/>
    <n v="0.49315068493150682"/>
    <s v="Terminated"/>
    <x v="0"/>
    <s v="Medium"/>
  </r>
  <r>
    <s v="00-38682516"/>
    <s v="Samantha"/>
    <s v="Bailey"/>
    <s v="Female"/>
    <s v="New York"/>
    <s v="New York City"/>
    <s v="Bachelor"/>
    <d v="2000-05-12T00:00:00"/>
    <d v="2020-11-14T00:00:00"/>
    <d v="2021-05-13T00:00:00"/>
    <x v="2"/>
    <s v="Inventory Specialist"/>
    <n v="55778"/>
    <s v="Good"/>
    <n v="0.49315068493150682"/>
    <s v="Active"/>
    <x v="37"/>
    <s v="Low"/>
  </r>
  <r>
    <s v="00-98429450"/>
    <s v="Laura"/>
    <s v="Perez"/>
    <s v="Male"/>
    <s v="New York"/>
    <s v="New York City"/>
    <s v="PhD"/>
    <d v="1965-10-11T00:00:00"/>
    <d v="2016-01-10T00:00:00"/>
    <d v="2021-10-20T00:00:00"/>
    <x v="6"/>
    <s v="Sales Consultant"/>
    <n v="88444"/>
    <s v="Excellent"/>
    <n v="0.49315068493150682"/>
    <s v="Active"/>
    <x v="29"/>
    <s v="Medium"/>
  </r>
  <r>
    <s v="00-94951883"/>
    <s v="Donna"/>
    <s v="Ross"/>
    <s v="Female"/>
    <s v="New York"/>
    <s v="New York City"/>
    <s v="Bachelor"/>
    <d v="1969-11-06T00:00:00"/>
    <d v="2021-04-19T00:00:00"/>
    <d v="2022-04-27T00:00:00"/>
    <x v="6"/>
    <s v="Sales Representative"/>
    <n v="75303"/>
    <s v="Good"/>
    <n v="0.49315068493150682"/>
    <s v="Active"/>
    <x v="23"/>
    <s v="Medium"/>
  </r>
  <r>
    <s v="00-41523529"/>
    <s v="Michelle"/>
    <s v="Rasmussen"/>
    <s v="Female"/>
    <s v="North Carolina"/>
    <s v="Greensboro"/>
    <s v="Master"/>
    <d v="1999-10-23T00:00:00"/>
    <d v="2022-04-19T00:00:00"/>
    <d v="2022-10-16T00:00:00"/>
    <x v="1"/>
    <s v="Software Developer"/>
    <n v="98297"/>
    <s v="Excellent"/>
    <n v="0.49315068493150682"/>
    <s v="Terminated"/>
    <x v="41"/>
    <s v="Medium"/>
  </r>
  <r>
    <s v="00-36726767"/>
    <s v="Michael"/>
    <s v="Hicks"/>
    <s v="Male"/>
    <s v="Illinois"/>
    <s v="Chicago"/>
    <s v="Bachelor"/>
    <d v="1999-01-14T00:00:00"/>
    <d v="2017-09-21T00:00:00"/>
    <d v="2024-04-01T00:00:00"/>
    <x v="6"/>
    <s v="Sales Representative"/>
    <n v="65506"/>
    <s v="Good"/>
    <n v="0.49041095890410957"/>
    <s v="Active"/>
    <x v="31"/>
    <s v="Medium"/>
  </r>
  <r>
    <s v="00-73771720"/>
    <s v="Tina"/>
    <s v="Herrera"/>
    <s v="Male"/>
    <s v="New York"/>
    <s v="New York City"/>
    <s v="PhD"/>
    <d v="1991-09-11T00:00:00"/>
    <d v="2021-01-11T00:00:00"/>
    <d v="2021-07-10T00:00:00"/>
    <x v="3"/>
    <s v="Financial Analyst"/>
    <n v="86731"/>
    <s v="Excellent"/>
    <n v="0.49315068493150682"/>
    <s v="Terminated"/>
    <x v="5"/>
    <s v="Medium"/>
  </r>
  <r>
    <s v="00-65625330"/>
    <s v="Darrell"/>
    <s v="Waller"/>
    <s v="Male"/>
    <s v="New York"/>
    <s v="New York City"/>
    <s v="Bachelor"/>
    <d v="1973-12-07T00:00:00"/>
    <d v="2023-03-11T00:00:00"/>
    <d v="2023-09-07T00:00:00"/>
    <x v="6"/>
    <s v="Sales Representative"/>
    <n v="78643"/>
    <s v="Satisfactory"/>
    <n v="3.227397260273972"/>
    <s v="Active"/>
    <x v="15"/>
    <s v="Medium"/>
  </r>
  <r>
    <s v="00-61536717"/>
    <s v="Beverly"/>
    <s v="Terrell"/>
    <s v="Female"/>
    <s v="Michigan"/>
    <s v="Warren"/>
    <s v="Bachelor"/>
    <d v="1976-01-01T00:00:00"/>
    <d v="2020-01-15T00:00:00"/>
    <d v="2020-07-13T00:00:00"/>
    <x v="0"/>
    <s v="Customer Service Representative"/>
    <n v="64159"/>
    <s v="Good"/>
    <n v="0.49315068493150682"/>
    <s v="Terminated"/>
    <x v="33"/>
    <s v="Medium"/>
  </r>
  <r>
    <s v="00-98054615"/>
    <s v="Daniel"/>
    <s v="Hamilton"/>
    <s v="Male"/>
    <s v="New York"/>
    <s v="New York City"/>
    <s v="Bachelor"/>
    <d v="1982-01-12T00:00:00"/>
    <d v="2022-10-10T00:00:00"/>
    <d v="2023-04-08T00:00:00"/>
    <x v="6"/>
    <s v="Sales Representative"/>
    <n v="66358"/>
    <s v="Good"/>
    <n v="5.7808219178082192"/>
    <s v="Terminated"/>
    <x v="25"/>
    <s v="Medium"/>
  </r>
  <r>
    <s v="00-67062156"/>
    <s v="Kristin"/>
    <s v="Graham"/>
    <s v="Female"/>
    <s v="Michigan"/>
    <s v="Warren"/>
    <s v="Bachelor"/>
    <d v="1982-08-18T00:00:00"/>
    <d v="2017-07-18T00:00:00"/>
    <d v="2021-11-22T00:00:00"/>
    <x v="2"/>
    <s v="Inventory Specialist"/>
    <n v="57185"/>
    <s v="Good"/>
    <n v="1.021917808219178"/>
    <s v="Active"/>
    <x v="19"/>
    <s v="Low"/>
  </r>
  <r>
    <s v="00-72350830"/>
    <s v="Darrell"/>
    <s v="Lam"/>
    <s v="Female"/>
    <s v="New York"/>
    <s v="New York City"/>
    <s v="Bachelor"/>
    <d v="1993-06-16T00:00:00"/>
    <d v="2016-03-14T00:00:00"/>
    <d v="2018-07-25T00:00:00"/>
    <x v="1"/>
    <s v="IT Support Specialist"/>
    <n v="57924"/>
    <s v="Excellent"/>
    <n v="0.49315068493150682"/>
    <s v="Terminated"/>
    <x v="8"/>
    <s v="Low"/>
  </r>
  <r>
    <s v="00-26288475"/>
    <s v="Jonathan"/>
    <s v="Fletcher"/>
    <s v="Female"/>
    <s v="New York"/>
    <s v="New York City"/>
    <s v="Bachelor"/>
    <d v="1971-06-05T00:00:00"/>
    <d v="2019-01-01T00:00:00"/>
    <d v="2024-08-20T00:00:00"/>
    <x v="2"/>
    <s v="Inventory Specialist"/>
    <n v="57730"/>
    <s v="Satisfactory"/>
    <n v="6.5315068493150683"/>
    <s v="Active"/>
    <x v="24"/>
    <s v="Low"/>
  </r>
  <r>
    <s v="00-81287314"/>
    <s v="April"/>
    <s v="Drake"/>
    <s v="Female"/>
    <s v="New York"/>
    <s v="New York City"/>
    <s v="High School"/>
    <d v="1975-10-15T00:00:00"/>
    <d v="2018-09-23T00:00:00"/>
    <d v="2019-03-22T00:00:00"/>
    <x v="2"/>
    <s v="Inventory Specialist"/>
    <n v="56753"/>
    <s v="Needs Improvement"/>
    <n v="0.49315068493150682"/>
    <s v="Active"/>
    <x v="33"/>
    <s v="Low"/>
  </r>
  <r>
    <s v="00-69401199"/>
    <s v="Jennifer"/>
    <s v="Harmon"/>
    <s v="Male"/>
    <s v="New York"/>
    <s v="New York City"/>
    <s v="Bachelor"/>
    <d v="1975-07-05T00:00:00"/>
    <d v="2021-09-18T00:00:00"/>
    <d v="2022-03-17T00:00:00"/>
    <x v="6"/>
    <s v="Sales Representative"/>
    <n v="62015"/>
    <s v="Good"/>
    <n v="0.49315068493150682"/>
    <s v="Active"/>
    <x v="33"/>
    <s v="Medium"/>
  </r>
  <r>
    <s v="00-67276174"/>
    <s v="James"/>
    <s v="Reynolds"/>
    <s v="Male"/>
    <s v="New York"/>
    <s v="New York City"/>
    <s v="Bachelor"/>
    <d v="1997-01-09T00:00:00"/>
    <d v="2017-09-15T00:00:00"/>
    <d v="2018-03-13T00:00:00"/>
    <x v="2"/>
    <s v="Operations Analyst"/>
    <n v="82241"/>
    <s v="Needs Improvement"/>
    <n v="0.49315068493150682"/>
    <s v="Active"/>
    <x v="39"/>
    <s v="Medium"/>
  </r>
  <r>
    <s v="00-31361812"/>
    <s v="Samantha"/>
    <s v="Hanson"/>
    <s v="Female"/>
    <s v="New York"/>
    <s v="New York City"/>
    <s v="PhD"/>
    <d v="1983-01-24T00:00:00"/>
    <d v="2022-09-15T00:00:00"/>
    <d v="2023-03-14T00:00:00"/>
    <x v="6"/>
    <s v="Sales Consultant"/>
    <n v="87980"/>
    <s v="Excellent"/>
    <n v="0.49315068493150682"/>
    <s v="Active"/>
    <x v="19"/>
    <s v="Medium"/>
  </r>
  <r>
    <s v="00-44788100"/>
    <s v="Melanie"/>
    <s v="Cortez"/>
    <s v="Female"/>
    <s v="New York"/>
    <s v="New York City"/>
    <s v="Bachelor"/>
    <d v="1987-02-21T00:00:00"/>
    <d v="2022-04-27T00:00:00"/>
    <d v="2022-10-24T00:00:00"/>
    <x v="6"/>
    <s v="Sales Representative"/>
    <n v="68240"/>
    <s v="Good"/>
    <n v="4.3506849315068497"/>
    <s v="Active"/>
    <x v="28"/>
    <s v="Medium"/>
  </r>
  <r>
    <s v="00-79967676"/>
    <s v="William"/>
    <s v="Estrada"/>
    <s v="Male"/>
    <s v="New York"/>
    <s v="New York City"/>
    <s v="Bachelor"/>
    <d v="1985-03-04T00:00:00"/>
    <d v="2019-05-07T00:00:00"/>
    <d v="2020-08-24T00:00:00"/>
    <x v="2"/>
    <s v="Operations Manager"/>
    <n v="109148"/>
    <s v="Good"/>
    <n v="2.364383561643836"/>
    <s v="Active"/>
    <x v="27"/>
    <s v="High"/>
  </r>
  <r>
    <s v="00-46468984"/>
    <s v="James"/>
    <s v="Ortega"/>
    <s v="Male"/>
    <s v="New York"/>
    <s v="New York City"/>
    <s v="Bachelor"/>
    <d v="1980-11-09T00:00:00"/>
    <d v="2018-05-28T00:00:00"/>
    <d v="2024-05-13T00:00:00"/>
    <x v="6"/>
    <s v="Sales Specialist"/>
    <n v="71634"/>
    <s v="Satisfactory"/>
    <n v="5.6383561643835618"/>
    <s v="Active"/>
    <x v="3"/>
    <s v="Medium"/>
  </r>
  <r>
    <s v="00-28572252"/>
    <s v="Erica"/>
    <s v="Orr"/>
    <s v="Male"/>
    <s v="New York"/>
    <s v="New York City"/>
    <s v="Bachelor"/>
    <d v="1988-11-16T00:00:00"/>
    <d v="2017-08-28T00:00:00"/>
    <d v="2022-11-06T00:00:00"/>
    <x v="1"/>
    <s v="IT Support Specialist"/>
    <n v="73488"/>
    <s v="Satisfactory"/>
    <n v="0.49315068493150682"/>
    <s v="Terminated"/>
    <x v="4"/>
    <s v="Medium"/>
  </r>
  <r>
    <s v="00-30509175"/>
    <s v="Ashley"/>
    <s v="Sullivan"/>
    <s v="Male"/>
    <s v="New York"/>
    <s v="New York City"/>
    <s v="High School"/>
    <d v="1982-10-07T00:00:00"/>
    <d v="2022-11-20T00:00:00"/>
    <d v="2023-05-19T00:00:00"/>
    <x v="2"/>
    <s v="Inventory Specialist"/>
    <n v="61678"/>
    <s v="Needs Improvement"/>
    <n v="0.49315068493150682"/>
    <s v="Active"/>
    <x v="19"/>
    <s v="Medium"/>
  </r>
  <r>
    <s v="00-64707061"/>
    <s v="Aaron"/>
    <s v="Mitchell"/>
    <s v="Female"/>
    <s v="New York"/>
    <s v="New York City"/>
    <s v="Bachelor"/>
    <d v="1992-05-23T00:00:00"/>
    <d v="2018-06-16T00:00:00"/>
    <d v="2018-12-13T00:00:00"/>
    <x v="1"/>
    <s v="Software Developer"/>
    <n v="94594"/>
    <s v="Satisfactory"/>
    <n v="0.49041095890410957"/>
    <s v="Terminated"/>
    <x v="17"/>
    <s v="Medium"/>
  </r>
  <r>
    <s v="00-88393811"/>
    <s v="Steven"/>
    <s v="Ramos"/>
    <s v="Female"/>
    <s v="New York"/>
    <s v="New York City"/>
    <s v="Bachelor"/>
    <d v="1995-05-16T00:00:00"/>
    <d v="2024-03-23T00:00:00"/>
    <d v="2024-09-19T00:00:00"/>
    <x v="2"/>
    <s v="Logistics Coordinator"/>
    <n v="60859"/>
    <s v="Satisfactory"/>
    <n v="0.49315068493150682"/>
    <s v="Active"/>
    <x v="6"/>
    <s v="Medium"/>
  </r>
  <r>
    <s v="00-87267850"/>
    <s v="William"/>
    <s v="Leon"/>
    <s v="Female"/>
    <s v="New York"/>
    <s v="New York City"/>
    <s v="High School"/>
    <d v="1997-10-28T00:00:00"/>
    <d v="2018-11-06T00:00:00"/>
    <d v="2019-05-05T00:00:00"/>
    <x v="4"/>
    <s v="Content Creator"/>
    <n v="52939"/>
    <s v="Needs Improvement"/>
    <n v="0.49315068493150682"/>
    <s v="Terminated"/>
    <x v="34"/>
    <s v="Low"/>
  </r>
  <r>
    <s v="00-50079111"/>
    <s v="Jill"/>
    <s v="Hopkins"/>
    <s v="Male"/>
    <s v="New York"/>
    <s v="New York City"/>
    <s v="PhD"/>
    <d v="1993-08-13T00:00:00"/>
    <d v="2022-04-21T00:00:00"/>
    <d v="2024-06-09T00:00:00"/>
    <x v="6"/>
    <s v="Sales Specialist"/>
    <n v="62230"/>
    <s v="Excellent"/>
    <n v="1.3013698630136989"/>
    <s v="Terminated"/>
    <x v="8"/>
    <s v="Medium"/>
  </r>
  <r>
    <s v="00-83300637"/>
    <s v="Zachary"/>
    <s v="Schultz"/>
    <s v="Male"/>
    <s v="New York"/>
    <s v="New York City"/>
    <s v="Bachelor"/>
    <d v="1998-10-13T00:00:00"/>
    <d v="2023-05-11T00:00:00"/>
    <d v="2023-11-07T00:00:00"/>
    <x v="1"/>
    <s v="IT Support Specialist"/>
    <n v="68297"/>
    <s v="Good"/>
    <n v="9.1424657534246574"/>
    <s v="Active"/>
    <x v="31"/>
    <s v="Medium"/>
  </r>
  <r>
    <s v="00-62191530"/>
    <s v="Emily"/>
    <s v="Walker"/>
    <s v="Female"/>
    <s v="North Carolina"/>
    <s v="Charlotte"/>
    <s v="Master"/>
    <d v="1960-03-22T00:00:00"/>
    <d v="2018-03-19T00:00:00"/>
    <d v="2018-09-15T00:00:00"/>
    <x v="1"/>
    <s v="Software Developer"/>
    <n v="96606"/>
    <s v="Good"/>
    <n v="5.9643835616438352"/>
    <s v="Terminated"/>
    <x v="14"/>
    <s v="Medium"/>
  </r>
  <r>
    <s v="00-64266464"/>
    <s v="Dylan"/>
    <s v="Williams"/>
    <s v="Male"/>
    <s v="New York"/>
    <s v="New York City"/>
    <s v="High School"/>
    <d v="1985-12-07T00:00:00"/>
    <d v="2022-07-04T00:00:00"/>
    <d v="2022-12-31T00:00:00"/>
    <x v="2"/>
    <s v="Inventory Specialist"/>
    <n v="55854"/>
    <s v="Needs Improvement"/>
    <n v="5.1945205479452046"/>
    <s v="Active"/>
    <x v="38"/>
    <s v="Low"/>
  </r>
  <r>
    <s v="00-93517915"/>
    <s v="Cheryl"/>
    <s v="Mack"/>
    <s v="Female"/>
    <s v="Ohio"/>
    <s v="Cleveland"/>
    <s v="Bachelor"/>
    <d v="1996-09-17T00:00:00"/>
    <d v="2020-06-25T00:00:00"/>
    <d v="2020-12-22T00:00:00"/>
    <x v="0"/>
    <s v="Customer Service Representative"/>
    <n v="54580"/>
    <s v="Satisfactory"/>
    <n v="0.49315068493150682"/>
    <s v="Active"/>
    <x v="39"/>
    <s v="Low"/>
  </r>
  <r>
    <s v="00-85751409"/>
    <s v="Robert"/>
    <s v="Soto"/>
    <s v="Female"/>
    <s v="New York"/>
    <s v="New York City"/>
    <s v="Bachelor"/>
    <d v="1998-05-04T00:00:00"/>
    <d v="2022-03-17T00:00:00"/>
    <d v="2022-09-13T00:00:00"/>
    <x v="2"/>
    <s v="Inventory Specialist"/>
    <n v="58131"/>
    <s v="Satisfactory"/>
    <n v="0.49315068493150682"/>
    <s v="Active"/>
    <x v="31"/>
    <s v="Low"/>
  </r>
  <r>
    <s v="00-67527432"/>
    <s v="Jennifer"/>
    <s v="Cruz"/>
    <s v="Female"/>
    <s v="Ohio"/>
    <s v="Cincinnati"/>
    <s v="Bachelor"/>
    <d v="1972-07-20T00:00:00"/>
    <d v="2017-06-05T00:00:00"/>
    <d v="2021-12-17T00:00:00"/>
    <x v="2"/>
    <s v="Inventory Specialist"/>
    <n v="64260"/>
    <s v="Good"/>
    <n v="7.9315068493150687"/>
    <s v="Active"/>
    <x v="36"/>
    <s v="Medium"/>
  </r>
  <r>
    <s v="00-16749089"/>
    <s v="John"/>
    <s v="Douglas"/>
    <s v="Female"/>
    <s v="Michigan"/>
    <s v="Grand Rapids"/>
    <s v="High School"/>
    <d v="1996-04-19T00:00:00"/>
    <d v="2017-01-03T00:00:00"/>
    <d v="2021-09-24T00:00:00"/>
    <x v="0"/>
    <s v="Help Desk Technician"/>
    <n v="63590"/>
    <s v="Needs Improvement"/>
    <n v="0.49315068493150682"/>
    <s v="Terminated"/>
    <x v="39"/>
    <s v="Medium"/>
  </r>
  <r>
    <s v="00-71028710"/>
    <s v="Patricia"/>
    <s v="Dalton"/>
    <s v="Female"/>
    <s v="New York"/>
    <s v="New York City"/>
    <s v="High School"/>
    <d v="1971-08-04T00:00:00"/>
    <d v="2018-12-10T00:00:00"/>
    <d v="2021-05-23T00:00:00"/>
    <x v="0"/>
    <s v="Customer Service Representative"/>
    <n v="63956"/>
    <s v="Excellent"/>
    <n v="0.49315068493150682"/>
    <s v="Active"/>
    <x v="24"/>
    <s v="Medium"/>
  </r>
  <r>
    <s v="00-66581473"/>
    <s v="Daniel"/>
    <s v="Coleman"/>
    <s v="Male"/>
    <s v="Michigan"/>
    <s v="Warren"/>
    <s v="Bachelor"/>
    <d v="1983-11-15T00:00:00"/>
    <d v="2017-03-10T00:00:00"/>
    <d v="2024-05-07T00:00:00"/>
    <x v="4"/>
    <s v="Content Creator"/>
    <n v="67857"/>
    <s v="Good"/>
    <n v="2.1369863013698631"/>
    <s v="Active"/>
    <x v="22"/>
    <s v="Medium"/>
  </r>
  <r>
    <s v="00-12601580"/>
    <s v="Linda"/>
    <s v="Dominguez"/>
    <s v="Female"/>
    <s v="New York"/>
    <s v="New York City"/>
    <s v="Bachelor"/>
    <d v="1988-01-27T00:00:00"/>
    <d v="2022-06-30T00:00:00"/>
    <d v="2022-12-27T00:00:00"/>
    <x v="0"/>
    <s v="Customer Service Representative"/>
    <n v="53458"/>
    <s v="Good"/>
    <n v="0.49315068493150682"/>
    <s v="Terminated"/>
    <x v="1"/>
    <s v="Low"/>
  </r>
  <r>
    <s v="00-40094589"/>
    <s v="Brent"/>
    <s v="Wright"/>
    <s v="Male"/>
    <s v="New York"/>
    <s v="New York City"/>
    <s v="Master"/>
    <d v="1994-03-02T00:00:00"/>
    <d v="2022-11-26T00:00:00"/>
    <d v="2023-05-25T00:00:00"/>
    <x v="1"/>
    <s v="System Administrator"/>
    <n v="68344"/>
    <s v="Excellent"/>
    <n v="8.0246575342465754"/>
    <s v="Active"/>
    <x v="8"/>
    <s v="Medium"/>
  </r>
  <r>
    <s v="00-14164775"/>
    <s v="David"/>
    <s v="Anderson"/>
    <s v="Female"/>
    <s v="New York"/>
    <s v="New York City"/>
    <s v="Bachelor"/>
    <d v="1985-06-27T00:00:00"/>
    <d v="2024-06-29T00:00:00"/>
    <d v="2024-12-26T00:00:00"/>
    <x v="0"/>
    <s v="Customer Service Manager"/>
    <n v="67027"/>
    <s v="Needs Improvement"/>
    <n v="0.49315068493150682"/>
    <s v="Active"/>
    <x v="38"/>
    <s v="Medium"/>
  </r>
  <r>
    <s v="00-12735359"/>
    <s v="Elizabeth"/>
    <s v="Travis"/>
    <s v="Female"/>
    <s v="New York"/>
    <s v="New York City"/>
    <s v="Bachelor"/>
    <d v="2002-11-17T00:00:00"/>
    <d v="2021-08-20T00:00:00"/>
    <d v="2022-02-16T00:00:00"/>
    <x v="6"/>
    <s v="Sales Representative"/>
    <n v="66258"/>
    <s v="Good"/>
    <n v="0.49315068493150682"/>
    <s v="Active"/>
    <x v="7"/>
    <s v="Medium"/>
  </r>
  <r>
    <s v="00-73560289"/>
    <s v="Logan"/>
    <s v="Fischer"/>
    <s v="Male"/>
    <s v="New York"/>
    <s v="New York City"/>
    <s v="Bachelor"/>
    <d v="1971-07-24T00:00:00"/>
    <d v="2022-06-21T00:00:00"/>
    <d v="2022-12-18T00:00:00"/>
    <x v="6"/>
    <s v="Sales Representative"/>
    <n v="64327"/>
    <s v="Satisfactory"/>
    <n v="0.49315068493150682"/>
    <s v="Active"/>
    <x v="24"/>
    <s v="Medium"/>
  </r>
  <r>
    <s v="00-72415804"/>
    <s v="Cheyenne"/>
    <s v="Ball"/>
    <s v="Male"/>
    <s v="Michigan"/>
    <s v="Grand Rapids"/>
    <s v="Bachelor"/>
    <d v="1981-10-23T00:00:00"/>
    <d v="2022-07-16T00:00:00"/>
    <d v="2023-01-12T00:00:00"/>
    <x v="1"/>
    <s v="Software Developer"/>
    <n v="91360"/>
    <s v="Good"/>
    <n v="0.49315068493150682"/>
    <s v="Terminated"/>
    <x v="25"/>
    <s v="Medium"/>
  </r>
  <r>
    <s v="00-91321540"/>
    <s v="Ronald"/>
    <s v="Meadows"/>
    <s v="Male"/>
    <s v="New York"/>
    <s v="New York City"/>
    <s v="Bachelor"/>
    <d v="1973-10-28T00:00:00"/>
    <d v="2021-06-23T00:00:00"/>
    <d v="2021-12-20T00:00:00"/>
    <x v="4"/>
    <s v="SEO Specialist"/>
    <n v="73844"/>
    <s v="Satisfactory"/>
    <n v="4.536986301369863"/>
    <s v="Active"/>
    <x v="15"/>
    <s v="Medium"/>
  </r>
  <r>
    <s v="00-25372341"/>
    <s v="Phyllis"/>
    <s v="Manning"/>
    <s v="Male"/>
    <s v="New York"/>
    <s v="New York City"/>
    <s v="Bachelor"/>
    <d v="1997-07-15T00:00:00"/>
    <d v="2023-07-04T00:00:00"/>
    <d v="2023-12-31T00:00:00"/>
    <x v="2"/>
    <s v="Logistics Coordinator"/>
    <n v="65413"/>
    <s v="Satisfactory"/>
    <n v="4.7260273972602738"/>
    <s v="Active"/>
    <x v="34"/>
    <s v="Medium"/>
  </r>
  <r>
    <s v="00-24508768"/>
    <s v="Shannon"/>
    <s v="Walton"/>
    <s v="Male"/>
    <s v="New York"/>
    <s v="New York City"/>
    <s v="Bachelor"/>
    <d v="1972-03-15T00:00:00"/>
    <d v="2020-11-22T00:00:00"/>
    <d v="2021-05-21T00:00:00"/>
    <x v="1"/>
    <s v="Software Developer"/>
    <n v="95493"/>
    <s v="Good"/>
    <n v="2.452054794520548"/>
    <s v="Terminated"/>
    <x v="24"/>
    <s v="Medium"/>
  </r>
  <r>
    <s v="00-60372847"/>
    <s v="Dana"/>
    <s v="Cannon"/>
    <s v="Male"/>
    <s v="Michigan"/>
    <s v="Grand Rapids"/>
    <s v="Bachelor"/>
    <d v="1995-02-02T00:00:00"/>
    <d v="2019-07-22T00:00:00"/>
    <d v="2022-06-08T00:00:00"/>
    <x v="6"/>
    <s v="Sales Representative"/>
    <n v="82548"/>
    <s v="Satisfactory"/>
    <n v="7.1643835616438354"/>
    <s v="Active"/>
    <x v="2"/>
    <s v="Medium"/>
  </r>
  <r>
    <s v="00-20200074"/>
    <s v="Todd"/>
    <s v="Allen"/>
    <s v="Female"/>
    <s v="New York"/>
    <s v="New York City"/>
    <s v="Bachelor"/>
    <d v="1972-10-12T00:00:00"/>
    <d v="2020-06-19T00:00:00"/>
    <d v="2020-12-16T00:00:00"/>
    <x v="3"/>
    <s v="Financial Analyst"/>
    <n v="95235"/>
    <s v="Good"/>
    <n v="0.49315068493150682"/>
    <s v="Terminated"/>
    <x v="36"/>
    <s v="Medium"/>
  </r>
  <r>
    <s v="00-23676961"/>
    <s v="Chris"/>
    <s v="Mitchell"/>
    <s v="Female"/>
    <s v="New York"/>
    <s v="New York City"/>
    <s v="Bachelor"/>
    <d v="1962-10-29T00:00:00"/>
    <d v="2022-04-16T00:00:00"/>
    <d v="2022-10-13T00:00:00"/>
    <x v="4"/>
    <s v="SEO Specialist"/>
    <n v="81450"/>
    <s v="Good"/>
    <n v="0.49315068493150682"/>
    <s v="Active"/>
    <x v="13"/>
    <s v="Medium"/>
  </r>
  <r>
    <s v="00-90585882"/>
    <s v="Matthew"/>
    <s v="Orozco"/>
    <s v="Female"/>
    <s v="New York"/>
    <s v="New York City"/>
    <s v="Bachelor"/>
    <d v="2001-10-14T00:00:00"/>
    <d v="2023-02-01T00:00:00"/>
    <d v="2023-07-31T00:00:00"/>
    <x v="4"/>
    <s v="Content Creator"/>
    <n v="58407"/>
    <s v="Excellent"/>
    <n v="0.49315068493150682"/>
    <s v="Active"/>
    <x v="11"/>
    <s v="Low"/>
  </r>
  <r>
    <s v="00-15512205"/>
    <s v="Devon"/>
    <s v="Hall"/>
    <s v="Male"/>
    <s v="New York"/>
    <s v="New York City"/>
    <s v="Bachelor"/>
    <d v="1969-06-04T00:00:00"/>
    <d v="2018-09-27T00:00:00"/>
    <d v="2021-08-07T00:00:00"/>
    <x v="6"/>
    <s v="Sales Representative"/>
    <n v="81959"/>
    <s v="Satisfactory"/>
    <n v="0.49315068493150682"/>
    <s v="Active"/>
    <x v="23"/>
    <s v="Medium"/>
  </r>
  <r>
    <s v="00-59737181"/>
    <s v="Eric"/>
    <s v="Lewis"/>
    <s v="Male"/>
    <s v="New York"/>
    <s v="New York City"/>
    <s v="PhD"/>
    <d v="1968-09-02T00:00:00"/>
    <d v="2016-06-10T00:00:00"/>
    <d v="2021-05-12T00:00:00"/>
    <x v="6"/>
    <s v="Sales Specialist"/>
    <n v="74105"/>
    <s v="Excellent"/>
    <n v="0.49315068493150682"/>
    <s v="Terminated"/>
    <x v="42"/>
    <s v="Medium"/>
  </r>
  <r>
    <s v="00-11698142"/>
    <s v="Rick"/>
    <s v="Daniels"/>
    <s v="Male"/>
    <s v="New York"/>
    <s v="New York City"/>
    <s v="Bachelor"/>
    <d v="1993-10-20T00:00:00"/>
    <d v="2023-06-11T00:00:00"/>
    <d v="2023-12-08T00:00:00"/>
    <x v="0"/>
    <s v="Help Desk Technician"/>
    <n v="78079"/>
    <s v="Satisfactory"/>
    <n v="0.49315068493150682"/>
    <s v="Active"/>
    <x v="8"/>
    <s v="Medium"/>
  </r>
  <r>
    <s v="00-68186525"/>
    <s v="Bryan"/>
    <s v="Wall"/>
    <s v="Male"/>
    <s v="Illinois"/>
    <s v="Naperville"/>
    <s v="High School"/>
    <d v="1975-04-29T00:00:00"/>
    <d v="2024-05-31T00:00:00"/>
    <d v="2024-11-27T00:00:00"/>
    <x v="0"/>
    <s v="Customer Service Representative"/>
    <n v="60685"/>
    <s v="Excellent"/>
    <n v="0.49315068493150682"/>
    <s v="Active"/>
    <x v="33"/>
    <s v="Medium"/>
  </r>
  <r>
    <s v="00-71705170"/>
    <s v="Rebecca"/>
    <s v="Silva"/>
    <s v="Male"/>
    <s v="New York"/>
    <s v="New York City"/>
    <s v="Master"/>
    <d v="1970-05-28T00:00:00"/>
    <d v="2022-09-28T00:00:00"/>
    <d v="2023-03-27T00:00:00"/>
    <x v="1"/>
    <s v="System Administrator"/>
    <n v="91983"/>
    <s v="Good"/>
    <n v="0.49315068493150682"/>
    <s v="Active"/>
    <x v="21"/>
    <s v="Medium"/>
  </r>
  <r>
    <s v="00-80027662"/>
    <s v="Andrew"/>
    <s v="Gilmore"/>
    <s v="Male"/>
    <s v="New York"/>
    <s v="New York City"/>
    <s v="Bachelor"/>
    <d v="1983-11-26T00:00:00"/>
    <d v="2018-08-11T00:00:00"/>
    <d v="2019-02-07T00:00:00"/>
    <x v="2"/>
    <s v="Inventory Specialist"/>
    <n v="68235"/>
    <s v="Good"/>
    <n v="0.49315068493150682"/>
    <s v="Active"/>
    <x v="22"/>
    <s v="Medium"/>
  </r>
  <r>
    <s v="00-82232344"/>
    <s v="Omar"/>
    <s v="Smith"/>
    <s v="Female"/>
    <s v="New York"/>
    <s v="New York City"/>
    <s v="Master"/>
    <d v="1972-06-02T00:00:00"/>
    <d v="2023-05-17T00:00:00"/>
    <d v="2023-11-13T00:00:00"/>
    <x v="6"/>
    <s v="Sales Consultant"/>
    <n v="96575"/>
    <s v="Excellent"/>
    <n v="2.882191780821918"/>
    <s v="Active"/>
    <x v="36"/>
    <s v="Medium"/>
  </r>
  <r>
    <s v="00-89520597"/>
    <s v="Kenneth"/>
    <s v="Price"/>
    <s v="Female"/>
    <s v="North Carolina"/>
    <s v="Charlotte"/>
    <s v="High School"/>
    <d v="1981-02-06T00:00:00"/>
    <d v="2017-12-13T00:00:00"/>
    <d v="2019-06-14T00:00:00"/>
    <x v="0"/>
    <s v="Help Desk Technician"/>
    <n v="80107"/>
    <s v="Needs Improvement"/>
    <n v="0.49315068493150682"/>
    <s v="Active"/>
    <x v="3"/>
    <s v="Medium"/>
  </r>
  <r>
    <s v="00-21631697"/>
    <s v="Stephanie"/>
    <s v="Barnes"/>
    <s v="Male"/>
    <s v="Illinois"/>
    <s v="Naperville"/>
    <s v="Master"/>
    <d v="1987-06-10T00:00:00"/>
    <d v="2017-10-18T00:00:00"/>
    <d v="2018-04-16T00:00:00"/>
    <x v="6"/>
    <s v="Sales Manager"/>
    <n v="111822"/>
    <s v="Excellent"/>
    <n v="0.49315068493150682"/>
    <s v="Active"/>
    <x v="1"/>
    <s v="High"/>
  </r>
  <r>
    <s v="00-72372114"/>
    <s v="Jessica"/>
    <s v="Marsh"/>
    <s v="Female"/>
    <s v="New York"/>
    <s v="New York City"/>
    <s v="Bachelor"/>
    <d v="1973-06-26T00:00:00"/>
    <d v="2020-12-14T00:00:00"/>
    <d v="2021-06-12T00:00:00"/>
    <x v="6"/>
    <s v="Sales Consultant"/>
    <n v="74894"/>
    <s v="Good"/>
    <n v="0.49315068493150682"/>
    <s v="Active"/>
    <x v="15"/>
    <s v="Medium"/>
  </r>
  <r>
    <s v="00-55150390"/>
    <s v="Jeffrey"/>
    <s v="Robinson"/>
    <s v="Male"/>
    <s v="New York"/>
    <s v="New York City"/>
    <s v="Bachelor"/>
    <d v="1983-09-16T00:00:00"/>
    <d v="2015-06-19T00:00:00"/>
    <d v="2018-09-03T00:00:00"/>
    <x v="0"/>
    <s v="Customer Service Representative"/>
    <n v="68170"/>
    <s v="Satisfactory"/>
    <n v="2.8630136986301369"/>
    <s v="Active"/>
    <x v="22"/>
    <s v="Medium"/>
  </r>
  <r>
    <s v="00-75437844"/>
    <s v="Todd"/>
    <s v="Price"/>
    <s v="Male"/>
    <s v="Michigan"/>
    <s v="Detroit"/>
    <s v="High School"/>
    <d v="1986-04-23T00:00:00"/>
    <d v="2017-09-17T00:00:00"/>
    <d v="2018-03-16T00:00:00"/>
    <x v="1"/>
    <s v="IT Support Specialist"/>
    <n v="58120"/>
    <s v="Needs Improvement"/>
    <n v="4.9232876712328766"/>
    <s v="Terminated"/>
    <x v="28"/>
    <s v="Low"/>
  </r>
  <r>
    <s v="00-47535126"/>
    <s v="Erin"/>
    <s v="Powell"/>
    <s v="Male"/>
    <s v="New York"/>
    <s v="New York City"/>
    <s v="Master"/>
    <d v="1992-02-02T00:00:00"/>
    <d v="2023-03-06T00:00:00"/>
    <d v="2023-09-02T00:00:00"/>
    <x v="6"/>
    <s v="Sales Consultant"/>
    <n v="69351"/>
    <s v="Excellent"/>
    <n v="0.49315068493150682"/>
    <s v="Terminated"/>
    <x v="5"/>
    <s v="Medium"/>
  </r>
  <r>
    <s v="00-84597009"/>
    <s v="Mary"/>
    <s v="Calhoun"/>
    <s v="Female"/>
    <s v="New York"/>
    <s v="New York City"/>
    <s v="Bachelor"/>
    <d v="1980-05-16T00:00:00"/>
    <d v="2015-08-30T00:00:00"/>
    <d v="2020-06-11T00:00:00"/>
    <x v="2"/>
    <s v="Inventory Specialist"/>
    <n v="63090"/>
    <s v="Needs Improvement"/>
    <n v="0.49315068493150682"/>
    <s v="Active"/>
    <x v="3"/>
    <s v="Medium"/>
  </r>
  <r>
    <s v="00-42394260"/>
    <s v="Amanda"/>
    <s v="Meadows"/>
    <s v="Female"/>
    <s v="North Carolina"/>
    <s v="Charlotte"/>
    <s v="Bachelor"/>
    <d v="1969-09-08T00:00:00"/>
    <d v="2022-08-18T00:00:00"/>
    <d v="2023-02-14T00:00:00"/>
    <x v="3"/>
    <s v="Accountant"/>
    <n v="66590"/>
    <s v="Good"/>
    <n v="0.49315068493150682"/>
    <s v="Active"/>
    <x v="23"/>
    <s v="Medium"/>
  </r>
  <r>
    <s v="00-42255732"/>
    <s v="Anne"/>
    <s v="Johnson"/>
    <s v="Male"/>
    <s v="New York"/>
    <s v="New York City"/>
    <s v="Bachelor"/>
    <d v="1960-07-07T00:00:00"/>
    <d v="2022-09-07T00:00:00"/>
    <d v="2023-03-06T00:00:00"/>
    <x v="1"/>
    <s v="Software Developer"/>
    <n v="94979"/>
    <s v="Good"/>
    <n v="0.49315068493150682"/>
    <s v="Active"/>
    <x v="20"/>
    <s v="Medium"/>
  </r>
  <r>
    <s v="00-75876924"/>
    <s v="Roy"/>
    <s v="Camacho"/>
    <s v="Female"/>
    <s v="New York"/>
    <s v="New York City"/>
    <s v="Bachelor"/>
    <d v="1966-04-15T00:00:00"/>
    <d v="2019-03-12T00:00:00"/>
    <d v="2019-09-08T00:00:00"/>
    <x v="0"/>
    <s v="Support Specialist"/>
    <n v="68030"/>
    <s v="Good"/>
    <n v="0.49315068493150682"/>
    <s v="Terminated"/>
    <x v="40"/>
    <s v="Medium"/>
  </r>
  <r>
    <s v="00-49491631"/>
    <s v="Brent"/>
    <s v="Gray"/>
    <s v="Female"/>
    <s v="Michigan"/>
    <s v="Detroit"/>
    <s v="Bachelor"/>
    <d v="1989-08-19T00:00:00"/>
    <d v="2017-03-24T00:00:00"/>
    <d v="2023-12-12T00:00:00"/>
    <x v="4"/>
    <s v="Content Creator"/>
    <n v="55734"/>
    <s v="Satisfactory"/>
    <n v="1.5013698630136989"/>
    <s v="Active"/>
    <x v="35"/>
    <s v="Low"/>
  </r>
  <r>
    <s v="00-51098277"/>
    <s v="Shawn"/>
    <s v="Rogers"/>
    <s v="Female"/>
    <s v="Pennsylvania"/>
    <s v="Philadelphia"/>
    <s v="Bachelor"/>
    <d v="1969-05-26T00:00:00"/>
    <d v="2022-12-08T00:00:00"/>
    <d v="2023-06-06T00:00:00"/>
    <x v="6"/>
    <s v="Sales Representative"/>
    <n v="65009"/>
    <s v="Satisfactory"/>
    <n v="0.49315068493150682"/>
    <s v="Terminated"/>
    <x v="23"/>
    <s v="Medium"/>
  </r>
  <r>
    <s v="00-84285882"/>
    <s v="Nicholas"/>
    <s v="Walton"/>
    <s v="Female"/>
    <s v="Michigan"/>
    <s v="Grand Rapids"/>
    <s v="PhD"/>
    <d v="1990-04-07T00:00:00"/>
    <d v="2020-11-19T00:00:00"/>
    <d v="2021-05-18T00:00:00"/>
    <x v="6"/>
    <s v="Sales Specialist"/>
    <n v="73797"/>
    <s v="Excellent"/>
    <n v="0.49315068493150682"/>
    <s v="Active"/>
    <x v="35"/>
    <s v="Medium"/>
  </r>
  <r>
    <s v="00-83871890"/>
    <s v="Robert"/>
    <s v="Conley"/>
    <s v="Female"/>
    <s v="New York"/>
    <s v="New York City"/>
    <s v="Bachelor"/>
    <d v="1961-10-18T00:00:00"/>
    <d v="2018-07-02T00:00:00"/>
    <d v="2020-01-29T00:00:00"/>
    <x v="0"/>
    <s v="Customer Service Representative"/>
    <n v="59391"/>
    <s v="Good"/>
    <n v="3.2109589041095892"/>
    <s v="Terminated"/>
    <x v="43"/>
    <s v="Low"/>
  </r>
  <r>
    <s v="00-46361787"/>
    <s v="Andrew"/>
    <s v="Ryan"/>
    <s v="Male"/>
    <s v="New York"/>
    <s v="New York City"/>
    <s v="Bachelor"/>
    <d v="1977-12-08T00:00:00"/>
    <d v="2018-05-16T00:00:00"/>
    <d v="2018-11-12T00:00:00"/>
    <x v="6"/>
    <s v="Sales Consultant"/>
    <n v="95438"/>
    <s v="Good"/>
    <n v="0.49315068493150682"/>
    <s v="Terminated"/>
    <x v="18"/>
    <s v="Medium"/>
  </r>
  <r>
    <s v="00-35848226"/>
    <s v="Jeffrey"/>
    <s v="Jones"/>
    <s v="Female"/>
    <s v="New York"/>
    <s v="New York City"/>
    <s v="Bachelor"/>
    <d v="1992-01-31T00:00:00"/>
    <d v="2018-09-11T00:00:00"/>
    <d v="2019-03-10T00:00:00"/>
    <x v="4"/>
    <s v="Marketing Coordinator"/>
    <n v="52863"/>
    <s v="Satisfactory"/>
    <n v="0.49315068493150682"/>
    <s v="Active"/>
    <x v="5"/>
    <s v="Low"/>
  </r>
  <r>
    <s v="00-34850391"/>
    <s v="Billy"/>
    <s v="Johnson"/>
    <s v="Female"/>
    <s v="Pennsylvania"/>
    <s v="Philadelphia"/>
    <s v="Bachelor"/>
    <d v="1976-11-04T00:00:00"/>
    <d v="2017-04-07T00:00:00"/>
    <d v="2024-12-23T00:00:00"/>
    <x v="6"/>
    <s v="Sales Representative"/>
    <n v="59645"/>
    <s v="Good"/>
    <n v="4.7863013698630139"/>
    <s v="Active"/>
    <x v="32"/>
    <s v="Low"/>
  </r>
  <r>
    <s v="00-47111151"/>
    <s v="James"/>
    <s v="Smith"/>
    <s v="Female"/>
    <s v="New York"/>
    <s v="New York City"/>
    <s v="Master"/>
    <d v="1990-04-24T00:00:00"/>
    <d v="2022-03-01T00:00:00"/>
    <d v="2022-08-28T00:00:00"/>
    <x v="1"/>
    <s v="System Administrator"/>
    <n v="72411"/>
    <s v="Excellent"/>
    <n v="0.49315068493150682"/>
    <s v="Terminated"/>
    <x v="16"/>
    <s v="Medium"/>
  </r>
  <r>
    <s v="00-47983442"/>
    <s v="John"/>
    <s v="Wells"/>
    <s v="Female"/>
    <s v="North Carolina"/>
    <s v="Charlotte"/>
    <s v="Master"/>
    <d v="1980-08-02T00:00:00"/>
    <d v="2024-02-14T00:00:00"/>
    <d v="2024-08-12T00:00:00"/>
    <x v="6"/>
    <s v="Sales Consultant"/>
    <n v="92457"/>
    <s v="Good"/>
    <n v="0.49315068493150682"/>
    <s v="Active"/>
    <x v="3"/>
    <s v="Medium"/>
  </r>
  <r>
    <s v="00-40532273"/>
    <s v="Anne"/>
    <s v="Robinson"/>
    <s v="Female"/>
    <s v="New York"/>
    <s v="New York City"/>
    <s v="Bachelor"/>
    <d v="1962-09-03T00:00:00"/>
    <d v="2018-09-29T00:00:00"/>
    <d v="2019-03-28T00:00:00"/>
    <x v="0"/>
    <s v="Customer Service Representative"/>
    <n v="64737"/>
    <s v="Good"/>
    <n v="0.49315068493150682"/>
    <s v="Active"/>
    <x v="13"/>
    <s v="Medium"/>
  </r>
  <r>
    <s v="00-84270583"/>
    <s v="Catherine"/>
    <s v="Adkins"/>
    <s v="Male"/>
    <s v="New York"/>
    <s v="New York City"/>
    <s v="Bachelor"/>
    <d v="1996-03-25T00:00:00"/>
    <d v="2017-02-14T00:00:00"/>
    <d v="2024-11-08T00:00:00"/>
    <x v="2"/>
    <s v="Inventory Specialist"/>
    <n v="63371"/>
    <s v="Good"/>
    <n v="6.7232876712328764"/>
    <s v="Terminated"/>
    <x v="6"/>
    <s v="Medium"/>
  </r>
  <r>
    <s v="00-75884623"/>
    <s v="Kimberly"/>
    <s v="Martin"/>
    <s v="Female"/>
    <s v="New York"/>
    <s v="New York City"/>
    <s v="High School"/>
    <d v="1994-02-21T00:00:00"/>
    <d v="2016-04-30T00:00:00"/>
    <d v="2019-01-27T00:00:00"/>
    <x v="2"/>
    <s v="Inventory Specialist"/>
    <n v="61038"/>
    <s v="Needs Improvement"/>
    <n v="0.49315068493150682"/>
    <s v="Active"/>
    <x v="8"/>
    <s v="Medium"/>
  </r>
  <r>
    <s v="00-48163378"/>
    <s v="Daniel"/>
    <s v="Johnson"/>
    <s v="Male"/>
    <s v="New York"/>
    <s v="New York City"/>
    <s v="Master"/>
    <d v="1990-12-09T00:00:00"/>
    <d v="2019-05-02T00:00:00"/>
    <d v="2022-03-29T00:00:00"/>
    <x v="1"/>
    <s v="Software Developer"/>
    <n v="102531"/>
    <s v="Good"/>
    <n v="0.49315068493150682"/>
    <s v="Terminated"/>
    <x v="16"/>
    <s v="High"/>
  </r>
  <r>
    <s v="00-34744872"/>
    <s v="Barbara"/>
    <s v="Odonnell"/>
    <s v="Male"/>
    <s v="Illinois"/>
    <s v="Chicago"/>
    <s v="Bachelor"/>
    <d v="1996-11-13T00:00:00"/>
    <d v="2024-05-25T00:00:00"/>
    <d v="2024-11-21T00:00:00"/>
    <x v="4"/>
    <s v="Marketing Coordinator"/>
    <n v="72436"/>
    <s v="Good"/>
    <n v="1.5780821917808221"/>
    <s v="Active"/>
    <x v="39"/>
    <s v="Medium"/>
  </r>
  <r>
    <s v="00-74119726"/>
    <s v="Randy"/>
    <s v="Espinoza"/>
    <s v="Male"/>
    <s v="Ohio"/>
    <s v="Cleveland"/>
    <s v="Bachelor"/>
    <d v="1996-03-22T00:00:00"/>
    <d v="2016-01-30T00:00:00"/>
    <d v="2023-10-23T00:00:00"/>
    <x v="6"/>
    <s v="Sales Representative"/>
    <n v="62740"/>
    <s v="Satisfactory"/>
    <n v="0.49315068493150682"/>
    <s v="Terminated"/>
    <x v="6"/>
    <s v="Medium"/>
  </r>
  <r>
    <s v="00-76001106"/>
    <s v="Brittany"/>
    <s v="Rivas"/>
    <s v="Male"/>
    <s v="New York"/>
    <s v="New York City"/>
    <s v="Bachelor"/>
    <d v="1986-04-03T00:00:00"/>
    <d v="2016-04-04T00:00:00"/>
    <d v="2016-10-01T00:00:00"/>
    <x v="3"/>
    <s v="Accountant"/>
    <n v="71374"/>
    <s v="Satisfactory"/>
    <n v="0.49315068493150682"/>
    <s v="Active"/>
    <x v="38"/>
    <s v="Medium"/>
  </r>
  <r>
    <s v="00-17195288"/>
    <s v="Curtis"/>
    <s v="Barton"/>
    <s v="Female"/>
    <s v="New York"/>
    <s v="New York City"/>
    <s v="High School"/>
    <d v="1989-07-03T00:00:00"/>
    <d v="2017-11-27T00:00:00"/>
    <d v="2018-12-19T00:00:00"/>
    <x v="4"/>
    <s v="Content Creator"/>
    <n v="53525"/>
    <s v="Needs Improvement"/>
    <n v="7.7178082191780826"/>
    <s v="Terminated"/>
    <x v="35"/>
    <s v="Low"/>
  </r>
  <r>
    <s v="00-21432787"/>
    <s v="Gabrielle"/>
    <s v="Trujillo"/>
    <s v="Female"/>
    <s v="New York"/>
    <s v="New York City"/>
    <s v="Bachelor"/>
    <d v="1970-04-30T00:00:00"/>
    <d v="2018-11-05T00:00:00"/>
    <d v="2019-05-04T00:00:00"/>
    <x v="0"/>
    <s v="Support Specialist"/>
    <n v="57059"/>
    <s v="Satisfactory"/>
    <n v="0.49315068493150682"/>
    <s v="Terminated"/>
    <x v="21"/>
    <s v="Low"/>
  </r>
  <r>
    <s v="00-65857931"/>
    <s v="Tonya"/>
    <s v="Patton"/>
    <s v="Female"/>
    <s v="New York"/>
    <s v="New York City"/>
    <s v="High School"/>
    <d v="1999-05-26T00:00:00"/>
    <d v="2021-05-15T00:00:00"/>
    <d v="2021-11-11T00:00:00"/>
    <x v="0"/>
    <s v="Help Desk Technician"/>
    <n v="81281"/>
    <s v="Needs Improvement"/>
    <n v="0.49315068493150682"/>
    <s v="Terminated"/>
    <x v="41"/>
    <s v="Medium"/>
  </r>
  <r>
    <s v="00-80138498"/>
    <s v="Amanda"/>
    <s v="Stanley"/>
    <s v="Male"/>
    <s v="New York"/>
    <s v="New York City"/>
    <s v="Bachelor"/>
    <d v="1973-05-26T00:00:00"/>
    <d v="2018-01-27T00:00:00"/>
    <d v="2018-07-26T00:00:00"/>
    <x v="6"/>
    <s v="Sales Representative"/>
    <n v="77133"/>
    <s v="Good"/>
    <n v="0.49315068493150682"/>
    <s v="Terminated"/>
    <x v="15"/>
    <s v="Medium"/>
  </r>
  <r>
    <s v="00-88990506"/>
    <s v="William"/>
    <s v="Peterson"/>
    <s v="Male"/>
    <s v="Illinois"/>
    <s v="Chicago"/>
    <s v="Bachelor"/>
    <d v="1977-01-27T00:00:00"/>
    <d v="2018-11-25T00:00:00"/>
    <d v="2019-05-24T00:00:00"/>
    <x v="2"/>
    <s v="Logistics Coordinator"/>
    <n v="59761"/>
    <s v="Excellent"/>
    <n v="8.632876712328768"/>
    <s v="Active"/>
    <x v="32"/>
    <s v="Low"/>
  </r>
  <r>
    <s v="00-93352876"/>
    <s v="Robert"/>
    <s v="Henry"/>
    <s v="Male"/>
    <s v="New York"/>
    <s v="New York City"/>
    <s v="High School"/>
    <d v="1970-04-05T00:00:00"/>
    <d v="2016-06-17T00:00:00"/>
    <d v="2016-12-14T00:00:00"/>
    <x v="0"/>
    <s v="Help Desk Technician"/>
    <n v="69063"/>
    <s v="Needs Improvement"/>
    <n v="7.7369863013698632"/>
    <s v="Terminated"/>
    <x v="23"/>
    <s v="Medium"/>
  </r>
  <r>
    <s v="00-37888820"/>
    <s v="Susan"/>
    <s v="Reid"/>
    <s v="Male"/>
    <s v="New York"/>
    <s v="New York City"/>
    <s v="Master"/>
    <d v="1977-10-31T00:00:00"/>
    <d v="2021-11-18T00:00:00"/>
    <d v="2022-05-17T00:00:00"/>
    <x v="1"/>
    <s v="System Administrator"/>
    <n v="89816"/>
    <s v="Good"/>
    <n v="2.7452054794520548"/>
    <s v="Terminated"/>
    <x v="18"/>
    <s v="Medium"/>
  </r>
  <r>
    <s v="00-20896797"/>
    <s v="Steve"/>
    <s v="Hernandez"/>
    <s v="Male"/>
    <s v="Ohio"/>
    <s v="Columbus"/>
    <s v="Bachelor"/>
    <d v="1993-10-30T00:00:00"/>
    <d v="2017-03-10T00:00:00"/>
    <d v="2021-08-28T00:00:00"/>
    <x v="3"/>
    <s v="Accounts Payable Specialist"/>
    <n v="61703"/>
    <s v="Good"/>
    <n v="2.9095890410958898"/>
    <s v="Terminated"/>
    <x v="8"/>
    <s v="Medium"/>
  </r>
  <r>
    <s v="00-89699989"/>
    <s v="Christina"/>
    <s v="Gillespie"/>
    <s v="Male"/>
    <s v="New York"/>
    <s v="New York City"/>
    <s v="Bachelor"/>
    <d v="1964-01-12T00:00:00"/>
    <d v="2019-10-28T00:00:00"/>
    <d v="2020-04-25T00:00:00"/>
    <x v="0"/>
    <s v="Help Desk Technician"/>
    <n v="66381"/>
    <s v="Excellent"/>
    <n v="0.49315068493150682"/>
    <s v="Terminated"/>
    <x v="12"/>
    <s v="Medium"/>
  </r>
  <r>
    <s v="00-48668783"/>
    <s v="Timothy"/>
    <s v="Graham"/>
    <s v="Female"/>
    <s v="New York"/>
    <s v="New York City"/>
    <s v="High School"/>
    <d v="1981-06-16T00:00:00"/>
    <d v="2022-10-11T00:00:00"/>
    <d v="2023-04-09T00:00:00"/>
    <x v="2"/>
    <s v="Inventory Specialist"/>
    <n v="57499"/>
    <s v="Needs Improvement"/>
    <n v="7.7342465753424658"/>
    <s v="Terminated"/>
    <x v="25"/>
    <s v="Low"/>
  </r>
  <r>
    <s v="00-70939053"/>
    <s v="Brittany"/>
    <s v="Morris"/>
    <s v="Female"/>
    <s v="New York"/>
    <s v="New York City"/>
    <s v="Bachelor"/>
    <d v="1975-02-10T00:00:00"/>
    <d v="2016-04-05T00:00:00"/>
    <d v="2024-04-01T00:00:00"/>
    <x v="2"/>
    <s v="Inventory Specialist"/>
    <n v="56166"/>
    <s v="Excellent"/>
    <n v="0.49315068493150682"/>
    <s v="Terminated"/>
    <x v="9"/>
    <s v="Low"/>
  </r>
  <r>
    <s v="00-93893865"/>
    <s v="Mariah"/>
    <s v="Miller"/>
    <s v="Male"/>
    <s v="New York"/>
    <s v="New York City"/>
    <s v="Bachelor"/>
    <d v="1997-09-07T00:00:00"/>
    <d v="2020-12-08T00:00:00"/>
    <d v="2022-07-23T00:00:00"/>
    <x v="6"/>
    <s v="Sales Representative"/>
    <n v="82595"/>
    <s v="Good"/>
    <n v="1.0602739726027399"/>
    <s v="Terminated"/>
    <x v="34"/>
    <s v="Medium"/>
  </r>
  <r>
    <s v="00-25405014"/>
    <s v="Shannon"/>
    <s v="Christensen"/>
    <s v="Male"/>
    <s v="New York"/>
    <s v="New York City"/>
    <s v="High School"/>
    <d v="1996-04-01T00:00:00"/>
    <d v="2020-08-09T00:00:00"/>
    <d v="2022-07-22T00:00:00"/>
    <x v="2"/>
    <s v="Inventory Specialist"/>
    <n v="62555"/>
    <s v="Needs Improvement"/>
    <n v="0.49315068493150682"/>
    <s v="Terminated"/>
    <x v="6"/>
    <s v="Medium"/>
  </r>
  <r>
    <s v="00-45652586"/>
    <s v="Cheryl"/>
    <s v="Gray"/>
    <s v="Female"/>
    <s v="Michigan"/>
    <s v="Warren"/>
    <s v="Bachelor"/>
    <d v="1961-03-16T00:00:00"/>
    <d v="2023-01-12T00:00:00"/>
    <d v="2023-07-11T00:00:00"/>
    <x v="2"/>
    <s v="Inventory Specialist"/>
    <n v="65121"/>
    <s v="Good"/>
    <n v="0.49315068493150682"/>
    <s v="Terminated"/>
    <x v="20"/>
    <s v="Medium"/>
  </r>
  <r>
    <s v="00-32269779"/>
    <s v="Troy"/>
    <s v="Nguyen"/>
    <s v="Male"/>
    <s v="New York"/>
    <s v="New York City"/>
    <s v="Bachelor"/>
    <d v="1992-07-02T00:00:00"/>
    <d v="2017-07-09T00:00:00"/>
    <d v="2018-01-05T00:00:00"/>
    <x v="4"/>
    <s v="Marketing Coordinator"/>
    <n v="73622"/>
    <s v="Good"/>
    <n v="0.49315068493150682"/>
    <s v="Terminated"/>
    <x v="17"/>
    <s v="Medium"/>
  </r>
  <r>
    <s v="00-86397676"/>
    <s v="Jason"/>
    <s v="Salinas"/>
    <s v="Female"/>
    <s v="New York"/>
    <s v="New York City"/>
    <s v="PhD"/>
    <d v="1966-11-29T00:00:00"/>
    <d v="2024-05-12T00:00:00"/>
    <d v="2024-11-08T00:00:00"/>
    <x v="3"/>
    <s v="Financial Analyst"/>
    <n v="107609"/>
    <s v="Excellent"/>
    <n v="0.49315068493150682"/>
    <s v="Active"/>
    <x v="40"/>
    <s v="High"/>
  </r>
  <r>
    <s v="00-72907576"/>
    <s v="Joshua"/>
    <s v="Carlson"/>
    <s v="Female"/>
    <s v="New York"/>
    <s v="New York City"/>
    <s v="High School"/>
    <d v="1999-07-16T00:00:00"/>
    <d v="2022-12-08T00:00:00"/>
    <d v="2023-06-06T00:00:00"/>
    <x v="1"/>
    <s v="IT Support Specialist"/>
    <n v="55096"/>
    <s v="Needs Improvement"/>
    <n v="0.49315068493150682"/>
    <s v="Terminated"/>
    <x v="41"/>
    <s v="Low"/>
  </r>
  <r>
    <s v="00-46540265"/>
    <s v="Joshua"/>
    <s v="Smith"/>
    <s v="Female"/>
    <s v="New York"/>
    <s v="New York City"/>
    <s v="Bachelor"/>
    <d v="1986-12-19T00:00:00"/>
    <d v="2020-03-15T00:00:00"/>
    <d v="2021-06-15T00:00:00"/>
    <x v="2"/>
    <s v="Operations Analyst"/>
    <n v="69793"/>
    <s v="Excellent"/>
    <n v="0.49315068493150682"/>
    <s v="Terminated"/>
    <x v="28"/>
    <s v="Medium"/>
  </r>
  <r>
    <s v="00-20796722"/>
    <s v="Christopher"/>
    <s v="Cortez"/>
    <s v="Female"/>
    <s v="Michigan"/>
    <s v="Detroit"/>
    <s v="Bachelor"/>
    <d v="1982-07-18T00:00:00"/>
    <d v="2020-07-08T00:00:00"/>
    <d v="2021-09-18T00:00:00"/>
    <x v="1"/>
    <s v="Software Developer"/>
    <n v="102129"/>
    <s v="Satisfactory"/>
    <n v="4.4712328767123291"/>
    <s v="Terminated"/>
    <x v="19"/>
    <s v="High"/>
  </r>
  <r>
    <s v="00-53261270"/>
    <s v="Angela"/>
    <s v="Allen"/>
    <s v="Male"/>
    <s v="New York"/>
    <s v="New York City"/>
    <s v="Master"/>
    <d v="1986-05-27T00:00:00"/>
    <d v="2021-07-04T00:00:00"/>
    <d v="2021-12-31T00:00:00"/>
    <x v="1"/>
    <s v="System Administrator"/>
    <n v="67886"/>
    <s v="Excellent"/>
    <n v="7.9890410958904106"/>
    <s v="Active"/>
    <x v="28"/>
    <s v="Medium"/>
  </r>
  <r>
    <s v="00-40725714"/>
    <s v="Debbie"/>
    <s v="Henry"/>
    <s v="Female"/>
    <s v="New York"/>
    <s v="New York City"/>
    <s v="Bachelor"/>
    <d v="1983-11-24T00:00:00"/>
    <d v="2018-11-03T00:00:00"/>
    <d v="2019-05-02T00:00:00"/>
    <x v="2"/>
    <s v="Operations Analyst"/>
    <n v="71889"/>
    <s v="Satisfactory"/>
    <n v="0.49315068493150682"/>
    <s v="Terminated"/>
    <x v="22"/>
    <s v="Medium"/>
  </r>
  <r>
    <s v="00-12784407"/>
    <s v="Andre"/>
    <s v="Phillips"/>
    <s v="Female"/>
    <s v="New York"/>
    <s v="New York City"/>
    <s v="High School"/>
    <d v="1972-10-30T00:00:00"/>
    <d v="2024-06-06T00:00:00"/>
    <d v="2024-12-03T00:00:00"/>
    <x v="0"/>
    <s v="Customer Service Representative"/>
    <n v="62790"/>
    <s v="Needs Improvement"/>
    <n v="0.49315068493150682"/>
    <s v="Terminated"/>
    <x v="36"/>
    <s v="Medium"/>
  </r>
  <r>
    <s v="00-46173157"/>
    <s v="Heather"/>
    <s v="Torres"/>
    <s v="Female"/>
    <s v="New York"/>
    <s v="New York City"/>
    <s v="Bachelor"/>
    <d v="1976-07-29T00:00:00"/>
    <d v="2020-08-13T00:00:00"/>
    <d v="2021-02-09T00:00:00"/>
    <x v="2"/>
    <s v="Logistics Coordinator"/>
    <n v="58167"/>
    <s v="Satisfactory"/>
    <n v="7.9945205479452053"/>
    <s v="Active"/>
    <x v="32"/>
    <s v="Low"/>
  </r>
  <r>
    <s v="00-79654147"/>
    <s v="Miguel"/>
    <s v="Tran"/>
    <s v="Female"/>
    <s v="New York"/>
    <s v="New York City"/>
    <s v="High School"/>
    <d v="1999-08-07T00:00:00"/>
    <d v="2022-05-14T00:00:00"/>
    <d v="2022-11-10T00:00:00"/>
    <x v="0"/>
    <s v="Support Specialist"/>
    <n v="59713"/>
    <s v="Needs Improvement"/>
    <n v="1.6219178082191781"/>
    <s v="Terminated"/>
    <x v="41"/>
    <s v="Low"/>
  </r>
  <r>
    <s v="00-88561612"/>
    <s v="Ronald"/>
    <s v="Reese"/>
    <s v="Male"/>
    <s v="New York"/>
    <s v="New York City"/>
    <s v="Bachelor"/>
    <d v="1972-12-05T00:00:00"/>
    <d v="2019-05-09T00:00:00"/>
    <d v="2019-11-05T00:00:00"/>
    <x v="2"/>
    <s v="Logistics Coordinator"/>
    <n v="63660"/>
    <s v="Satisfactory"/>
    <n v="1.9506849315068491"/>
    <s v="Terminated"/>
    <x v="36"/>
    <s v="Medium"/>
  </r>
  <r>
    <s v="00-73083727"/>
    <s v="Michael"/>
    <s v="Chavez"/>
    <s v="Female"/>
    <s v="New York"/>
    <s v="New York City"/>
    <s v="Bachelor"/>
    <d v="1981-02-28T00:00:00"/>
    <d v="2018-04-30T00:00:00"/>
    <d v="2021-06-13T00:00:00"/>
    <x v="2"/>
    <s v="Inventory Specialist"/>
    <n v="55713"/>
    <s v="Satisfactory"/>
    <n v="0.49315068493150682"/>
    <s v="Terminated"/>
    <x v="3"/>
    <s v="Low"/>
  </r>
  <r>
    <s v="00-99943797"/>
    <s v="John"/>
    <s v="Martinez"/>
    <s v="Male"/>
    <s v="New York"/>
    <s v="New York City"/>
    <s v="Bachelor"/>
    <d v="1990-07-07T00:00:00"/>
    <d v="2016-03-15T00:00:00"/>
    <d v="2023-06-26T00:00:00"/>
    <x v="0"/>
    <s v="Help Desk Technician"/>
    <n v="78805"/>
    <s v="Good"/>
    <n v="0.49315068493150682"/>
    <s v="Active"/>
    <x v="16"/>
    <s v="Medium"/>
  </r>
  <r>
    <s v="00-65250068"/>
    <s v="Leslie"/>
    <s v="Newton"/>
    <s v="Female"/>
    <s v="New York"/>
    <s v="New York City"/>
    <s v="Bachelor"/>
    <d v="1978-07-11T00:00:00"/>
    <d v="2022-10-24T00:00:00"/>
    <d v="2023-04-22T00:00:00"/>
    <x v="6"/>
    <s v="Sales Representative"/>
    <n v="60912"/>
    <s v="Good"/>
    <n v="0.49315068493150682"/>
    <s v="Active"/>
    <x v="30"/>
    <s v="Medium"/>
  </r>
  <r>
    <s v="00-63747791"/>
    <s v="Hannah"/>
    <s v="Lee"/>
    <s v="Male"/>
    <s v="New York"/>
    <s v="New York City"/>
    <s v="High School"/>
    <d v="1980-10-08T00:00:00"/>
    <d v="2017-10-14T00:00:00"/>
    <d v="2018-04-11T00:00:00"/>
    <x v="2"/>
    <s v="Inventory Specialist"/>
    <n v="66240"/>
    <s v="Needs Improvement"/>
    <n v="0.49315068493150682"/>
    <s v="Terminated"/>
    <x v="3"/>
    <s v="Medium"/>
  </r>
  <r>
    <s v="00-71045700"/>
    <s v="Todd"/>
    <s v="Hardy"/>
    <s v="Male"/>
    <s v="New York"/>
    <s v="New York City"/>
    <s v="High School"/>
    <d v="1990-04-27T00:00:00"/>
    <d v="2016-10-22T00:00:00"/>
    <d v="2019-10-29T00:00:00"/>
    <x v="0"/>
    <s v="Support Specialist"/>
    <n v="60280"/>
    <s v="Excellent"/>
    <n v="1.252054794520548"/>
    <s v="Active"/>
    <x v="16"/>
    <s v="Medium"/>
  </r>
  <r>
    <s v="00-25558733"/>
    <s v="Alicia"/>
    <s v="Campbell"/>
    <s v="Male"/>
    <s v="New York"/>
    <s v="New York City"/>
    <s v="Bachelor"/>
    <d v="1989-03-28T00:00:00"/>
    <d v="2024-02-09T00:00:00"/>
    <d v="2024-08-07T00:00:00"/>
    <x v="0"/>
    <s v="Customer Service Representative"/>
    <n v="64287"/>
    <s v="Good"/>
    <n v="1.197260273972603"/>
    <s v="Terminated"/>
    <x v="4"/>
    <s v="Medium"/>
  </r>
  <r>
    <s v="00-79067939"/>
    <s v="Marissa"/>
    <s v="Phillips"/>
    <s v="Male"/>
    <s v="New York"/>
    <s v="New York City"/>
    <s v="Master"/>
    <d v="1983-02-05T00:00:00"/>
    <d v="2023-05-21T00:00:00"/>
    <d v="2023-11-17T00:00:00"/>
    <x v="6"/>
    <s v="Sales Specialist"/>
    <n v="66781"/>
    <s v="Excellent"/>
    <n v="0.49315068493150682"/>
    <s v="Active"/>
    <x v="19"/>
    <s v="Medium"/>
  </r>
  <r>
    <s v="00-82825679"/>
    <s v="Harry"/>
    <s v="Smith"/>
    <s v="Male"/>
    <s v="New York"/>
    <s v="New York City"/>
    <s v="Bachelor"/>
    <d v="1970-07-26T00:00:00"/>
    <d v="2019-07-27T00:00:00"/>
    <d v="2020-01-23T00:00:00"/>
    <x v="6"/>
    <s v="Sales Representative"/>
    <n v="84094"/>
    <s v="Good"/>
    <n v="0.49315068493150682"/>
    <s v="Terminated"/>
    <x v="21"/>
    <s v="Medium"/>
  </r>
  <r>
    <s v="00-79583757"/>
    <s v="David"/>
    <s v="Williams"/>
    <s v="Female"/>
    <s v="New York"/>
    <s v="New York City"/>
    <s v="Bachelor"/>
    <d v="1971-07-18T00:00:00"/>
    <d v="2018-01-22T00:00:00"/>
    <d v="2024-04-26T00:00:00"/>
    <x v="6"/>
    <s v="Sales Representative"/>
    <n v="66981"/>
    <s v="Good"/>
    <n v="0.49315068493150682"/>
    <s v="Active"/>
    <x v="24"/>
    <s v="Medium"/>
  </r>
  <r>
    <s v="00-69329732"/>
    <s v="Angela"/>
    <s v="Terry"/>
    <s v="Female"/>
    <s v="New York"/>
    <s v="New York City"/>
    <s v="Bachelor"/>
    <d v="1978-08-22T00:00:00"/>
    <d v="2022-02-19T00:00:00"/>
    <d v="2023-08-22T00:00:00"/>
    <x v="0"/>
    <s v="Help Desk Technician"/>
    <n v="78546"/>
    <s v="Good"/>
    <n v="0.49315068493150682"/>
    <s v="Terminated"/>
    <x v="30"/>
    <s v="Medium"/>
  </r>
  <r>
    <s v="00-83715012"/>
    <s v="Dana"/>
    <s v="Mullins"/>
    <s v="Male"/>
    <s v="Virginia"/>
    <s v="Richmond"/>
    <s v="Bachelor"/>
    <d v="1965-07-19T00:00:00"/>
    <d v="2017-02-09T00:00:00"/>
    <d v="2020-10-19T00:00:00"/>
    <x v="2"/>
    <s v="Logistics Coordinator"/>
    <n v="64019"/>
    <s v="Good"/>
    <n v="0.49315068493150682"/>
    <s v="Active"/>
    <x v="29"/>
    <s v="Medium"/>
  </r>
  <r>
    <s v="00-75056916"/>
    <s v="Monique"/>
    <s v="Andrews"/>
    <s v="Male"/>
    <s v="New York"/>
    <s v="New York City"/>
    <s v="Bachelor"/>
    <d v="1984-12-25T00:00:00"/>
    <d v="2016-07-01T00:00:00"/>
    <d v="2021-04-11T00:00:00"/>
    <x v="6"/>
    <s v="Sales Representative"/>
    <n v="80980"/>
    <s v="Excellent"/>
    <n v="0.49315068493150682"/>
    <s v="Terminated"/>
    <x v="27"/>
    <s v="Medium"/>
  </r>
  <r>
    <s v="00-42117961"/>
    <s v="Timothy"/>
    <s v="Peterson"/>
    <s v="Female"/>
    <s v="West Virginia"/>
    <s v="Charleston"/>
    <s v="Bachelor"/>
    <d v="1991-07-21T00:00:00"/>
    <d v="2022-01-20T00:00:00"/>
    <d v="2022-07-19T00:00:00"/>
    <x v="6"/>
    <s v="Sales Representative"/>
    <n v="58242"/>
    <s v="Good"/>
    <n v="3.1232876712328772"/>
    <s v="Terminated"/>
    <x v="5"/>
    <s v="Low"/>
  </r>
  <r>
    <s v="00-11835355"/>
    <s v="Johnny"/>
    <s v="Hensley"/>
    <s v="Female"/>
    <s v="New York"/>
    <s v="New York City"/>
    <s v="Master"/>
    <d v="1986-08-03T00:00:00"/>
    <d v="2020-02-14T00:00:00"/>
    <d v="2023-07-03T00:00:00"/>
    <x v="1"/>
    <s v="Software Developer"/>
    <n v="95432"/>
    <s v="Good"/>
    <n v="7.2849315068493148"/>
    <s v="Active"/>
    <x v="28"/>
    <s v="Medium"/>
  </r>
  <r>
    <s v="00-25228493"/>
    <s v="Lynn"/>
    <s v="Morales"/>
    <s v="Male"/>
    <s v="New York"/>
    <s v="New York City"/>
    <s v="Bachelor"/>
    <d v="1966-07-31T00:00:00"/>
    <d v="2019-01-29T00:00:00"/>
    <d v="2021-09-08T00:00:00"/>
    <x v="0"/>
    <s v="Support Specialist"/>
    <n v="72036"/>
    <s v="Good"/>
    <n v="0.49315068493150682"/>
    <s v="Terminated"/>
    <x v="40"/>
    <s v="Medium"/>
  </r>
  <r>
    <s v="00-30665654"/>
    <s v="Barbara"/>
    <s v="Parks"/>
    <s v="Female"/>
    <s v="New York"/>
    <s v="New York City"/>
    <s v="Bachelor"/>
    <d v="1980-12-26T00:00:00"/>
    <d v="2020-02-28T00:00:00"/>
    <d v="2020-08-26T00:00:00"/>
    <x v="6"/>
    <s v="Sales Representative"/>
    <n v="69216"/>
    <s v="Satisfactory"/>
    <n v="0.49041095890410957"/>
    <s v="Active"/>
    <x v="3"/>
    <s v="Medium"/>
  </r>
  <r>
    <s v="00-78299645"/>
    <s v="Edward"/>
    <s v="Hart"/>
    <s v="Male"/>
    <s v="Illinois"/>
    <s v="Chicago"/>
    <s v="Bachelor"/>
    <d v="1978-07-24T00:00:00"/>
    <d v="2022-04-28T00:00:00"/>
    <d v="2022-10-25T00:00:00"/>
    <x v="0"/>
    <s v="Customer Service Representative"/>
    <n v="63344"/>
    <s v="Needs Improvement"/>
    <n v="3.0191780821917811"/>
    <s v="Active"/>
    <x v="30"/>
    <s v="Medium"/>
  </r>
  <r>
    <s v="00-74759996"/>
    <s v="Christopher"/>
    <s v="Wright"/>
    <s v="Male"/>
    <s v="North Carolina"/>
    <s v="Raleigh"/>
    <s v="Bachelor"/>
    <d v="1980-09-12T00:00:00"/>
    <d v="2018-08-04T00:00:00"/>
    <d v="2019-01-31T00:00:00"/>
    <x v="4"/>
    <s v="Content Creator"/>
    <n v="63342"/>
    <s v="Good"/>
    <n v="0.49315068493150682"/>
    <s v="Active"/>
    <x v="3"/>
    <s v="Medium"/>
  </r>
  <r>
    <s v="00-83989546"/>
    <s v="Kathy"/>
    <s v="Obrien"/>
    <s v="Male"/>
    <s v="Michigan"/>
    <s v="Grand Rapids"/>
    <s v="Bachelor"/>
    <d v="2000-05-30T00:00:00"/>
    <d v="2017-11-04T00:00:00"/>
    <d v="2019-02-04T00:00:00"/>
    <x v="0"/>
    <s v="Customer Service Representative"/>
    <n v="67818"/>
    <s v="Satisfactory"/>
    <n v="0.49315068493150682"/>
    <s v="Terminated"/>
    <x v="37"/>
    <s v="Medium"/>
  </r>
  <r>
    <s v="00-78214937"/>
    <s v="Christine"/>
    <s v="Rowe"/>
    <s v="Male"/>
    <s v="New York"/>
    <s v="New York City"/>
    <s v="Bachelor"/>
    <d v="1960-12-19T00:00:00"/>
    <d v="2022-05-28T00:00:00"/>
    <d v="2024-10-15T00:00:00"/>
    <x v="0"/>
    <s v="Customer Service Representative"/>
    <n v="74416"/>
    <s v="Good"/>
    <n v="0.49315068493150682"/>
    <s v="Active"/>
    <x v="20"/>
    <s v="Medium"/>
  </r>
  <r>
    <s v="00-19369750"/>
    <s v="Shannon"/>
    <s v="Ramos"/>
    <s v="Female"/>
    <s v="New York"/>
    <s v="New York City"/>
    <s v="High School"/>
    <d v="1992-09-09T00:00:00"/>
    <d v="2017-12-01T00:00:00"/>
    <d v="2018-05-30T00:00:00"/>
    <x v="0"/>
    <s v="Customer Service Representative"/>
    <n v="59823"/>
    <s v="Excellent"/>
    <n v="6.2630136986301368"/>
    <s v="Terminated"/>
    <x v="17"/>
    <s v="Low"/>
  </r>
  <r>
    <s v="00-78147397"/>
    <s v="Brianna"/>
    <s v="Patterson"/>
    <s v="Male"/>
    <s v="New York"/>
    <s v="New York City"/>
    <s v="Bachelor"/>
    <d v="1974-11-23T00:00:00"/>
    <d v="2017-08-09T00:00:00"/>
    <d v="2018-02-05T00:00:00"/>
    <x v="4"/>
    <s v="Marketing Coordinator"/>
    <n v="77963"/>
    <s v="Excellent"/>
    <n v="1.504109589041096"/>
    <s v="Active"/>
    <x v="9"/>
    <s v="Medium"/>
  </r>
  <r>
    <s v="00-50071487"/>
    <s v="Christine"/>
    <s v="Lynch"/>
    <s v="Male"/>
    <s v="New York"/>
    <s v="New York City"/>
    <s v="High School"/>
    <d v="1975-09-28T00:00:00"/>
    <d v="2017-10-15T00:00:00"/>
    <d v="2018-04-12T00:00:00"/>
    <x v="2"/>
    <s v="Inventory Specialist"/>
    <n v="58852"/>
    <s v="Needs Improvement"/>
    <n v="3.6931506849315072"/>
    <s v="Active"/>
    <x v="33"/>
    <s v="Low"/>
  </r>
  <r>
    <s v="00-75718414"/>
    <s v="Cory"/>
    <s v="Farmer"/>
    <s v="Female"/>
    <s v="New York"/>
    <s v="New York City"/>
    <s v="Bachelor"/>
    <d v="1988-04-25T00:00:00"/>
    <d v="2017-08-31T00:00:00"/>
    <d v="2018-02-27T00:00:00"/>
    <x v="2"/>
    <s v="Logistics Coordinator"/>
    <n v="56099"/>
    <s v="Excellent"/>
    <n v="4.7808219178082192"/>
    <s v="Terminated"/>
    <x v="4"/>
    <s v="Low"/>
  </r>
  <r>
    <s v="00-75007200"/>
    <s v="Jason"/>
    <s v="Guerrero"/>
    <s v="Male"/>
    <s v="Virginia"/>
    <s v="Richmond"/>
    <s v="Bachelor"/>
    <d v="1967-07-24T00:00:00"/>
    <d v="2018-03-02T00:00:00"/>
    <d v="2019-05-18T00:00:00"/>
    <x v="6"/>
    <s v="Sales Representative"/>
    <n v="80089"/>
    <s v="Good"/>
    <n v="0.49315068493150682"/>
    <s v="Active"/>
    <x v="10"/>
    <s v="Medium"/>
  </r>
  <r>
    <s v="00-82937948"/>
    <s v="John"/>
    <s v="Arnold"/>
    <s v="Female"/>
    <s v="New York"/>
    <s v="New York City"/>
    <s v="Bachelor"/>
    <d v="1975-12-15T00:00:00"/>
    <d v="2018-03-02T00:00:00"/>
    <d v="2021-12-16T00:00:00"/>
    <x v="2"/>
    <s v="Logistics Coordinator"/>
    <n v="54065"/>
    <s v="Satisfactory"/>
    <n v="3.3835616438356171"/>
    <s v="Terminated"/>
    <x v="33"/>
    <s v="Low"/>
  </r>
  <r>
    <s v="00-35320492"/>
    <s v="Aaron"/>
    <s v="Hayes"/>
    <s v="Female"/>
    <s v="Michigan"/>
    <s v="Detroit"/>
    <s v="Bachelor"/>
    <d v="1987-08-07T00:00:00"/>
    <d v="2018-08-18T00:00:00"/>
    <d v="2019-02-14T00:00:00"/>
    <x v="3"/>
    <s v="Accounts Payable Specialist"/>
    <n v="65623"/>
    <s v="Needs Improvement"/>
    <n v="2.6109589041095891"/>
    <s v="Active"/>
    <x v="1"/>
    <s v="Medium"/>
  </r>
  <r>
    <s v="00-61401477"/>
    <s v="Terry"/>
    <s v="Johnson"/>
    <s v="Male"/>
    <s v="New York"/>
    <s v="New York City"/>
    <s v="Bachelor"/>
    <d v="1977-10-11T00:00:00"/>
    <d v="2017-04-22T00:00:00"/>
    <d v="2020-02-07T00:00:00"/>
    <x v="0"/>
    <s v="Help Desk Technician"/>
    <n v="65571"/>
    <s v="Good"/>
    <n v="0.49315068493150682"/>
    <s v="Terminated"/>
    <x v="18"/>
    <s v="Medium"/>
  </r>
  <r>
    <s v="00-52704903"/>
    <s v="Jasmine"/>
    <s v="Warner"/>
    <s v="Female"/>
    <s v="New York"/>
    <s v="New York City"/>
    <s v="PhD"/>
    <d v="1986-01-15T00:00:00"/>
    <d v="2022-06-26T00:00:00"/>
    <d v="2022-12-23T00:00:00"/>
    <x v="6"/>
    <s v="Sales Specialist"/>
    <n v="94650"/>
    <s v="Excellent"/>
    <n v="0.49315068493150682"/>
    <s v="Terminated"/>
    <x v="38"/>
    <s v="Medium"/>
  </r>
  <r>
    <s v="00-61167978"/>
    <s v="Charles"/>
    <s v="Hall"/>
    <s v="Female"/>
    <s v="New York"/>
    <s v="New York City"/>
    <s v="Bachelor"/>
    <d v="1988-01-09T00:00:00"/>
    <d v="2018-04-13T00:00:00"/>
    <d v="2018-10-10T00:00:00"/>
    <x v="3"/>
    <s v="Accountant"/>
    <n v="87620"/>
    <s v="Excellent"/>
    <n v="0.49315068493150682"/>
    <s v="Active"/>
    <x v="1"/>
    <s v="Medium"/>
  </r>
  <r>
    <s v="00-97512508"/>
    <s v="Kristin"/>
    <s v="Weber"/>
    <s v="Female"/>
    <s v="New York"/>
    <s v="New York City"/>
    <s v="Master"/>
    <d v="1986-01-11T00:00:00"/>
    <d v="2018-09-13T00:00:00"/>
    <d v="2019-03-12T00:00:00"/>
    <x v="2"/>
    <s v="Operations Analyst"/>
    <n v="84470"/>
    <s v="Excellent"/>
    <n v="1.252054794520548"/>
    <s v="Active"/>
    <x v="38"/>
    <s v="Medium"/>
  </r>
  <r>
    <s v="00-26944487"/>
    <s v="Linda"/>
    <s v="Gonzalez"/>
    <s v="Male"/>
    <s v="New York"/>
    <s v="New York City"/>
    <s v="Bachelor"/>
    <d v="1988-09-17T00:00:00"/>
    <d v="2020-02-14T00:00:00"/>
    <d v="2021-04-21T00:00:00"/>
    <x v="6"/>
    <s v="Sales Specialist"/>
    <n v="74777"/>
    <s v="Good"/>
    <n v="2.386301369863014"/>
    <s v="Terminated"/>
    <x v="4"/>
    <s v="Medium"/>
  </r>
  <r>
    <s v="00-23470708"/>
    <s v="Amy"/>
    <s v="Holland"/>
    <s v="Female"/>
    <s v="New York"/>
    <s v="New York City"/>
    <s v="Bachelor"/>
    <d v="2000-06-06T00:00:00"/>
    <d v="2017-12-19T00:00:00"/>
    <d v="2018-06-16T00:00:00"/>
    <x v="2"/>
    <s v="Logistics Coordinator"/>
    <n v="55889"/>
    <s v="Good"/>
    <n v="0.49315068493150682"/>
    <s v="Active"/>
    <x v="37"/>
    <s v="Low"/>
  </r>
  <r>
    <s v="00-80591959"/>
    <s v="Joseph"/>
    <s v="Thomas"/>
    <s v="Male"/>
    <s v="Virginia"/>
    <s v="Norfolk"/>
    <s v="Bachelor"/>
    <d v="1982-05-26T00:00:00"/>
    <d v="2024-01-24T00:00:00"/>
    <d v="2024-07-22T00:00:00"/>
    <x v="2"/>
    <s v="Logistics Coordinator"/>
    <n v="67280"/>
    <s v="Good"/>
    <n v="0.49315068493150682"/>
    <s v="Terminated"/>
    <x v="19"/>
    <s v="Medium"/>
  </r>
  <r>
    <s v="00-29348212"/>
    <s v="Gabriel"/>
    <s v="Parker"/>
    <s v="Female"/>
    <s v="Pennsylvania"/>
    <s v="Allentown"/>
    <s v="Master"/>
    <d v="1975-09-07T00:00:00"/>
    <d v="2019-10-18T00:00:00"/>
    <d v="2020-04-15T00:00:00"/>
    <x v="6"/>
    <s v="Sales Consultant"/>
    <n v="87940"/>
    <s v="Excellent"/>
    <n v="0.49041095890410957"/>
    <s v="Active"/>
    <x v="33"/>
    <s v="Medium"/>
  </r>
  <r>
    <s v="00-20043277"/>
    <s v="Madison"/>
    <s v="Morse"/>
    <s v="Female"/>
    <s v="Illinois"/>
    <s v="Naperville"/>
    <s v="High School"/>
    <d v="1959-06-29T00:00:00"/>
    <d v="2019-06-20T00:00:00"/>
    <d v="2021-04-22T00:00:00"/>
    <x v="0"/>
    <s v="Help Desk Technician"/>
    <n v="58676"/>
    <s v="Needs Improvement"/>
    <n v="0.49315068493150682"/>
    <s v="Terminated"/>
    <x v="14"/>
    <s v="Low"/>
  </r>
  <r>
    <s v="00-93652460"/>
    <s v="David"/>
    <s v="Barker"/>
    <s v="Male"/>
    <s v="New York"/>
    <s v="New York City"/>
    <s v="High School"/>
    <d v="1993-06-09T00:00:00"/>
    <d v="2022-09-29T00:00:00"/>
    <d v="2023-03-28T00:00:00"/>
    <x v="1"/>
    <s v="IT Support Specialist"/>
    <n v="66001"/>
    <s v="Needs Improvement"/>
    <n v="1.210958904109589"/>
    <s v="Active"/>
    <x v="8"/>
    <s v="Medium"/>
  </r>
  <r>
    <s v="00-54099326"/>
    <s v="Richard"/>
    <s v="Nelson"/>
    <s v="Male"/>
    <s v="Ohio"/>
    <s v="Cleveland"/>
    <s v="High School"/>
    <d v="1992-03-02T00:00:00"/>
    <d v="2017-07-29T00:00:00"/>
    <d v="2018-01-25T00:00:00"/>
    <x v="0"/>
    <s v="Customer Service Representative"/>
    <n v="61836"/>
    <s v="Needs Improvement"/>
    <n v="3.794520547945206"/>
    <s v="Active"/>
    <x v="5"/>
    <s v="Medium"/>
  </r>
  <r>
    <s v="00-52501540"/>
    <s v="Troy"/>
    <s v="Miller"/>
    <s v="Female"/>
    <s v="New York"/>
    <s v="New York City"/>
    <s v="Bachelor"/>
    <d v="1986-03-12T00:00:00"/>
    <d v="2021-01-16T00:00:00"/>
    <d v="2021-07-15T00:00:00"/>
    <x v="6"/>
    <s v="Sales Representative"/>
    <n v="72320"/>
    <s v="Satisfactory"/>
    <n v="0.49315068493150682"/>
    <s v="Terminated"/>
    <x v="38"/>
    <s v="Medium"/>
  </r>
  <r>
    <s v="00-82613940"/>
    <s v="Pamela"/>
    <s v="Navarro"/>
    <s v="Female"/>
    <s v="New York"/>
    <s v="New York City"/>
    <s v="Bachelor"/>
    <d v="1977-12-26T00:00:00"/>
    <d v="2015-08-23T00:00:00"/>
    <d v="2021-03-17T00:00:00"/>
    <x v="0"/>
    <s v="Help Desk Technician"/>
    <n v="67779"/>
    <s v="Needs Improvement"/>
    <n v="2.7972602739726029"/>
    <s v="Terminated"/>
    <x v="18"/>
    <s v="Medium"/>
  </r>
  <r>
    <s v="00-94712997"/>
    <s v="John"/>
    <s v="Davis"/>
    <s v="Female"/>
    <s v="New York"/>
    <s v="New York City"/>
    <s v="Bachelor"/>
    <d v="1990-09-06T00:00:00"/>
    <d v="2022-09-19T00:00:00"/>
    <d v="2023-07-01T00:00:00"/>
    <x v="0"/>
    <s v="Help Desk Technician"/>
    <n v="76637"/>
    <s v="Excellent"/>
    <n v="0.49315068493150682"/>
    <s v="Terminated"/>
    <x v="16"/>
    <s v="Medium"/>
  </r>
  <r>
    <s v="00-22130508"/>
    <s v="Mary"/>
    <s v="Johnston"/>
    <s v="Male"/>
    <s v="New York"/>
    <s v="New York City"/>
    <s v="Bachelor"/>
    <d v="1986-11-16T00:00:00"/>
    <d v="2019-01-09T00:00:00"/>
    <d v="2022-07-21T00:00:00"/>
    <x v="2"/>
    <s v="Inventory Specialist"/>
    <n v="58495"/>
    <s v="Good"/>
    <n v="0.49315068493150682"/>
    <s v="Terminated"/>
    <x v="28"/>
    <s v="Low"/>
  </r>
  <r>
    <s v="00-95060193"/>
    <s v="Yvonne"/>
    <s v="Chambers"/>
    <s v="Female"/>
    <s v="New York"/>
    <s v="New York City"/>
    <s v="Bachelor"/>
    <d v="1967-01-15T00:00:00"/>
    <d v="2022-04-15T00:00:00"/>
    <d v="2022-10-12T00:00:00"/>
    <x v="0"/>
    <s v="Support Specialist"/>
    <n v="62938"/>
    <s v="Good"/>
    <n v="0.49315068493150682"/>
    <s v="Active"/>
    <x v="40"/>
    <s v="Medium"/>
  </r>
  <r>
    <s v="00-32329103"/>
    <s v="Barbara"/>
    <s v="Hines"/>
    <s v="Male"/>
    <s v="West Virginia"/>
    <s v="Huntington"/>
    <s v="High School"/>
    <d v="1981-04-01T00:00:00"/>
    <d v="2022-03-10T00:00:00"/>
    <d v="2022-09-06T00:00:00"/>
    <x v="0"/>
    <s v="Help Desk Technician"/>
    <n v="67455"/>
    <s v="Needs Improvement"/>
    <n v="1.183561643835616"/>
    <s v="Terminated"/>
    <x v="3"/>
    <s v="Medium"/>
  </r>
  <r>
    <s v="00-53536830"/>
    <s v="Thomas"/>
    <s v="Pearson"/>
    <s v="Female"/>
    <s v="New York"/>
    <s v="New York City"/>
    <s v="Bachelor"/>
    <d v="1985-07-08T00:00:00"/>
    <d v="2017-12-22T00:00:00"/>
    <d v="2018-06-19T00:00:00"/>
    <x v="2"/>
    <s v="Logistics Coordinator"/>
    <n v="57243"/>
    <s v="Satisfactory"/>
    <n v="0.49041095890410957"/>
    <s v="Terminated"/>
    <x v="38"/>
    <s v="Low"/>
  </r>
  <r>
    <s v="00-60310319"/>
    <s v="Joshua"/>
    <s v="Shea"/>
    <s v="Male"/>
    <s v="New York"/>
    <s v="New York City"/>
    <s v="Bachelor"/>
    <d v="1980-08-21T00:00:00"/>
    <d v="2019-06-19T00:00:00"/>
    <d v="2019-12-16T00:00:00"/>
    <x v="4"/>
    <s v="Marketing Coordinator"/>
    <n v="77791"/>
    <s v="Satisfactory"/>
    <n v="0.49315068493150682"/>
    <s v="Terminated"/>
    <x v="3"/>
    <s v="Medium"/>
  </r>
  <r>
    <s v="00-65304649"/>
    <s v="Cynthia"/>
    <s v="Vasquez"/>
    <s v="Male"/>
    <s v="New York"/>
    <s v="New York City"/>
    <s v="Master"/>
    <d v="1982-10-16T00:00:00"/>
    <d v="2020-02-05T00:00:00"/>
    <d v="2020-08-03T00:00:00"/>
    <x v="4"/>
    <s v="Marketing Manager"/>
    <n v="94659"/>
    <s v="Excellent"/>
    <n v="0.49315068493150682"/>
    <s v="Terminated"/>
    <x v="19"/>
    <s v="Medium"/>
  </r>
  <r>
    <s v="00-33497411"/>
    <s v="Theodore"/>
    <s v="Ortiz"/>
    <s v="Male"/>
    <s v="New York"/>
    <s v="New York City"/>
    <s v="Bachelor"/>
    <d v="1975-05-05T00:00:00"/>
    <d v="2016-05-04T00:00:00"/>
    <d v="2020-03-23T00:00:00"/>
    <x v="0"/>
    <s v="Customer Service Representative"/>
    <n v="70991"/>
    <s v="Needs Improvement"/>
    <n v="1.8410958904109589"/>
    <s v="Terminated"/>
    <x v="33"/>
    <s v="Medium"/>
  </r>
  <r>
    <s v="00-42323627"/>
    <s v="Elizabeth"/>
    <s v="Hodge"/>
    <s v="Female"/>
    <s v="New York"/>
    <s v="New York City"/>
    <s v="Bachelor"/>
    <d v="1982-03-24T00:00:00"/>
    <d v="2020-05-08T00:00:00"/>
    <d v="2023-07-06T00:00:00"/>
    <x v="6"/>
    <s v="Sales Representative"/>
    <n v="67107"/>
    <s v="Satisfactory"/>
    <n v="0.49315068493150682"/>
    <s v="Active"/>
    <x v="25"/>
    <s v="Medium"/>
  </r>
  <r>
    <s v="00-41163805"/>
    <s v="Robert"/>
    <s v="Simpson"/>
    <s v="Male"/>
    <s v="New York"/>
    <s v="New York City"/>
    <s v="Bachelor"/>
    <d v="1983-07-03T00:00:00"/>
    <d v="2019-09-15T00:00:00"/>
    <d v="2020-03-13T00:00:00"/>
    <x v="2"/>
    <s v="Logistics Coordinator"/>
    <n v="67154"/>
    <s v="Good"/>
    <n v="0.49315068493150682"/>
    <s v="Active"/>
    <x v="22"/>
    <s v="Medium"/>
  </r>
  <r>
    <s v="00-44269370"/>
    <s v="Sierra"/>
    <s v="Cervantes"/>
    <s v="Female"/>
    <s v="New York"/>
    <s v="New York City"/>
    <s v="Bachelor"/>
    <d v="1987-02-22T00:00:00"/>
    <d v="2022-08-02T00:00:00"/>
    <d v="2023-05-30T00:00:00"/>
    <x v="2"/>
    <s v="Inventory Specialist"/>
    <n v="57452"/>
    <s v="Satisfactory"/>
    <n v="0.49315068493150682"/>
    <s v="Active"/>
    <x v="28"/>
    <s v="Low"/>
  </r>
  <r>
    <s v="00-83363160"/>
    <s v="Benjamin"/>
    <s v="Miller"/>
    <s v="Male"/>
    <s v="Illinois"/>
    <s v="Chicago"/>
    <s v="High School"/>
    <d v="1992-07-08T00:00:00"/>
    <d v="2017-04-09T00:00:00"/>
    <d v="2022-03-24T00:00:00"/>
    <x v="0"/>
    <s v="Customer Service Representative"/>
    <n v="61258"/>
    <s v="Needs Improvement"/>
    <n v="5.5698630136986296"/>
    <s v="Active"/>
    <x v="17"/>
    <s v="Medium"/>
  </r>
  <r>
    <s v="00-88862539"/>
    <s v="Marcus"/>
    <s v="Cordova"/>
    <s v="Female"/>
    <s v="New York"/>
    <s v="New York City"/>
    <s v="Bachelor"/>
    <d v="1970-05-23T00:00:00"/>
    <d v="2017-06-06T00:00:00"/>
    <d v="2020-04-15T00:00:00"/>
    <x v="6"/>
    <s v="Sales Representative"/>
    <n v="65222"/>
    <s v="Needs Improvement"/>
    <n v="0.78082191780821919"/>
    <s v="Active"/>
    <x v="21"/>
    <s v="Medium"/>
  </r>
  <r>
    <s v="00-43567615"/>
    <s v="Michelle"/>
    <s v="Bryan"/>
    <s v="Female"/>
    <s v="New York"/>
    <s v="New York City"/>
    <s v="High School"/>
    <d v="1996-08-28T00:00:00"/>
    <d v="2019-01-01T00:00:00"/>
    <d v="2019-06-30T00:00:00"/>
    <x v="4"/>
    <s v="SEO Specialist"/>
    <n v="76873"/>
    <s v="Needs Improvement"/>
    <n v="3.5315068493150679"/>
    <s v="Active"/>
    <x v="39"/>
    <s v="Medium"/>
  </r>
  <r>
    <s v="00-61632653"/>
    <s v="Diane"/>
    <s v="Daniels"/>
    <s v="Female"/>
    <s v="New York"/>
    <s v="New York City"/>
    <s v="Bachelor"/>
    <d v="1983-10-06T00:00:00"/>
    <d v="2017-06-10T00:00:00"/>
    <d v="2018-01-16T00:00:00"/>
    <x v="6"/>
    <s v="Sales Representative"/>
    <n v="68800"/>
    <s v="Excellent"/>
    <n v="0.49315068493150682"/>
    <s v="Terminated"/>
    <x v="22"/>
    <s v="Medium"/>
  </r>
  <r>
    <s v="00-61185849"/>
    <s v="Brian"/>
    <s v="Stone"/>
    <s v="Male"/>
    <s v="New York"/>
    <s v="New York City"/>
    <s v="Bachelor"/>
    <d v="1964-02-08T00:00:00"/>
    <d v="2020-08-29T00:00:00"/>
    <d v="2021-02-25T00:00:00"/>
    <x v="2"/>
    <s v="Operations Analyst"/>
    <n v="79458"/>
    <s v="Good"/>
    <n v="0.49315068493150682"/>
    <s v="Terminated"/>
    <x v="12"/>
    <s v="Medium"/>
  </r>
  <r>
    <s v="00-49625201"/>
    <s v="Katherine"/>
    <s v="Garrett"/>
    <s v="Female"/>
    <s v="North Carolina"/>
    <s v="Raleigh"/>
    <s v="Bachelor"/>
    <d v="1981-06-05T00:00:00"/>
    <d v="2015-10-23T00:00:00"/>
    <d v="2021-10-06T00:00:00"/>
    <x v="2"/>
    <s v="Logistics Coordinator"/>
    <n v="53471"/>
    <s v="Excellent"/>
    <n v="0.49041095890410957"/>
    <s v="Terminated"/>
    <x v="25"/>
    <s v="Low"/>
  </r>
  <r>
    <s v="00-46840133"/>
    <s v="Brett"/>
    <s v="Adams"/>
    <s v="Male"/>
    <s v="North Carolina"/>
    <s v="Charlotte"/>
    <s v="Bachelor"/>
    <d v="1975-04-10T00:00:00"/>
    <d v="2015-02-20T00:00:00"/>
    <d v="2024-01-22T00:00:00"/>
    <x v="6"/>
    <s v="Sales Representative"/>
    <n v="68009"/>
    <s v="Good"/>
    <n v="0.49315068493150682"/>
    <s v="Terminated"/>
    <x v="9"/>
    <s v="Medium"/>
  </r>
  <r>
    <s v="00-16582607"/>
    <s v="Sara"/>
    <s v="Kim"/>
    <s v="Female"/>
    <s v="New York"/>
    <s v="New York City"/>
    <s v="Bachelor"/>
    <d v="1984-04-20T00:00:00"/>
    <d v="2018-09-28T00:00:00"/>
    <d v="2019-03-27T00:00:00"/>
    <x v="6"/>
    <s v="Sales Representative"/>
    <n v="68240"/>
    <s v="Satisfactory"/>
    <n v="0.49315068493150682"/>
    <s v="Terminated"/>
    <x v="27"/>
    <s v="Medium"/>
  </r>
  <r>
    <s v="00-48412328"/>
    <s v="Todd"/>
    <s v="Johnson"/>
    <s v="Male"/>
    <s v="New York"/>
    <s v="New York City"/>
    <s v="Master"/>
    <d v="1973-03-21T00:00:00"/>
    <d v="2017-09-02T00:00:00"/>
    <d v="2018-02-27T00:00:00"/>
    <x v="1"/>
    <s v="System Administrator"/>
    <n v="96095"/>
    <s v="Excellent"/>
    <n v="3.8876712328767118"/>
    <s v="Terminated"/>
    <x v="36"/>
    <s v="Medium"/>
  </r>
  <r>
    <s v="00-43638559"/>
    <s v="Lance"/>
    <s v="Smith"/>
    <s v="Male"/>
    <s v="New York"/>
    <s v="New York City"/>
    <s v="Master"/>
    <d v="1982-08-08T00:00:00"/>
    <d v="2022-06-08T00:00:00"/>
    <d v="2022-12-05T00:00:00"/>
    <x v="6"/>
    <s v="Sales Consultant"/>
    <n v="92568"/>
    <s v="Excellent"/>
    <n v="3.161643835616438"/>
    <s v="Active"/>
    <x v="19"/>
    <s v="Medium"/>
  </r>
  <r>
    <s v="00-98473848"/>
    <s v="Christopher"/>
    <s v="Gay"/>
    <s v="Male"/>
    <s v="Michigan"/>
    <s v="Grand Rapids"/>
    <s v="Bachelor"/>
    <d v="1959-09-25T00:00:00"/>
    <d v="2022-12-21T00:00:00"/>
    <d v="2023-06-19T00:00:00"/>
    <x v="2"/>
    <s v="Logistics Coordinator"/>
    <n v="63038"/>
    <s v="Good"/>
    <n v="0.49315068493150682"/>
    <s v="Terminated"/>
    <x v="14"/>
    <s v="Medium"/>
  </r>
  <r>
    <s v="00-23041121"/>
    <s v="Daniel"/>
    <s v="Valentine"/>
    <s v="Male"/>
    <s v="New York"/>
    <s v="New York City"/>
    <s v="Bachelor"/>
    <d v="1983-03-23T00:00:00"/>
    <d v="2017-09-09T00:00:00"/>
    <d v="2018-03-07T00:00:00"/>
    <x v="2"/>
    <s v="Inventory Specialist"/>
    <n v="68256"/>
    <s v="Good"/>
    <n v="0.8246575342465754"/>
    <s v="Terminated"/>
    <x v="19"/>
    <s v="Medium"/>
  </r>
  <r>
    <s v="00-51464269"/>
    <s v="Marilyn"/>
    <s v="Jimenez"/>
    <s v="Male"/>
    <s v="New York"/>
    <s v="New York City"/>
    <s v="Bachelor"/>
    <d v="1977-11-13T00:00:00"/>
    <d v="2017-10-06T00:00:00"/>
    <d v="2018-04-03T00:00:00"/>
    <x v="2"/>
    <s v="Inventory Specialist"/>
    <n v="66936"/>
    <s v="Good"/>
    <n v="4.9589041095890414"/>
    <s v="Active"/>
    <x v="18"/>
    <s v="Medium"/>
  </r>
  <r>
    <s v="00-58970845"/>
    <s v="Kelly"/>
    <s v="Thornton"/>
    <s v="Female"/>
    <s v="New York"/>
    <s v="New York City"/>
    <s v="Bachelor"/>
    <d v="1974-05-20T00:00:00"/>
    <d v="2022-06-11T00:00:00"/>
    <d v="2022-12-08T00:00:00"/>
    <x v="2"/>
    <s v="Logistics Coordinator"/>
    <n v="57549"/>
    <s v="Excellent"/>
    <n v="2.86027397260274"/>
    <s v="Active"/>
    <x v="9"/>
    <s v="Low"/>
  </r>
  <r>
    <s v="00-53851498"/>
    <s v="Mary"/>
    <s v="Baird"/>
    <s v="Male"/>
    <s v="New York"/>
    <s v="New York City"/>
    <s v="Bachelor"/>
    <d v="1981-07-20T00:00:00"/>
    <d v="2022-04-05T00:00:00"/>
    <d v="2022-10-02T00:00:00"/>
    <x v="2"/>
    <s v="Logistics Coordinator"/>
    <n v="67506"/>
    <s v="Satisfactory"/>
    <n v="0.49315068493150682"/>
    <s v="Terminated"/>
    <x v="25"/>
    <s v="Medium"/>
  </r>
  <r>
    <s v="00-27738187"/>
    <s v="Stephen"/>
    <s v="Thomas"/>
    <s v="Male"/>
    <s v="New York"/>
    <s v="New York City"/>
    <s v="Master"/>
    <d v="1969-07-27T00:00:00"/>
    <d v="2017-03-16T00:00:00"/>
    <d v="2018-11-17T00:00:00"/>
    <x v="6"/>
    <s v="Sales Specialist"/>
    <n v="57739"/>
    <s v="Excellent"/>
    <n v="0.60273972602739723"/>
    <s v="Terminated"/>
    <x v="23"/>
    <s v="Low"/>
  </r>
  <r>
    <s v="00-77349752"/>
    <s v="Sandra"/>
    <s v="Romero"/>
    <s v="Female"/>
    <s v="Pennsylvania"/>
    <s v="Philadelphia"/>
    <s v="Bachelor"/>
    <d v="1985-03-18T00:00:00"/>
    <d v="2018-12-07T00:00:00"/>
    <d v="2019-06-05T00:00:00"/>
    <x v="2"/>
    <s v="Logistics Coordinator"/>
    <n v="61624"/>
    <s v="Good"/>
    <n v="0.49315068493150682"/>
    <s v="Active"/>
    <x v="27"/>
    <s v="Medium"/>
  </r>
  <r>
    <s v="00-74672520"/>
    <s v="Derek"/>
    <s v="Jones"/>
    <s v="Male"/>
    <s v="Michigan"/>
    <s v="Detroit"/>
    <s v="Bachelor"/>
    <d v="1973-01-29T00:00:00"/>
    <d v="2018-10-27T00:00:00"/>
    <d v="2019-04-25T00:00:00"/>
    <x v="0"/>
    <s v="Support Specialist"/>
    <n v="67477"/>
    <s v="Excellent"/>
    <n v="5.9589041095890414"/>
    <s v="Terminated"/>
    <x v="36"/>
    <s v="Medium"/>
  </r>
  <r>
    <s v="00-55461591"/>
    <s v="Kristy"/>
    <s v="Perry"/>
    <s v="Female"/>
    <s v="New York"/>
    <s v="New York City"/>
    <s v="High School"/>
    <d v="2003-12-17T00:00:00"/>
    <d v="2017-12-29T00:00:00"/>
    <d v="2018-06-26T00:00:00"/>
    <x v="2"/>
    <s v="Inventory Specialist"/>
    <n v="58948"/>
    <s v="Excellent"/>
    <n v="8.9260273972602739"/>
    <s v="Active"/>
    <x v="26"/>
    <s v="Low"/>
  </r>
  <r>
    <s v="00-28892086"/>
    <s v="Kristin"/>
    <s v="Adams"/>
    <s v="Female"/>
    <s v="Pennsylvania"/>
    <s v="Philadelphia"/>
    <s v="High School"/>
    <d v="1970-01-09T00:00:00"/>
    <d v="2022-01-01T00:00:00"/>
    <d v="2022-06-30T00:00:00"/>
    <x v="0"/>
    <s v="Help Desk Technician"/>
    <n v="75839"/>
    <s v="Needs Improvement"/>
    <n v="0.49315068493150682"/>
    <s v="Terminated"/>
    <x v="23"/>
    <s v="Medium"/>
  </r>
  <r>
    <s v="00-63339667"/>
    <s v="Justin"/>
    <s v="Evans"/>
    <s v="Male"/>
    <s v="New York"/>
    <s v="New York City"/>
    <s v="Bachelor"/>
    <d v="1987-07-14T00:00:00"/>
    <d v="2018-08-15T00:00:00"/>
    <d v="2019-02-11T00:00:00"/>
    <x v="2"/>
    <s v="Logistics Coordinator"/>
    <n v="70332"/>
    <s v="Good"/>
    <n v="0.48767123287671232"/>
    <s v="Terminated"/>
    <x v="1"/>
    <s v="Medium"/>
  </r>
  <r>
    <s v="00-22120246"/>
    <s v="Bethany"/>
    <s v="Keller"/>
    <s v="Male"/>
    <s v="West Virginia"/>
    <s v="Charleston"/>
    <s v="Master"/>
    <d v="1977-05-18T00:00:00"/>
    <d v="2023-12-03T00:00:00"/>
    <d v="2024-05-31T00:00:00"/>
    <x v="2"/>
    <s v="Operations Analyst"/>
    <n v="67285"/>
    <s v="Excellent"/>
    <n v="8.1068493150684926"/>
    <s v="Active"/>
    <x v="18"/>
    <s v="Medium"/>
  </r>
  <r>
    <s v="00-82017516"/>
    <s v="Edgar"/>
    <s v="Ryan"/>
    <s v="Female"/>
    <s v="New York"/>
    <s v="New York City"/>
    <s v="Bachelor"/>
    <d v="1990-04-10T00:00:00"/>
    <d v="2016-05-14T00:00:00"/>
    <d v="2022-04-25T00:00:00"/>
    <x v="1"/>
    <s v="IT Support Specialist"/>
    <n v="59936"/>
    <s v="Good"/>
    <n v="0.49315068493150682"/>
    <s v="Terminated"/>
    <x v="35"/>
    <s v="Low"/>
  </r>
  <r>
    <s v="00-45186708"/>
    <s v="Martin"/>
    <s v="Hines"/>
    <s v="Male"/>
    <s v="New York"/>
    <s v="New York City"/>
    <s v="Bachelor"/>
    <d v="1964-05-27T00:00:00"/>
    <d v="2020-05-26T00:00:00"/>
    <d v="2020-11-22T00:00:00"/>
    <x v="2"/>
    <s v="Logistics Coordinator"/>
    <n v="68848"/>
    <s v="Good"/>
    <n v="0.49315068493150682"/>
    <s v="Terminated"/>
    <x v="44"/>
    <s v="Medium"/>
  </r>
  <r>
    <s v="00-24541967"/>
    <s v="Stanley"/>
    <s v="Morris"/>
    <s v="Female"/>
    <s v="New York"/>
    <s v="New York City"/>
    <s v="Bachelor"/>
    <d v="1972-03-27T00:00:00"/>
    <d v="2022-03-15T00:00:00"/>
    <d v="2022-09-11T00:00:00"/>
    <x v="6"/>
    <s v="Sales Representative"/>
    <n v="66482"/>
    <s v="Satisfactory"/>
    <n v="0.49041095890410957"/>
    <s v="Terminated"/>
    <x v="24"/>
    <s v="Medium"/>
  </r>
  <r>
    <s v="00-93154172"/>
    <s v="Tina"/>
    <s v="Allen"/>
    <s v="Female"/>
    <s v="New York"/>
    <s v="New York City"/>
    <s v="Master"/>
    <d v="1967-05-20T00:00:00"/>
    <d v="2023-05-29T00:00:00"/>
    <d v="2023-11-25T00:00:00"/>
    <x v="0"/>
    <s v="Customer Service Manager"/>
    <n v="69548"/>
    <s v="Good"/>
    <n v="0.49041095890410957"/>
    <s v="Terminated"/>
    <x v="10"/>
    <s v="Medium"/>
  </r>
  <r>
    <s v="00-72312933"/>
    <s v="Louis"/>
    <s v="Kennedy"/>
    <s v="Male"/>
    <s v="Michigan"/>
    <s v="Grand Rapids"/>
    <s v="Master"/>
    <d v="1990-09-14T00:00:00"/>
    <d v="2023-12-21T00:00:00"/>
    <d v="2024-06-18T00:00:00"/>
    <x v="1"/>
    <s v="Software Developer"/>
    <n v="89090"/>
    <s v="Excellent"/>
    <n v="0.49315068493150682"/>
    <s v="Active"/>
    <x v="16"/>
    <s v="Medium"/>
  </r>
  <r>
    <s v="00-64800542"/>
    <s v="Lisa"/>
    <s v="Hughes"/>
    <s v="Male"/>
    <s v="Michigan"/>
    <s v="Grand Rapids"/>
    <s v="Bachelor"/>
    <d v="1976-07-09T00:00:00"/>
    <d v="2016-09-14T00:00:00"/>
    <d v="2021-09-25T00:00:00"/>
    <x v="0"/>
    <s v="Customer Service Representative"/>
    <n v="61136"/>
    <s v="Excellent"/>
    <n v="0.49315068493150682"/>
    <s v="Terminated"/>
    <x v="32"/>
    <s v="Medium"/>
  </r>
  <r>
    <s v="00-50851122"/>
    <s v="Laura"/>
    <s v="Pearson"/>
    <s v="Female"/>
    <s v="New York"/>
    <s v="New York City"/>
    <s v="Master"/>
    <d v="1999-01-28T00:00:00"/>
    <d v="2024-02-29T00:00:00"/>
    <d v="2024-08-27T00:00:00"/>
    <x v="6"/>
    <s v="Sales Consultant"/>
    <n v="86367"/>
    <s v="Excellent"/>
    <n v="1.6739726027397259"/>
    <s v="Active"/>
    <x v="31"/>
    <s v="Medium"/>
  </r>
  <r>
    <s v="00-41514326"/>
    <s v="Tyler"/>
    <s v="Johnson"/>
    <s v="Female"/>
    <s v="New York"/>
    <s v="New York City"/>
    <s v="Bachelor"/>
    <d v="1989-02-20T00:00:00"/>
    <d v="2017-07-15T00:00:00"/>
    <d v="2018-01-11T00:00:00"/>
    <x v="1"/>
    <s v="System Administrator"/>
    <n v="79711"/>
    <s v="Needs Improvement"/>
    <n v="0.49315068493150682"/>
    <s v="Terminated"/>
    <x v="4"/>
    <s v="Medium"/>
  </r>
  <r>
    <s v="00-70887034"/>
    <s v="Tammy"/>
    <s v="Rivera"/>
    <s v="Male"/>
    <s v="New York"/>
    <s v="New York City"/>
    <s v="Bachelor"/>
    <d v="1995-05-23T00:00:00"/>
    <d v="2018-02-08T00:00:00"/>
    <d v="2021-02-12T00:00:00"/>
    <x v="3"/>
    <s v="Accounts Payable Specialist"/>
    <n v="63065"/>
    <s v="Good"/>
    <n v="0.49315068493150682"/>
    <s v="Terminated"/>
    <x v="6"/>
    <s v="Medium"/>
  </r>
  <r>
    <s v="00-82503409"/>
    <s v="Morgan"/>
    <s v="Alexander"/>
    <s v="Male"/>
    <s v="Ohio"/>
    <s v="Columbus"/>
    <s v="Bachelor"/>
    <d v="1976-02-07T00:00:00"/>
    <d v="2019-07-24T00:00:00"/>
    <d v="2020-01-20T00:00:00"/>
    <x v="6"/>
    <s v="Sales Consultant"/>
    <n v="82504"/>
    <s v="Satisfactory"/>
    <n v="0.49041095890410957"/>
    <s v="Active"/>
    <x v="33"/>
    <s v="Medium"/>
  </r>
  <r>
    <s v="00-30739712"/>
    <s v="Renee"/>
    <s v="Smith"/>
    <s v="Male"/>
    <s v="New York"/>
    <s v="New York City"/>
    <s v="High School"/>
    <d v="1981-10-11T00:00:00"/>
    <d v="2023-02-25T00:00:00"/>
    <d v="2023-11-22T00:00:00"/>
    <x v="0"/>
    <s v="Support Specialist"/>
    <n v="61422"/>
    <s v="Needs Improvement"/>
    <n v="0.49315068493150682"/>
    <s v="Active"/>
    <x v="25"/>
    <s v="Medium"/>
  </r>
  <r>
    <s v="00-75679047"/>
    <s v="Robert"/>
    <s v="Pena"/>
    <s v="Female"/>
    <s v="New York"/>
    <s v="New York City"/>
    <s v="Bachelor"/>
    <d v="2002-12-01T00:00:00"/>
    <d v="2021-03-01T00:00:00"/>
    <d v="2021-08-28T00:00:00"/>
    <x v="3"/>
    <s v="Accountant"/>
    <n v="74745"/>
    <s v="Good"/>
    <n v="0.49315068493150682"/>
    <s v="Terminated"/>
    <x v="7"/>
    <s v="Medium"/>
  </r>
  <r>
    <s v="00-59731689"/>
    <s v="Charles"/>
    <s v="Harrington"/>
    <s v="Female"/>
    <s v="Illinois"/>
    <s v="Chicago"/>
    <s v="High School"/>
    <d v="1964-12-27T00:00:00"/>
    <d v="2017-04-13T00:00:00"/>
    <d v="2020-04-27T00:00:00"/>
    <x v="0"/>
    <s v="Support Specialist"/>
    <n v="65592"/>
    <s v="Needs Improvement"/>
    <n v="0.49315068493150682"/>
    <s v="Active"/>
    <x v="44"/>
    <s v="Medium"/>
  </r>
  <r>
    <s v="00-58678896"/>
    <s v="Matthew"/>
    <s v="Schwartz"/>
    <s v="Male"/>
    <s v="New York"/>
    <s v="New York City"/>
    <s v="Bachelor"/>
    <d v="1964-06-09T00:00:00"/>
    <d v="2016-09-09T00:00:00"/>
    <d v="2021-08-07T00:00:00"/>
    <x v="2"/>
    <s v="Inventory Specialist"/>
    <n v="68263"/>
    <s v="Good"/>
    <n v="5.9506849315068493"/>
    <s v="Active"/>
    <x v="44"/>
    <s v="Medium"/>
  </r>
  <r>
    <s v="00-83076970"/>
    <s v="Christopher"/>
    <s v="Murphy"/>
    <s v="Female"/>
    <s v="Illinois"/>
    <s v="Aurora"/>
    <s v="High School"/>
    <d v="1982-01-12T00:00:00"/>
    <d v="2023-09-19T00:00:00"/>
    <d v="2024-06-29T00:00:00"/>
    <x v="0"/>
    <s v="Support Specialist"/>
    <n v="63173"/>
    <s v="Needs Improvement"/>
    <n v="0.49315068493150682"/>
    <s v="Terminated"/>
    <x v="25"/>
    <s v="Medium"/>
  </r>
  <r>
    <s v="00-18126895"/>
    <s v="Michele"/>
    <s v="James"/>
    <s v="Female"/>
    <s v="New York"/>
    <s v="New York City"/>
    <s v="Bachelor"/>
    <d v="1977-03-15T00:00:00"/>
    <d v="2019-05-03T00:00:00"/>
    <d v="2019-10-30T00:00:00"/>
    <x v="4"/>
    <s v="Marketing Coordinator"/>
    <n v="61924"/>
    <s v="Good"/>
    <n v="0.49315068493150682"/>
    <s v="Terminated"/>
    <x v="32"/>
    <s v="Medium"/>
  </r>
  <r>
    <s v="00-71031132"/>
    <s v="Courtney"/>
    <s v="Clay"/>
    <s v="Male"/>
    <s v="New York"/>
    <s v="New York City"/>
    <s v="Bachelor"/>
    <d v="1974-11-21T00:00:00"/>
    <d v="2016-07-08T00:00:00"/>
    <d v="2024-10-05T00:00:00"/>
    <x v="1"/>
    <s v="Software Developer"/>
    <n v="92714"/>
    <s v="Good"/>
    <n v="0.49315068493150682"/>
    <s v="Terminated"/>
    <x v="9"/>
    <s v="Medium"/>
  </r>
  <r>
    <s v="00-95831286"/>
    <s v="Monique"/>
    <s v="Johnson"/>
    <s v="Female"/>
    <s v="New York"/>
    <s v="New York City"/>
    <s v="Bachelor"/>
    <d v="1995-12-14T00:00:00"/>
    <d v="2020-01-27T00:00:00"/>
    <d v="2022-06-28T00:00:00"/>
    <x v="6"/>
    <s v="Sales Specialist"/>
    <n v="76920"/>
    <s v="Good"/>
    <n v="8.2301369863013694"/>
    <s v="Active"/>
    <x v="6"/>
    <s v="Medium"/>
  </r>
  <r>
    <s v="00-54762841"/>
    <s v="Jimmy"/>
    <s v="Cohen"/>
    <s v="Female"/>
    <s v="New York"/>
    <s v="New York City"/>
    <s v="Bachelor"/>
    <d v="1962-08-26T00:00:00"/>
    <d v="2017-04-22T00:00:00"/>
    <d v="2022-03-18T00:00:00"/>
    <x v="4"/>
    <s v="Content Creator"/>
    <n v="64316"/>
    <s v="Satisfactory"/>
    <n v="0.49315068493150682"/>
    <s v="Terminated"/>
    <x v="13"/>
    <s v="Medium"/>
  </r>
  <r>
    <s v="00-88703005"/>
    <s v="Tiffany"/>
    <s v="Hodges"/>
    <s v="Male"/>
    <s v="New York"/>
    <s v="New York City"/>
    <s v="High School"/>
    <d v="1985-07-13T00:00:00"/>
    <d v="2017-10-01T00:00:00"/>
    <d v="2021-01-02T00:00:00"/>
    <x v="2"/>
    <s v="Inventory Specialist"/>
    <n v="60526"/>
    <s v="Needs Improvement"/>
    <n v="5.0328767123287674"/>
    <s v="Terminated"/>
    <x v="38"/>
    <s v="Medium"/>
  </r>
  <r>
    <s v="00-29804386"/>
    <s v="Monique"/>
    <s v="Wallace"/>
    <s v="Female"/>
    <s v="Illinois"/>
    <s v="Naperville"/>
    <s v="Bachelor"/>
    <d v="1972-05-18T00:00:00"/>
    <d v="2023-09-27T00:00:00"/>
    <d v="2024-03-25T00:00:00"/>
    <x v="3"/>
    <s v="Accountant"/>
    <n v="70513"/>
    <s v="Good"/>
    <n v="0.49315068493150682"/>
    <s v="Terminated"/>
    <x v="36"/>
    <s v="Medium"/>
  </r>
  <r>
    <s v="00-47215199"/>
    <s v="Kevin"/>
    <s v="Johnson"/>
    <s v="Male"/>
    <s v="New York"/>
    <s v="New York City"/>
    <s v="Bachelor"/>
    <d v="1983-12-20T00:00:00"/>
    <d v="2023-05-06T00:00:00"/>
    <d v="2023-11-02T00:00:00"/>
    <x v="6"/>
    <s v="Sales Consultant"/>
    <n v="74982"/>
    <s v="Excellent"/>
    <n v="0.49315068493150682"/>
    <s v="Terminated"/>
    <x v="22"/>
    <s v="Medium"/>
  </r>
  <r>
    <s v="00-82506491"/>
    <s v="Laura"/>
    <s v="Carter"/>
    <s v="Male"/>
    <s v="North Carolina"/>
    <s v="Greensboro"/>
    <s v="High School"/>
    <d v="1990-05-31T00:00:00"/>
    <d v="2017-05-26T00:00:00"/>
    <d v="2019-01-04T00:00:00"/>
    <x v="4"/>
    <s v="Content Creator"/>
    <n v="62882"/>
    <s v="Needs Improvement"/>
    <n v="3.0136986301369859"/>
    <s v="Terminated"/>
    <x v="16"/>
    <s v="Medium"/>
  </r>
  <r>
    <s v="00-98725654"/>
    <s v="Ryan"/>
    <s v="Sanchez"/>
    <s v="Male"/>
    <s v="New York"/>
    <s v="New York City"/>
    <s v="Master"/>
    <d v="1966-04-20T00:00:00"/>
    <d v="2023-06-10T00:00:00"/>
    <d v="2023-12-07T00:00:00"/>
    <x v="2"/>
    <s v="Operations Analyst"/>
    <n v="72764"/>
    <s v="Good"/>
    <n v="0.49315068493150682"/>
    <s v="Active"/>
    <x v="40"/>
    <s v="Medium"/>
  </r>
  <r>
    <s v="00-58082464"/>
    <s v="Ashlee"/>
    <s v="Sparks"/>
    <s v="Female"/>
    <s v="North Carolina"/>
    <s v="Greensboro"/>
    <s v="Bachelor"/>
    <d v="1981-06-22T00:00:00"/>
    <d v="2023-03-08T00:00:00"/>
    <d v="2023-09-04T00:00:00"/>
    <x v="2"/>
    <s v="Operations Analyst"/>
    <n v="80418"/>
    <s v="Excellent"/>
    <n v="0.73972602739726023"/>
    <s v="Terminated"/>
    <x v="25"/>
    <s v="Medium"/>
  </r>
  <r>
    <s v="00-53455870"/>
    <s v="Gregory"/>
    <s v="Lynch"/>
    <s v="Female"/>
    <s v="New York"/>
    <s v="New York City"/>
    <s v="Bachelor"/>
    <d v="1980-06-03T00:00:00"/>
    <d v="2015-05-29T00:00:00"/>
    <d v="2019-08-18T00:00:00"/>
    <x v="2"/>
    <s v="Inventory Specialist"/>
    <n v="60390"/>
    <s v="Excellent"/>
    <n v="0.49315068493150682"/>
    <s v="Terminated"/>
    <x v="3"/>
    <s v="Medium"/>
  </r>
  <r>
    <s v="00-27013243"/>
    <s v="Christine"/>
    <s v="Allen"/>
    <s v="Male"/>
    <s v="New York"/>
    <s v="New York City"/>
    <s v="Bachelor"/>
    <d v="1978-05-07T00:00:00"/>
    <d v="2022-12-21T00:00:00"/>
    <d v="2023-06-19T00:00:00"/>
    <x v="2"/>
    <s v="Logistics Coordinator"/>
    <n v="63500"/>
    <s v="Excellent"/>
    <n v="3.0410958904109591"/>
    <s v="Active"/>
    <x v="30"/>
    <s v="Medium"/>
  </r>
  <r>
    <s v="00-18530615"/>
    <s v="Brandy"/>
    <s v="Hall"/>
    <s v="Male"/>
    <s v="North Carolina"/>
    <s v="Charlotte"/>
    <s v="Bachelor"/>
    <d v="2002-09-18T00:00:00"/>
    <d v="2019-09-05T00:00:00"/>
    <d v="2022-10-09T00:00:00"/>
    <x v="0"/>
    <s v="Support Specialist"/>
    <n v="63879"/>
    <s v="Good"/>
    <n v="4.912328767123288"/>
    <s v="Active"/>
    <x v="7"/>
    <s v="Medium"/>
  </r>
  <r>
    <s v="00-89680504"/>
    <s v="Jonathan"/>
    <s v="Scott"/>
    <s v="Male"/>
    <s v="New York"/>
    <s v="New York City"/>
    <s v="Bachelor"/>
    <d v="1988-07-03T00:00:00"/>
    <d v="2016-01-04T00:00:00"/>
    <d v="2016-07-02T00:00:00"/>
    <x v="3"/>
    <s v="Accounts Payable Specialist"/>
    <n v="61505"/>
    <s v="Good"/>
    <n v="0.77808219178082194"/>
    <s v="Terminated"/>
    <x v="4"/>
    <s v="Medium"/>
  </r>
  <r>
    <s v="00-92558242"/>
    <s v="Rachel"/>
    <s v="Marshall"/>
    <s v="Male"/>
    <s v="New York"/>
    <s v="New York City"/>
    <s v="High School"/>
    <d v="1992-01-21T00:00:00"/>
    <d v="2015-04-22T00:00:00"/>
    <d v="2023-03-12T00:00:00"/>
    <x v="0"/>
    <s v="Customer Service Representative"/>
    <n v="59618"/>
    <s v="Excellent"/>
    <n v="0.49315068493150682"/>
    <s v="Active"/>
    <x v="5"/>
    <s v="Low"/>
  </r>
  <r>
    <s v="00-50484137"/>
    <s v="Erica"/>
    <s v="Moore"/>
    <s v="Male"/>
    <s v="New York"/>
    <s v="New York City"/>
    <s v="Bachelor"/>
    <d v="1974-09-13T00:00:00"/>
    <d v="2019-06-21T00:00:00"/>
    <d v="2019-12-18T00:00:00"/>
    <x v="2"/>
    <s v="Operations Manager"/>
    <n v="106190"/>
    <s v="Good"/>
    <n v="8.24931506849315"/>
    <s v="Terminated"/>
    <x v="9"/>
    <s v="High"/>
  </r>
  <r>
    <s v="00-74287863"/>
    <s v="Sierra"/>
    <s v="Huerta"/>
    <s v="Female"/>
    <s v="Michigan"/>
    <s v="Warren"/>
    <s v="Bachelor"/>
    <d v="1983-05-13T00:00:00"/>
    <d v="2023-04-27T00:00:00"/>
    <d v="2023-10-24T00:00:00"/>
    <x v="2"/>
    <s v="Logistics Coordinator"/>
    <n v="57162"/>
    <s v="Satisfactory"/>
    <n v="2.419178082191781"/>
    <s v="Terminated"/>
    <x v="22"/>
    <s v="Low"/>
  </r>
  <r>
    <s v="00-24490391"/>
    <s v="Danielle"/>
    <s v="Coleman"/>
    <s v="Male"/>
    <s v="Pennsylvania"/>
    <s v="Philadelphia"/>
    <s v="Bachelor"/>
    <d v="2003-04-26T00:00:00"/>
    <d v="2020-04-07T00:00:00"/>
    <d v="2020-10-04T00:00:00"/>
    <x v="1"/>
    <s v="Software Developer"/>
    <n v="105074"/>
    <s v="Good"/>
    <n v="4.9068493150684933"/>
    <s v="Terminated"/>
    <x v="26"/>
    <s v="High"/>
  </r>
  <r>
    <s v="00-20843514"/>
    <s v="Stephen"/>
    <s v="Turner"/>
    <s v="Male"/>
    <s v="New York"/>
    <s v="New York City"/>
    <s v="Bachelor"/>
    <d v="1987-02-25T00:00:00"/>
    <d v="2018-05-30T00:00:00"/>
    <d v="2023-12-11T00:00:00"/>
    <x v="2"/>
    <s v="Logistics Coordinator"/>
    <n v="73542"/>
    <s v="Satisfactory"/>
    <n v="7.8136986301369866"/>
    <s v="Active"/>
    <x v="28"/>
    <s v="Medium"/>
  </r>
  <r>
    <s v="00-83599154"/>
    <s v="Ashley"/>
    <s v="Andrews"/>
    <s v="Female"/>
    <s v="Michigan"/>
    <s v="Warren"/>
    <s v="Master"/>
    <d v="1989-08-27T00:00:00"/>
    <d v="2022-09-29T00:00:00"/>
    <d v="2023-03-28T00:00:00"/>
    <x v="2"/>
    <s v="Operations Analyst"/>
    <n v="86465"/>
    <s v="Excellent"/>
    <n v="3.257534246575343"/>
    <s v="Terminated"/>
    <x v="35"/>
    <s v="Medium"/>
  </r>
  <r>
    <s v="00-81210133"/>
    <s v="Kenneth"/>
    <s v="Spence"/>
    <s v="Female"/>
    <s v="New York"/>
    <s v="New York City"/>
    <s v="High School"/>
    <d v="1984-09-19T00:00:00"/>
    <d v="2017-09-13T00:00:00"/>
    <d v="2021-12-16T00:00:00"/>
    <x v="0"/>
    <s v="Support Specialist"/>
    <n v="57737"/>
    <s v="Needs Improvement"/>
    <n v="0.49315068493150682"/>
    <s v="Active"/>
    <x v="27"/>
    <s v="Low"/>
  </r>
  <r>
    <s v="00-67740376"/>
    <s v="Randy"/>
    <s v="Smith"/>
    <s v="Female"/>
    <s v="New York"/>
    <s v="New York City"/>
    <s v="Bachelor"/>
    <d v="1972-06-23T00:00:00"/>
    <d v="2016-12-01T00:00:00"/>
    <d v="2020-03-23T00:00:00"/>
    <x v="0"/>
    <s v="Help Desk Technician"/>
    <n v="72249"/>
    <s v="Good"/>
    <n v="0.49315068493150682"/>
    <s v="Terminated"/>
    <x v="36"/>
    <s v="Medium"/>
  </r>
  <r>
    <s v="00-97874085"/>
    <s v="Gina"/>
    <s v="Garner"/>
    <s v="Female"/>
    <s v="New York"/>
    <s v="New York City"/>
    <s v="Bachelor"/>
    <d v="1996-01-18T00:00:00"/>
    <d v="2022-01-20T00:00:00"/>
    <d v="2022-07-19T00:00:00"/>
    <x v="6"/>
    <s v="Sales Representative"/>
    <n v="64270"/>
    <s v="Good"/>
    <n v="1.6109589041095891"/>
    <s v="Terminated"/>
    <x v="6"/>
    <s v="Medium"/>
  </r>
  <r>
    <s v="00-38859907"/>
    <s v="Renee"/>
    <s v="Mcgee"/>
    <s v="Female"/>
    <s v="Illinois"/>
    <s v="Chicago"/>
    <s v="Master"/>
    <d v="1979-10-01T00:00:00"/>
    <d v="2019-11-20T00:00:00"/>
    <d v="2021-11-10T00:00:00"/>
    <x v="1"/>
    <s v="System Administrator"/>
    <n v="78290"/>
    <s v="Excellent"/>
    <n v="0.49315068493150682"/>
    <s v="Active"/>
    <x v="0"/>
    <s v="Medium"/>
  </r>
  <r>
    <s v="00-55490631"/>
    <s v="Rebecca"/>
    <s v="Mitchell"/>
    <s v="Male"/>
    <s v="New York"/>
    <s v="New York City"/>
    <s v="High School"/>
    <d v="1973-04-28T00:00:00"/>
    <d v="2017-11-07T00:00:00"/>
    <d v="2018-05-05T00:00:00"/>
    <x v="0"/>
    <s v="Help Desk Technician"/>
    <n v="84336"/>
    <s v="Needs Improvement"/>
    <n v="0.49315068493150682"/>
    <s v="Terminated"/>
    <x v="15"/>
    <s v="Medium"/>
  </r>
  <r>
    <s v="00-22762205"/>
    <s v="Jerry"/>
    <s v="Pham"/>
    <s v="Male"/>
    <s v="New York"/>
    <s v="New York City"/>
    <s v="Bachelor"/>
    <d v="1991-03-15T00:00:00"/>
    <d v="2018-03-27T00:00:00"/>
    <d v="2018-09-23T00:00:00"/>
    <x v="2"/>
    <s v="Logistics Coordinator"/>
    <n v="70063"/>
    <s v="Good"/>
    <n v="4.2246575342465764"/>
    <s v="Active"/>
    <x v="16"/>
    <s v="Medium"/>
  </r>
  <r>
    <s v="00-44210729"/>
    <s v="Dana"/>
    <s v="Oliver"/>
    <s v="Female"/>
    <s v="New York"/>
    <s v="New York City"/>
    <s v="Master"/>
    <d v="1986-07-13T00:00:00"/>
    <d v="2018-09-21T00:00:00"/>
    <d v="2019-03-20T00:00:00"/>
    <x v="1"/>
    <s v="Software Developer"/>
    <n v="109652"/>
    <s v="Good"/>
    <n v="0.49315068493150682"/>
    <s v="Terminated"/>
    <x v="28"/>
    <s v="High"/>
  </r>
  <r>
    <s v="00-73655158"/>
    <s v="Karla"/>
    <s v="Saunders"/>
    <s v="Female"/>
    <s v="Pennsylvania"/>
    <s v="Allentown"/>
    <s v="High School"/>
    <d v="1988-03-25T00:00:00"/>
    <d v="2016-09-21T00:00:00"/>
    <d v="2023-11-19T00:00:00"/>
    <x v="2"/>
    <s v="Inventory Specialist"/>
    <n v="53673"/>
    <s v="Excellent"/>
    <n v="3.095890410958904"/>
    <s v="Terminated"/>
    <x v="1"/>
    <s v="Low"/>
  </r>
  <r>
    <s v="00-67965485"/>
    <s v="Mary"/>
    <s v="Fuller"/>
    <s v="Male"/>
    <s v="New York"/>
    <s v="New York City"/>
    <s v="Master"/>
    <d v="1966-03-16T00:00:00"/>
    <d v="2016-12-16T00:00:00"/>
    <d v="2024-07-21T00:00:00"/>
    <x v="1"/>
    <s v="System Administrator"/>
    <n v="78950"/>
    <s v="Good"/>
    <n v="0.49315068493150682"/>
    <s v="Active"/>
    <x v="29"/>
    <s v="Medium"/>
  </r>
  <r>
    <s v="00-27463800"/>
    <s v="Courtney"/>
    <s v="Williams"/>
    <s v="Male"/>
    <s v="New York"/>
    <s v="New York City"/>
    <s v="Bachelor"/>
    <d v="1992-12-09T00:00:00"/>
    <d v="2020-11-02T00:00:00"/>
    <d v="2022-06-17T00:00:00"/>
    <x v="3"/>
    <s v="Accountant"/>
    <n v="92292"/>
    <s v="Good"/>
    <n v="7.8931506849315074"/>
    <s v="Active"/>
    <x v="17"/>
    <s v="Medium"/>
  </r>
  <r>
    <s v="00-85387867"/>
    <s v="Scott"/>
    <s v="Riley"/>
    <s v="Male"/>
    <s v="New York"/>
    <s v="New York City"/>
    <s v="Bachelor"/>
    <d v="1973-03-16T00:00:00"/>
    <d v="2018-10-12T00:00:00"/>
    <d v="2019-04-10T00:00:00"/>
    <x v="1"/>
    <s v="Software Developer"/>
    <n v="83600"/>
    <s v="Good"/>
    <n v="0.49315068493150682"/>
    <s v="Terminated"/>
    <x v="36"/>
    <s v="Medium"/>
  </r>
  <r>
    <s v="00-57459130"/>
    <s v="David"/>
    <s v="Browning"/>
    <s v="Male"/>
    <s v="Michigan"/>
    <s v="Detroit"/>
    <s v="Bachelor"/>
    <d v="1971-05-12T00:00:00"/>
    <d v="2023-05-07T00:00:00"/>
    <d v="2023-11-03T00:00:00"/>
    <x v="1"/>
    <s v="IT Support Specialist"/>
    <n v="67517"/>
    <s v="Satisfactory"/>
    <n v="0.49315068493150682"/>
    <s v="Terminated"/>
    <x v="24"/>
    <s v="Medium"/>
  </r>
  <r>
    <s v="00-16904975"/>
    <s v="Julie"/>
    <s v="Thompson"/>
    <s v="Female"/>
    <s v="New York"/>
    <s v="New York City"/>
    <s v="Master"/>
    <d v="1967-07-01T00:00:00"/>
    <d v="2024-02-21T00:00:00"/>
    <d v="2024-08-19T00:00:00"/>
    <x v="1"/>
    <s v="System Administrator"/>
    <n v="91226"/>
    <s v="Excellent"/>
    <n v="0.49315068493150682"/>
    <s v="Terminated"/>
    <x v="10"/>
    <s v="Medium"/>
  </r>
  <r>
    <s v="00-57197152"/>
    <s v="Kristin"/>
    <s v="Walter"/>
    <s v="Male"/>
    <s v="New York"/>
    <s v="New York City"/>
    <s v="Bachelor"/>
    <d v="1997-05-21T00:00:00"/>
    <d v="2016-05-22T00:00:00"/>
    <d v="2018-06-17T00:00:00"/>
    <x v="3"/>
    <s v="Accountant"/>
    <n v="61904"/>
    <s v="Good"/>
    <n v="5.536986301369863"/>
    <s v="Terminated"/>
    <x v="34"/>
    <s v="Medium"/>
  </r>
  <r>
    <s v="00-30767532"/>
    <s v="Alyssa"/>
    <s v="Mcintyre"/>
    <s v="Male"/>
    <s v="Michigan"/>
    <s v="Detroit"/>
    <s v="Bachelor"/>
    <d v="1988-02-03T00:00:00"/>
    <d v="2022-11-19T00:00:00"/>
    <d v="2023-05-18T00:00:00"/>
    <x v="3"/>
    <s v="Accountant"/>
    <n v="84689"/>
    <s v="Good"/>
    <n v="7.8684931506849312"/>
    <s v="Active"/>
    <x v="1"/>
    <s v="Medium"/>
  </r>
  <r>
    <s v="00-24524825"/>
    <s v="Franklin"/>
    <s v="Sloan"/>
    <s v="Male"/>
    <s v="New York"/>
    <s v="New York City"/>
    <s v="Bachelor"/>
    <d v="1973-09-03T00:00:00"/>
    <d v="2018-07-07T00:00:00"/>
    <d v="2021-06-19T00:00:00"/>
    <x v="2"/>
    <s v="Operations Analyst"/>
    <n v="82682"/>
    <s v="Satisfactory"/>
    <n v="0.49315068493150682"/>
    <s v="Active"/>
    <x v="15"/>
    <s v="Medium"/>
  </r>
  <r>
    <s v="00-25419645"/>
    <s v="Tammy"/>
    <s v="Phillips"/>
    <s v="Female"/>
    <s v="New York"/>
    <s v="New York City"/>
    <s v="High School"/>
    <d v="1977-09-13T00:00:00"/>
    <d v="2022-12-05T00:00:00"/>
    <d v="2023-06-03T00:00:00"/>
    <x v="0"/>
    <s v="Support Specialist"/>
    <n v="67032"/>
    <s v="Needs Improvement"/>
    <n v="4.2602739726027394"/>
    <s v="Terminated"/>
    <x v="18"/>
    <s v="Medium"/>
  </r>
  <r>
    <s v="00-67594492"/>
    <s v="Matthew"/>
    <s v="Wilson"/>
    <s v="Female"/>
    <s v="Illinois"/>
    <s v="Aurora"/>
    <s v="Bachelor"/>
    <d v="1993-11-23T00:00:00"/>
    <d v="2023-01-30T00:00:00"/>
    <d v="2023-07-29T00:00:00"/>
    <x v="4"/>
    <s v="Content Creator"/>
    <n v="56797"/>
    <s v="Good"/>
    <n v="3.309589041095891"/>
    <s v="Active"/>
    <x v="8"/>
    <s v="Low"/>
  </r>
  <r>
    <s v="00-96261621"/>
    <s v="Donald"/>
    <s v="Levy"/>
    <s v="Female"/>
    <s v="Michigan"/>
    <s v="Grand Rapids"/>
    <s v="Bachelor"/>
    <d v="1995-12-26T00:00:00"/>
    <d v="2020-11-30T00:00:00"/>
    <d v="2021-05-29T00:00:00"/>
    <x v="0"/>
    <s v="Help Desk Technician"/>
    <n v="67650"/>
    <s v="Good"/>
    <n v="0.49315068493150682"/>
    <s v="Terminated"/>
    <x v="6"/>
    <s v="Medium"/>
  </r>
  <r>
    <s v="00-45896226"/>
    <s v="Erica"/>
    <s v="Craig"/>
    <s v="Female"/>
    <s v="New York"/>
    <s v="New York City"/>
    <s v="Bachelor"/>
    <d v="1975-10-31T00:00:00"/>
    <d v="2015-06-04T00:00:00"/>
    <d v="2024-01-10T00:00:00"/>
    <x v="6"/>
    <s v="Sales Representative"/>
    <n v="68757"/>
    <s v="Excellent"/>
    <n v="1.9753424657534251"/>
    <s v="Active"/>
    <x v="33"/>
    <s v="Medium"/>
  </r>
  <r>
    <s v="00-51471222"/>
    <s v="Tammy"/>
    <s v="Ballard"/>
    <s v="Female"/>
    <s v="New York"/>
    <s v="New York City"/>
    <s v="High School"/>
    <d v="1970-03-31T00:00:00"/>
    <d v="2024-05-22T00:00:00"/>
    <d v="2024-11-18T00:00:00"/>
    <x v="1"/>
    <s v="IT Support Specialist"/>
    <n v="60774"/>
    <s v="Needs Improvement"/>
    <n v="0.49041095890410957"/>
    <s v="Terminated"/>
    <x v="23"/>
    <s v="Medium"/>
  </r>
  <r>
    <s v="00-34347841"/>
    <s v="Christopher"/>
    <s v="Foster"/>
    <s v="Male"/>
    <s v="New York"/>
    <s v="New York City"/>
    <s v="Bachelor"/>
    <d v="1992-11-17T00:00:00"/>
    <d v="2023-04-13T00:00:00"/>
    <d v="2023-10-10T00:00:00"/>
    <x v="5"/>
    <s v="HR Coordinator"/>
    <n v="61927"/>
    <s v="Good"/>
    <n v="0.49315068493150682"/>
    <s v="Active"/>
    <x v="17"/>
    <s v="Medium"/>
  </r>
  <r>
    <s v="00-63792364"/>
    <s v="Amanda"/>
    <s v="Gibson"/>
    <s v="Female"/>
    <s v="New York"/>
    <s v="New York City"/>
    <s v="High School"/>
    <d v="1972-09-13T00:00:00"/>
    <d v="2016-09-18T00:00:00"/>
    <d v="2024-02-11T00:00:00"/>
    <x v="0"/>
    <s v="Support Specialist"/>
    <n v="63658"/>
    <s v="Needs Improvement"/>
    <n v="0.49315068493150682"/>
    <s v="Active"/>
    <x v="36"/>
    <s v="Medium"/>
  </r>
  <r>
    <s v="00-14114726"/>
    <s v="Kaitlyn"/>
    <s v="Baker"/>
    <s v="Male"/>
    <s v="Illinois"/>
    <s v="Chicago"/>
    <s v="Bachelor"/>
    <d v="1973-03-05T00:00:00"/>
    <d v="2016-05-27T00:00:00"/>
    <d v="2019-01-17T00:00:00"/>
    <x v="6"/>
    <s v="Sales Representative"/>
    <n v="87636"/>
    <s v="Good"/>
    <n v="7.1643835616438354"/>
    <s v="Terminated"/>
    <x v="36"/>
    <s v="Medium"/>
  </r>
  <r>
    <s v="00-60491958"/>
    <s v="Lynn"/>
    <s v="Bentley"/>
    <s v="Male"/>
    <s v="New York"/>
    <s v="New York City"/>
    <s v="Bachelor"/>
    <d v="1979-05-03T00:00:00"/>
    <d v="2019-02-12T00:00:00"/>
    <d v="2022-09-20T00:00:00"/>
    <x v="4"/>
    <s v="Marketing Coordinator"/>
    <n v="72762"/>
    <s v="Good"/>
    <n v="7.6"/>
    <s v="Terminated"/>
    <x v="0"/>
    <s v="Medium"/>
  </r>
  <r>
    <s v="00-59667685"/>
    <s v="Emily"/>
    <s v="Ruiz"/>
    <s v="Female"/>
    <s v="Pennsylvania"/>
    <s v="Pittsburgh"/>
    <s v="Bachelor"/>
    <d v="1974-01-24T00:00:00"/>
    <d v="2018-08-29T00:00:00"/>
    <d v="2019-02-25T00:00:00"/>
    <x v="2"/>
    <s v="Inventory Specialist"/>
    <n v="57980"/>
    <s v="Excellent"/>
    <n v="1.6219178082191781"/>
    <s v="Active"/>
    <x v="15"/>
    <s v="Low"/>
  </r>
  <r>
    <s v="00-86181117"/>
    <s v="Nicole"/>
    <s v="Hoffman"/>
    <s v="Male"/>
    <s v="New York"/>
    <s v="New York City"/>
    <s v="Bachelor"/>
    <d v="1982-07-14T00:00:00"/>
    <d v="2020-12-21T00:00:00"/>
    <d v="2021-06-19T00:00:00"/>
    <x v="6"/>
    <s v="Sales Representative"/>
    <n v="84521"/>
    <s v="Good"/>
    <n v="0.49315068493150682"/>
    <s v="Terminated"/>
    <x v="19"/>
    <s v="Medium"/>
  </r>
  <r>
    <s v="00-31127198"/>
    <s v="Chelsea"/>
    <s v="Holland"/>
    <s v="Male"/>
    <s v="Illinois"/>
    <s v="Chicago"/>
    <s v="High School"/>
    <d v="1960-12-24T00:00:00"/>
    <d v="2022-09-04T00:00:00"/>
    <d v="2024-06-04T00:00:00"/>
    <x v="0"/>
    <s v="Customer Service Representative"/>
    <n v="63466"/>
    <s v="Needs Improvement"/>
    <n v="0.49315068493150682"/>
    <s v="Terminated"/>
    <x v="20"/>
    <s v="Medium"/>
  </r>
  <r>
    <s v="00-20949687"/>
    <s v="Madison"/>
    <s v="Blankenship"/>
    <s v="Male"/>
    <s v="New York"/>
    <s v="New York City"/>
    <s v="Bachelor"/>
    <d v="1961-06-08T00:00:00"/>
    <d v="2017-04-28T00:00:00"/>
    <d v="2018-12-19T00:00:00"/>
    <x v="6"/>
    <s v="Sales Representative"/>
    <n v="75091"/>
    <s v="Excellent"/>
    <n v="0.49315068493150682"/>
    <s v="Terminated"/>
    <x v="43"/>
    <s v="Medium"/>
  </r>
  <r>
    <s v="00-75184410"/>
    <s v="Debra"/>
    <s v="Wilson"/>
    <s v="Male"/>
    <s v="New York"/>
    <s v="New York City"/>
    <s v="Bachelor"/>
    <d v="1983-08-01T00:00:00"/>
    <d v="2021-01-18T00:00:00"/>
    <d v="2022-10-03T00:00:00"/>
    <x v="6"/>
    <s v="Sales Representative"/>
    <n v="83010"/>
    <s v="Excellent"/>
    <n v="2.0712328767123291"/>
    <s v="Terminated"/>
    <x v="22"/>
    <s v="Medium"/>
  </r>
  <r>
    <s v="00-38933176"/>
    <s v="Sophia"/>
    <s v="Torres"/>
    <s v="Female"/>
    <s v="New York"/>
    <s v="New York City"/>
    <s v="High School"/>
    <d v="1981-06-27T00:00:00"/>
    <d v="2022-07-11T00:00:00"/>
    <d v="2023-01-07T00:00:00"/>
    <x v="0"/>
    <s v="Help Desk Technician"/>
    <n v="56691"/>
    <s v="Needs Improvement"/>
    <n v="0.49315068493150682"/>
    <s v="Terminated"/>
    <x v="25"/>
    <s v="Low"/>
  </r>
  <r>
    <s v="00-89609131"/>
    <s v="Derek"/>
    <s v="Chavez"/>
    <s v="Male"/>
    <s v="New York"/>
    <s v="New York City"/>
    <s v="Bachelor"/>
    <d v="1997-12-09T00:00:00"/>
    <d v="2019-09-18T00:00:00"/>
    <d v="2024-03-06T00:00:00"/>
    <x v="3"/>
    <s v="Accounts Payable Specialist"/>
    <n v="61471"/>
    <s v="Needs Improvement"/>
    <n v="2.9534246575342471"/>
    <s v="Active"/>
    <x v="34"/>
    <s v="Medium"/>
  </r>
  <r>
    <s v="00-16095815"/>
    <s v="Stacy"/>
    <s v="Horton"/>
    <s v="Female"/>
    <s v="New York"/>
    <s v="New York City"/>
    <s v="Bachelor"/>
    <d v="1986-02-10T00:00:00"/>
    <d v="2017-07-29T00:00:00"/>
    <d v="2024-03-06T00:00:00"/>
    <x v="4"/>
    <s v="SEO Specialist"/>
    <n v="62257"/>
    <s v="Satisfactory"/>
    <n v="0.49315068493150682"/>
    <s v="Terminated"/>
    <x v="38"/>
    <s v="Medium"/>
  </r>
  <r>
    <s v="00-28419343"/>
    <s v="Nicole"/>
    <s v="Pena"/>
    <s v="Female"/>
    <s v="New York"/>
    <s v="New York City"/>
    <s v="Bachelor"/>
    <d v="1979-05-19T00:00:00"/>
    <d v="2022-11-20T00:00:00"/>
    <d v="2023-05-19T00:00:00"/>
    <x v="3"/>
    <s v="Accounts Payable Specialist"/>
    <n v="58656"/>
    <s v="Good"/>
    <n v="0.49315068493150682"/>
    <s v="Active"/>
    <x v="0"/>
    <s v="Low"/>
  </r>
  <r>
    <s v="00-26104026"/>
    <s v="Tracy"/>
    <s v="Russell"/>
    <s v="Female"/>
    <s v="Illinois"/>
    <s v="Chicago"/>
    <s v="High School"/>
    <d v="1982-01-16T00:00:00"/>
    <d v="2015-04-19T00:00:00"/>
    <d v="2020-04-16T00:00:00"/>
    <x v="0"/>
    <s v="Help Desk Technician"/>
    <n v="68102"/>
    <s v="Needs Improvement"/>
    <n v="0.49315068493150682"/>
    <s v="Terminated"/>
    <x v="25"/>
    <s v="Medium"/>
  </r>
  <r>
    <s v="00-40884937"/>
    <s v="Sean"/>
    <s v="Young"/>
    <s v="Female"/>
    <s v="New York"/>
    <s v="New York City"/>
    <s v="Bachelor"/>
    <d v="1964-06-02T00:00:00"/>
    <d v="2020-05-20T00:00:00"/>
    <d v="2022-01-25T00:00:00"/>
    <x v="6"/>
    <s v="Sales Representative"/>
    <n v="65617"/>
    <s v="Satisfactory"/>
    <n v="8.6082191780821926"/>
    <s v="Active"/>
    <x v="44"/>
    <s v="Medium"/>
  </r>
  <r>
    <s v="00-68548403"/>
    <s v="Rachel"/>
    <s v="Newman"/>
    <s v="Female"/>
    <s v="New York"/>
    <s v="New York City"/>
    <s v="Bachelor"/>
    <d v="1977-08-19T00:00:00"/>
    <d v="2015-01-24T00:00:00"/>
    <d v="2021-04-18T00:00:00"/>
    <x v="6"/>
    <s v="Sales Representative"/>
    <n v="52981"/>
    <s v="Good"/>
    <n v="0.49315068493150682"/>
    <s v="Active"/>
    <x v="18"/>
    <s v="Low"/>
  </r>
  <r>
    <s v="00-52018286"/>
    <s v="Raymond"/>
    <s v="Lopez"/>
    <s v="Male"/>
    <s v="New York"/>
    <s v="New York City"/>
    <s v="Bachelor"/>
    <d v="1966-03-14T00:00:00"/>
    <d v="2020-02-17T00:00:00"/>
    <d v="2020-08-15T00:00:00"/>
    <x v="1"/>
    <s v="System Administrator"/>
    <n v="75569"/>
    <s v="Good"/>
    <n v="0.49315068493150682"/>
    <s v="Active"/>
    <x v="29"/>
    <s v="Medium"/>
  </r>
  <r>
    <s v="00-95918360"/>
    <s v="Stacy"/>
    <s v="Holloway"/>
    <s v="Female"/>
    <s v="New York"/>
    <s v="New York City"/>
    <s v="High School"/>
    <d v="1995-10-05T00:00:00"/>
    <d v="2019-02-05T00:00:00"/>
    <d v="2019-08-04T00:00:00"/>
    <x v="2"/>
    <s v="Inventory Specialist"/>
    <n v="53099"/>
    <s v="Needs Improvement"/>
    <n v="7.4027397260273968"/>
    <s v="Terminated"/>
    <x v="6"/>
    <s v="Low"/>
  </r>
  <r>
    <s v="00-12799319"/>
    <s v="Elizabeth"/>
    <s v="May"/>
    <s v="Female"/>
    <s v="New York"/>
    <s v="New York City"/>
    <s v="Bachelor"/>
    <d v="1983-12-04T00:00:00"/>
    <d v="2018-08-19T00:00:00"/>
    <d v="2019-02-15T00:00:00"/>
    <x v="1"/>
    <s v="Software Developer"/>
    <n v="79955"/>
    <s v="Satisfactory"/>
    <n v="2.6438356164383561"/>
    <s v="Active"/>
    <x v="22"/>
    <s v="Medium"/>
  </r>
  <r>
    <s v="00-92963368"/>
    <s v="Tasha"/>
    <s v="Williams"/>
    <s v="Male"/>
    <s v="Michigan"/>
    <s v="Detroit"/>
    <s v="Bachelor"/>
    <d v="1967-05-14T00:00:00"/>
    <d v="2019-05-10T00:00:00"/>
    <d v="2019-11-06T00:00:00"/>
    <x v="6"/>
    <s v="Sales Representative"/>
    <n v="73482"/>
    <s v="Good"/>
    <n v="3.6054794520547939"/>
    <s v="Terminated"/>
    <x v="10"/>
    <s v="Medium"/>
  </r>
  <r>
    <s v="00-21828592"/>
    <s v="John"/>
    <s v="Martinez"/>
    <s v="Female"/>
    <s v="Illinois"/>
    <s v="Aurora"/>
    <s v="Master"/>
    <d v="1997-12-28T00:00:00"/>
    <d v="2019-08-08T00:00:00"/>
    <d v="2024-03-07T00:00:00"/>
    <x v="6"/>
    <s v="Sales Manager"/>
    <n v="90215"/>
    <s v="Excellent"/>
    <n v="0.49315068493150682"/>
    <s v="Active"/>
    <x v="34"/>
    <s v="Medium"/>
  </r>
  <r>
    <s v="00-68475513"/>
    <s v="Jamie"/>
    <s v="Gallegos"/>
    <s v="Male"/>
    <s v="Illinois"/>
    <s v="Aurora"/>
    <s v="PhD"/>
    <d v="1982-01-29T00:00:00"/>
    <d v="2020-08-03T00:00:00"/>
    <d v="2023-05-04T00:00:00"/>
    <x v="6"/>
    <s v="Sales Specialist"/>
    <n v="62776"/>
    <s v="Excellent"/>
    <n v="0.49315068493150682"/>
    <s v="Terminated"/>
    <x v="25"/>
    <s v="Medium"/>
  </r>
  <r>
    <s v="00-63118906"/>
    <s v="Jamie"/>
    <s v="Robinson"/>
    <s v="Female"/>
    <s v="New York"/>
    <s v="New York City"/>
    <s v="Bachelor"/>
    <d v="1968-02-24T00:00:00"/>
    <d v="2017-12-04T00:00:00"/>
    <d v="2018-06-01T00:00:00"/>
    <x v="1"/>
    <s v="Software Developer"/>
    <n v="87013"/>
    <s v="Good"/>
    <n v="1.7506849315068489"/>
    <s v="Terminated"/>
    <x v="10"/>
    <s v="Medium"/>
  </r>
  <r>
    <s v="00-39738898"/>
    <s v="Jesse"/>
    <s v="Schroeder"/>
    <s v="Female"/>
    <s v="Ohio"/>
    <s v="Cincinnati"/>
    <s v="Bachelor"/>
    <d v="1984-06-03T00:00:00"/>
    <d v="2018-11-03T00:00:00"/>
    <d v="2021-01-20T00:00:00"/>
    <x v="3"/>
    <s v="Accounts Payable Specialist"/>
    <n v="59789"/>
    <s v="Satisfactory"/>
    <n v="1.6438356164383561"/>
    <s v="Terminated"/>
    <x v="27"/>
    <s v="Low"/>
  </r>
  <r>
    <s v="00-78515906"/>
    <s v="Rachel"/>
    <s v="Smith"/>
    <s v="Female"/>
    <s v="New York"/>
    <s v="New York City"/>
    <s v="Bachelor"/>
    <d v="1979-02-10T00:00:00"/>
    <d v="2021-11-30T00:00:00"/>
    <d v="2023-03-20T00:00:00"/>
    <x v="3"/>
    <s v="Accountant"/>
    <n v="71440"/>
    <s v="Good"/>
    <n v="1.7068493150684929"/>
    <s v="Active"/>
    <x v="30"/>
    <s v="Medium"/>
  </r>
  <r>
    <s v="00-36025314"/>
    <s v="Tracey"/>
    <s v="Huerta"/>
    <s v="Male"/>
    <s v="Pennsylvania"/>
    <s v="Pittsburgh"/>
    <s v="Bachelor"/>
    <d v="1984-08-21T00:00:00"/>
    <d v="2017-07-29T00:00:00"/>
    <d v="2018-01-25T00:00:00"/>
    <x v="6"/>
    <s v="Sales Representative"/>
    <n v="61839"/>
    <s v="Excellent"/>
    <n v="0.49315068493150682"/>
    <s v="Terminated"/>
    <x v="27"/>
    <s v="Medium"/>
  </r>
  <r>
    <s v="00-96629889"/>
    <s v="John"/>
    <s v="Thompson"/>
    <s v="Female"/>
    <s v="New York"/>
    <s v="New York City"/>
    <s v="Bachelor"/>
    <d v="1990-11-21T00:00:00"/>
    <d v="2017-09-14T00:00:00"/>
    <d v="2018-09-27T00:00:00"/>
    <x v="2"/>
    <s v="Operations Analyst"/>
    <n v="82312"/>
    <s v="Good"/>
    <n v="8.706849315068494"/>
    <s v="Active"/>
    <x v="16"/>
    <s v="Medium"/>
  </r>
  <r>
    <s v="00-29655410"/>
    <s v="Michelle"/>
    <s v="Anderson"/>
    <s v="Male"/>
    <s v="New York"/>
    <s v="New York City"/>
    <s v="PhD"/>
    <d v="1993-12-27T00:00:00"/>
    <d v="2017-05-20T00:00:00"/>
    <d v="2020-04-28T00:00:00"/>
    <x v="0"/>
    <s v="Customer Service Manager"/>
    <n v="88028"/>
    <s v="Excellent"/>
    <n v="4.4684931506849317"/>
    <s v="Terminated"/>
    <x v="8"/>
    <s v="Medium"/>
  </r>
  <r>
    <s v="00-30517835"/>
    <s v="Kristy"/>
    <s v="Young"/>
    <s v="Male"/>
    <s v="New York"/>
    <s v="New York City"/>
    <s v="Bachelor"/>
    <d v="1992-01-07T00:00:00"/>
    <d v="2022-05-06T00:00:00"/>
    <d v="2022-11-02T00:00:00"/>
    <x v="6"/>
    <s v="Sales Consultant"/>
    <n v="97258"/>
    <s v="Satisfactory"/>
    <n v="6.6082191780821917"/>
    <s v="Terminated"/>
    <x v="5"/>
    <s v="Medium"/>
  </r>
  <r>
    <s v="00-33776150"/>
    <s v="Alfred"/>
    <s v="Baker"/>
    <s v="Female"/>
    <s v="New York"/>
    <s v="New York City"/>
    <s v="High School"/>
    <d v="1971-03-21T00:00:00"/>
    <d v="2024-02-19T00:00:00"/>
    <d v="2024-08-17T00:00:00"/>
    <x v="0"/>
    <s v="Customer Service Representative"/>
    <n v="62902"/>
    <s v="Needs Improvement"/>
    <n v="8.1095890410958908"/>
    <s v="Active"/>
    <x v="21"/>
    <s v="Medium"/>
  </r>
  <r>
    <s v="00-72270726"/>
    <s v="Judy"/>
    <s v="Fox"/>
    <s v="Male"/>
    <s v="New York"/>
    <s v="New York City"/>
    <s v="High School"/>
    <d v="1998-07-08T00:00:00"/>
    <d v="2022-10-17T00:00:00"/>
    <d v="2023-04-15T00:00:00"/>
    <x v="0"/>
    <s v="Support Specialist"/>
    <n v="55023"/>
    <s v="Needs Improvement"/>
    <n v="0.49315068493150682"/>
    <s v="Terminated"/>
    <x v="31"/>
    <s v="Low"/>
  </r>
  <r>
    <s v="00-85764804"/>
    <s v="Bryce"/>
    <s v="West"/>
    <s v="Male"/>
    <s v="New York"/>
    <s v="New York City"/>
    <s v="Bachelor"/>
    <d v="2000-02-08T00:00:00"/>
    <d v="2021-05-21T00:00:00"/>
    <d v="2023-12-09T00:00:00"/>
    <x v="2"/>
    <s v="Logistics Coordinator"/>
    <n v="69131"/>
    <s v="Good"/>
    <n v="4.9972602739726026"/>
    <s v="Terminated"/>
    <x v="41"/>
    <s v="Medium"/>
  </r>
  <r>
    <s v="00-94183695"/>
    <s v="William"/>
    <s v="Rodriguez"/>
    <s v="Male"/>
    <s v="New York"/>
    <s v="New York City"/>
    <s v="Bachelor"/>
    <d v="1965-07-20T00:00:00"/>
    <d v="2018-07-15T00:00:00"/>
    <d v="2019-01-11T00:00:00"/>
    <x v="2"/>
    <s v="Logistics Coordinator"/>
    <n v="65842"/>
    <s v="Satisfactory"/>
    <n v="8.8054794520547937"/>
    <s v="Active"/>
    <x v="29"/>
    <s v="Medium"/>
  </r>
  <r>
    <s v="00-72937522"/>
    <s v="Jeffrey"/>
    <s v="Gilbert"/>
    <s v="Male"/>
    <s v="New York"/>
    <s v="New York City"/>
    <s v="Bachelor"/>
    <d v="1985-07-01T00:00:00"/>
    <d v="2019-10-10T00:00:00"/>
    <d v="2020-04-07T00:00:00"/>
    <x v="2"/>
    <s v="Logistics Coordinator"/>
    <n v="67507"/>
    <s v="Good"/>
    <n v="1.6849315068493149"/>
    <s v="Terminated"/>
    <x v="38"/>
    <s v="Medium"/>
  </r>
  <r>
    <s v="00-46866075"/>
    <s v="Krista"/>
    <s v="Camacho"/>
    <s v="Female"/>
    <s v="New York"/>
    <s v="New York City"/>
    <s v="Bachelor"/>
    <d v="2002-08-19T00:00:00"/>
    <d v="2020-07-21T00:00:00"/>
    <d v="2021-01-17T00:00:00"/>
    <x v="4"/>
    <s v="Marketing Coordinator"/>
    <n v="68202"/>
    <s v="Excellent"/>
    <n v="8.6986301369863011"/>
    <s v="Active"/>
    <x v="7"/>
    <s v="Medium"/>
  </r>
  <r>
    <s v="00-19957701"/>
    <s v="Kevin"/>
    <s v="Schneider"/>
    <s v="Female"/>
    <s v="New York"/>
    <s v="New York City"/>
    <s v="Bachelor"/>
    <d v="1996-04-08T00:00:00"/>
    <d v="2018-01-13T00:00:00"/>
    <d v="2018-07-12T00:00:00"/>
    <x v="2"/>
    <s v="Logistics Coordinator"/>
    <n v="54343"/>
    <s v="Satisfactory"/>
    <n v="6.2356164383561641"/>
    <s v="Terminated"/>
    <x v="6"/>
    <s v="Low"/>
  </r>
  <r>
    <s v="00-17635653"/>
    <s v="Bruce"/>
    <s v="Mendoza"/>
    <s v="Male"/>
    <s v="Ohio"/>
    <s v="Columbus"/>
    <s v="Bachelor"/>
    <d v="1974-02-05T00:00:00"/>
    <d v="2018-06-05T00:00:00"/>
    <d v="2022-05-21T00:00:00"/>
    <x v="1"/>
    <s v="System Administrator"/>
    <n v="103091"/>
    <s v="Satisfactory"/>
    <n v="0.49315068493150682"/>
    <s v="Terminated"/>
    <x v="15"/>
    <s v="High"/>
  </r>
  <r>
    <s v="00-96525668"/>
    <s v="Ronald"/>
    <s v="Rodriguez"/>
    <s v="Male"/>
    <s v="New York"/>
    <s v="New York City"/>
    <s v="Bachelor"/>
    <d v="1980-01-21T00:00:00"/>
    <d v="2017-10-04T00:00:00"/>
    <d v="2018-04-01T00:00:00"/>
    <x v="4"/>
    <s v="Content Creator"/>
    <n v="59360"/>
    <s v="Satisfactory"/>
    <n v="0.49315068493150682"/>
    <s v="Terminated"/>
    <x v="0"/>
    <s v="Low"/>
  </r>
  <r>
    <s v="00-89736043"/>
    <s v="Renee"/>
    <s v="Jones"/>
    <s v="Male"/>
    <s v="New York"/>
    <s v="New York City"/>
    <s v="Bachelor"/>
    <d v="1986-03-02T00:00:00"/>
    <d v="2020-02-01T00:00:00"/>
    <d v="2023-08-22T00:00:00"/>
    <x v="2"/>
    <s v="Inventory Specialist"/>
    <n v="61715"/>
    <s v="Good"/>
    <n v="0.49315068493150682"/>
    <s v="Terminated"/>
    <x v="38"/>
    <s v="Medium"/>
  </r>
  <r>
    <s v="00-84399083"/>
    <s v="Marc"/>
    <s v="Hernandez"/>
    <s v="Male"/>
    <s v="New York"/>
    <s v="New York City"/>
    <s v="High School"/>
    <d v="2004-05-10T00:00:00"/>
    <d v="2024-02-19T00:00:00"/>
    <d v="2024-08-17T00:00:00"/>
    <x v="0"/>
    <s v="Support Specialist"/>
    <n v="54169"/>
    <s v="Needs Improvement"/>
    <n v="0.49315068493150682"/>
    <s v="Active"/>
    <x v="45"/>
    <s v="Low"/>
  </r>
  <r>
    <s v="00-70362235"/>
    <s v="Joshua"/>
    <s v="Schultz"/>
    <s v="Female"/>
    <s v="New York"/>
    <s v="New York City"/>
    <s v="High School"/>
    <d v="1996-02-28T00:00:00"/>
    <d v="2017-08-01T00:00:00"/>
    <d v="2018-01-28T00:00:00"/>
    <x v="0"/>
    <s v="Customer Service Representative"/>
    <n v="59545"/>
    <s v="Needs Improvement"/>
    <n v="4.5835616438356164"/>
    <s v="Active"/>
    <x v="6"/>
    <s v="Low"/>
  </r>
  <r>
    <s v="00-35265073"/>
    <s v="Jennifer"/>
    <s v="James"/>
    <s v="Male"/>
    <s v="North Carolina"/>
    <s v="Raleigh"/>
    <s v="High School"/>
    <d v="1983-11-13T00:00:00"/>
    <d v="2018-08-21T00:00:00"/>
    <d v="2022-10-22T00:00:00"/>
    <x v="0"/>
    <s v="Customer Service Representative"/>
    <n v="61048"/>
    <s v="Excellent"/>
    <n v="2.7506849315068491"/>
    <s v="Terminated"/>
    <x v="22"/>
    <s v="Medium"/>
  </r>
  <r>
    <s v="00-30248230"/>
    <s v="Alyssa"/>
    <s v="Chavez"/>
    <s v="Female"/>
    <s v="New York"/>
    <s v="New York City"/>
    <s v="Bachelor"/>
    <d v="1974-08-30T00:00:00"/>
    <d v="2018-08-23T00:00:00"/>
    <d v="2019-02-19T00:00:00"/>
    <x v="4"/>
    <s v="Marketing Coordinator"/>
    <n v="66315"/>
    <s v="Good"/>
    <n v="0.49041095890410957"/>
    <s v="Active"/>
    <x v="9"/>
    <s v="Medium"/>
  </r>
  <r>
    <s v="00-56095437"/>
    <s v="Russell"/>
    <s v="Mcguire"/>
    <s v="Male"/>
    <s v="New York"/>
    <s v="New York City"/>
    <s v="PhD"/>
    <d v="1986-05-21T00:00:00"/>
    <d v="2024-02-14T00:00:00"/>
    <d v="2024-08-12T00:00:00"/>
    <x v="6"/>
    <s v="Sales Consultant"/>
    <n v="85948"/>
    <s v="Excellent"/>
    <n v="2.216438356164383"/>
    <s v="Terminated"/>
    <x v="28"/>
    <s v="Medium"/>
  </r>
  <r>
    <s v="00-96721710"/>
    <s v="Melissa"/>
    <s v="Curtis"/>
    <s v="Male"/>
    <s v="West Virginia"/>
    <s v="Huntington"/>
    <s v="Bachelor"/>
    <d v="1996-05-15T00:00:00"/>
    <d v="2017-10-26T00:00:00"/>
    <d v="2024-10-20T00:00:00"/>
    <x v="2"/>
    <s v="Operations Analyst"/>
    <n v="67086"/>
    <s v="Satisfactory"/>
    <n v="1.3013698630136989"/>
    <s v="Active"/>
    <x v="39"/>
    <s v="Medium"/>
  </r>
  <r>
    <s v="00-68754920"/>
    <s v="Andrea"/>
    <s v="Glenn"/>
    <s v="Female"/>
    <s v="New York"/>
    <s v="New York City"/>
    <s v="Bachelor"/>
    <d v="1987-05-11T00:00:00"/>
    <d v="2024-06-16T00:00:00"/>
    <d v="2024-12-13T00:00:00"/>
    <x v="0"/>
    <s v="Support Specialist"/>
    <n v="60537"/>
    <s v="Needs Improvement"/>
    <n v="0.49315068493150682"/>
    <s v="Terminated"/>
    <x v="1"/>
    <s v="Medium"/>
  </r>
  <r>
    <s v="00-91846696"/>
    <s v="Shannon"/>
    <s v="Perez"/>
    <s v="Female"/>
    <s v="West Virginia"/>
    <s v="Charleston"/>
    <s v="Master"/>
    <d v="1988-08-26T00:00:00"/>
    <d v="2017-05-12T00:00:00"/>
    <d v="2018-10-14T00:00:00"/>
    <x v="2"/>
    <s v="Operations Analyst"/>
    <n v="57264"/>
    <s v="Excellent"/>
    <n v="1.0356164383561639"/>
    <s v="Terminated"/>
    <x v="4"/>
    <s v="Low"/>
  </r>
  <r>
    <s v="00-61998170"/>
    <s v="Maria"/>
    <s v="Ross"/>
    <s v="Male"/>
    <s v="Virginia"/>
    <s v="Norfolk"/>
    <s v="High School"/>
    <d v="1999-04-09T00:00:00"/>
    <d v="2019-10-11T00:00:00"/>
    <d v="2021-01-16T00:00:00"/>
    <x v="0"/>
    <s v="Customer Service Representative"/>
    <n v="59603"/>
    <s v="Needs Improvement"/>
    <n v="2.9424657534246581"/>
    <s v="Active"/>
    <x v="31"/>
    <s v="Low"/>
  </r>
  <r>
    <s v="00-90246882"/>
    <s v="Cody"/>
    <s v="Simmons"/>
    <s v="Male"/>
    <s v="New York"/>
    <s v="New York City"/>
    <s v="Bachelor"/>
    <d v="1988-02-28T00:00:00"/>
    <d v="2016-09-15T00:00:00"/>
    <d v="2022-11-07T00:00:00"/>
    <x v="2"/>
    <s v="Logistics Coordinator"/>
    <n v="61601"/>
    <s v="Satisfactory"/>
    <n v="0.49315068493150682"/>
    <s v="Terminated"/>
    <x v="1"/>
    <s v="Medium"/>
  </r>
  <r>
    <s v="00-54915875"/>
    <s v="Jonathan"/>
    <s v="Mckay"/>
    <s v="Female"/>
    <s v="New York"/>
    <s v="New York City"/>
    <s v="High School"/>
    <d v="2000-10-28T00:00:00"/>
    <d v="2016-09-23T00:00:00"/>
    <d v="2020-02-27T00:00:00"/>
    <x v="0"/>
    <s v="Customer Service Representative"/>
    <n v="62539"/>
    <s v="Excellent"/>
    <n v="0.49315068493150682"/>
    <s v="Active"/>
    <x v="37"/>
    <s v="Medium"/>
  </r>
  <r>
    <s v="00-61883769"/>
    <s v="Sandra"/>
    <s v="Jones"/>
    <s v="Female"/>
    <s v="New York"/>
    <s v="New York City"/>
    <s v="High School"/>
    <d v="1978-01-11T00:00:00"/>
    <d v="2017-11-20T00:00:00"/>
    <d v="2024-07-31T00:00:00"/>
    <x v="2"/>
    <s v="Inventory Specialist"/>
    <n v="60781"/>
    <s v="Needs Improvement"/>
    <n v="0.49315068493150682"/>
    <s v="Terminated"/>
    <x v="18"/>
    <s v="Medium"/>
  </r>
  <r>
    <s v="00-98122539"/>
    <s v="Christopher"/>
    <s v="Reynolds"/>
    <s v="Female"/>
    <s v="New York"/>
    <s v="New York City"/>
    <s v="Bachelor"/>
    <d v="1963-01-03T00:00:00"/>
    <d v="2018-10-16T00:00:00"/>
    <d v="2019-04-14T00:00:00"/>
    <x v="4"/>
    <s v="SEO Specialist"/>
    <n v="89319"/>
    <s v="Needs Improvement"/>
    <n v="2.5534246575342472"/>
    <s v="Active"/>
    <x v="13"/>
    <s v="Medium"/>
  </r>
  <r>
    <s v="00-30182766"/>
    <s v="Joanne"/>
    <s v="Cain"/>
    <s v="Female"/>
    <s v="New York"/>
    <s v="New York City"/>
    <s v="Master"/>
    <d v="2001-05-30T00:00:00"/>
    <d v="2018-08-05T00:00:00"/>
    <d v="2021-07-22T00:00:00"/>
    <x v="1"/>
    <s v="Software Developer"/>
    <n v="79321"/>
    <s v="Excellent"/>
    <n v="0.49315068493150682"/>
    <s v="Active"/>
    <x v="11"/>
    <s v="Medium"/>
  </r>
  <r>
    <s v="00-28982195"/>
    <s v="Brian"/>
    <s v="Frye"/>
    <s v="Female"/>
    <s v="New York"/>
    <s v="New York City"/>
    <s v="Bachelor"/>
    <d v="2002-09-25T00:00:00"/>
    <d v="2018-08-06T00:00:00"/>
    <d v="2019-02-02T00:00:00"/>
    <x v="2"/>
    <s v="Logistics Coordinator"/>
    <n v="54814"/>
    <s v="Good"/>
    <n v="0.49315068493150682"/>
    <s v="Terminated"/>
    <x v="7"/>
    <s v="Low"/>
  </r>
  <r>
    <s v="00-98870276"/>
    <s v="Mark"/>
    <s v="Martinez"/>
    <s v="Female"/>
    <s v="New York"/>
    <s v="New York City"/>
    <s v="Master"/>
    <d v="1985-04-06T00:00:00"/>
    <d v="2019-05-18T00:00:00"/>
    <d v="2021-03-05T00:00:00"/>
    <x v="6"/>
    <s v="Sales Specialist"/>
    <n v="90335"/>
    <s v="Excellent"/>
    <n v="0.49315068493150682"/>
    <s v="Terminated"/>
    <x v="27"/>
    <s v="Medium"/>
  </r>
  <r>
    <s v="00-21370793"/>
    <s v="Morgan"/>
    <s v="Pugh"/>
    <s v="Male"/>
    <s v="Illinois"/>
    <s v="Aurora"/>
    <s v="Bachelor"/>
    <d v="1966-09-30T00:00:00"/>
    <d v="2018-06-14T00:00:00"/>
    <d v="2024-08-04T00:00:00"/>
    <x v="3"/>
    <s v="Financial Analyst"/>
    <n v="86323"/>
    <s v="Good"/>
    <n v="0.49315068493150682"/>
    <s v="Active"/>
    <x v="40"/>
    <s v="Medium"/>
  </r>
  <r>
    <s v="00-54087376"/>
    <s v="Miranda"/>
    <s v="Griffith"/>
    <s v="Male"/>
    <s v="New York"/>
    <s v="New York City"/>
    <s v="High School"/>
    <d v="1966-12-25T00:00:00"/>
    <d v="2023-04-22T00:00:00"/>
    <d v="2023-10-19T00:00:00"/>
    <x v="4"/>
    <s v="Content Creator"/>
    <n v="64366"/>
    <s v="Needs Improvement"/>
    <n v="3.9616438356164378"/>
    <s v="Active"/>
    <x v="40"/>
    <s v="Medium"/>
  </r>
  <r>
    <s v="00-80651318"/>
    <s v="Caroline"/>
    <s v="Bell"/>
    <s v="Male"/>
    <s v="New York"/>
    <s v="New York City"/>
    <s v="High School"/>
    <d v="1966-09-27T00:00:00"/>
    <d v="2016-08-12T00:00:00"/>
    <d v="2018-11-10T00:00:00"/>
    <x v="1"/>
    <s v="IT Support Specialist"/>
    <n v="64874"/>
    <s v="Needs Improvement"/>
    <n v="0.49041095890410957"/>
    <s v="Terminated"/>
    <x v="40"/>
    <s v="Medium"/>
  </r>
  <r>
    <s v="00-78248169"/>
    <s v="William"/>
    <s v="Moore"/>
    <s v="Female"/>
    <s v="New York"/>
    <s v="New York City"/>
    <s v="Master"/>
    <d v="1977-10-05T00:00:00"/>
    <d v="2018-07-07T00:00:00"/>
    <d v="2021-07-17T00:00:00"/>
    <x v="1"/>
    <s v="System Administrator"/>
    <n v="106998"/>
    <s v="Good"/>
    <n v="3.5561643835616441"/>
    <s v="Terminated"/>
    <x v="18"/>
    <s v="High"/>
  </r>
  <r>
    <s v="00-34194479"/>
    <s v="Jeffrey"/>
    <s v="Rodriguez"/>
    <s v="Male"/>
    <s v="New York"/>
    <s v="New York City"/>
    <s v="Master"/>
    <d v="1985-05-15T00:00:00"/>
    <d v="2018-11-24T00:00:00"/>
    <d v="2019-05-23T00:00:00"/>
    <x v="3"/>
    <s v="Financial Analyst"/>
    <n v="74915"/>
    <s v="Excellent"/>
    <n v="0.49315068493150682"/>
    <s v="Active"/>
    <x v="38"/>
    <s v="Medium"/>
  </r>
  <r>
    <s v="00-75266178"/>
    <s v="Angela"/>
    <s v="Wilson"/>
    <s v="Female"/>
    <s v="New York"/>
    <s v="New York City"/>
    <s v="High School"/>
    <d v="2002-12-02T00:00:00"/>
    <d v="2017-04-19T00:00:00"/>
    <d v="2022-08-30T00:00:00"/>
    <x v="1"/>
    <s v="IT Support Specialist"/>
    <n v="52103"/>
    <s v="Excellent"/>
    <n v="0.49315068493150682"/>
    <s v="Terminated"/>
    <x v="7"/>
    <s v="Low"/>
  </r>
  <r>
    <s v="00-20356922"/>
    <s v="Audrey"/>
    <s v="Aguirre"/>
    <s v="Male"/>
    <s v="New York"/>
    <s v="New York City"/>
    <s v="Bachelor"/>
    <d v="1980-03-24T00:00:00"/>
    <d v="2017-11-25T00:00:00"/>
    <d v="2018-05-24T00:00:00"/>
    <x v="4"/>
    <s v="SEO Specialist"/>
    <n v="68068"/>
    <s v="Excellent"/>
    <n v="4.1726027397260266"/>
    <s v="Active"/>
    <x v="0"/>
    <s v="Medium"/>
  </r>
  <r>
    <s v="00-82446804"/>
    <s v="Ann"/>
    <s v="Saunders"/>
    <s v="Female"/>
    <s v="New York"/>
    <s v="New York City"/>
    <s v="Bachelor"/>
    <d v="1972-10-16T00:00:00"/>
    <d v="2017-08-30T00:00:00"/>
    <d v="2018-02-26T00:00:00"/>
    <x v="0"/>
    <s v="Customer Service Representative"/>
    <n v="55930"/>
    <s v="Good"/>
    <n v="0.49315068493150682"/>
    <s v="Terminated"/>
    <x v="36"/>
    <s v="Low"/>
  </r>
  <r>
    <s v="00-98842638"/>
    <s v="Christina"/>
    <s v="Day"/>
    <s v="Female"/>
    <s v="Virginia"/>
    <s v="Virginia Beach"/>
    <s v="Bachelor"/>
    <d v="1983-01-10T00:00:00"/>
    <d v="2018-01-11T00:00:00"/>
    <d v="2021-01-05T00:00:00"/>
    <x v="2"/>
    <s v="Logistics Coordinator"/>
    <n v="58847"/>
    <s v="Needs Improvement"/>
    <n v="0.49315068493150682"/>
    <s v="Terminated"/>
    <x v="19"/>
    <s v="Low"/>
  </r>
  <r>
    <s v="00-90161060"/>
    <s v="Chelsea"/>
    <s v="Barrett"/>
    <s v="Female"/>
    <s v="Ohio"/>
    <s v="Columbus"/>
    <s v="PhD"/>
    <d v="1985-01-02T00:00:00"/>
    <d v="2018-09-27T00:00:00"/>
    <d v="2024-05-07T00:00:00"/>
    <x v="6"/>
    <s v="Sales Specialist"/>
    <n v="70819"/>
    <s v="Excellent"/>
    <n v="6.9890410958904106"/>
    <s v="Active"/>
    <x v="27"/>
    <s v="Medium"/>
  </r>
  <r>
    <s v="00-93851247"/>
    <s v="Joseph"/>
    <s v="White"/>
    <s v="Male"/>
    <s v="New York"/>
    <s v="New York City"/>
    <s v="Bachelor"/>
    <d v="1997-09-20T00:00:00"/>
    <d v="2017-09-30T00:00:00"/>
    <d v="2018-03-28T00:00:00"/>
    <x v="3"/>
    <s v="Accountant"/>
    <n v="86643"/>
    <s v="Good"/>
    <n v="0.49315068493150682"/>
    <s v="Terminated"/>
    <x v="34"/>
    <s v="Medium"/>
  </r>
  <r>
    <s v="00-68743530"/>
    <s v="Kathryn"/>
    <s v="Dorsey"/>
    <s v="Female"/>
    <s v="New York"/>
    <s v="New York City"/>
    <s v="Bachelor"/>
    <d v="2004-02-20T00:00:00"/>
    <d v="2015-05-17T00:00:00"/>
    <d v="2019-01-01T00:00:00"/>
    <x v="1"/>
    <s v="IT Support Specialist"/>
    <n v="60942"/>
    <s v="Good"/>
    <n v="1.424657534246575"/>
    <s v="Terminated"/>
    <x v="26"/>
    <s v="Medium"/>
  </r>
  <r>
    <s v="00-41880763"/>
    <s v="Adam"/>
    <s v="Kane"/>
    <s v="Male"/>
    <s v="New York"/>
    <s v="New York City"/>
    <s v="Bachelor"/>
    <d v="1990-03-19T00:00:00"/>
    <d v="2018-08-07T00:00:00"/>
    <d v="2019-02-03T00:00:00"/>
    <x v="1"/>
    <s v="Software Developer"/>
    <n v="88560"/>
    <s v="Good"/>
    <n v="1.268493150684932"/>
    <s v="Active"/>
    <x v="35"/>
    <s v="Medium"/>
  </r>
  <r>
    <s v="00-70254091"/>
    <s v="Diane"/>
    <s v="Jones"/>
    <s v="Male"/>
    <s v="New York"/>
    <s v="New York City"/>
    <s v="High School"/>
    <d v="1985-06-02T00:00:00"/>
    <d v="2017-10-15T00:00:00"/>
    <d v="2022-07-11T00:00:00"/>
    <x v="2"/>
    <s v="Inventory Specialist"/>
    <n v="57135"/>
    <s v="Needs Improvement"/>
    <n v="6.1479452054794521"/>
    <s v="Terminated"/>
    <x v="38"/>
    <s v="Low"/>
  </r>
  <r>
    <s v="00-72950208"/>
    <s v="Cynthia"/>
    <s v="Johnson"/>
    <s v="Male"/>
    <s v="New York"/>
    <s v="New York City"/>
    <s v="Bachelor"/>
    <d v="1995-12-22T00:00:00"/>
    <d v="2017-10-17T00:00:00"/>
    <d v="2018-04-14T00:00:00"/>
    <x v="2"/>
    <s v="Logistics Coordinator"/>
    <n v="63169"/>
    <s v="Good"/>
    <n v="3.43013698630137"/>
    <s v="Active"/>
    <x v="6"/>
    <s v="Medium"/>
  </r>
  <r>
    <s v="00-86560394"/>
    <s v="Alyssa"/>
    <s v="Bennett"/>
    <s v="Female"/>
    <s v="New York"/>
    <s v="New York City"/>
    <s v="Bachelor"/>
    <d v="1983-03-15T00:00:00"/>
    <d v="2024-06-25T00:00:00"/>
    <d v="2024-12-22T00:00:00"/>
    <x v="4"/>
    <s v="SEO Specialist"/>
    <n v="65631"/>
    <s v="Good"/>
    <n v="6.6986301369863011"/>
    <s v="Terminated"/>
    <x v="19"/>
    <s v="Medium"/>
  </r>
  <r>
    <s v="00-47818761"/>
    <s v="Matthew"/>
    <s v="Wood"/>
    <s v="Male"/>
    <s v="New York"/>
    <s v="New York City"/>
    <s v="Bachelor"/>
    <d v="1969-09-10T00:00:00"/>
    <d v="2017-10-08T00:00:00"/>
    <d v="2018-04-05T00:00:00"/>
    <x v="6"/>
    <s v="Sales Representative"/>
    <n v="88827"/>
    <s v="Good"/>
    <n v="0.49315068493150682"/>
    <s v="Terminated"/>
    <x v="23"/>
    <s v="Medium"/>
  </r>
  <r>
    <s v="00-66191704"/>
    <s v="Mark"/>
    <s v="Pugh"/>
    <s v="Female"/>
    <s v="Michigan"/>
    <s v="Detroit"/>
    <s v="Master"/>
    <d v="1996-08-05T00:00:00"/>
    <d v="2018-08-19T00:00:00"/>
    <d v="2019-02-15T00:00:00"/>
    <x v="2"/>
    <s v="Operations Analyst"/>
    <n v="78171"/>
    <s v="Good"/>
    <n v="2.9643835616438361"/>
    <s v="Terminated"/>
    <x v="39"/>
    <s v="Medium"/>
  </r>
  <r>
    <s v="00-96057593"/>
    <s v="Karen"/>
    <s v="Williams"/>
    <s v="Female"/>
    <s v="New York"/>
    <s v="New York City"/>
    <s v="Bachelor"/>
    <d v="1990-05-07T00:00:00"/>
    <d v="2019-02-01T00:00:00"/>
    <d v="2020-02-20T00:00:00"/>
    <x v="6"/>
    <s v="Sales Representative"/>
    <n v="75714"/>
    <s v="Good"/>
    <n v="0.49315068493150682"/>
    <s v="Terminated"/>
    <x v="16"/>
    <s v="Medium"/>
  </r>
  <r>
    <s v="00-23769360"/>
    <s v="Joseph"/>
    <s v="Stanley"/>
    <s v="Female"/>
    <s v="New York"/>
    <s v="New York City"/>
    <s v="Master"/>
    <d v="1965-03-07T00:00:00"/>
    <d v="2022-07-08T00:00:00"/>
    <d v="2024-08-11T00:00:00"/>
    <x v="6"/>
    <s v="Sales Specialist"/>
    <n v="88335"/>
    <s v="Excellent"/>
    <n v="1.8"/>
    <s v="Terminated"/>
    <x v="44"/>
    <s v="Medium"/>
  </r>
  <r>
    <s v="00-26733967"/>
    <s v="Catherine"/>
    <s v="Perry"/>
    <s v="Male"/>
    <s v="Pennsylvania"/>
    <s v="Pittsburgh"/>
    <s v="High School"/>
    <d v="1971-05-26T00:00:00"/>
    <d v="2017-03-25T00:00:00"/>
    <d v="2024-07-19T00:00:00"/>
    <x v="0"/>
    <s v="Help Desk Technician"/>
    <n v="74004"/>
    <s v="Excellent"/>
    <n v="6.1452054794520548"/>
    <s v="Terminated"/>
    <x v="24"/>
    <s v="Medium"/>
  </r>
  <r>
    <s v="00-70306604"/>
    <s v="Kari"/>
    <s v="Wilson"/>
    <s v="Male"/>
    <s v="New York"/>
    <s v="New York City"/>
    <s v="Bachelor"/>
    <d v="2002-04-13T00:00:00"/>
    <d v="2023-06-16T00:00:00"/>
    <d v="2023-12-13T00:00:00"/>
    <x v="1"/>
    <s v="IT Support Specialist"/>
    <n v="69688"/>
    <s v="Satisfactory"/>
    <n v="0.49315068493150682"/>
    <s v="Terminated"/>
    <x v="7"/>
    <s v="Medium"/>
  </r>
  <r>
    <s v="00-68716573"/>
    <s v="Daniel"/>
    <s v="Gregory"/>
    <s v="Female"/>
    <s v="New York"/>
    <s v="New York City"/>
    <s v="Master"/>
    <d v="1978-11-03T00:00:00"/>
    <d v="2016-08-18T00:00:00"/>
    <d v="2020-10-24T00:00:00"/>
    <x v="1"/>
    <s v="Software Developer"/>
    <n v="103528"/>
    <s v="Good"/>
    <n v="2.246575342465754"/>
    <s v="Terminated"/>
    <x v="30"/>
    <s v="High"/>
  </r>
  <r>
    <s v="00-70549373"/>
    <s v="Tommy"/>
    <s v="Estrada"/>
    <s v="Male"/>
    <s v="New York"/>
    <s v="New York City"/>
    <s v="Bachelor"/>
    <d v="1967-01-14T00:00:00"/>
    <d v="2023-01-18T00:00:00"/>
    <d v="2023-07-17T00:00:00"/>
    <x v="6"/>
    <s v="Sales Representative"/>
    <n v="83745"/>
    <s v="Satisfactory"/>
    <n v="3.0301369863013701"/>
    <s v="Terminated"/>
    <x v="40"/>
    <s v="Medium"/>
  </r>
  <r>
    <s v="00-17148018"/>
    <s v="Jeffrey"/>
    <s v="Joyce"/>
    <s v="Female"/>
    <s v="New York"/>
    <s v="New York City"/>
    <s v="PhD"/>
    <d v="1964-11-07T00:00:00"/>
    <d v="2019-01-22T00:00:00"/>
    <d v="2021-01-03T00:00:00"/>
    <x v="6"/>
    <s v="Sales Specialist"/>
    <n v="79998"/>
    <s v="Excellent"/>
    <n v="0.49315068493150682"/>
    <s v="Terminated"/>
    <x v="44"/>
    <s v="Medium"/>
  </r>
  <r>
    <s v="00-61830338"/>
    <s v="Adrian"/>
    <s v="Turner"/>
    <s v="Female"/>
    <s v="New York"/>
    <s v="New York City"/>
    <s v="High School"/>
    <d v="1988-12-30T00:00:00"/>
    <d v="2024-03-23T00:00:00"/>
    <d v="2024-09-19T00:00:00"/>
    <x v="2"/>
    <s v="Inventory Specialist"/>
    <n v="56282"/>
    <s v="Needs Improvement"/>
    <n v="5.3671232876712329"/>
    <s v="Terminated"/>
    <x v="4"/>
    <s v="Low"/>
  </r>
  <r>
    <s v="00-13783268"/>
    <s v="Katrina"/>
    <s v="Duran"/>
    <s v="Male"/>
    <s v="New York"/>
    <s v="New York City"/>
    <s v="Bachelor"/>
    <d v="1996-01-27T00:00:00"/>
    <d v="2018-04-23T00:00:00"/>
    <d v="2020-12-17T00:00:00"/>
    <x v="2"/>
    <s v="Inventory Specialist"/>
    <n v="61488"/>
    <s v="Good"/>
    <n v="0.49315068493150682"/>
    <s v="Terminated"/>
    <x v="6"/>
    <s v="Medium"/>
  </r>
  <r>
    <s v="00-97236246"/>
    <s v="Mark"/>
    <s v="Smith"/>
    <s v="Female"/>
    <s v="New York"/>
    <s v="New York City"/>
    <s v="Bachelor"/>
    <d v="1997-06-12T00:00:00"/>
    <d v="2018-10-18T00:00:00"/>
    <d v="2022-10-07T00:00:00"/>
    <x v="0"/>
    <s v="Customer Service Representative"/>
    <n v="54570"/>
    <s v="Needs Improvement"/>
    <n v="0.49315068493150682"/>
    <s v="Terminated"/>
    <x v="34"/>
    <s v="Low"/>
  </r>
  <r>
    <s v="00-15140967"/>
    <s v="Ryan"/>
    <s v="Anderson"/>
    <s v="Female"/>
    <s v="Michigan"/>
    <s v="Grand Rapids"/>
    <s v="Bachelor"/>
    <d v="1992-02-16T00:00:00"/>
    <d v="2017-07-26T00:00:00"/>
    <d v="2022-05-28T00:00:00"/>
    <x v="3"/>
    <s v="Accounts Payable Specialist"/>
    <n v="58678"/>
    <s v="Needs Improvement"/>
    <n v="2.9863013698630141"/>
    <s v="Terminated"/>
    <x v="5"/>
    <s v="Low"/>
  </r>
  <r>
    <s v="00-28628439"/>
    <s v="Jane"/>
    <s v="Mason"/>
    <s v="Male"/>
    <s v="New York"/>
    <s v="New York City"/>
    <s v="High School"/>
    <d v="1986-09-17T00:00:00"/>
    <d v="2022-11-20T00:00:00"/>
    <d v="2024-05-28T00:00:00"/>
    <x v="2"/>
    <s v="Inventory Specialist"/>
    <n v="63760"/>
    <s v="Needs Improvement"/>
    <n v="5.6136986301369856"/>
    <s v="Terminated"/>
    <x v="28"/>
    <s v="Medium"/>
  </r>
  <r>
    <s v="00-92590645"/>
    <s v="Elizabeth"/>
    <s v="Gomez"/>
    <s v="Male"/>
    <s v="New York"/>
    <s v="New York City"/>
    <s v="Bachelor"/>
    <d v="1974-10-11T00:00:00"/>
    <d v="2015-06-04T00:00:00"/>
    <d v="2019-06-19T00:00:00"/>
    <x v="1"/>
    <s v="System Administrator"/>
    <n v="91567"/>
    <s v="Satisfactory"/>
    <n v="0.49041095890410957"/>
    <s v="Terminated"/>
    <x v="9"/>
    <s v="Medium"/>
  </r>
  <r>
    <s v="00-44349528"/>
    <s v="Michelle"/>
    <s v="Williams"/>
    <s v="Female"/>
    <s v="Michigan"/>
    <s v="Warren"/>
    <s v="Bachelor"/>
    <d v="1960-05-06T00:00:00"/>
    <d v="2017-01-08T00:00:00"/>
    <d v="2022-10-10T00:00:00"/>
    <x v="0"/>
    <s v="Customer Service Representative"/>
    <n v="56722"/>
    <s v="Excellent"/>
    <n v="3.6301369863013702"/>
    <s v="Terminated"/>
    <x v="20"/>
    <s v="Low"/>
  </r>
  <r>
    <s v="00-91722503"/>
    <s v="Steve"/>
    <s v="Miller"/>
    <s v="Female"/>
    <s v="New York"/>
    <s v="New York City"/>
    <s v="Master"/>
    <d v="2000-07-23T00:00:00"/>
    <d v="2020-05-01T00:00:00"/>
    <d v="2020-10-28T00:00:00"/>
    <x v="1"/>
    <s v="System Administrator"/>
    <n v="85152"/>
    <s v="Good"/>
    <n v="0.49315068493150682"/>
    <s v="Terminated"/>
    <x v="37"/>
    <s v="Medium"/>
  </r>
  <r>
    <s v="00-48668339"/>
    <s v="Barbara"/>
    <s v="Berry"/>
    <s v="Female"/>
    <s v="Pennsylvania"/>
    <s v="Philadelphia"/>
    <s v="High School"/>
    <d v="1990-12-12T00:00:00"/>
    <d v="2017-10-03T00:00:00"/>
    <d v="2018-04-01T00:00:00"/>
    <x v="0"/>
    <s v="Support Specialist"/>
    <n v="56998"/>
    <s v="Needs Improvement"/>
    <n v="4.7397260273972606"/>
    <s v="Terminated"/>
    <x v="16"/>
    <s v="Low"/>
  </r>
  <r>
    <s v="00-42002808"/>
    <s v="Danielle"/>
    <s v="Roberts"/>
    <s v="Male"/>
    <s v="New York"/>
    <s v="New York City"/>
    <s v="Master"/>
    <d v="1990-01-16T00:00:00"/>
    <d v="2019-06-07T00:00:00"/>
    <d v="2019-12-04T00:00:00"/>
    <x v="6"/>
    <s v="Sales Consultant"/>
    <n v="79402"/>
    <s v="Good"/>
    <n v="0.49041095890410957"/>
    <s v="Terminated"/>
    <x v="35"/>
    <s v="Medium"/>
  </r>
  <r>
    <s v="00-42472386"/>
    <s v="Samantha"/>
    <s v="Davis"/>
    <s v="Female"/>
    <s v="New York"/>
    <s v="New York City"/>
    <s v="High School"/>
    <d v="1977-11-07T00:00:00"/>
    <d v="2022-11-24T00:00:00"/>
    <d v="2023-05-23T00:00:00"/>
    <x v="2"/>
    <s v="Inventory Specialist"/>
    <n v="55752"/>
    <s v="Needs Improvement"/>
    <n v="0.49315068493150682"/>
    <s v="Terminated"/>
    <x v="18"/>
    <s v="Low"/>
  </r>
  <r>
    <s v="00-10209961"/>
    <s v="Daniel"/>
    <s v="Graham"/>
    <s v="Male"/>
    <s v="New York"/>
    <s v="New York City"/>
    <s v="Bachelor"/>
    <d v="1989-05-30T00:00:00"/>
    <d v="2021-06-05T00:00:00"/>
    <d v="2021-12-02T00:00:00"/>
    <x v="6"/>
    <s v="Sales Representative"/>
    <n v="64892"/>
    <s v="Good"/>
    <n v="0.49041095890410957"/>
    <s v="Terminated"/>
    <x v="35"/>
    <s v="Medium"/>
  </r>
  <r>
    <s v="00-65910756"/>
    <s v="Alexandria"/>
    <s v="Foster"/>
    <s v="Male"/>
    <s v="New York"/>
    <s v="New York City"/>
    <s v="Bachelor"/>
    <d v="1982-10-18T00:00:00"/>
    <d v="2017-05-01T00:00:00"/>
    <d v="2020-06-02T00:00:00"/>
    <x v="5"/>
    <s v="HR Coordinator"/>
    <n v="70789"/>
    <s v="Satisfactory"/>
    <n v="0.49315068493150682"/>
    <s v="Terminated"/>
    <x v="19"/>
    <s v="Medium"/>
  </r>
  <r>
    <s v="00-80260907"/>
    <s v="Julie"/>
    <s v="Walker"/>
    <s v="Female"/>
    <s v="Michigan"/>
    <s v="Detroit"/>
    <s v="Bachelor"/>
    <d v="1980-06-19T00:00:00"/>
    <d v="2018-10-29T00:00:00"/>
    <d v="2019-04-27T00:00:00"/>
    <x v="5"/>
    <s v="HR Coordinator"/>
    <n v="53320"/>
    <s v="Excellent"/>
    <n v="8.1068493150684926"/>
    <s v="Active"/>
    <x v="3"/>
    <s v="Low"/>
  </r>
  <r>
    <s v="00-83025444"/>
    <s v="Gary"/>
    <s v="Dixon"/>
    <s v="Male"/>
    <s v="Michigan"/>
    <s v="Warren"/>
    <s v="PhD"/>
    <d v="1960-03-02T00:00:00"/>
    <d v="2020-02-14T00:00:00"/>
    <d v="2020-10-24T00:00:00"/>
    <x v="6"/>
    <s v="Sales Consultant"/>
    <n v="74235"/>
    <s v="Excellent"/>
    <n v="1.0520547945205481"/>
    <s v="Terminated"/>
    <x v="14"/>
    <s v="Medium"/>
  </r>
  <r>
    <s v="00-12729224"/>
    <s v="Alyssa"/>
    <s v="Lee"/>
    <s v="Male"/>
    <s v="Michigan"/>
    <s v="Detroit"/>
    <s v="Bachelor"/>
    <d v="1969-06-12T00:00:00"/>
    <d v="2019-10-29T00:00:00"/>
    <d v="2020-04-26T00:00:00"/>
    <x v="2"/>
    <s v="Inventory Specialist"/>
    <n v="68058"/>
    <s v="Good"/>
    <n v="2.095890410958904"/>
    <s v="Terminated"/>
    <x v="23"/>
    <s v="Medium"/>
  </r>
  <r>
    <s v="00-95318289"/>
    <s v="Michael"/>
    <s v="Luna"/>
    <s v="Male"/>
    <s v="New York"/>
    <s v="New York City"/>
    <s v="Bachelor"/>
    <d v="1997-10-22T00:00:00"/>
    <d v="2018-11-15T00:00:00"/>
    <d v="2021-12-21T00:00:00"/>
    <x v="1"/>
    <s v="Software Developer"/>
    <n v="88518"/>
    <s v="Satisfactory"/>
    <n v="7.3232876712328769"/>
    <s v="Terminated"/>
    <x v="34"/>
    <s v="Medium"/>
  </r>
  <r>
    <s v="00-12179995"/>
    <s v="Debbie"/>
    <s v="Hernandez"/>
    <s v="Male"/>
    <s v="New York"/>
    <s v="New York City"/>
    <s v="Bachelor"/>
    <d v="1969-09-30T00:00:00"/>
    <d v="2018-02-09T00:00:00"/>
    <d v="2023-03-29T00:00:00"/>
    <x v="1"/>
    <s v="IT Support Specialist"/>
    <n v="74100"/>
    <s v="Satisfactory"/>
    <n v="0.49315068493150682"/>
    <s v="Terminated"/>
    <x v="23"/>
    <s v="Medium"/>
  </r>
  <r>
    <s v="00-42363373"/>
    <s v="Dwayne"/>
    <s v="Gonzalez"/>
    <s v="Male"/>
    <s v="New York"/>
    <s v="New York City"/>
    <s v="Bachelor"/>
    <d v="1986-11-04T00:00:00"/>
    <d v="2022-08-22T00:00:00"/>
    <d v="2023-02-18T00:00:00"/>
    <x v="2"/>
    <s v="Logistics Coordinator"/>
    <n v="68805"/>
    <s v="Good"/>
    <n v="4.1863013698630134"/>
    <s v="Terminated"/>
    <x v="28"/>
    <s v="Medium"/>
  </r>
  <r>
    <s v="00-88101741"/>
    <s v="Eric"/>
    <s v="Malone"/>
    <s v="Male"/>
    <s v="New York"/>
    <s v="New York City"/>
    <s v="PhD"/>
    <d v="1978-11-19T00:00:00"/>
    <d v="2022-01-30T00:00:00"/>
    <d v="2022-07-29T00:00:00"/>
    <x v="6"/>
    <s v="Sales Consultant"/>
    <n v="70602"/>
    <s v="Excellent"/>
    <n v="0.49315068493150682"/>
    <s v="Terminated"/>
    <x v="30"/>
    <s v="Medium"/>
  </r>
  <r>
    <s v="00-15950635"/>
    <s v="Gregory"/>
    <s v="Mejia"/>
    <s v="Female"/>
    <s v="Illinois"/>
    <s v="Chicago"/>
    <s v="Bachelor"/>
    <d v="2003-08-26T00:00:00"/>
    <d v="2018-07-11T00:00:00"/>
    <d v="2019-01-07T00:00:00"/>
    <x v="2"/>
    <s v="Inventory Specialist"/>
    <n v="57414"/>
    <s v="Satisfactory"/>
    <n v="1.9506849315068491"/>
    <s v="Terminated"/>
    <x v="26"/>
    <s v="Low"/>
  </r>
  <r>
    <s v="00-96274567"/>
    <s v="Steven"/>
    <s v="Elliott"/>
    <s v="Male"/>
    <s v="New York"/>
    <s v="New York City"/>
    <s v="High School"/>
    <d v="1994-08-23T00:00:00"/>
    <d v="2017-08-14T00:00:00"/>
    <d v="2020-03-07T00:00:00"/>
    <x v="1"/>
    <s v="IT Support Specialist"/>
    <n v="57147"/>
    <s v="Needs Improvement"/>
    <n v="0.49315068493150682"/>
    <s v="Terminated"/>
    <x v="2"/>
    <s v="Low"/>
  </r>
  <r>
    <s v="00-74227366"/>
    <s v="Shane"/>
    <s v="Glass"/>
    <s v="Male"/>
    <s v="New York"/>
    <s v="New York City"/>
    <s v="Bachelor"/>
    <d v="1976-11-16T00:00:00"/>
    <d v="2021-08-08T00:00:00"/>
    <d v="2022-02-04T00:00:00"/>
    <x v="0"/>
    <s v="Customer Service Representative"/>
    <n v="71339"/>
    <s v="Excellent"/>
    <n v="2.6547945205479451"/>
    <s v="Terminated"/>
    <x v="32"/>
    <s v="Medium"/>
  </r>
  <r>
    <s v="00-71428713"/>
    <s v="Dawn"/>
    <s v="Downs"/>
    <s v="Female"/>
    <s v="New York"/>
    <s v="New York City"/>
    <s v="Bachelor"/>
    <d v="1996-03-13T00:00:00"/>
    <d v="2015-05-06T00:00:00"/>
    <d v="2016-02-19T00:00:00"/>
    <x v="1"/>
    <s v="Software Developer"/>
    <n v="91584"/>
    <s v="Satisfactory"/>
    <n v="3.9726027397260268"/>
    <s v="Terminated"/>
    <x v="6"/>
    <s v="Medium"/>
  </r>
  <r>
    <s v="00-36772387"/>
    <s v="Michelle"/>
    <s v="Burton"/>
    <s v="Male"/>
    <s v="New York"/>
    <s v="New York City"/>
    <s v="PhD"/>
    <d v="1978-09-08T00:00:00"/>
    <d v="2017-02-28T00:00:00"/>
    <d v="2018-03-01T00:00:00"/>
    <x v="3"/>
    <s v="Finance Manager"/>
    <n v="122140"/>
    <s v="Excellent"/>
    <n v="4.8410958904109593"/>
    <s v="Terminated"/>
    <x v="30"/>
    <s v="High"/>
  </r>
  <r>
    <s v="00-79173614"/>
    <s v="Scott"/>
    <s v="Harrison"/>
    <s v="Male"/>
    <s v="Michigan"/>
    <s v="Detroit"/>
    <s v="Bachelor"/>
    <d v="1959-10-16T00:00:00"/>
    <d v="2019-09-03T00:00:00"/>
    <d v="2024-07-02T00:00:00"/>
    <x v="2"/>
    <s v="Logistics Coordinator"/>
    <n v="73999"/>
    <s v="Good"/>
    <n v="1.52054794520548"/>
    <s v="Terminated"/>
    <x v="14"/>
    <s v="Medium"/>
  </r>
  <r>
    <s v="00-43999198"/>
    <s v="Kevin"/>
    <s v="Hill"/>
    <s v="Male"/>
    <s v="New York"/>
    <s v="New York City"/>
    <s v="Bachelor"/>
    <d v="1987-11-13T00:00:00"/>
    <d v="2015-01-22T00:00:00"/>
    <d v="2016-01-04T00:00:00"/>
    <x v="2"/>
    <s v="Inventory Specialist"/>
    <n v="67909"/>
    <s v="Satisfactory"/>
    <n v="4.043835616438356"/>
    <s v="Terminated"/>
    <x v="1"/>
    <s v="Medium"/>
  </r>
  <r>
    <s v="00-48401154"/>
    <s v="Michael"/>
    <s v="Jones"/>
    <s v="Male"/>
    <s v="New York"/>
    <s v="New York City"/>
    <s v="High School"/>
    <d v="1977-05-07T00:00:00"/>
    <d v="2018-06-29T00:00:00"/>
    <d v="2018-12-26T00:00:00"/>
    <x v="0"/>
    <s v="Customer Service Representative"/>
    <n v="64203"/>
    <s v="Excellent"/>
    <n v="5.7561643835616438"/>
    <s v="Terminated"/>
    <x v="18"/>
    <s v="Medium"/>
  </r>
  <r>
    <s v="00-98010774"/>
    <s v="Shannon"/>
    <s v="Brown"/>
    <s v="Male"/>
    <s v="Michigan"/>
    <s v="Grand Rapids"/>
    <s v="Master"/>
    <d v="1970-06-10T00:00:00"/>
    <d v="2018-11-19T00:00:00"/>
    <d v="2019-05-18T00:00:00"/>
    <x v="1"/>
    <s v="System Administrator"/>
    <n v="78187"/>
    <s v="Excellent"/>
    <n v="0.49315068493150682"/>
    <s v="Terminated"/>
    <x v="21"/>
    <s v="Medium"/>
  </r>
  <r>
    <s v="00-59394697"/>
    <s v="Justin"/>
    <s v="Newman"/>
    <s v="Female"/>
    <s v="Pennsylvania"/>
    <s v="Pittsburgh"/>
    <s v="Bachelor"/>
    <d v="2003-06-26T00:00:00"/>
    <d v="2019-11-29T00:00:00"/>
    <d v="2021-12-01T00:00:00"/>
    <x v="2"/>
    <s v="Logistics Coordinator"/>
    <n v="54812"/>
    <s v="Good"/>
    <n v="0.49315068493150682"/>
    <s v="Terminated"/>
    <x v="26"/>
    <s v="Low"/>
  </r>
  <r>
    <s v="00-69020451"/>
    <s v="Christopher"/>
    <s v="Wheeler"/>
    <s v="Female"/>
    <s v="New York"/>
    <s v="New York City"/>
    <s v="Bachelor"/>
    <d v="1969-10-26T00:00:00"/>
    <d v="2023-05-30T00:00:00"/>
    <d v="2023-11-26T00:00:00"/>
    <x v="2"/>
    <s v="Logistics Coordinator"/>
    <n v="54046"/>
    <s v="Good"/>
    <n v="0.49315068493150682"/>
    <s v="Terminated"/>
    <x v="23"/>
    <s v="Low"/>
  </r>
  <r>
    <s v="00-35074182"/>
    <s v="Steven"/>
    <s v="Spencer"/>
    <s v="Male"/>
    <s v="New York"/>
    <s v="New York City"/>
    <s v="Bachelor"/>
    <d v="1992-09-25T00:00:00"/>
    <d v="2020-11-03T00:00:00"/>
    <d v="2022-07-28T00:00:00"/>
    <x v="4"/>
    <s v="Content Creator"/>
    <n v="64441"/>
    <s v="Satisfactory"/>
    <n v="8.4246575342465757"/>
    <s v="Active"/>
    <x v="17"/>
    <s v="Medium"/>
  </r>
  <r>
    <s v="00-79696025"/>
    <s v="Joanne"/>
    <s v="Williams"/>
    <s v="Male"/>
    <s v="North Carolina"/>
    <s v="Charlotte"/>
    <s v="High School"/>
    <d v="2003-07-19T00:00:00"/>
    <d v="2017-12-20T00:00:00"/>
    <d v="2018-06-18T00:00:00"/>
    <x v="0"/>
    <s v="Support Specialist"/>
    <n v="61791"/>
    <s v="Needs Improvement"/>
    <n v="9.5452054794520542"/>
    <s v="Active"/>
    <x v="26"/>
    <s v="Medium"/>
  </r>
  <r>
    <s v="00-66975380"/>
    <s v="Lisa"/>
    <s v="Pearson"/>
    <s v="Female"/>
    <s v="New York"/>
    <s v="New York City"/>
    <s v="Bachelor"/>
    <d v="1978-11-13T00:00:00"/>
    <d v="2016-05-04T00:00:00"/>
    <d v="2019-10-21T00:00:00"/>
    <x v="5"/>
    <s v="Recruiter"/>
    <n v="73946"/>
    <s v="Satisfactory"/>
    <n v="0.49315068493150682"/>
    <s v="Terminated"/>
    <x v="30"/>
    <s v="Medium"/>
  </r>
  <r>
    <s v="00-34220459"/>
    <s v="Cassidy"/>
    <s v="Mason"/>
    <s v="Female"/>
    <s v="New York"/>
    <s v="New York City"/>
    <s v="Bachelor"/>
    <d v="2001-11-01T00:00:00"/>
    <d v="2020-01-25T00:00:00"/>
    <d v="2024-12-27T00:00:00"/>
    <x v="2"/>
    <s v="Logistics Coordinator"/>
    <n v="61906"/>
    <s v="Good"/>
    <n v="0.49315068493150682"/>
    <s v="Terminated"/>
    <x v="11"/>
    <s v="Medium"/>
  </r>
  <r>
    <s v="00-20746667"/>
    <s v="Shannon"/>
    <s v="Shepherd"/>
    <s v="Male"/>
    <s v="Pennsylvania"/>
    <s v="Allentown"/>
    <s v="Bachelor"/>
    <d v="1996-06-30T00:00:00"/>
    <d v="2018-11-22T00:00:00"/>
    <d v="2022-08-01T00:00:00"/>
    <x v="1"/>
    <s v="System Administrator"/>
    <n v="94377"/>
    <s v="Excellent"/>
    <n v="3.0904109589041102"/>
    <s v="Terminated"/>
    <x v="39"/>
    <s v="Medium"/>
  </r>
  <r>
    <s v="00-69849800"/>
    <s v="Matthew"/>
    <s v="Klein"/>
    <s v="Female"/>
    <s v="New York"/>
    <s v="New York City"/>
    <s v="Bachelor"/>
    <d v="1978-05-19T00:00:00"/>
    <d v="2021-07-15T00:00:00"/>
    <d v="2022-01-11T00:00:00"/>
    <x v="2"/>
    <s v="Inventory Specialist"/>
    <n v="57243"/>
    <s v="Needs Improvement"/>
    <n v="0.49315068493150682"/>
    <s v="Terminated"/>
    <x v="30"/>
    <s v="Low"/>
  </r>
  <r>
    <s v="00-69580374"/>
    <s v="Debbie"/>
    <s v="Williams"/>
    <s v="Male"/>
    <s v="New York"/>
    <s v="New York City"/>
    <s v="Master"/>
    <d v="1970-08-19T00:00:00"/>
    <d v="2018-10-02T00:00:00"/>
    <d v="2024-04-09T00:00:00"/>
    <x v="6"/>
    <s v="Sales Consultant"/>
    <n v="89439"/>
    <s v="Excellent"/>
    <n v="0.69315068493150689"/>
    <s v="Terminated"/>
    <x v="21"/>
    <s v="Medium"/>
  </r>
  <r>
    <s v="00-57319709"/>
    <s v="Samuel"/>
    <s v="Gonzales"/>
    <s v="Male"/>
    <s v="New York"/>
    <s v="New York City"/>
    <s v="Bachelor"/>
    <d v="1981-11-03T00:00:00"/>
    <d v="2021-07-23T00:00:00"/>
    <d v="2022-03-04T00:00:00"/>
    <x v="1"/>
    <s v="Software Developer"/>
    <n v="113040"/>
    <s v="Satisfactory"/>
    <n v="0.49315068493150682"/>
    <s v="Terminated"/>
    <x v="25"/>
    <s v="High"/>
  </r>
  <r>
    <s v="00-95828117"/>
    <s v="Chelsea"/>
    <s v="Cox"/>
    <s v="Male"/>
    <s v="Michigan"/>
    <s v="Warren"/>
    <s v="Master"/>
    <d v="1967-02-06T00:00:00"/>
    <d v="2018-12-22T00:00:00"/>
    <d v="2019-06-20T00:00:00"/>
    <x v="6"/>
    <s v="Sales Specialist"/>
    <n v="81588"/>
    <s v="Good"/>
    <n v="3.1013698630136992"/>
    <s v="Terminated"/>
    <x v="40"/>
    <s v="Medium"/>
  </r>
  <r>
    <s v="00-95565484"/>
    <s v="Justin"/>
    <s v="Ortiz"/>
    <s v="Female"/>
    <s v="Michigan"/>
    <s v="Detroit"/>
    <s v="Bachelor"/>
    <d v="1996-12-28T00:00:00"/>
    <d v="2019-05-12T00:00:00"/>
    <d v="2019-11-08T00:00:00"/>
    <x v="6"/>
    <s v="Sales Representative"/>
    <n v="70593"/>
    <s v="Satisfactory"/>
    <n v="5.1342465753424653"/>
    <s v="Terminated"/>
    <x v="39"/>
    <s v="Medium"/>
  </r>
  <r>
    <s v="00-31473054"/>
    <s v="Erika"/>
    <s v="Williams"/>
    <s v="Male"/>
    <s v="New York"/>
    <s v="New York City"/>
    <s v="Master"/>
    <d v="1990-06-20T00:00:00"/>
    <d v="2018-09-02T00:00:00"/>
    <d v="2019-03-01T00:00:00"/>
    <x v="6"/>
    <s v="Sales Specialist"/>
    <n v="74000"/>
    <s v="Excellent"/>
    <n v="0.49315068493150682"/>
    <s v="Terminated"/>
    <x v="16"/>
    <s v="Medium"/>
  </r>
  <r>
    <s v="00-91547054"/>
    <s v="Deborah"/>
    <s v="Jones"/>
    <s v="Male"/>
    <s v="New York"/>
    <s v="New York City"/>
    <s v="High School"/>
    <d v="1962-09-18T00:00:00"/>
    <d v="2022-02-06T00:00:00"/>
    <d v="2022-08-05T00:00:00"/>
    <x v="4"/>
    <s v="Content Creator"/>
    <n v="60242"/>
    <s v="Needs Improvement"/>
    <n v="0.49315068493150682"/>
    <s v="Terminated"/>
    <x v="13"/>
    <s v="Medium"/>
  </r>
  <r>
    <s v="00-26942307"/>
    <s v="Angela"/>
    <s v="Hughes"/>
    <s v="Male"/>
    <s v="New York"/>
    <s v="New York City"/>
    <s v="Master"/>
    <d v="1976-01-08T00:00:00"/>
    <d v="2016-04-07T00:00:00"/>
    <d v="2024-07-09T00:00:00"/>
    <x v="6"/>
    <s v="Sales Specialist"/>
    <n v="67201"/>
    <s v="Good"/>
    <n v="0.49315068493150682"/>
    <s v="Terminated"/>
    <x v="33"/>
    <s v="Medium"/>
  </r>
  <r>
    <s v="00-58607028"/>
    <s v="Jennifer"/>
    <s v="Douglas"/>
    <s v="Female"/>
    <s v="New York"/>
    <s v="New York City"/>
    <s v="Bachelor"/>
    <d v="1997-05-09T00:00:00"/>
    <d v="2018-12-18T00:00:00"/>
    <d v="2024-03-22T00:00:00"/>
    <x v="6"/>
    <s v="Sales Representative"/>
    <n v="60073"/>
    <s v="Needs Improvement"/>
    <n v="2.5643835616438362"/>
    <s v="Terminated"/>
    <x v="34"/>
    <s v="Medium"/>
  </r>
  <r>
    <s v="00-91214453"/>
    <s v="Carrie"/>
    <s v="Hernandez"/>
    <s v="Female"/>
    <s v="Michigan"/>
    <s v="Grand Rapids"/>
    <s v="High School"/>
    <d v="2002-12-25T00:00:00"/>
    <d v="2017-02-01T00:00:00"/>
    <d v="2021-12-24T00:00:00"/>
    <x v="4"/>
    <s v="SEO Specialist"/>
    <n v="58810"/>
    <s v="Needs Improvement"/>
    <n v="0.49315068493150682"/>
    <s v="Terminated"/>
    <x v="7"/>
    <s v="Low"/>
  </r>
  <r>
    <s v="00-59930790"/>
    <s v="Brandi"/>
    <s v="Thomas"/>
    <s v="Female"/>
    <s v="Michigan"/>
    <s v="Grand Rapids"/>
    <s v="High School"/>
    <d v="1975-06-16T00:00:00"/>
    <d v="2019-05-16T00:00:00"/>
    <d v="2021-05-06T00:00:00"/>
    <x v="1"/>
    <s v="IT Support Specialist"/>
    <n v="58882"/>
    <s v="Needs Improvement"/>
    <n v="0.79178082191780819"/>
    <s v="Terminated"/>
    <x v="33"/>
    <s v="Low"/>
  </r>
  <r>
    <s v="00-28481124"/>
    <s v="Kyle"/>
    <s v="Douglas"/>
    <s v="Male"/>
    <s v="New York"/>
    <s v="New York City"/>
    <s v="PhD"/>
    <d v="1985-07-18T00:00:00"/>
    <d v="2020-09-14T00:00:00"/>
    <d v="2022-12-23T00:00:00"/>
    <x v="3"/>
    <s v="Financial Analyst"/>
    <n v="77136"/>
    <s v="Excellent"/>
    <n v="1.0027397260273969"/>
    <s v="Terminated"/>
    <x v="38"/>
    <s v="Medium"/>
  </r>
  <r>
    <s v="00-97182566"/>
    <s v="Philip"/>
    <s v="Larson"/>
    <s v="Male"/>
    <s v="New York"/>
    <s v="New York City"/>
    <s v="PhD"/>
    <d v="1991-10-10T00:00:00"/>
    <d v="2017-02-02T00:00:00"/>
    <d v="2024-03-24T00:00:00"/>
    <x v="6"/>
    <s v="Sales Manager"/>
    <n v="85655"/>
    <s v="Excellent"/>
    <n v="4.8328767123287673"/>
    <s v="Terminated"/>
    <x v="5"/>
    <s v="Medium"/>
  </r>
  <r>
    <s v="00-34970946"/>
    <s v="Kyle"/>
    <s v="Bennett"/>
    <s v="Male"/>
    <s v="New York"/>
    <s v="New York City"/>
    <s v="Bachelor"/>
    <d v="1984-08-18T00:00:00"/>
    <d v="2020-11-03T00:00:00"/>
    <d v="2021-05-02T00:00:00"/>
    <x v="2"/>
    <s v="Inventory Specialist"/>
    <n v="63732"/>
    <s v="Satisfactory"/>
    <n v="0.9506849315068493"/>
    <s v="Terminated"/>
    <x v="27"/>
    <s v="Medium"/>
  </r>
  <r>
    <s v="00-25805613"/>
    <s v="Mark"/>
    <s v="Anderson"/>
    <s v="Female"/>
    <s v="New York"/>
    <s v="New York City"/>
    <s v="Bachelor"/>
    <d v="1986-01-26T00:00:00"/>
    <d v="2017-09-30T00:00:00"/>
    <d v="2019-12-05T00:00:00"/>
    <x v="2"/>
    <s v="Logistics Coordinator"/>
    <n v="62658"/>
    <s v="Good"/>
    <n v="0.49315068493150682"/>
    <s v="Terminated"/>
    <x v="38"/>
    <s v="Medium"/>
  </r>
  <r>
    <s v="00-69897763"/>
    <s v="Maria"/>
    <s v="Rodgers"/>
    <s v="Male"/>
    <s v="New York"/>
    <s v="New York City"/>
    <s v="High School"/>
    <d v="1997-06-01T00:00:00"/>
    <d v="2017-09-24T00:00:00"/>
    <d v="2018-10-10T00:00:00"/>
    <x v="2"/>
    <s v="Inventory Specialist"/>
    <n v="59333"/>
    <s v="Needs Improvement"/>
    <n v="0.49315068493150682"/>
    <s v="Terminated"/>
    <x v="34"/>
    <s v="Low"/>
  </r>
  <r>
    <s v="00-75927774"/>
    <s v="Rita"/>
    <s v="Davis"/>
    <s v="Female"/>
    <s v="New York"/>
    <s v="New York City"/>
    <s v="Bachelor"/>
    <d v="1970-12-09T00:00:00"/>
    <d v="2017-09-18T00:00:00"/>
    <d v="2022-01-25T00:00:00"/>
    <x v="6"/>
    <s v="Sales Representative"/>
    <n v="60945"/>
    <s v="Satisfactory"/>
    <n v="2.0082191780821921"/>
    <s v="Terminated"/>
    <x v="21"/>
    <s v="Medium"/>
  </r>
  <r>
    <s v="00-19939096"/>
    <s v="Rodney"/>
    <s v="Cox"/>
    <s v="Female"/>
    <s v="New York"/>
    <s v="New York City"/>
    <s v="Bachelor"/>
    <d v="1975-09-10T00:00:00"/>
    <d v="2019-05-21T00:00:00"/>
    <d v="2019-11-17T00:00:00"/>
    <x v="2"/>
    <s v="Inventory Specialist"/>
    <n v="61008"/>
    <s v="Satisfactory"/>
    <n v="0.49315068493150682"/>
    <s v="Terminated"/>
    <x v="33"/>
    <s v="Medium"/>
  </r>
  <r>
    <s v="00-21783073"/>
    <s v="Kyle"/>
    <s v="Bean"/>
    <s v="Female"/>
    <s v="New York"/>
    <s v="New York City"/>
    <s v="Bachelor"/>
    <d v="1994-08-08T00:00:00"/>
    <d v="2023-05-13T00:00:00"/>
    <d v="2023-11-09T00:00:00"/>
    <x v="6"/>
    <s v="Sales Representative"/>
    <n v="67369"/>
    <s v="Good"/>
    <n v="1.731506849315068"/>
    <s v="Terminated"/>
    <x v="2"/>
    <s v="Medium"/>
  </r>
  <r>
    <s v="00-56630633"/>
    <s v="Stacey"/>
    <s v="Tucker"/>
    <s v="Female"/>
    <s v="New York"/>
    <s v="New York City"/>
    <s v="Bachelor"/>
    <d v="1996-11-26T00:00:00"/>
    <d v="2022-03-29T00:00:00"/>
    <d v="2022-09-25T00:00:00"/>
    <x v="2"/>
    <s v="Logistics Coordinator"/>
    <n v="58815"/>
    <s v="Good"/>
    <n v="0.49315068493150682"/>
    <s v="Terminated"/>
    <x v="39"/>
    <s v="Low"/>
  </r>
  <r>
    <s v="00-48971765"/>
    <s v="Zoe"/>
    <s v="Moore"/>
    <s v="Female"/>
    <s v="New York"/>
    <s v="New York City"/>
    <s v="Bachelor"/>
    <d v="1973-03-01T00:00:00"/>
    <d v="2023-04-25T00:00:00"/>
    <d v="2023-10-22T00:00:00"/>
    <x v="2"/>
    <s v="Inventory Specialist"/>
    <n v="62697"/>
    <s v="Good"/>
    <n v="3.4657534246575339"/>
    <s v="Terminated"/>
    <x v="36"/>
    <s v="Medium"/>
  </r>
  <r>
    <s v="00-95590648"/>
    <s v="Megan"/>
    <s v="Garcia"/>
    <s v="Male"/>
    <s v="Michigan"/>
    <s v="Warren"/>
    <s v="Master"/>
    <d v="1979-10-26T00:00:00"/>
    <d v="2017-10-27T00:00:00"/>
    <d v="2021-08-22T00:00:00"/>
    <x v="6"/>
    <s v="Sales Specialist"/>
    <n v="58400"/>
    <s v="Good"/>
    <n v="4.9260273972602739"/>
    <s v="Terminated"/>
    <x v="0"/>
    <s v="Low"/>
  </r>
  <r>
    <s v="00-40097200"/>
    <s v="Amber"/>
    <s v="Rodgers"/>
    <s v="Female"/>
    <s v="New York"/>
    <s v="New York City"/>
    <s v="PhD"/>
    <d v="1996-01-19T00:00:00"/>
    <d v="2016-07-23T00:00:00"/>
    <d v="2024-11-27T00:00:00"/>
    <x v="6"/>
    <s v="Sales Consultant"/>
    <n v="103249"/>
    <s v="Excellent"/>
    <n v="3.6931506849315072"/>
    <s v="Terminated"/>
    <x v="6"/>
    <s v="High"/>
  </r>
  <r>
    <s v="00-28639738"/>
    <s v="Benjamin"/>
    <s v="Rogers"/>
    <s v="Male"/>
    <s v="New York"/>
    <s v="New York City"/>
    <s v="Bachelor"/>
    <d v="1995-01-18T00:00:00"/>
    <d v="2017-10-25T00:00:00"/>
    <d v="2018-08-16T00:00:00"/>
    <x v="2"/>
    <s v="Logistics Coordinator"/>
    <n v="64015"/>
    <s v="Good"/>
    <n v="0.49315068493150682"/>
    <s v="Terminated"/>
    <x v="2"/>
    <s v="Medium"/>
  </r>
  <r>
    <s v="00-58438711"/>
    <s v="Christine"/>
    <s v="Harper"/>
    <s v="Female"/>
    <s v="Pennsylvania"/>
    <s v="Allentown"/>
    <s v="Bachelor"/>
    <d v="1985-07-26T00:00:00"/>
    <d v="2020-02-29T00:00:00"/>
    <d v="2020-08-27T00:00:00"/>
    <x v="2"/>
    <s v="Operations Manager"/>
    <n v="95684"/>
    <s v="Excellent"/>
    <n v="5.5232876712328771"/>
    <s v="Terminated"/>
    <x v="38"/>
    <s v="Medium"/>
  </r>
  <r>
    <s v="00-84040798"/>
    <s v="Francis"/>
    <s v="Guerra"/>
    <s v="Female"/>
    <s v="New York"/>
    <s v="New York City"/>
    <s v="Bachelor"/>
    <d v="1980-01-28T00:00:00"/>
    <d v="2016-10-26T00:00:00"/>
    <d v="2023-06-05T00:00:00"/>
    <x v="3"/>
    <s v="Accountant"/>
    <n v="62508"/>
    <s v="Excellent"/>
    <n v="0.61369863013698633"/>
    <s v="Terminated"/>
    <x v="0"/>
    <s v="Medium"/>
  </r>
  <r>
    <s v="00-51512297"/>
    <s v="Colleen"/>
    <s v="Orr"/>
    <s v="Male"/>
    <s v="New York"/>
    <s v="New York City"/>
    <s v="Bachelor"/>
    <d v="1982-01-18T00:00:00"/>
    <d v="2019-10-08T00:00:00"/>
    <d v="2022-05-01T00:00:00"/>
    <x v="2"/>
    <s v="Operations Analyst"/>
    <n v="92796"/>
    <s v="Satisfactory"/>
    <n v="0.49315068493150682"/>
    <s v="Terminated"/>
    <x v="25"/>
    <s v="Medium"/>
  </r>
  <r>
    <s v="00-74245343"/>
    <s v="Samuel"/>
    <s v="Jenkins"/>
    <s v="Female"/>
    <s v="West Virginia"/>
    <s v="Charleston"/>
    <s v="Bachelor"/>
    <d v="1995-04-19T00:00:00"/>
    <d v="2020-09-19T00:00:00"/>
    <d v="2021-06-29T00:00:00"/>
    <x v="2"/>
    <s v="Inventory Specialist"/>
    <n v="58835"/>
    <s v="Good"/>
    <n v="0.49315068493150682"/>
    <s v="Terminated"/>
    <x v="6"/>
    <s v="Low"/>
  </r>
  <r>
    <s v="00-87161840"/>
    <s v="Jennifer"/>
    <s v="Montes"/>
    <s v="Male"/>
    <s v="New York"/>
    <s v="New York City"/>
    <s v="Bachelor"/>
    <d v="1972-10-26T00:00:00"/>
    <d v="2016-08-25T00:00:00"/>
    <d v="2018-05-19T00:00:00"/>
    <x v="1"/>
    <s v="Software Developer"/>
    <n v="95974"/>
    <s v="Needs Improvement"/>
    <n v="0.49315068493150682"/>
    <s v="Terminated"/>
    <x v="36"/>
    <s v="Medium"/>
  </r>
  <r>
    <s v="00-19954260"/>
    <s v="Justin"/>
    <s v="Goodman"/>
    <s v="Female"/>
    <s v="New York"/>
    <s v="New York City"/>
    <s v="Bachelor"/>
    <d v="1983-09-16T00:00:00"/>
    <d v="2019-06-24T00:00:00"/>
    <d v="2024-01-30T00:00:00"/>
    <x v="0"/>
    <s v="Customer Service Representative"/>
    <n v="61555"/>
    <s v="Good"/>
    <n v="0.49315068493150682"/>
    <s v="Terminated"/>
    <x v="22"/>
    <s v="Medium"/>
  </r>
  <r>
    <s v="00-77493234"/>
    <s v="Micheal"/>
    <s v="Valentine"/>
    <s v="Female"/>
    <s v="New York"/>
    <s v="New York City"/>
    <s v="Bachelor"/>
    <d v="1993-11-19T00:00:00"/>
    <d v="2024-06-20T00:00:00"/>
    <d v="2024-12-17T00:00:00"/>
    <x v="3"/>
    <s v="Financial Analyst"/>
    <n v="69086"/>
    <s v="Satisfactory"/>
    <n v="8.2602739726027394"/>
    <s v="Terminated"/>
    <x v="8"/>
    <s v="Medium"/>
  </r>
  <r>
    <s v="00-26664623"/>
    <s v="Steven"/>
    <s v="Campbell"/>
    <s v="Male"/>
    <s v="New York"/>
    <s v="New York City"/>
    <s v="Master"/>
    <d v="1989-03-21T00:00:00"/>
    <d v="2020-05-28T00:00:00"/>
    <d v="2020-11-24T00:00:00"/>
    <x v="6"/>
    <s v="Sales Consultant"/>
    <n v="79231"/>
    <s v="Excellent"/>
    <n v="5.2630136986301368"/>
    <s v="Terminated"/>
    <x v="4"/>
    <s v="Medium"/>
  </r>
  <r>
    <s v="00-31738837"/>
    <s v="Wesley"/>
    <s v="Barnes"/>
    <s v="Male"/>
    <s v="North Carolina"/>
    <s v="Greensboro"/>
    <s v="Master"/>
    <d v="1999-04-15T00:00:00"/>
    <d v="2018-03-04T00:00:00"/>
    <d v="2021-07-27T00:00:00"/>
    <x v="6"/>
    <s v="Sales Consultant"/>
    <n v="77094"/>
    <s v="Excellent"/>
    <n v="4.8958904109589039"/>
    <s v="Terminated"/>
    <x v="41"/>
    <s v="Medium"/>
  </r>
  <r>
    <s v="00-56442431"/>
    <s v="Lisa"/>
    <s v="Solis"/>
    <s v="Male"/>
    <s v="New York"/>
    <s v="New York City"/>
    <s v="Bachelor"/>
    <d v="1994-12-04T00:00:00"/>
    <d v="2024-02-23T00:00:00"/>
    <d v="2024-08-21T00:00:00"/>
    <x v="1"/>
    <s v="IT Support Specialist"/>
    <n v="63722"/>
    <s v="Good"/>
    <n v="1.9753424657534251"/>
    <s v="Terminated"/>
    <x v="2"/>
    <s v="Medium"/>
  </r>
  <r>
    <s v="00-20584397"/>
    <s v="Monique"/>
    <s v="Williams"/>
    <s v="Male"/>
    <s v="New York"/>
    <s v="New York City"/>
    <s v="Bachelor"/>
    <d v="1981-04-23T00:00:00"/>
    <d v="2017-07-06T00:00:00"/>
    <d v="2018-01-02T00:00:00"/>
    <x v="6"/>
    <s v="Sales Representative"/>
    <n v="70989"/>
    <s v="Excellent"/>
    <n v="2.2739726027397258"/>
    <s v="Terminated"/>
    <x v="25"/>
    <s v="Medium"/>
  </r>
  <r>
    <s v="00-46836194"/>
    <s v="Morgan"/>
    <s v="Spencer"/>
    <s v="Female"/>
    <s v="Pennsylvania"/>
    <s v="Philadelphia"/>
    <s v="Bachelor"/>
    <d v="1995-05-13T00:00:00"/>
    <d v="2016-02-09T00:00:00"/>
    <d v="2016-08-07T00:00:00"/>
    <x v="6"/>
    <s v="Sales Representative"/>
    <n v="65299"/>
    <s v="Good"/>
    <n v="7.1424657534246574"/>
    <s v="Terminated"/>
    <x v="6"/>
    <s v="Medium"/>
  </r>
  <r>
    <s v="00-81602209"/>
    <s v="Jennifer"/>
    <s v="Black"/>
    <s v="Female"/>
    <s v="Michigan"/>
    <s v="Grand Rapids"/>
    <s v="High School"/>
    <d v="1986-08-03T00:00:00"/>
    <d v="2016-02-18T00:00:00"/>
    <d v="2021-04-12T00:00:00"/>
    <x v="1"/>
    <s v="IT Support Specialist"/>
    <n v="61437"/>
    <s v="Needs Improvement"/>
    <n v="0.49315068493150682"/>
    <s v="Terminated"/>
    <x v="28"/>
    <s v="Medium"/>
  </r>
  <r>
    <s v="00-89431184"/>
    <s v="Justin"/>
    <s v="Hines"/>
    <s v="Male"/>
    <s v="New York"/>
    <s v="New York City"/>
    <s v="Bachelor"/>
    <d v="1971-09-27T00:00:00"/>
    <d v="2024-04-15T00:00:00"/>
    <d v="2024-10-12T00:00:00"/>
    <x v="2"/>
    <s v="Inventory Specialist"/>
    <n v="61847"/>
    <s v="Good"/>
    <n v="2.1808219178082191"/>
    <s v="Terminated"/>
    <x v="24"/>
    <s v="Medium"/>
  </r>
  <r>
    <s v="00-98413629"/>
    <s v="Shannon"/>
    <s v="Palmer"/>
    <s v="Male"/>
    <s v="New York"/>
    <s v="New York City"/>
    <s v="Bachelor"/>
    <d v="1997-04-01T00:00:00"/>
    <d v="2021-11-19T00:00:00"/>
    <d v="2022-05-18T00:00:00"/>
    <x v="3"/>
    <s v="Accountant"/>
    <n v="64667"/>
    <s v="Good"/>
    <n v="1.043835616438356"/>
    <s v="Terminated"/>
    <x v="39"/>
    <s v="Medium"/>
  </r>
  <r>
    <s v="00-85647532"/>
    <s v="Samuel"/>
    <s v="Potts"/>
    <s v="Female"/>
    <s v="New York"/>
    <s v="New York City"/>
    <s v="Bachelor"/>
    <d v="1973-04-30T00:00:00"/>
    <d v="2015-03-28T00:00:00"/>
    <d v="2019-01-24T00:00:00"/>
    <x v="1"/>
    <s v="IT Support Specialist"/>
    <n v="56478"/>
    <s v="Good"/>
    <n v="4.3561643835616426"/>
    <s v="Terminated"/>
    <x v="15"/>
    <s v="Low"/>
  </r>
  <r>
    <s v="00-16101779"/>
    <s v="Lisa"/>
    <s v="Wilkerson"/>
    <s v="Male"/>
    <s v="Michigan"/>
    <s v="Grand Rapids"/>
    <s v="High School"/>
    <d v="1985-04-05T00:00:00"/>
    <d v="2018-12-27T00:00:00"/>
    <d v="2019-06-25T00:00:00"/>
    <x v="5"/>
    <s v="HR Assistant"/>
    <n v="60533"/>
    <s v="Needs Improvement"/>
    <n v="0.49315068493150682"/>
    <s v="Terminated"/>
    <x v="27"/>
    <s v="Medium"/>
  </r>
  <r>
    <s v="00-97393186"/>
    <s v="Anthony"/>
    <s v="Brown"/>
    <s v="Female"/>
    <s v="North Carolina"/>
    <s v="Greensboro"/>
    <s v="High School"/>
    <d v="1971-05-28T00:00:00"/>
    <d v="2017-07-14T00:00:00"/>
    <d v="2018-01-10T00:00:00"/>
    <x v="0"/>
    <s v="Help Desk Technician"/>
    <n v="61689"/>
    <s v="Needs Improvement"/>
    <n v="0.49315068493150682"/>
    <s v="Terminated"/>
    <x v="24"/>
    <s v="Medium"/>
  </r>
  <r>
    <s v="00-92961108"/>
    <s v="Nathaniel"/>
    <s v="Hughes"/>
    <s v="Female"/>
    <s v="New York"/>
    <s v="New York City"/>
    <s v="Bachelor"/>
    <d v="1973-12-17T00:00:00"/>
    <d v="2021-02-01T00:00:00"/>
    <d v="2021-07-31T00:00:00"/>
    <x v="4"/>
    <s v="Marketing Manager"/>
    <n v="98920"/>
    <s v="Excellent"/>
    <n v="0.49315068493150682"/>
    <s v="Terminated"/>
    <x v="15"/>
    <s v="Medium"/>
  </r>
  <r>
    <s v="00-83226170"/>
    <s v="Nicholas"/>
    <s v="Johnson"/>
    <s v="Male"/>
    <s v="New York"/>
    <s v="New York City"/>
    <s v="Master"/>
    <d v="1970-09-11T00:00:00"/>
    <d v="2017-12-28T00:00:00"/>
    <d v="2023-06-18T00:00:00"/>
    <x v="1"/>
    <s v="System Administrator"/>
    <n v="68864"/>
    <s v="Excellent"/>
    <n v="0.49315068493150682"/>
    <s v="Terminated"/>
    <x v="21"/>
    <s v="Medium"/>
  </r>
  <r>
    <s v="00-42866956"/>
    <s v="Cory"/>
    <s v="Espinoza"/>
    <s v="Male"/>
    <s v="New York"/>
    <s v="New York City"/>
    <s v="Bachelor"/>
    <d v="1994-02-11T00:00:00"/>
    <d v="2023-05-11T00:00:00"/>
    <d v="2023-11-07T00:00:00"/>
    <x v="2"/>
    <s v="Logistics Coordinator"/>
    <n v="68092"/>
    <s v="Good"/>
    <n v="3.8219178082191778"/>
    <s v="Terminated"/>
    <x v="8"/>
    <s v="Medium"/>
  </r>
  <r>
    <s v="00-49920898"/>
    <s v="Lacey"/>
    <s v="Taylor"/>
    <s v="Male"/>
    <s v="New York"/>
    <s v="New York City"/>
    <s v="Bachelor"/>
    <d v="1996-08-04T00:00:00"/>
    <d v="2019-04-22T00:00:00"/>
    <d v="2019-10-19T00:00:00"/>
    <x v="2"/>
    <s v="Logistics Coordinator"/>
    <n v="67357"/>
    <s v="Good"/>
    <n v="8.3534246575342461"/>
    <s v="Terminated"/>
    <x v="39"/>
    <s v="Medium"/>
  </r>
  <r>
    <s v="00-31217198"/>
    <s v="Samantha"/>
    <s v="Kennedy"/>
    <s v="Male"/>
    <s v="New York"/>
    <s v="New York City"/>
    <s v="Master"/>
    <d v="1992-08-26T00:00:00"/>
    <d v="2019-11-19T00:00:00"/>
    <d v="2021-06-13T00:00:00"/>
    <x v="3"/>
    <s v="Financial Analyst"/>
    <n v="82596"/>
    <s v="Good"/>
    <n v="0.80821917808219179"/>
    <s v="Terminated"/>
    <x v="17"/>
    <s v="Medium"/>
  </r>
  <r>
    <s v="00-37383505"/>
    <s v="Dominic"/>
    <s v="Thornton"/>
    <s v="Female"/>
    <s v="Ohio"/>
    <s v="Columbus"/>
    <s v="High School"/>
    <d v="1993-03-09T00:00:00"/>
    <d v="2018-06-24T00:00:00"/>
    <d v="2021-09-17T00:00:00"/>
    <x v="0"/>
    <s v="Help Desk Technician"/>
    <n v="64487"/>
    <s v="Needs Improvement"/>
    <n v="0.49315068493150682"/>
    <s v="Terminated"/>
    <x v="17"/>
    <s v="Medium"/>
  </r>
  <r>
    <s v="00-52857920"/>
    <s v="Christina"/>
    <s v="Bullock"/>
    <s v="Female"/>
    <s v="New York"/>
    <s v="New York City"/>
    <s v="Bachelor"/>
    <d v="1984-07-18T00:00:00"/>
    <d v="2022-01-08T00:00:00"/>
    <d v="2022-07-07T00:00:00"/>
    <x v="2"/>
    <s v="Inventory Specialist"/>
    <n v="65346"/>
    <s v="Good"/>
    <n v="6.6109589041095891"/>
    <s v="Terminated"/>
    <x v="27"/>
    <s v="Medium"/>
  </r>
  <r>
    <s v="00-27551135"/>
    <s v="Jonathan"/>
    <s v="Conley"/>
    <s v="Female"/>
    <s v="New York"/>
    <s v="New York City"/>
    <s v="Bachelor"/>
    <d v="2003-05-09T00:00:00"/>
    <d v="2022-08-02T00:00:00"/>
    <d v="2024-08-10T00:00:00"/>
    <x v="1"/>
    <s v="IT Support Specialist"/>
    <n v="52574"/>
    <s v="Good"/>
    <n v="2.5643835616438362"/>
    <s v="Terminated"/>
    <x v="26"/>
    <s v="Low"/>
  </r>
  <r>
    <s v="00-24251766"/>
    <s v="Shelby"/>
    <s v="Lynch"/>
    <s v="Male"/>
    <s v="Ohio"/>
    <s v="Cleveland"/>
    <s v="Bachelor"/>
    <d v="1984-08-30T00:00:00"/>
    <d v="2018-06-14T00:00:00"/>
    <d v="2018-12-11T00:00:00"/>
    <x v="2"/>
    <s v="Inventory Specialist"/>
    <n v="62945"/>
    <s v="Good"/>
    <n v="0.77534246575342469"/>
    <s v="Terminated"/>
    <x v="27"/>
    <s v="Medium"/>
  </r>
  <r>
    <s v="00-45899440"/>
    <s v="Daniel"/>
    <s v="Roberts"/>
    <s v="Male"/>
    <s v="New York"/>
    <s v="New York City"/>
    <s v="Bachelor"/>
    <d v="1959-07-31T00:00:00"/>
    <d v="2019-04-27T00:00:00"/>
    <d v="2020-08-25T00:00:00"/>
    <x v="4"/>
    <s v="SEO Specialist"/>
    <n v="91080"/>
    <s v="Excellent"/>
    <n v="1.731506849315068"/>
    <s v="Terminated"/>
    <x v="14"/>
    <s v="Medium"/>
  </r>
  <r>
    <s v="00-16792127"/>
    <s v="David"/>
    <s v="Allen"/>
    <s v="Female"/>
    <s v="New York"/>
    <s v="New York City"/>
    <s v="High School"/>
    <d v="1990-08-15T00:00:00"/>
    <d v="2017-09-06T00:00:00"/>
    <d v="2018-03-05T00:00:00"/>
    <x v="4"/>
    <s v="Content Creator"/>
    <n v="60358"/>
    <s v="Needs Improvement"/>
    <n v="4.6054794520547944"/>
    <s v="Terminated"/>
    <x v="16"/>
    <s v="Medium"/>
  </r>
  <r>
    <s v="00-92594562"/>
    <s v="Laura"/>
    <s v="Bryant"/>
    <s v="Male"/>
    <s v="New York"/>
    <s v="New York City"/>
    <s v="Bachelor"/>
    <d v="1995-09-19T00:00:00"/>
    <d v="2019-02-13T00:00:00"/>
    <d v="2019-08-12T00:00:00"/>
    <x v="2"/>
    <s v="Logistics Coordinator"/>
    <n v="69470"/>
    <s v="Satisfactory"/>
    <n v="8.4164383561643827"/>
    <s v="Active"/>
    <x v="6"/>
    <s v="Medium"/>
  </r>
  <r>
    <s v="00-53947691"/>
    <s v="Mary"/>
    <s v="Porter"/>
    <s v="Male"/>
    <s v="New York"/>
    <s v="New York City"/>
    <s v="High School"/>
    <d v="1967-12-09T00:00:00"/>
    <d v="2018-07-27T00:00:00"/>
    <d v="2019-01-23T00:00:00"/>
    <x v="0"/>
    <s v="Support Specialist"/>
    <n v="62053"/>
    <s v="Needs Improvement"/>
    <n v="8.0684931506849313"/>
    <s v="Active"/>
    <x v="10"/>
    <s v="Medium"/>
  </r>
  <r>
    <s v="00-35479101"/>
    <s v="Allen"/>
    <s v="Robertson"/>
    <s v="Male"/>
    <s v="New York"/>
    <s v="New York City"/>
    <s v="High School"/>
    <d v="1970-05-26T00:00:00"/>
    <d v="2022-04-04T00:00:00"/>
    <d v="2022-10-01T00:00:00"/>
    <x v="2"/>
    <s v="Inventory Specialist"/>
    <n v="67166"/>
    <s v="Needs Improvement"/>
    <n v="0.49315068493150682"/>
    <s v="Terminated"/>
    <x v="21"/>
    <s v="Medium"/>
  </r>
  <r>
    <s v="00-72654864"/>
    <s v="Jennifer"/>
    <s v="Carter"/>
    <s v="Male"/>
    <s v="West Virginia"/>
    <s v="Huntington"/>
    <s v="Master"/>
    <d v="1995-03-18T00:00:00"/>
    <d v="2020-01-01T00:00:00"/>
    <d v="2024-10-02T00:00:00"/>
    <x v="1"/>
    <s v="System Administrator"/>
    <n v="73800"/>
    <s v="Excellent"/>
    <n v="0.49315068493150682"/>
    <s v="Terminated"/>
    <x v="2"/>
    <s v="Medium"/>
  </r>
  <r>
    <s v="00-13110670"/>
    <s v="Christina"/>
    <s v="Allen"/>
    <s v="Female"/>
    <s v="Michigan"/>
    <s v="Grand Rapids"/>
    <s v="Bachelor"/>
    <d v="1982-06-06T00:00:00"/>
    <d v="2016-06-10T00:00:00"/>
    <d v="2023-04-01T00:00:00"/>
    <x v="6"/>
    <s v="Sales Consultant"/>
    <n v="95022"/>
    <s v="Satisfactory"/>
    <n v="3.4"/>
    <s v="Terminated"/>
    <x v="19"/>
    <s v="Medium"/>
  </r>
  <r>
    <s v="00-71368457"/>
    <s v="Jacob"/>
    <s v="Barnett"/>
    <s v="Female"/>
    <s v="Michigan"/>
    <s v="Detroit"/>
    <s v="Bachelor"/>
    <d v="1973-09-08T00:00:00"/>
    <d v="2018-07-22T00:00:00"/>
    <d v="2019-01-18T00:00:00"/>
    <x v="6"/>
    <s v="Sales Representative"/>
    <n v="63268"/>
    <s v="Satisfactory"/>
    <n v="0.49315068493150682"/>
    <s v="Terminated"/>
    <x v="15"/>
    <s v="Medium"/>
  </r>
  <r>
    <s v="00-57364777"/>
    <s v="Theresa"/>
    <s v="Jones"/>
    <s v="Female"/>
    <s v="Virginia"/>
    <s v="Virginia Beach"/>
    <s v="Bachelor"/>
    <d v="1996-06-25T00:00:00"/>
    <d v="2015-07-24T00:00:00"/>
    <d v="2021-01-21T00:00:00"/>
    <x v="1"/>
    <s v="Software Developer"/>
    <n v="84569"/>
    <s v="Good"/>
    <n v="0.49315068493150682"/>
    <s v="Terminated"/>
    <x v="39"/>
    <s v="Medium"/>
  </r>
  <r>
    <s v="00-90197611"/>
    <s v="Amy"/>
    <s v="Hartman"/>
    <s v="Female"/>
    <s v="North Carolina"/>
    <s v="Charlotte"/>
    <s v="Bachelor"/>
    <d v="1994-11-17T00:00:00"/>
    <d v="2017-07-17T00:00:00"/>
    <d v="2018-01-13T00:00:00"/>
    <x v="2"/>
    <s v="Logistics Coordinator"/>
    <n v="58084"/>
    <s v="Satisfactory"/>
    <n v="0.49315068493150682"/>
    <s v="Terminated"/>
    <x v="2"/>
    <s v="Low"/>
  </r>
  <r>
    <s v="00-24428014"/>
    <s v="Bradley"/>
    <s v="Hughes"/>
    <s v="Male"/>
    <s v="New York"/>
    <s v="New York City"/>
    <s v="Bachelor"/>
    <d v="1969-07-12T00:00:00"/>
    <d v="2019-05-25T00:00:00"/>
    <d v="2019-11-21T00:00:00"/>
    <x v="0"/>
    <s v="Help Desk Technician"/>
    <n v="88167"/>
    <s v="Good"/>
    <n v="5.1506849315068486"/>
    <s v="Terminated"/>
    <x v="23"/>
    <s v="Medium"/>
  </r>
  <r>
    <s v="00-59093843"/>
    <s v="Jon"/>
    <s v="Smith"/>
    <s v="Female"/>
    <s v="New York"/>
    <s v="New York City"/>
    <s v="Bachelor"/>
    <d v="1959-09-21T00:00:00"/>
    <d v="2022-11-03T00:00:00"/>
    <d v="2023-05-02T00:00:00"/>
    <x v="0"/>
    <s v="Help Desk Technician"/>
    <n v="73895"/>
    <s v="Good"/>
    <n v="0.49315068493150682"/>
    <s v="Terminated"/>
    <x v="14"/>
    <s v="Medium"/>
  </r>
  <r>
    <s v="00-63765155"/>
    <s v="Carlos"/>
    <s v="Allen"/>
    <s v="Male"/>
    <s v="New York"/>
    <s v="New York City"/>
    <s v="Bachelor"/>
    <d v="1995-07-06T00:00:00"/>
    <d v="2016-09-12T00:00:00"/>
    <d v="2024-09-29T00:00:00"/>
    <x v="2"/>
    <s v="Operations Manager"/>
    <n v="107787"/>
    <s v="Satisfactory"/>
    <n v="0.49315068493150682"/>
    <s v="Terminated"/>
    <x v="6"/>
    <s v="High"/>
  </r>
  <r>
    <s v="00-58657117"/>
    <s v="Courtney"/>
    <s v="Ingram"/>
    <s v="Male"/>
    <s v="New York"/>
    <s v="New York City"/>
    <s v="High School"/>
    <d v="1987-02-28T00:00:00"/>
    <d v="2020-10-12T00:00:00"/>
    <d v="2024-10-27T00:00:00"/>
    <x v="2"/>
    <s v="Inventory Specialist"/>
    <n v="58463"/>
    <s v="Needs Improvement"/>
    <n v="3.8301369863013699"/>
    <s v="Terminated"/>
    <x v="28"/>
    <s v="Low"/>
  </r>
  <r>
    <s v="00-77680031"/>
    <s v="Katherine"/>
    <s v="Anderson"/>
    <s v="Male"/>
    <s v="New York"/>
    <s v="New York City"/>
    <s v="Bachelor"/>
    <d v="2001-09-30T00:00:00"/>
    <d v="2019-05-17T00:00:00"/>
    <d v="2021-01-10T00:00:00"/>
    <x v="6"/>
    <s v="Sales Representative"/>
    <n v="60800"/>
    <s v="Good"/>
    <n v="0.49315068493150682"/>
    <s v="Terminated"/>
    <x v="11"/>
    <s v="Medium"/>
  </r>
  <r>
    <s v="00-93650068"/>
    <s v="Amy"/>
    <s v="Li"/>
    <s v="Female"/>
    <s v="New York"/>
    <s v="New York City"/>
    <s v="High School"/>
    <d v="1994-10-04T00:00:00"/>
    <d v="2022-03-09T00:00:00"/>
    <d v="2022-09-05T00:00:00"/>
    <x v="4"/>
    <s v="Content Creator"/>
    <n v="60380"/>
    <s v="Excellent"/>
    <n v="0.49315068493150682"/>
    <s v="Terminated"/>
    <x v="2"/>
    <s v="Medium"/>
  </r>
  <r>
    <s v="00-22976369"/>
    <s v="Maria"/>
    <s v="Cohen"/>
    <s v="Female"/>
    <s v="New York"/>
    <s v="New York City"/>
    <s v="High School"/>
    <d v="1991-08-28T00:00:00"/>
    <d v="2019-09-28T00:00:00"/>
    <d v="2021-01-11T00:00:00"/>
    <x v="1"/>
    <s v="IT Support Specialist"/>
    <n v="61217"/>
    <s v="Needs Improvement"/>
    <n v="0.49315068493150682"/>
    <s v="Terminated"/>
    <x v="5"/>
    <s v="Medium"/>
  </r>
  <r>
    <s v="00-59070856"/>
    <s v="Timothy"/>
    <s v="White"/>
    <s v="Male"/>
    <s v="Michigan"/>
    <s v="Grand Rapids"/>
    <s v="High School"/>
    <d v="1973-04-29T00:00:00"/>
    <d v="2022-02-22T00:00:00"/>
    <d v="2022-08-21T00:00:00"/>
    <x v="1"/>
    <s v="IT Support Specialist"/>
    <n v="64881"/>
    <s v="Needs Improvement"/>
    <n v="5.4739726027397264"/>
    <s v="Terminated"/>
    <x v="15"/>
    <s v="Medium"/>
  </r>
  <r>
    <s v="00-78333267"/>
    <s v="Bryan"/>
    <s v="Parsons"/>
    <s v="Female"/>
    <s v="New York"/>
    <s v="New York City"/>
    <s v="High School"/>
    <d v="1999-10-26T00:00:00"/>
    <d v="2019-06-27T00:00:00"/>
    <d v="2021-07-03T00:00:00"/>
    <x v="5"/>
    <s v="Recruiter"/>
    <n v="64537"/>
    <s v="Needs Improvement"/>
    <n v="0.49315068493150682"/>
    <s v="Terminated"/>
    <x v="41"/>
    <s v="Medium"/>
  </r>
  <r>
    <s v="00-15222944"/>
    <s v="Benjamin"/>
    <s v="Harris"/>
    <s v="Female"/>
    <s v="New York"/>
    <s v="New York City"/>
    <s v="Bachelor"/>
    <d v="1984-01-13T00:00:00"/>
    <d v="2017-11-04T00:00:00"/>
    <d v="2021-10-01T00:00:00"/>
    <x v="6"/>
    <s v="Sales Representative"/>
    <n v="73247"/>
    <s v="Good"/>
    <n v="0.49315068493150682"/>
    <s v="Terminated"/>
    <x v="22"/>
    <s v="Medium"/>
  </r>
  <r>
    <s v="00-73584863"/>
    <s v="James"/>
    <s v="Williams"/>
    <s v="Female"/>
    <s v="New York"/>
    <s v="New York City"/>
    <s v="Master"/>
    <d v="1995-07-05T00:00:00"/>
    <d v="2020-12-28T00:00:00"/>
    <d v="2021-09-17T00:00:00"/>
    <x v="1"/>
    <s v="Software Developer"/>
    <n v="86075"/>
    <s v="Excellent"/>
    <n v="1.5671232876712331"/>
    <s v="Terminated"/>
    <x v="6"/>
    <s v="Medium"/>
  </r>
  <r>
    <s v="00-79190008"/>
    <s v="Kyle"/>
    <s v="Sanders"/>
    <s v="Male"/>
    <s v="Michigan"/>
    <s v="Warren"/>
    <s v="High School"/>
    <d v="1964-09-29T00:00:00"/>
    <d v="2017-11-13T00:00:00"/>
    <d v="2019-01-04T00:00:00"/>
    <x v="0"/>
    <s v="Customer Service Representative"/>
    <n v="57871"/>
    <s v="Needs Improvement"/>
    <n v="3.235616438356165"/>
    <s v="Terminated"/>
    <x v="44"/>
    <s v="Low"/>
  </r>
  <r>
    <s v="00-31810655"/>
    <s v="Amy"/>
    <s v="King"/>
    <s v="Female"/>
    <s v="New York"/>
    <s v="New York City"/>
    <s v="High School"/>
    <d v="2003-12-18T00:00:00"/>
    <d v="2019-10-20T00:00:00"/>
    <d v="2021-12-28T00:00:00"/>
    <x v="5"/>
    <s v="Recruiter"/>
    <n v="65022"/>
    <s v="Needs Improvement"/>
    <n v="0.49315068493150682"/>
    <s v="Terminated"/>
    <x v="26"/>
    <s v="Medium"/>
  </r>
  <r>
    <s v="00-50162553"/>
    <s v="Deborah"/>
    <s v="Mitchell"/>
    <s v="Female"/>
    <s v="North Carolina"/>
    <s v="Charlotte"/>
    <s v="Bachelor"/>
    <d v="1980-10-03T00:00:00"/>
    <d v="2020-11-30T00:00:00"/>
    <d v="2021-05-29T00:00:00"/>
    <x v="6"/>
    <s v="Sales Specialist"/>
    <n v="75269"/>
    <s v="Needs Improvement"/>
    <n v="2.0246575342465749"/>
    <s v="Terminated"/>
    <x v="3"/>
    <s v="Medium"/>
  </r>
  <r>
    <s v="00-78412668"/>
    <s v="Kimberly"/>
    <s v="Glenn"/>
    <s v="Male"/>
    <s v="Pennsylvania"/>
    <s v="Philadelphia"/>
    <s v="Bachelor"/>
    <d v="1986-09-24T00:00:00"/>
    <d v="2020-05-08T00:00:00"/>
    <d v="2021-08-30T00:00:00"/>
    <x v="0"/>
    <s v="Help Desk Technician"/>
    <n v="96041"/>
    <s v="Good"/>
    <n v="0.49315068493150682"/>
    <s v="Terminated"/>
    <x v="28"/>
    <s v="Medium"/>
  </r>
  <r>
    <s v="00-50237208"/>
    <s v="Joshua"/>
    <s v="Lloyd"/>
    <s v="Female"/>
    <s v="New York"/>
    <s v="New York City"/>
    <s v="Bachelor"/>
    <d v="1989-11-19T00:00:00"/>
    <d v="2019-06-19T00:00:00"/>
    <d v="2021-03-02T00:00:00"/>
    <x v="3"/>
    <s v="Accounts Payable Specialist"/>
    <n v="58786"/>
    <s v="Good"/>
    <n v="1.331506849315069"/>
    <s v="Terminated"/>
    <x v="35"/>
    <s v="Low"/>
  </r>
  <r>
    <s v="00-54458225"/>
    <s v="Pamela"/>
    <s v="Paul"/>
    <s v="Male"/>
    <s v="New York"/>
    <s v="New York City"/>
    <s v="Bachelor"/>
    <d v="1988-09-11T00:00:00"/>
    <d v="2022-12-14T00:00:00"/>
    <d v="2023-06-12T00:00:00"/>
    <x v="0"/>
    <s v="Support Specialist"/>
    <n v="63925"/>
    <s v="Excellent"/>
    <n v="0.49315068493150682"/>
    <s v="Terminated"/>
    <x v="4"/>
    <s v="Medium"/>
  </r>
  <r>
    <s v="00-51295819"/>
    <s v="Stephanie"/>
    <s v="Morgan"/>
    <s v="Male"/>
    <s v="New York"/>
    <s v="New York City"/>
    <s v="Bachelor"/>
    <d v="1991-04-18T00:00:00"/>
    <d v="2023-03-14T00:00:00"/>
    <d v="2023-09-10T00:00:00"/>
    <x v="6"/>
    <s v="Sales Consultant"/>
    <n v="93364"/>
    <s v="Excellent"/>
    <n v="0.49315068493150682"/>
    <s v="Active"/>
    <x v="5"/>
    <s v="Medium"/>
  </r>
  <r>
    <s v="00-94457912"/>
    <s v="Tyler"/>
    <s v="Jimenez"/>
    <s v="Female"/>
    <s v="Pennsylvania"/>
    <s v="Pittsburgh"/>
    <s v="Master"/>
    <d v="1963-01-07T00:00:00"/>
    <d v="2015-12-25T00:00:00"/>
    <d v="2016-06-22T00:00:00"/>
    <x v="1"/>
    <s v="System Administrator"/>
    <n v="110836"/>
    <s v="Good"/>
    <n v="0.49315068493150682"/>
    <s v="Active"/>
    <x v="13"/>
    <s v="High"/>
  </r>
  <r>
    <s v="00-97991930"/>
    <s v="Laura"/>
    <s v="Adams"/>
    <s v="Female"/>
    <s v="New York"/>
    <s v="New York City"/>
    <s v="High School"/>
    <d v="1990-05-20T00:00:00"/>
    <d v="2023-02-02T00:00:00"/>
    <d v="2023-08-01T00:00:00"/>
    <x v="0"/>
    <s v="Support Specialist"/>
    <n v="59444"/>
    <s v="Needs Improvement"/>
    <n v="0.49315068493150682"/>
    <s v="Terminated"/>
    <x v="16"/>
    <s v="Low"/>
  </r>
  <r>
    <s v="00-40540334"/>
    <s v="Jessica"/>
    <s v="Miller"/>
    <s v="Female"/>
    <s v="Illinois"/>
    <s v="Aurora"/>
    <s v="Bachelor"/>
    <d v="1993-06-05T00:00:00"/>
    <d v="2022-08-22T00:00:00"/>
    <d v="2023-02-18T00:00:00"/>
    <x v="6"/>
    <s v="Sales Specialist"/>
    <n v="59327"/>
    <s v="Satisfactory"/>
    <n v="4.7561643835616438"/>
    <s v="Terminated"/>
    <x v="8"/>
    <s v="Low"/>
  </r>
  <r>
    <s v="00-32885741"/>
    <s v="Wanda"/>
    <s v="White"/>
    <s v="Male"/>
    <s v="New York"/>
    <s v="New York City"/>
    <s v="Bachelor"/>
    <d v="1986-10-21T00:00:00"/>
    <d v="2020-04-24T00:00:00"/>
    <d v="2023-04-02T00:00:00"/>
    <x v="2"/>
    <s v="Logistics Coordinator"/>
    <n v="62992"/>
    <s v="Excellent"/>
    <n v="6.8109589041095893"/>
    <s v="Terminated"/>
    <x v="28"/>
    <s v="Medium"/>
  </r>
  <r>
    <s v="00-61028283"/>
    <s v="Manuel"/>
    <s v="Miller"/>
    <s v="Female"/>
    <s v="Michigan"/>
    <s v="Grand Rapids"/>
    <s v="Bachelor"/>
    <d v="1995-07-31T00:00:00"/>
    <d v="2017-09-14T00:00:00"/>
    <d v="2020-11-07T00:00:00"/>
    <x v="0"/>
    <s v="Support Specialist"/>
    <n v="61119"/>
    <s v="Good"/>
    <n v="0.49315068493150682"/>
    <s v="Terminated"/>
    <x v="6"/>
    <s v="Medium"/>
  </r>
  <r>
    <s v="00-14237322"/>
    <s v="Kenneth"/>
    <s v="Griffin"/>
    <s v="Male"/>
    <s v="New York"/>
    <s v="New York City"/>
    <s v="Master"/>
    <d v="1990-04-13T00:00:00"/>
    <d v="2020-10-05T00:00:00"/>
    <d v="2021-04-03T00:00:00"/>
    <x v="1"/>
    <s v="IT Manager"/>
    <n v="131494"/>
    <s v="Excellent"/>
    <n v="5.5013698630136982"/>
    <s v="Active"/>
    <x v="16"/>
    <s v="High"/>
  </r>
  <r>
    <s v="00-35606639"/>
    <s v="Ronald"/>
    <s v="Norris"/>
    <s v="Male"/>
    <s v="Michigan"/>
    <s v="Grand Rapids"/>
    <s v="Bachelor"/>
    <d v="1998-12-04T00:00:00"/>
    <d v="2015-05-17T00:00:00"/>
    <d v="2024-07-07T00:00:00"/>
    <x v="1"/>
    <s v="Software Developer"/>
    <n v="87048"/>
    <s v="Satisfactory"/>
    <n v="0.49315068493150682"/>
    <s v="Terminated"/>
    <x v="31"/>
    <s v="Medium"/>
  </r>
  <r>
    <s v="00-30324759"/>
    <s v="Sergio"/>
    <s v="Acosta"/>
    <s v="Male"/>
    <s v="New York"/>
    <s v="New York City"/>
    <s v="Bachelor"/>
    <d v="1983-12-29T00:00:00"/>
    <d v="2019-12-21T00:00:00"/>
    <d v="2020-06-18T00:00:00"/>
    <x v="6"/>
    <s v="Sales Representative"/>
    <n v="64194"/>
    <s v="Good"/>
    <n v="7.7753424657534236"/>
    <s v="Active"/>
    <x v="22"/>
    <s v="Medium"/>
  </r>
  <r>
    <s v="00-77353073"/>
    <s v="Michael"/>
    <s v="Bolton"/>
    <s v="Female"/>
    <s v="New York"/>
    <s v="New York City"/>
    <s v="High School"/>
    <d v="2003-04-04T00:00:00"/>
    <d v="2023-04-17T00:00:00"/>
    <d v="2023-10-14T00:00:00"/>
    <x v="4"/>
    <s v="Content Creator"/>
    <n v="58980"/>
    <s v="Needs Improvement"/>
    <n v="0.49315068493150682"/>
    <s v="Terminated"/>
    <x v="7"/>
    <s v="Low"/>
  </r>
  <r>
    <s v="00-18359252"/>
    <s v="Danielle"/>
    <s v="Moody"/>
    <s v="Male"/>
    <s v="Michigan"/>
    <s v="Warren"/>
    <s v="Bachelor"/>
    <d v="1990-10-19T00:00:00"/>
    <d v="2022-01-23T00:00:00"/>
    <d v="2022-07-22T00:00:00"/>
    <x v="0"/>
    <s v="Support Specialist"/>
    <n v="61190"/>
    <s v="Satisfactory"/>
    <n v="0.49315068493150682"/>
    <s v="Active"/>
    <x v="16"/>
    <s v="Medium"/>
  </r>
  <r>
    <s v="00-85280948"/>
    <s v="Charles"/>
    <s v="Walsh"/>
    <s v="Female"/>
    <s v="Michigan"/>
    <s v="Detroit"/>
    <s v="Bachelor"/>
    <d v="1983-05-30T00:00:00"/>
    <d v="2018-05-22T00:00:00"/>
    <d v="2020-05-31T00:00:00"/>
    <x v="6"/>
    <s v="Sales Representative"/>
    <n v="55533"/>
    <s v="Good"/>
    <n v="8.0520547945205472"/>
    <s v="Active"/>
    <x v="22"/>
    <s v="Low"/>
  </r>
  <r>
    <s v="00-80528349"/>
    <s v="William"/>
    <s v="Brady"/>
    <s v="Female"/>
    <s v="New York"/>
    <s v="New York City"/>
    <s v="PhD"/>
    <d v="1995-07-26T00:00:00"/>
    <d v="2018-03-04T00:00:00"/>
    <d v="2024-12-04T00:00:00"/>
    <x v="3"/>
    <s v="Financial Analyst"/>
    <n v="81660"/>
    <s v="Excellent"/>
    <n v="4.043835616438356"/>
    <s v="Terminated"/>
    <x v="6"/>
    <s v="Medium"/>
  </r>
  <r>
    <s v="00-81555103"/>
    <s v="Stephanie"/>
    <s v="Thomas"/>
    <s v="Male"/>
    <s v="Michigan"/>
    <s v="Warren"/>
    <s v="High School"/>
    <d v="1981-09-09T00:00:00"/>
    <d v="2018-08-24T00:00:00"/>
    <d v="2021-07-06T00:00:00"/>
    <x v="4"/>
    <s v="Content Creator"/>
    <n v="57604"/>
    <s v="Excellent"/>
    <n v="1.6547945205479451"/>
    <s v="Active"/>
    <x v="25"/>
    <s v="Low"/>
  </r>
  <r>
    <s v="00-96343485"/>
    <s v="Erika"/>
    <s v="Kim"/>
    <s v="Male"/>
    <s v="New York"/>
    <s v="New York City"/>
    <s v="Master"/>
    <d v="1987-07-27T00:00:00"/>
    <d v="2023-02-19T00:00:00"/>
    <d v="2023-08-18T00:00:00"/>
    <x v="1"/>
    <s v="System Administrator"/>
    <n v="88001"/>
    <s v="Excellent"/>
    <n v="0.49315068493150682"/>
    <s v="Active"/>
    <x v="1"/>
    <s v="Medium"/>
  </r>
  <r>
    <s v="00-74985553"/>
    <s v="Carlos"/>
    <s v="Osborne"/>
    <s v="Male"/>
    <s v="New York"/>
    <s v="New York City"/>
    <s v="Bachelor"/>
    <d v="2000-10-15T00:00:00"/>
    <d v="2017-05-23T00:00:00"/>
    <d v="2022-04-03T00:00:00"/>
    <x v="6"/>
    <s v="Sales Representative"/>
    <n v="71220"/>
    <s v="Good"/>
    <n v="1.29041095890411"/>
    <s v="Terminated"/>
    <x v="37"/>
    <s v="Medium"/>
  </r>
  <r>
    <s v="00-48789478"/>
    <s v="Cassie"/>
    <s v="Shelton"/>
    <s v="Female"/>
    <s v="New York"/>
    <s v="New York City"/>
    <s v="Bachelor"/>
    <d v="1979-06-17T00:00:00"/>
    <d v="2022-05-25T00:00:00"/>
    <d v="2022-11-21T00:00:00"/>
    <x v="4"/>
    <s v="Content Creator"/>
    <n v="52793"/>
    <s v="Satisfactory"/>
    <n v="0.49315068493150682"/>
    <s v="Active"/>
    <x v="0"/>
    <s v="Low"/>
  </r>
  <r>
    <s v="00-75632882"/>
    <s v="Nathan"/>
    <s v="Hines"/>
    <s v="Male"/>
    <s v="New York"/>
    <s v="New York City"/>
    <s v="Bachelor"/>
    <d v="2002-08-25T00:00:00"/>
    <d v="2018-08-11T00:00:00"/>
    <d v="2019-02-07T00:00:00"/>
    <x v="6"/>
    <s v="Sales Representative"/>
    <n v="76043"/>
    <s v="Satisfactory"/>
    <n v="2.0191780821917811"/>
    <s v="Terminated"/>
    <x v="7"/>
    <s v="Medium"/>
  </r>
  <r>
    <s v="00-82905845"/>
    <s v="Debra"/>
    <s v="Wright"/>
    <s v="Female"/>
    <s v="New York"/>
    <s v="New York City"/>
    <s v="Bachelor"/>
    <d v="1993-08-15T00:00:00"/>
    <d v="2018-02-14T00:00:00"/>
    <d v="2020-07-27T00:00:00"/>
    <x v="2"/>
    <s v="Inventory Specialist"/>
    <n v="61175"/>
    <s v="Good"/>
    <n v="3.9095890410958898"/>
    <s v="Active"/>
    <x v="8"/>
    <s v="Medium"/>
  </r>
  <r>
    <s v="00-56323191"/>
    <s v="Anthony"/>
    <s v="Lopez"/>
    <s v="Male"/>
    <s v="New York"/>
    <s v="New York City"/>
    <s v="High School"/>
    <d v="1973-08-19T00:00:00"/>
    <d v="2018-07-20T00:00:00"/>
    <d v="2019-01-16T00:00:00"/>
    <x v="2"/>
    <s v="Inventory Specialist"/>
    <n v="64342"/>
    <s v="Needs Improvement"/>
    <n v="0.72054794520547949"/>
    <s v="Active"/>
    <x v="15"/>
    <s v="Medium"/>
  </r>
  <r>
    <s v="00-15646068"/>
    <s v="Paul"/>
    <s v="Hoffman"/>
    <s v="Male"/>
    <s v="Michigan"/>
    <s v="Grand Rapids"/>
    <s v="Bachelor"/>
    <d v="1965-02-04T00:00:00"/>
    <d v="2017-04-12T00:00:00"/>
    <d v="2020-06-13T00:00:00"/>
    <x v="1"/>
    <s v="IT Support Specialist"/>
    <n v="75475"/>
    <s v="Good"/>
    <n v="1.1424657534246581"/>
    <s v="Active"/>
    <x v="44"/>
    <s v="Medium"/>
  </r>
  <r>
    <s v="00-56488123"/>
    <s v="Kimberly"/>
    <s v="Padilla"/>
    <s v="Female"/>
    <s v="North Carolina"/>
    <s v="Charlotte"/>
    <s v="Bachelor"/>
    <d v="1978-07-20T00:00:00"/>
    <d v="2024-03-24T00:00:00"/>
    <d v="2024-09-20T00:00:00"/>
    <x v="0"/>
    <s v="Customer Service Representative"/>
    <n v="64626"/>
    <s v="Excellent"/>
    <n v="2.1917808219178081"/>
    <s v="Terminated"/>
    <x v="30"/>
    <s v="Medium"/>
  </r>
  <r>
    <s v="00-74300930"/>
    <s v="Wendy"/>
    <s v="Mitchell"/>
    <s v="Male"/>
    <s v="New York"/>
    <s v="New York City"/>
    <s v="Bachelor"/>
    <d v="2004-01-21T00:00:00"/>
    <d v="2017-12-22T00:00:00"/>
    <d v="2023-09-11T00:00:00"/>
    <x v="2"/>
    <s v="Inventory Specialist"/>
    <n v="63645"/>
    <s v="Good"/>
    <n v="0.49315068493150682"/>
    <s v="Terminated"/>
    <x v="26"/>
    <s v="Medium"/>
  </r>
  <r>
    <s v="00-85432781"/>
    <s v="Yolanda"/>
    <s v="Gonzalez"/>
    <s v="Male"/>
    <s v="New York"/>
    <s v="New York City"/>
    <s v="High School"/>
    <d v="1992-03-28T00:00:00"/>
    <d v="2022-02-22T00:00:00"/>
    <d v="2022-08-21T00:00:00"/>
    <x v="2"/>
    <s v="Inventory Specialist"/>
    <n v="64251"/>
    <s v="Needs Improvement"/>
    <n v="1.3123287671232879"/>
    <s v="Active"/>
    <x v="5"/>
    <s v="Medium"/>
  </r>
  <r>
    <s v="00-92634772"/>
    <s v="Melissa"/>
    <s v="Hayes"/>
    <s v="Female"/>
    <s v="Pennsylvania"/>
    <s v="Allentown"/>
    <s v="High School"/>
    <d v="2003-10-03T00:00:00"/>
    <d v="2022-12-16T00:00:00"/>
    <d v="2023-06-14T00:00:00"/>
    <x v="0"/>
    <s v="Support Specialist"/>
    <n v="54961"/>
    <s v="Needs Improvement"/>
    <n v="1.704109589041096"/>
    <s v="Active"/>
    <x v="26"/>
    <s v="Low"/>
  </r>
  <r>
    <s v="00-16813620"/>
    <s v="Jennifer"/>
    <s v="Osborn"/>
    <s v="Female"/>
    <s v="New York"/>
    <s v="New York City"/>
    <s v="High School"/>
    <d v="1985-02-11T00:00:00"/>
    <d v="2022-11-11T00:00:00"/>
    <d v="2023-05-10T00:00:00"/>
    <x v="2"/>
    <s v="Inventory Specialist"/>
    <n v="61212"/>
    <s v="Needs Improvement"/>
    <n v="0.49315068493150682"/>
    <s v="Terminated"/>
    <x v="27"/>
    <s v="Medium"/>
  </r>
  <r>
    <s v="00-95623471"/>
    <s v="Evelyn"/>
    <s v="Bruce"/>
    <s v="Female"/>
    <s v="New York"/>
    <s v="New York City"/>
    <s v="Bachelor"/>
    <d v="1987-01-12T00:00:00"/>
    <d v="2017-05-05T00:00:00"/>
    <d v="2023-02-24T00:00:00"/>
    <x v="0"/>
    <s v="Help Desk Technician"/>
    <n v="87620"/>
    <s v="Needs Improvement"/>
    <n v="0.49315068493150682"/>
    <s v="Terminated"/>
    <x v="28"/>
    <s v="Medium"/>
  </r>
  <r>
    <s v="00-54331259"/>
    <s v="Elizabeth"/>
    <s v="Mckinney"/>
    <s v="Female"/>
    <s v="New York"/>
    <s v="New York City"/>
    <s v="High School"/>
    <d v="1983-09-15T00:00:00"/>
    <d v="2022-08-02T00:00:00"/>
    <d v="2023-01-29T00:00:00"/>
    <x v="0"/>
    <s v="Support Specialist"/>
    <n v="65530"/>
    <s v="Needs Improvement"/>
    <n v="0.49315068493150682"/>
    <s v="Terminated"/>
    <x v="22"/>
    <s v="Medium"/>
  </r>
  <r>
    <s v="00-28450513"/>
    <s v="Amber"/>
    <s v="Vance"/>
    <s v="Female"/>
    <s v="New York"/>
    <s v="New York City"/>
    <s v="Bachelor"/>
    <d v="1971-10-11T00:00:00"/>
    <d v="2015-11-27T00:00:00"/>
    <d v="2021-04-07T00:00:00"/>
    <x v="2"/>
    <s v="Logistics Coordinator"/>
    <n v="64649"/>
    <s v="Good"/>
    <n v="0.49315068493150682"/>
    <s v="Active"/>
    <x v="24"/>
    <s v="Medium"/>
  </r>
  <r>
    <s v="00-64614193"/>
    <s v="Eric"/>
    <s v="Mckinney"/>
    <s v="Male"/>
    <s v="New York"/>
    <s v="New York City"/>
    <s v="Master"/>
    <d v="1972-08-03T00:00:00"/>
    <d v="2022-09-29T00:00:00"/>
    <d v="2023-03-28T00:00:00"/>
    <x v="2"/>
    <s v="Operations Analyst"/>
    <n v="81221"/>
    <s v="Good"/>
    <n v="0.49315068493150682"/>
    <s v="Terminated"/>
    <x v="36"/>
    <s v="Medium"/>
  </r>
  <r>
    <s v="00-97313825"/>
    <s v="Dana"/>
    <s v="Leon"/>
    <s v="Female"/>
    <s v="New York"/>
    <s v="New York City"/>
    <s v="High School"/>
    <d v="1971-05-21T00:00:00"/>
    <d v="2017-07-17T00:00:00"/>
    <d v="2019-10-31T00:00:00"/>
    <x v="4"/>
    <s v="Content Creator"/>
    <n v="55055"/>
    <s v="Needs Improvement"/>
    <n v="2.9397260273972599"/>
    <s v="Active"/>
    <x v="24"/>
    <s v="Low"/>
  </r>
  <r>
    <s v="00-48307798"/>
    <s v="Jeffrey"/>
    <s v="Galloway"/>
    <s v="Female"/>
    <s v="New York"/>
    <s v="New York City"/>
    <s v="Bachelor"/>
    <d v="1991-08-19T00:00:00"/>
    <d v="2021-11-04T00:00:00"/>
    <d v="2022-05-03T00:00:00"/>
    <x v="1"/>
    <s v="System Administrator"/>
    <n v="89837"/>
    <s v="Good"/>
    <n v="3.150684931506849"/>
    <s v="Active"/>
    <x v="5"/>
    <s v="Medium"/>
  </r>
  <r>
    <s v="00-87058874"/>
    <s v="Dominic"/>
    <s v="Tyler"/>
    <s v="Female"/>
    <s v="North Carolina"/>
    <s v="Raleigh"/>
    <s v="Bachelor"/>
    <d v="1974-04-19T00:00:00"/>
    <d v="2017-01-11T00:00:00"/>
    <d v="2020-04-24T00:00:00"/>
    <x v="0"/>
    <s v="Support Specialist"/>
    <n v="66282"/>
    <s v="Excellent"/>
    <n v="0.49315068493150682"/>
    <s v="Active"/>
    <x v="9"/>
    <s v="Medium"/>
  </r>
  <r>
    <s v="00-15006085"/>
    <s v="Michael"/>
    <s v="Armstrong"/>
    <s v="Male"/>
    <s v="Michigan"/>
    <s v="Warren"/>
    <s v="Master"/>
    <d v="1979-06-26T00:00:00"/>
    <d v="2024-06-30T00:00:00"/>
    <d v="2024-12-27T00:00:00"/>
    <x v="2"/>
    <s v="Operations Analyst"/>
    <n v="67293"/>
    <s v="Good"/>
    <n v="9.1479452054794521"/>
    <s v="Terminated"/>
    <x v="0"/>
    <s v="Medium"/>
  </r>
  <r>
    <s v="00-33593960"/>
    <s v="Linda"/>
    <s v="Arnold"/>
    <s v="Female"/>
    <s v="New York"/>
    <s v="New York City"/>
    <s v="High School"/>
    <d v="1997-09-27T00:00:00"/>
    <d v="2018-08-25T00:00:00"/>
    <d v="2019-02-21T00:00:00"/>
    <x v="2"/>
    <s v="Inventory Specialist"/>
    <n v="59592"/>
    <s v="Needs Improvement"/>
    <n v="0.49315068493150682"/>
    <s v="Active"/>
    <x v="34"/>
    <s v="Low"/>
  </r>
  <r>
    <s v="00-63283709"/>
    <s v="Nicole"/>
    <s v="Jones"/>
    <s v="Male"/>
    <s v="New York"/>
    <s v="New York City"/>
    <s v="Bachelor"/>
    <d v="1983-01-28T00:00:00"/>
    <d v="2023-06-04T00:00:00"/>
    <d v="2023-12-01T00:00:00"/>
    <x v="3"/>
    <s v="Accounts Payable Specialist"/>
    <n v="61465"/>
    <s v="Good"/>
    <n v="0.49315068493150682"/>
    <s v="Active"/>
    <x v="19"/>
    <s v="Medium"/>
  </r>
  <r>
    <s v="00-48851599"/>
    <s v="Yvonne"/>
    <s v="Higgins"/>
    <s v="Female"/>
    <s v="Pennsylvania"/>
    <s v="Philadelphia"/>
    <s v="Bachelor"/>
    <d v="1994-12-19T00:00:00"/>
    <d v="2017-07-24T00:00:00"/>
    <d v="2018-01-20T00:00:00"/>
    <x v="5"/>
    <s v="Recruiter"/>
    <n v="73461"/>
    <s v="Good"/>
    <n v="0.49315068493150682"/>
    <s v="Terminated"/>
    <x v="2"/>
    <s v="Medium"/>
  </r>
  <r>
    <s v="00-86230551"/>
    <s v="Robert"/>
    <s v="Ortiz"/>
    <s v="Female"/>
    <s v="New York"/>
    <s v="New York City"/>
    <s v="Bachelor"/>
    <d v="1980-05-16T00:00:00"/>
    <d v="2021-08-12T00:00:00"/>
    <d v="2022-02-08T00:00:00"/>
    <x v="6"/>
    <s v="Sales Specialist"/>
    <n v="57475"/>
    <s v="Good"/>
    <n v="2.0273972602739732"/>
    <s v="Active"/>
    <x v="3"/>
    <s v="Low"/>
  </r>
  <r>
    <s v="00-70981700"/>
    <s v="Charles"/>
    <s v="Compton"/>
    <s v="Male"/>
    <s v="New York"/>
    <s v="New York City"/>
    <s v="Master"/>
    <d v="1980-04-03T00:00:00"/>
    <d v="2018-09-06T00:00:00"/>
    <d v="2019-03-05T00:00:00"/>
    <x v="1"/>
    <s v="System Administrator"/>
    <n v="69069"/>
    <s v="Excellent"/>
    <n v="6.7589041095890412"/>
    <s v="Terminated"/>
    <x v="0"/>
    <s v="Medium"/>
  </r>
  <r>
    <s v="00-76291802"/>
    <s v="Charles"/>
    <s v="Owens"/>
    <s v="Male"/>
    <s v="New York"/>
    <s v="New York City"/>
    <s v="Bachelor"/>
    <d v="1996-07-18T00:00:00"/>
    <d v="2017-07-20T00:00:00"/>
    <d v="2018-01-16T00:00:00"/>
    <x v="2"/>
    <s v="Logistics Coordinator"/>
    <n v="61015"/>
    <s v="Satisfactory"/>
    <n v="2.868493150684932"/>
    <s v="Terminated"/>
    <x v="39"/>
    <s v="Medium"/>
  </r>
  <r>
    <s v="00-77674279"/>
    <s v="Melvin"/>
    <s v="Humphrey"/>
    <s v="Male"/>
    <s v="Pennsylvania"/>
    <s v="Philadelphia"/>
    <s v="Master"/>
    <d v="1980-12-15T00:00:00"/>
    <d v="2019-10-31T00:00:00"/>
    <d v="2020-08-14T00:00:00"/>
    <x v="6"/>
    <s v="Sales Manager"/>
    <n v="117180"/>
    <s v="Excellent"/>
    <n v="0.49315068493150682"/>
    <s v="Active"/>
    <x v="3"/>
    <s v="High"/>
  </r>
  <r>
    <s v="00-25119192"/>
    <s v="Andrea"/>
    <s v="Matthews"/>
    <s v="Male"/>
    <s v="West Virginia"/>
    <s v="Charleston"/>
    <s v="Bachelor"/>
    <d v="1996-10-22T00:00:00"/>
    <d v="2018-10-26T00:00:00"/>
    <d v="2022-05-09T00:00:00"/>
    <x v="0"/>
    <s v="Customer Service Representative"/>
    <n v="58585"/>
    <s v="Good"/>
    <n v="4.8657534246575347"/>
    <s v="Terminated"/>
    <x v="39"/>
    <s v="Low"/>
  </r>
  <r>
    <s v="00-97011385"/>
    <s v="Tammy"/>
    <s v="Reynolds"/>
    <s v="Male"/>
    <s v="Michigan"/>
    <s v="Detroit"/>
    <s v="PhD"/>
    <d v="1960-08-20T00:00:00"/>
    <d v="2017-12-20T00:00:00"/>
    <d v="2022-06-16T00:00:00"/>
    <x v="6"/>
    <s v="Sales Specialist"/>
    <n v="58073"/>
    <s v="Excellent"/>
    <n v="8.2410958904109588"/>
    <s v="Active"/>
    <x v="20"/>
    <s v="Low"/>
  </r>
  <r>
    <s v="00-55246430"/>
    <s v="Miranda"/>
    <s v="Guerra"/>
    <s v="Female"/>
    <s v="New York"/>
    <s v="New York City"/>
    <s v="Master"/>
    <d v="1993-06-11T00:00:00"/>
    <d v="2017-07-21T00:00:00"/>
    <d v="2018-01-17T00:00:00"/>
    <x v="2"/>
    <s v="Operations Analyst"/>
    <n v="69136"/>
    <s v="Good"/>
    <n v="0.49315068493150682"/>
    <s v="Terminated"/>
    <x v="8"/>
    <s v="Medium"/>
  </r>
  <r>
    <s v="00-35925669"/>
    <s v="Eric"/>
    <s v="Martin"/>
    <s v="Female"/>
    <s v="New York"/>
    <s v="New York City"/>
    <s v="High School"/>
    <d v="1988-09-10T00:00:00"/>
    <d v="2017-05-06T00:00:00"/>
    <d v="2019-02-23T00:00:00"/>
    <x v="2"/>
    <s v="Inventory Specialist"/>
    <n v="62641"/>
    <s v="Needs Improvement"/>
    <n v="0.49315068493150682"/>
    <s v="Terminated"/>
    <x v="4"/>
    <s v="Medium"/>
  </r>
  <r>
    <s v="00-67405358"/>
    <s v="Sarah"/>
    <s v="Perez"/>
    <s v="Female"/>
    <s v="New York"/>
    <s v="New York City"/>
    <s v="Bachelor"/>
    <d v="1965-06-01T00:00:00"/>
    <d v="2020-07-20T00:00:00"/>
    <d v="2021-01-16T00:00:00"/>
    <x v="4"/>
    <s v="Marketing Coordinator"/>
    <n v="55460"/>
    <s v="Good"/>
    <n v="7.9397260273972599"/>
    <s v="Active"/>
    <x v="29"/>
    <s v="Low"/>
  </r>
  <r>
    <s v="00-99826000"/>
    <s v="Patty"/>
    <s v="Singleton"/>
    <s v="Male"/>
    <s v="New York"/>
    <s v="New York City"/>
    <s v="Bachelor"/>
    <d v="1980-05-13T00:00:00"/>
    <d v="2016-04-07T00:00:00"/>
    <d v="2021-07-19T00:00:00"/>
    <x v="2"/>
    <s v="Logistics Coordinator"/>
    <n v="63096"/>
    <s v="Good"/>
    <n v="2.4493150684931511"/>
    <s v="Terminated"/>
    <x v="3"/>
    <s v="Medium"/>
  </r>
  <r>
    <s v="00-53433080"/>
    <s v="James"/>
    <s v="Huber"/>
    <s v="Female"/>
    <s v="Pennsylvania"/>
    <s v="Philadelphia"/>
    <s v="High School"/>
    <d v="1993-04-11T00:00:00"/>
    <d v="2024-04-16T00:00:00"/>
    <d v="2024-10-13T00:00:00"/>
    <x v="2"/>
    <s v="Inventory Specialist"/>
    <n v="63880"/>
    <s v="Needs Improvement"/>
    <n v="0.49315068493150682"/>
    <s v="Active"/>
    <x v="17"/>
    <s v="Medium"/>
  </r>
  <r>
    <s v="00-61482483"/>
    <s v="David"/>
    <s v="Turner"/>
    <s v="Male"/>
    <s v="New York"/>
    <s v="New York City"/>
    <s v="Bachelor"/>
    <d v="1981-07-18T00:00:00"/>
    <d v="2017-07-27T00:00:00"/>
    <d v="2018-10-09T00:00:00"/>
    <x v="4"/>
    <s v="Content Creator"/>
    <n v="64090"/>
    <s v="Excellent"/>
    <n v="3.172602739726027"/>
    <s v="Active"/>
    <x v="25"/>
    <s v="Medium"/>
  </r>
  <r>
    <s v="00-50526484"/>
    <s v="Clarence"/>
    <s v="Davidson"/>
    <s v="Female"/>
    <s v="New York"/>
    <s v="New York City"/>
    <s v="Bachelor"/>
    <d v="1993-01-14T00:00:00"/>
    <d v="2020-08-17T00:00:00"/>
    <d v="2024-10-18T00:00:00"/>
    <x v="3"/>
    <s v="Financial Analyst"/>
    <n v="78013"/>
    <s v="Satisfactory"/>
    <n v="0.49315068493150682"/>
    <s v="Terminated"/>
    <x v="17"/>
    <s v="Medium"/>
  </r>
  <r>
    <s v="00-45105069"/>
    <s v="Shelly"/>
    <s v="Moore"/>
    <s v="Female"/>
    <s v="New York"/>
    <s v="New York City"/>
    <s v="High School"/>
    <d v="1973-11-09T00:00:00"/>
    <d v="2022-09-13T00:00:00"/>
    <d v="2023-03-12T00:00:00"/>
    <x v="0"/>
    <s v="Support Specialist"/>
    <n v="58190"/>
    <s v="Needs Improvement"/>
    <n v="5.7232876712328764"/>
    <s v="Active"/>
    <x v="15"/>
    <s v="Low"/>
  </r>
  <r>
    <s v="00-18338186"/>
    <s v="Claudia"/>
    <s v="Winters"/>
    <s v="Male"/>
    <s v="New York"/>
    <s v="New York City"/>
    <s v="Bachelor"/>
    <d v="1973-10-24T00:00:00"/>
    <d v="2022-05-12T00:00:00"/>
    <d v="2024-09-28T00:00:00"/>
    <x v="2"/>
    <s v="Operations Analyst"/>
    <n v="65703"/>
    <s v="Satisfactory"/>
    <n v="0.49315068493150682"/>
    <s v="Active"/>
    <x v="15"/>
    <s v="Medium"/>
  </r>
  <r>
    <s v="00-31436829"/>
    <s v="Megan"/>
    <s v="Elliott"/>
    <s v="Male"/>
    <s v="New York"/>
    <s v="New York City"/>
    <s v="Master"/>
    <d v="1972-08-04T00:00:00"/>
    <d v="2019-11-17T00:00:00"/>
    <d v="2020-05-15T00:00:00"/>
    <x v="1"/>
    <s v="IT Manager"/>
    <n v="94413"/>
    <s v="Good"/>
    <n v="0.49315068493150682"/>
    <s v="Terminated"/>
    <x v="36"/>
    <s v="Medium"/>
  </r>
  <r>
    <s v="00-51738753"/>
    <s v="Michelle"/>
    <s v="Miller"/>
    <s v="Female"/>
    <s v="New York"/>
    <s v="New York City"/>
    <s v="Master"/>
    <d v="2003-05-11T00:00:00"/>
    <d v="2022-09-07T00:00:00"/>
    <d v="2023-03-06T00:00:00"/>
    <x v="2"/>
    <s v="Operations Analyst"/>
    <n v="87933"/>
    <s v="Excellent"/>
    <n v="0.49315068493150682"/>
    <s v="Active"/>
    <x v="26"/>
    <s v="Medium"/>
  </r>
  <r>
    <s v="00-59330907"/>
    <s v="Kelli"/>
    <s v="Baker"/>
    <s v="Female"/>
    <s v="New York"/>
    <s v="New York City"/>
    <s v="Bachelor"/>
    <d v="1997-05-02T00:00:00"/>
    <d v="2021-03-23T00:00:00"/>
    <d v="2021-09-19T00:00:00"/>
    <x v="4"/>
    <s v="Content Creator"/>
    <n v="61699"/>
    <s v="Good"/>
    <n v="5.8109589041095893"/>
    <s v="Terminated"/>
    <x v="34"/>
    <s v="Medium"/>
  </r>
  <r>
    <s v="00-74180488"/>
    <s v="Katie"/>
    <s v="Butler"/>
    <s v="Male"/>
    <s v="Ohio"/>
    <s v="Cincinnati"/>
    <s v="Bachelor"/>
    <d v="1979-02-17T00:00:00"/>
    <d v="2017-09-06T00:00:00"/>
    <d v="2018-03-05T00:00:00"/>
    <x v="0"/>
    <s v="Help Desk Technician"/>
    <n v="83942"/>
    <s v="Satisfactory"/>
    <n v="0.49315068493150682"/>
    <s v="Active"/>
    <x v="30"/>
    <s v="Medium"/>
  </r>
  <r>
    <s v="00-60147077"/>
    <s v="Anthony"/>
    <s v="Small"/>
    <s v="Male"/>
    <s v="New York"/>
    <s v="New York City"/>
    <s v="Bachelor"/>
    <d v="1998-01-19T00:00:00"/>
    <d v="2019-07-31T00:00:00"/>
    <d v="2021-06-28T00:00:00"/>
    <x v="2"/>
    <s v="Logistics Coordinator"/>
    <n v="68032"/>
    <s v="Satisfactory"/>
    <n v="5.3643835616438356"/>
    <s v="Terminated"/>
    <x v="34"/>
    <s v="Medium"/>
  </r>
  <r>
    <s v="00-82144402"/>
    <s v="Keith"/>
    <s v="Frye"/>
    <s v="Male"/>
    <s v="New York"/>
    <s v="New York City"/>
    <s v="Bachelor"/>
    <d v="1986-01-13T00:00:00"/>
    <d v="2017-07-07T00:00:00"/>
    <d v="2018-01-03T00:00:00"/>
    <x v="2"/>
    <s v="Logistics Coordinator"/>
    <n v="63082"/>
    <s v="Satisfactory"/>
    <n v="0.49315068493150682"/>
    <s v="Active"/>
    <x v="38"/>
    <s v="Medium"/>
  </r>
  <r>
    <s v="00-43214247"/>
    <s v="John"/>
    <s v="Aguirre"/>
    <s v="Female"/>
    <s v="North Carolina"/>
    <s v="Greensboro"/>
    <s v="High School"/>
    <d v="1977-06-29T00:00:00"/>
    <d v="2022-06-07T00:00:00"/>
    <d v="2024-03-26T00:00:00"/>
    <x v="2"/>
    <s v="Inventory Specialist"/>
    <n v="58453"/>
    <s v="Excellent"/>
    <n v="2.29041095890411"/>
    <s v="Terminated"/>
    <x v="18"/>
    <s v="Low"/>
  </r>
  <r>
    <s v="00-20988446"/>
    <s v="Kenneth"/>
    <s v="Jones"/>
    <s v="Female"/>
    <s v="Michigan"/>
    <s v="Grand Rapids"/>
    <s v="Bachelor"/>
    <d v="1986-11-12T00:00:00"/>
    <d v="2020-01-24T00:00:00"/>
    <d v="2020-07-22T00:00:00"/>
    <x v="0"/>
    <s v="Support Specialist"/>
    <n v="59488"/>
    <s v="Satisfactory"/>
    <n v="0.49315068493150682"/>
    <s v="Terminated"/>
    <x v="28"/>
    <s v="Low"/>
  </r>
  <r>
    <s v="00-58557943"/>
    <s v="Eric"/>
    <s v="Perry"/>
    <s v="Female"/>
    <s v="New York"/>
    <s v="New York City"/>
    <s v="High School"/>
    <d v="1987-07-25T00:00:00"/>
    <d v="2016-06-29T00:00:00"/>
    <d v="2018-03-01T00:00:00"/>
    <x v="0"/>
    <s v="Customer Service Representative"/>
    <n v="59823"/>
    <s v="Needs Improvement"/>
    <n v="3.2849315068493148"/>
    <s v="Active"/>
    <x v="1"/>
    <s v="Low"/>
  </r>
  <r>
    <s v="00-18289024"/>
    <s v="James"/>
    <s v="Lawson"/>
    <s v="Male"/>
    <s v="New York"/>
    <s v="New York City"/>
    <s v="Bachelor"/>
    <d v="1980-07-02T00:00:00"/>
    <d v="2023-05-02T00:00:00"/>
    <d v="2023-10-29T00:00:00"/>
    <x v="1"/>
    <s v="IT Support Specialist"/>
    <n v="67031"/>
    <s v="Good"/>
    <n v="0.49315068493150682"/>
    <s v="Terminated"/>
    <x v="3"/>
    <s v="Medium"/>
  </r>
  <r>
    <s v="00-86866717"/>
    <s v="Michelle"/>
    <s v="Flores"/>
    <s v="Male"/>
    <s v="North Carolina"/>
    <s v="Raleigh"/>
    <s v="High School"/>
    <d v="1992-11-29T00:00:00"/>
    <d v="2020-11-30T00:00:00"/>
    <d v="2023-04-14T00:00:00"/>
    <x v="0"/>
    <s v="Support Specialist"/>
    <n v="64904"/>
    <s v="Needs Improvement"/>
    <n v="0.49315068493150682"/>
    <s v="Terminated"/>
    <x v="17"/>
    <s v="Medium"/>
  </r>
  <r>
    <s v="00-79839059"/>
    <s v="Michael"/>
    <s v="Ross"/>
    <s v="Female"/>
    <s v="New York"/>
    <s v="New York City"/>
    <s v="High School"/>
    <d v="1978-09-16T00:00:00"/>
    <d v="2019-10-23T00:00:00"/>
    <d v="2023-07-14T00:00:00"/>
    <x v="0"/>
    <s v="Support Specialist"/>
    <n v="63124"/>
    <s v="Needs Improvement"/>
    <n v="0.49315068493150682"/>
    <s v="Terminated"/>
    <x v="30"/>
    <s v="Medium"/>
  </r>
  <r>
    <s v="00-88268756"/>
    <s v="Mitchell"/>
    <s v="Hoffman"/>
    <s v="Female"/>
    <s v="West Virginia"/>
    <s v="Huntington"/>
    <s v="Master"/>
    <d v="1972-07-24T00:00:00"/>
    <d v="2019-05-04T00:00:00"/>
    <d v="2021-12-30T00:00:00"/>
    <x v="5"/>
    <s v="HR Coordinator"/>
    <n v="62596"/>
    <s v="Excellent"/>
    <n v="0.49315068493150682"/>
    <s v="Active"/>
    <x v="36"/>
    <s v="Medium"/>
  </r>
  <r>
    <s v="00-17467311"/>
    <s v="John"/>
    <s v="Martinez"/>
    <s v="Female"/>
    <s v="Michigan"/>
    <s v="Detroit"/>
    <s v="High School"/>
    <d v="1995-01-13T00:00:00"/>
    <d v="2019-06-24T00:00:00"/>
    <d v="2021-09-25T00:00:00"/>
    <x v="0"/>
    <s v="Help Desk Technician"/>
    <n v="84792"/>
    <s v="Excellent"/>
    <n v="0.49315068493150682"/>
    <s v="Terminated"/>
    <x v="2"/>
    <s v="Medium"/>
  </r>
  <r>
    <s v="00-71310453"/>
    <s v="John"/>
    <s v="Davis"/>
    <s v="Female"/>
    <s v="New York"/>
    <s v="New York City"/>
    <s v="Bachelor"/>
    <d v="1987-07-17T00:00:00"/>
    <d v="2020-04-22T00:00:00"/>
    <d v="2021-11-01T00:00:00"/>
    <x v="6"/>
    <s v="Sales Consultant"/>
    <n v="90504"/>
    <s v="Good"/>
    <n v="0.49315068493150682"/>
    <s v="Active"/>
    <x v="1"/>
    <s v="Medium"/>
  </r>
  <r>
    <s v="00-51361818"/>
    <s v="Sonia"/>
    <s v="Lin"/>
    <s v="Female"/>
    <s v="New York"/>
    <s v="New York City"/>
    <s v="High School"/>
    <d v="1983-04-12T00:00:00"/>
    <d v="2022-06-12T00:00:00"/>
    <d v="2022-12-09T00:00:00"/>
    <x v="0"/>
    <s v="Customer Service Representative"/>
    <n v="54612"/>
    <s v="Needs Improvement"/>
    <n v="0.49315068493150682"/>
    <s v="Terminated"/>
    <x v="22"/>
    <s v="Low"/>
  </r>
  <r>
    <s v="00-10404729"/>
    <s v="John"/>
    <s v="Grimes"/>
    <s v="Female"/>
    <s v="Virginia"/>
    <s v="Virginia Beach"/>
    <s v="Bachelor"/>
    <d v="1981-07-14T00:00:00"/>
    <d v="2022-03-04T00:00:00"/>
    <d v="2022-08-31T00:00:00"/>
    <x v="0"/>
    <s v="Help Desk Technician"/>
    <n v="58407"/>
    <s v="Good"/>
    <n v="0.78904109589041094"/>
    <s v="Active"/>
    <x v="25"/>
    <s v="Low"/>
  </r>
  <r>
    <s v="00-16078694"/>
    <s v="Lisa"/>
    <s v="Peck"/>
    <s v="Female"/>
    <s v="New York"/>
    <s v="New York City"/>
    <s v="Master"/>
    <d v="1977-06-04T00:00:00"/>
    <d v="2019-10-08T00:00:00"/>
    <d v="2021-01-04T00:00:00"/>
    <x v="1"/>
    <s v="Software Developer"/>
    <n v="113135"/>
    <s v="Good"/>
    <n v="3.536986301369863"/>
    <s v="Terminated"/>
    <x v="18"/>
    <s v="High"/>
  </r>
  <r>
    <s v="00-82633735"/>
    <s v="Larry"/>
    <s v="Hines"/>
    <s v="Female"/>
    <s v="New York"/>
    <s v="New York City"/>
    <s v="Bachelor"/>
    <d v="1989-09-19T00:00:00"/>
    <d v="2018-07-12T00:00:00"/>
    <d v="2019-01-08T00:00:00"/>
    <x v="3"/>
    <s v="Accountant"/>
    <n v="57963"/>
    <s v="Good"/>
    <n v="4.4904109589041097"/>
    <s v="Active"/>
    <x v="35"/>
    <s v="Low"/>
  </r>
  <r>
    <s v="00-14259382"/>
    <s v="Wendy"/>
    <s v="Owens"/>
    <s v="Male"/>
    <s v="New York"/>
    <s v="New York City"/>
    <s v="Master"/>
    <d v="1996-06-27T00:00:00"/>
    <d v="2017-12-08T00:00:00"/>
    <d v="2018-06-06T00:00:00"/>
    <x v="1"/>
    <s v="System Administrator"/>
    <n v="70113"/>
    <s v="Excellent"/>
    <n v="0.49315068493150682"/>
    <s v="Active"/>
    <x v="39"/>
    <s v="Medium"/>
  </r>
  <r>
    <s v="00-28176954"/>
    <s v="Kyle"/>
    <s v="Johnson"/>
    <s v="Female"/>
    <s v="Ohio"/>
    <s v="Cleveland"/>
    <s v="Bachelor"/>
    <d v="1991-10-30T00:00:00"/>
    <d v="2022-06-02T00:00:00"/>
    <d v="2024-05-19T00:00:00"/>
    <x v="2"/>
    <s v="Inventory Specialist"/>
    <n v="56679"/>
    <s v="Good"/>
    <n v="1.802739726027397"/>
    <s v="Terminated"/>
    <x v="5"/>
    <s v="Low"/>
  </r>
  <r>
    <s v="00-66420024"/>
    <s v="William"/>
    <s v="Levy"/>
    <s v="Male"/>
    <s v="New York"/>
    <s v="New York City"/>
    <s v="Bachelor"/>
    <d v="1998-11-21T00:00:00"/>
    <d v="2018-03-25T00:00:00"/>
    <d v="2021-08-23T00:00:00"/>
    <x v="2"/>
    <s v="Inventory Specialist"/>
    <n v="62547"/>
    <s v="Satisfactory"/>
    <n v="0.49315068493150682"/>
    <s v="Terminated"/>
    <x v="31"/>
    <s v="Medium"/>
  </r>
  <r>
    <s v="00-60666702"/>
    <s v="Brandy"/>
    <s v="Williams"/>
    <s v="Male"/>
    <s v="New York"/>
    <s v="New York City"/>
    <s v="High School"/>
    <d v="1993-12-21T00:00:00"/>
    <d v="2018-04-20T00:00:00"/>
    <d v="2023-08-10T00:00:00"/>
    <x v="0"/>
    <s v="Customer Service Representative"/>
    <n v="65191"/>
    <s v="Needs Improvement"/>
    <n v="5.2849315068493148"/>
    <s v="Active"/>
    <x v="8"/>
    <s v="Medium"/>
  </r>
  <r>
    <s v="00-82383656"/>
    <s v="Troy"/>
    <s v="Khan"/>
    <s v="Female"/>
    <s v="New York"/>
    <s v="New York City"/>
    <s v="Bachelor"/>
    <d v="2002-05-20T00:00:00"/>
    <d v="2017-09-12T00:00:00"/>
    <d v="2022-12-15T00:00:00"/>
    <x v="2"/>
    <s v="Logistics Coordinator"/>
    <n v="57030"/>
    <s v="Excellent"/>
    <n v="0.49315068493150682"/>
    <s v="Active"/>
    <x v="7"/>
    <s v="Low"/>
  </r>
  <r>
    <s v="00-33954324"/>
    <s v="Emily"/>
    <s v="Mitchell"/>
    <s v="Female"/>
    <s v="New York"/>
    <s v="New York City"/>
    <s v="Master"/>
    <d v="1987-03-19T00:00:00"/>
    <d v="2024-01-04T00:00:00"/>
    <d v="2024-07-02T00:00:00"/>
    <x v="2"/>
    <s v="Operations Analyst"/>
    <n v="87587"/>
    <s v="Excellent"/>
    <n v="1.2027397260273971"/>
    <s v="Terminated"/>
    <x v="28"/>
    <s v="Medium"/>
  </r>
  <r>
    <s v="00-27092236"/>
    <s v="Melanie"/>
    <s v="Jordan"/>
    <s v="Male"/>
    <s v="New York"/>
    <s v="New York City"/>
    <s v="Bachelor"/>
    <d v="1970-08-01T00:00:00"/>
    <d v="2022-12-09T00:00:00"/>
    <d v="2023-06-07T00:00:00"/>
    <x v="1"/>
    <s v="Software Developer"/>
    <n v="95371"/>
    <s v="Good"/>
    <n v="4.1726027397260266"/>
    <s v="Active"/>
    <x v="21"/>
    <s v="Medium"/>
  </r>
  <r>
    <s v="00-10466177"/>
    <s v="Joseph"/>
    <s v="Diaz"/>
    <s v="Female"/>
    <s v="Michigan"/>
    <s v="Warren"/>
    <s v="Bachelor"/>
    <d v="1991-05-11T00:00:00"/>
    <d v="2022-06-06T00:00:00"/>
    <d v="2022-12-03T00:00:00"/>
    <x v="3"/>
    <s v="Accountant"/>
    <n v="53179"/>
    <s v="Satisfactory"/>
    <n v="0.49315068493150682"/>
    <s v="Terminated"/>
    <x v="5"/>
    <s v="Low"/>
  </r>
  <r>
    <s v="00-83074216"/>
    <s v="Michael"/>
    <s v="Morales"/>
    <s v="Male"/>
    <s v="Michigan"/>
    <s v="Detroit"/>
    <s v="Bachelor"/>
    <d v="1998-07-10T00:00:00"/>
    <d v="2019-08-10T00:00:00"/>
    <d v="2020-02-06T00:00:00"/>
    <x v="2"/>
    <s v="Logistics Coordinator"/>
    <n v="64190"/>
    <s v="Excellent"/>
    <n v="2.3835616438356171"/>
    <s v="Active"/>
    <x v="31"/>
    <s v="Medium"/>
  </r>
  <r>
    <s v="00-40824989"/>
    <s v="Anna"/>
    <s v="Cox"/>
    <s v="Male"/>
    <s v="Pennsylvania"/>
    <s v="Allentown"/>
    <s v="High School"/>
    <d v="2003-10-11T00:00:00"/>
    <d v="2017-04-23T00:00:00"/>
    <d v="2021-11-22T00:00:00"/>
    <x v="0"/>
    <s v="Support Specialist"/>
    <n v="53419"/>
    <s v="Needs Improvement"/>
    <n v="0.49315068493150682"/>
    <s v="Terminated"/>
    <x v="26"/>
    <s v="Low"/>
  </r>
  <r>
    <s v="00-46997080"/>
    <s v="Charles"/>
    <s v="Gordon"/>
    <s v="Male"/>
    <s v="New York"/>
    <s v="New York City"/>
    <s v="High School"/>
    <d v="1963-02-14T00:00:00"/>
    <d v="2017-10-24T00:00:00"/>
    <d v="2023-10-23T00:00:00"/>
    <x v="2"/>
    <s v="Inventory Specialist"/>
    <n v="54923"/>
    <s v="Excellent"/>
    <n v="0.49315068493150682"/>
    <s v="Terminated"/>
    <x v="13"/>
    <s v="Low"/>
  </r>
  <r>
    <s v="00-92533595"/>
    <s v="Erin"/>
    <s v="Wilson"/>
    <s v="Female"/>
    <s v="New York"/>
    <s v="New York City"/>
    <s v="Bachelor"/>
    <d v="1981-01-09T00:00:00"/>
    <d v="2022-02-07T00:00:00"/>
    <d v="2022-10-28T00:00:00"/>
    <x v="2"/>
    <s v="Logistics Coordinator"/>
    <n v="57130"/>
    <s v="Good"/>
    <n v="0.49315068493150682"/>
    <s v="Active"/>
    <x v="3"/>
    <s v="Low"/>
  </r>
  <r>
    <s v="00-69920305"/>
    <s v="Angela"/>
    <s v="Diaz"/>
    <s v="Male"/>
    <s v="New York"/>
    <s v="New York City"/>
    <s v="Bachelor"/>
    <d v="1989-05-09T00:00:00"/>
    <d v="2020-02-26T00:00:00"/>
    <d v="2021-04-27T00:00:00"/>
    <x v="6"/>
    <s v="Sales Representative"/>
    <n v="79304"/>
    <s v="Satisfactory"/>
    <n v="0.49315068493150682"/>
    <s v="Active"/>
    <x v="35"/>
    <s v="Medium"/>
  </r>
  <r>
    <s v="00-16533225"/>
    <s v="James"/>
    <s v="Hicks"/>
    <s v="Female"/>
    <s v="Michigan"/>
    <s v="Grand Rapids"/>
    <s v="Bachelor"/>
    <d v="1972-10-29T00:00:00"/>
    <d v="2017-07-14T00:00:00"/>
    <d v="2018-01-10T00:00:00"/>
    <x v="4"/>
    <s v="Content Creator"/>
    <n v="58058"/>
    <s v="Good"/>
    <n v="1.912328767123288"/>
    <s v="Terminated"/>
    <x v="36"/>
    <s v="Low"/>
  </r>
  <r>
    <s v="00-68916591"/>
    <s v="Billy"/>
    <s v="Williams"/>
    <s v="Male"/>
    <s v="New York"/>
    <s v="New York City"/>
    <s v="Bachelor"/>
    <d v="1986-10-20T00:00:00"/>
    <d v="2017-10-05T00:00:00"/>
    <d v="2020-12-17T00:00:00"/>
    <x v="4"/>
    <s v="Content Creator"/>
    <n v="63949"/>
    <s v="Good"/>
    <n v="0.49315068493150682"/>
    <s v="Active"/>
    <x v="28"/>
    <s v="Medium"/>
  </r>
  <r>
    <s v="00-17575790"/>
    <s v="Mason"/>
    <s v="Wells"/>
    <s v="Male"/>
    <s v="New York"/>
    <s v="New York City"/>
    <s v="High School"/>
    <d v="1980-01-14T00:00:00"/>
    <d v="2017-06-27T00:00:00"/>
    <d v="2018-09-11T00:00:00"/>
    <x v="2"/>
    <s v="Inventory Specialist"/>
    <n v="61782"/>
    <s v="Needs Improvement"/>
    <n v="1.802739726027397"/>
    <s v="Terminated"/>
    <x v="0"/>
    <s v="Medium"/>
  </r>
  <r>
    <s v="00-87324220"/>
    <s v="Eduardo"/>
    <s v="Barry"/>
    <s v="Male"/>
    <s v="Michigan"/>
    <s v="Detroit"/>
    <s v="Bachelor"/>
    <d v="1967-08-14T00:00:00"/>
    <d v="2018-02-24T00:00:00"/>
    <d v="2018-08-23T00:00:00"/>
    <x v="6"/>
    <s v="Sales Specialist"/>
    <n v="76023"/>
    <s v="Good"/>
    <n v="0.49315068493150682"/>
    <s v="Active"/>
    <x v="10"/>
    <s v="Medium"/>
  </r>
  <r>
    <s v="00-53038943"/>
    <s v="Mark"/>
    <s v="Austin"/>
    <s v="Female"/>
    <s v="New York"/>
    <s v="New York City"/>
    <s v="Master"/>
    <d v="1973-11-25T00:00:00"/>
    <d v="2017-03-05T00:00:00"/>
    <d v="2021-07-19T00:00:00"/>
    <x v="2"/>
    <s v="Operations Analyst"/>
    <n v="82239"/>
    <s v="Excellent"/>
    <n v="1.671232876712329"/>
    <s v="Terminated"/>
    <x v="15"/>
    <s v="Medium"/>
  </r>
  <r>
    <s v="00-79961132"/>
    <s v="Phillip"/>
    <s v="Jensen"/>
    <s v="Male"/>
    <s v="New York"/>
    <s v="New York City"/>
    <s v="Bachelor"/>
    <d v="2002-04-23T00:00:00"/>
    <d v="2017-11-24T00:00:00"/>
    <d v="2021-02-24T00:00:00"/>
    <x v="2"/>
    <s v="Logistics Coordinator"/>
    <n v="63634"/>
    <s v="Good"/>
    <n v="0.49315068493150682"/>
    <s v="Active"/>
    <x v="7"/>
    <s v="Medium"/>
  </r>
  <r>
    <s v="00-18181595"/>
    <s v="Kevin"/>
    <s v="Rogers"/>
    <s v="Male"/>
    <s v="Michigan"/>
    <s v="Detroit"/>
    <s v="Bachelor"/>
    <d v="1961-04-13T00:00:00"/>
    <d v="2020-11-17T00:00:00"/>
    <d v="2021-05-16T00:00:00"/>
    <x v="6"/>
    <s v="Sales Representative"/>
    <n v="79328"/>
    <s v="Satisfactory"/>
    <n v="2.3698630136986298"/>
    <s v="Terminated"/>
    <x v="43"/>
    <s v="Medium"/>
  </r>
  <r>
    <s v="00-33505978"/>
    <s v="William"/>
    <s v="Burns"/>
    <s v="Male"/>
    <s v="New York"/>
    <s v="New York City"/>
    <s v="Bachelor"/>
    <d v="1969-05-26T00:00:00"/>
    <d v="2021-08-07T00:00:00"/>
    <d v="2023-05-07T00:00:00"/>
    <x v="2"/>
    <s v="Inventory Specialist"/>
    <n v="70361"/>
    <s v="Satisfactory"/>
    <n v="3.7260273972602742"/>
    <s v="Active"/>
    <x v="23"/>
    <s v="Medium"/>
  </r>
  <r>
    <s v="00-76521096"/>
    <s v="Kevin"/>
    <s v="Cabrera"/>
    <s v="Female"/>
    <s v="Michigan"/>
    <s v="Detroit"/>
    <s v="Bachelor"/>
    <d v="1987-10-25T00:00:00"/>
    <d v="2015-05-24T00:00:00"/>
    <d v="2024-10-19T00:00:00"/>
    <x v="1"/>
    <s v="IT Support Specialist"/>
    <n v="61939"/>
    <s v="Satisfactory"/>
    <n v="2.6602739726027398"/>
    <s v="Active"/>
    <x v="1"/>
    <s v="Medium"/>
  </r>
  <r>
    <s v="00-61157708"/>
    <s v="Mark"/>
    <s v="Rodriguez"/>
    <s v="Female"/>
    <s v="New York"/>
    <s v="New York City"/>
    <s v="PhD"/>
    <d v="1970-08-18T00:00:00"/>
    <d v="2023-06-11T00:00:00"/>
    <d v="2023-12-08T00:00:00"/>
    <x v="3"/>
    <s v="Financial Analyst"/>
    <n v="105567"/>
    <s v="Excellent"/>
    <n v="2.257534246575343"/>
    <s v="Terminated"/>
    <x v="21"/>
    <s v="High"/>
  </r>
  <r>
    <s v="00-65878146"/>
    <s v="Brandy"/>
    <s v="Robles"/>
    <s v="Female"/>
    <s v="New York"/>
    <s v="New York City"/>
    <s v="Bachelor"/>
    <d v="1993-07-13T00:00:00"/>
    <d v="2019-10-09T00:00:00"/>
    <d v="2021-11-24T00:00:00"/>
    <x v="6"/>
    <s v="Sales Representative"/>
    <n v="56716"/>
    <s v="Good"/>
    <n v="1.5287671232876709"/>
    <s v="Active"/>
    <x v="8"/>
    <s v="Low"/>
  </r>
  <r>
    <s v="00-34679818"/>
    <s v="Monica"/>
    <s v="Soto"/>
    <s v="Female"/>
    <s v="New York"/>
    <s v="New York City"/>
    <s v="Master"/>
    <d v="1991-04-08T00:00:00"/>
    <d v="2022-08-20T00:00:00"/>
    <d v="2023-02-16T00:00:00"/>
    <x v="1"/>
    <s v="Software Developer"/>
    <n v="99379"/>
    <s v="Excellent"/>
    <n v="0.49315068493150682"/>
    <s v="Active"/>
    <x v="16"/>
    <s v="Medium"/>
  </r>
  <r>
    <s v="00-40245233"/>
    <s v="Thomas"/>
    <s v="Coffey"/>
    <s v="Male"/>
    <s v="New York"/>
    <s v="New York City"/>
    <s v="Bachelor"/>
    <d v="1995-10-09T00:00:00"/>
    <d v="2018-11-01T00:00:00"/>
    <d v="2019-04-30T00:00:00"/>
    <x v="0"/>
    <s v="Support Specialist"/>
    <n v="60496"/>
    <s v="Good"/>
    <n v="0.49315068493150682"/>
    <s v="Active"/>
    <x v="6"/>
    <s v="Medium"/>
  </r>
  <r>
    <s v="00-72146184"/>
    <s v="Teresa"/>
    <s v="Lane"/>
    <s v="Male"/>
    <s v="New York"/>
    <s v="New York City"/>
    <s v="Master"/>
    <d v="1970-03-12T00:00:00"/>
    <d v="2024-03-29T00:00:00"/>
    <d v="2024-09-25T00:00:00"/>
    <x v="1"/>
    <s v="System Administrator"/>
    <n v="87672"/>
    <s v="Excellent"/>
    <n v="1.2438356164383559"/>
    <s v="Terminated"/>
    <x v="23"/>
    <s v="Medium"/>
  </r>
  <r>
    <s v="00-65902739"/>
    <s v="Jennifer"/>
    <s v="Silva"/>
    <s v="Male"/>
    <s v="New York"/>
    <s v="New York City"/>
    <s v="Bachelor"/>
    <d v="1985-06-06T00:00:00"/>
    <d v="2020-03-07T00:00:00"/>
    <d v="2024-03-05T00:00:00"/>
    <x v="6"/>
    <s v="Sales Representative"/>
    <n v="67869"/>
    <s v="Good"/>
    <n v="0.49315068493150682"/>
    <s v="Active"/>
    <x v="38"/>
    <s v="Medium"/>
  </r>
  <r>
    <s v="00-42595918"/>
    <s v="Alexandria"/>
    <s v="Griffith"/>
    <s v="Male"/>
    <s v="New York"/>
    <s v="New York City"/>
    <s v="Bachelor"/>
    <d v="1988-08-16T00:00:00"/>
    <d v="2017-10-28T00:00:00"/>
    <d v="2020-08-26T00:00:00"/>
    <x v="2"/>
    <s v="Logistics Coordinator"/>
    <n v="66072"/>
    <s v="Excellent"/>
    <n v="0.49315068493150682"/>
    <s v="Terminated"/>
    <x v="4"/>
    <s v="Medium"/>
  </r>
  <r>
    <s v="00-20612653"/>
    <s v="Maureen"/>
    <s v="Hernandez"/>
    <s v="Female"/>
    <s v="New York"/>
    <s v="New York City"/>
    <s v="High School"/>
    <d v="1982-07-11T00:00:00"/>
    <d v="2018-09-21T00:00:00"/>
    <d v="2019-03-20T00:00:00"/>
    <x v="4"/>
    <s v="SEO Specialist"/>
    <n v="82068"/>
    <s v="Needs Improvement"/>
    <n v="1.9643835616438361"/>
    <s v="Terminated"/>
    <x v="19"/>
    <s v="Medium"/>
  </r>
  <r>
    <s v="00-81891784"/>
    <s v="John"/>
    <s v="Armstrong"/>
    <s v="Male"/>
    <s v="New York"/>
    <s v="New York City"/>
    <s v="Master"/>
    <d v="1998-04-15T00:00:00"/>
    <d v="2022-09-30T00:00:00"/>
    <d v="2023-03-29T00:00:00"/>
    <x v="5"/>
    <s v="HR Coordinator"/>
    <n v="55146"/>
    <s v="Excellent"/>
    <n v="3.4164383561643841"/>
    <s v="Active"/>
    <x v="31"/>
    <s v="Low"/>
  </r>
  <r>
    <s v="00-46032304"/>
    <s v="Daniel"/>
    <s v="Smith"/>
    <s v="Female"/>
    <s v="New York"/>
    <s v="New York City"/>
    <s v="Bachelor"/>
    <d v="1972-08-22T00:00:00"/>
    <d v="2018-05-02T00:00:00"/>
    <d v="2022-06-18T00:00:00"/>
    <x v="2"/>
    <s v="Logistics Coordinator"/>
    <n v="58529"/>
    <s v="Good"/>
    <n v="5.3095890410958901"/>
    <s v="Active"/>
    <x v="36"/>
    <s v="Low"/>
  </r>
  <r>
    <s v="00-15307982"/>
    <s v="Robert"/>
    <s v="Gutierrez"/>
    <s v="Male"/>
    <s v="New York"/>
    <s v="New York City"/>
    <s v="High School"/>
    <d v="1991-01-07T00:00:00"/>
    <d v="2017-03-21T00:00:00"/>
    <d v="2018-12-22T00:00:00"/>
    <x v="2"/>
    <s v="Inventory Specialist"/>
    <n v="59202"/>
    <s v="Needs Improvement"/>
    <n v="5.2602739726027394"/>
    <s v="Active"/>
    <x v="16"/>
    <s v="Low"/>
  </r>
  <r>
    <s v="00-88864147"/>
    <s v="Robert"/>
    <s v="Hampton"/>
    <s v="Male"/>
    <s v="New York"/>
    <s v="New York City"/>
    <s v="High School"/>
    <d v="1988-07-24T00:00:00"/>
    <d v="2022-12-24T00:00:00"/>
    <d v="2023-07-21T00:00:00"/>
    <x v="0"/>
    <s v="Customer Service Representative"/>
    <n v="59013"/>
    <s v="Needs Improvement"/>
    <n v="0.49315068493150682"/>
    <s v="Terminated"/>
    <x v="4"/>
    <s v="Low"/>
  </r>
  <r>
    <s v="00-74343201"/>
    <s v="Thomas"/>
    <s v="Charles"/>
    <s v="Female"/>
    <s v="New York"/>
    <s v="New York City"/>
    <s v="Bachelor"/>
    <d v="1971-12-05T00:00:00"/>
    <d v="2017-10-10T00:00:00"/>
    <d v="2024-01-25T00:00:00"/>
    <x v="0"/>
    <s v="Support Specialist"/>
    <n v="63118"/>
    <s v="Good"/>
    <n v="0.49315068493150682"/>
    <s v="Active"/>
    <x v="24"/>
    <s v="Medium"/>
  </r>
  <r>
    <s v="00-12058055"/>
    <s v="Bryan"/>
    <s v="Taylor"/>
    <s v="Female"/>
    <s v="New York"/>
    <s v="New York City"/>
    <s v="Bachelor"/>
    <d v="1975-06-11T00:00:00"/>
    <d v="2017-03-22T00:00:00"/>
    <d v="2019-04-23T00:00:00"/>
    <x v="2"/>
    <s v="Logistics Coordinator"/>
    <n v="55963"/>
    <s v="Needs Improvement"/>
    <n v="0.49315068493150682"/>
    <s v="Terminated"/>
    <x v="33"/>
    <s v="Low"/>
  </r>
  <r>
    <s v="00-25745913"/>
    <s v="Ann"/>
    <s v="Bolton"/>
    <s v="Female"/>
    <s v="New York"/>
    <s v="New York City"/>
    <s v="Master"/>
    <d v="2001-09-19T00:00:00"/>
    <d v="2022-07-05T00:00:00"/>
    <d v="2023-01-01T00:00:00"/>
    <x v="6"/>
    <s v="Sales Consultant"/>
    <n v="96838"/>
    <s v="Excellent"/>
    <n v="0.49315068493150682"/>
    <s v="Terminated"/>
    <x v="11"/>
    <s v="Medium"/>
  </r>
  <r>
    <s v="00-91121400"/>
    <s v="Alicia"/>
    <s v="Edwards"/>
    <s v="Male"/>
    <s v="New York"/>
    <s v="New York City"/>
    <s v="High School"/>
    <d v="1980-12-17T00:00:00"/>
    <d v="2022-03-09T00:00:00"/>
    <d v="2022-09-05T00:00:00"/>
    <x v="0"/>
    <s v="Support Specialist"/>
    <n v="58081"/>
    <s v="Needs Improvement"/>
    <n v="4.5863013698630137"/>
    <s v="Terminated"/>
    <x v="3"/>
    <s v="Low"/>
  </r>
  <r>
    <s v="00-84098828"/>
    <s v="Steve"/>
    <s v="Patel"/>
    <s v="Male"/>
    <s v="Michigan"/>
    <s v="Detroit"/>
    <s v="High School"/>
    <d v="2004-03-23T00:00:00"/>
    <d v="2018-08-01T00:00:00"/>
    <d v="2023-12-13T00:00:00"/>
    <x v="0"/>
    <s v="Customer Service Representative"/>
    <n v="59674"/>
    <s v="Needs Improvement"/>
    <n v="6"/>
    <s v="Terminated"/>
    <x v="26"/>
    <s v="Low"/>
  </r>
  <r>
    <s v="00-72579077"/>
    <s v="Michael"/>
    <s v="Ingram"/>
    <s v="Female"/>
    <s v="New York"/>
    <s v="New York City"/>
    <s v="PhD"/>
    <d v="1989-05-24T00:00:00"/>
    <d v="2020-10-06T00:00:00"/>
    <d v="2021-09-06T00:00:00"/>
    <x v="3"/>
    <s v="Financial Analyst"/>
    <n v="98661"/>
    <s v="Excellent"/>
    <n v="9.6136986301369856"/>
    <s v="Active"/>
    <x v="35"/>
    <s v="Medium"/>
  </r>
  <r>
    <s v="00-45106207"/>
    <s v="Erin"/>
    <s v="Lara"/>
    <s v="Male"/>
    <s v="New York"/>
    <s v="New York City"/>
    <s v="Bachelor"/>
    <d v="1986-04-08T00:00:00"/>
    <d v="2018-04-13T00:00:00"/>
    <d v="2019-10-04T00:00:00"/>
    <x v="1"/>
    <s v="IT Support Specialist"/>
    <n v="67673"/>
    <s v="Needs Improvement"/>
    <n v="0.72054794520547949"/>
    <s v="Terminated"/>
    <x v="38"/>
    <s v="Medium"/>
  </r>
  <r>
    <s v="00-23234972"/>
    <s v="Chelsea"/>
    <s v="Lee"/>
    <s v="Male"/>
    <s v="New York"/>
    <s v="New York City"/>
    <s v="Bachelor"/>
    <d v="2001-10-11T00:00:00"/>
    <d v="2023-04-06T00:00:00"/>
    <d v="2023-10-03T00:00:00"/>
    <x v="1"/>
    <s v="System Administrator"/>
    <n v="93212"/>
    <s v="Needs Improvement"/>
    <n v="8.9178082191780828"/>
    <s v="Active"/>
    <x v="11"/>
    <s v="Medium"/>
  </r>
  <r>
    <s v="00-52980983"/>
    <s v="Joshua"/>
    <s v="Evans"/>
    <s v="Male"/>
    <s v="New York"/>
    <s v="New York City"/>
    <s v="Bachelor"/>
    <d v="1960-05-27T00:00:00"/>
    <d v="2024-04-25T00:00:00"/>
    <d v="2024-10-22T00:00:00"/>
    <x v="1"/>
    <s v="Software Developer"/>
    <n v="95680"/>
    <s v="Satisfactory"/>
    <n v="1.167123287671233"/>
    <s v="Terminated"/>
    <x v="20"/>
    <s v="Medium"/>
  </r>
  <r>
    <s v="00-65556767"/>
    <s v="Kellie"/>
    <s v="Bush"/>
    <s v="Male"/>
    <s v="New York"/>
    <s v="New York City"/>
    <s v="Bachelor"/>
    <d v="2000-08-04T00:00:00"/>
    <d v="2015-09-26T00:00:00"/>
    <d v="2024-06-29T00:00:00"/>
    <x v="1"/>
    <s v="System Administrator"/>
    <n v="89228"/>
    <s v="Excellent"/>
    <n v="0.49315068493150682"/>
    <s v="Active"/>
    <x v="37"/>
    <s v="Medium"/>
  </r>
  <r>
    <s v="00-29585415"/>
    <s v="Janet"/>
    <s v="Stewart"/>
    <s v="Male"/>
    <s v="Michigan"/>
    <s v="Grand Rapids"/>
    <s v="Bachelor"/>
    <d v="1998-07-22T00:00:00"/>
    <d v="2015-05-16T00:00:00"/>
    <d v="2019-03-16T00:00:00"/>
    <x v="2"/>
    <s v="Logistics Coordinator"/>
    <n v="63362"/>
    <s v="Good"/>
    <n v="3.2027397260273971"/>
    <s v="Terminated"/>
    <x v="31"/>
    <s v="Medium"/>
  </r>
  <r>
    <s v="00-87731247"/>
    <s v="Ann"/>
    <s v="Michael"/>
    <s v="Male"/>
    <s v="New York"/>
    <s v="New York City"/>
    <s v="PhD"/>
    <d v="1967-06-11T00:00:00"/>
    <d v="2022-10-08T00:00:00"/>
    <d v="2023-04-06T00:00:00"/>
    <x v="6"/>
    <s v="Sales Consultant"/>
    <n v="94222"/>
    <s v="Excellent"/>
    <n v="1.208219178082192"/>
    <s v="Active"/>
    <x v="10"/>
    <s v="Medium"/>
  </r>
  <r>
    <s v="00-36332415"/>
    <s v="Joshua"/>
    <s v="Martinez"/>
    <s v="Male"/>
    <s v="Virginia"/>
    <s v="Norfolk"/>
    <s v="High School"/>
    <d v="1988-11-03T00:00:00"/>
    <d v="2018-09-20T00:00:00"/>
    <d v="2019-03-19T00:00:00"/>
    <x v="2"/>
    <s v="Inventory Specialist"/>
    <n v="64384"/>
    <s v="Needs Improvement"/>
    <n v="0.49315068493150682"/>
    <s v="Terminated"/>
    <x v="4"/>
    <s v="Medium"/>
  </r>
  <r>
    <s v="00-42981324"/>
    <s v="Amy"/>
    <s v="Huang"/>
    <s v="Male"/>
    <s v="Michigan"/>
    <s v="Grand Rapids"/>
    <s v="Bachelor"/>
    <d v="2001-06-30T00:00:00"/>
    <d v="2020-06-02T00:00:00"/>
    <d v="2020-11-29T00:00:00"/>
    <x v="1"/>
    <s v="Software Developer"/>
    <n v="93626"/>
    <s v="Excellent"/>
    <n v="4.375342465753425"/>
    <s v="Active"/>
    <x v="11"/>
    <s v="Medium"/>
  </r>
  <r>
    <s v="00-55307111"/>
    <s v="Loretta"/>
    <s v="Blevins"/>
    <s v="Male"/>
    <s v="New York"/>
    <s v="New York City"/>
    <s v="Bachelor"/>
    <d v="1973-02-09T00:00:00"/>
    <d v="2017-11-09T00:00:00"/>
    <d v="2021-10-15T00:00:00"/>
    <x v="2"/>
    <s v="Logistics Coordinator"/>
    <n v="68912"/>
    <s v="Satisfactory"/>
    <n v="3.2547945205479452"/>
    <s v="Terminated"/>
    <x v="36"/>
    <s v="Medium"/>
  </r>
  <r>
    <s v="00-96126771"/>
    <s v="Dwayne"/>
    <s v="Williams"/>
    <s v="Male"/>
    <s v="New York"/>
    <s v="New York City"/>
    <s v="High School"/>
    <d v="1978-01-07T00:00:00"/>
    <d v="2022-10-05T00:00:00"/>
    <d v="2023-04-03T00:00:00"/>
    <x v="2"/>
    <s v="Inventory Specialist"/>
    <n v="61186"/>
    <s v="Needs Improvement"/>
    <n v="0.49315068493150682"/>
    <s v="Active"/>
    <x v="18"/>
    <s v="Medium"/>
  </r>
  <r>
    <s v="00-57268285"/>
    <s v="Christian"/>
    <s v="Bradshaw"/>
    <s v="Male"/>
    <s v="New York"/>
    <s v="New York City"/>
    <s v="Bachelor"/>
    <d v="1981-06-12T00:00:00"/>
    <d v="2017-09-12T00:00:00"/>
    <d v="2020-09-19T00:00:00"/>
    <x v="6"/>
    <s v="Sales Representative"/>
    <n v="75082"/>
    <s v="Good"/>
    <n v="1.747945205479452"/>
    <s v="Terminated"/>
    <x v="25"/>
    <s v="Medium"/>
  </r>
  <r>
    <s v="00-75540707"/>
    <s v="Jonathan"/>
    <s v="Mendoza"/>
    <s v="Male"/>
    <s v="Michigan"/>
    <s v="Warren"/>
    <s v="High School"/>
    <d v="1989-07-05T00:00:00"/>
    <d v="2017-03-20T00:00:00"/>
    <d v="2019-07-23T00:00:00"/>
    <x v="2"/>
    <s v="Inventory Specialist"/>
    <n v="57702"/>
    <s v="Needs Improvement"/>
    <n v="9.4136986301369863"/>
    <s v="Active"/>
    <x v="35"/>
    <s v="Low"/>
  </r>
  <r>
    <s v="00-17882882"/>
    <s v="Maria"/>
    <s v="Nelson"/>
    <s v="Female"/>
    <s v="New York"/>
    <s v="New York City"/>
    <s v="Bachelor"/>
    <d v="1984-01-03T00:00:00"/>
    <d v="2020-08-06T00:00:00"/>
    <d v="2021-02-02T00:00:00"/>
    <x v="2"/>
    <s v="Logistics Coordinator"/>
    <n v="56487"/>
    <s v="Good"/>
    <n v="0.49315068493150682"/>
    <s v="Active"/>
    <x v="22"/>
    <s v="Low"/>
  </r>
  <r>
    <s v="00-99686372"/>
    <s v="Heather"/>
    <s v="Taylor"/>
    <s v="Female"/>
    <s v="New York"/>
    <s v="New York City"/>
    <s v="Bachelor"/>
    <d v="1975-08-25T00:00:00"/>
    <d v="2015-08-28T00:00:00"/>
    <d v="2021-11-30T00:00:00"/>
    <x v="4"/>
    <s v="Marketing Coordinator"/>
    <n v="74502"/>
    <s v="Good"/>
    <n v="2.128767123287671"/>
    <s v="Terminated"/>
    <x v="33"/>
    <s v="Medium"/>
  </r>
  <r>
    <s v="00-28453800"/>
    <s v="Joyce"/>
    <s v="Allen"/>
    <s v="Female"/>
    <s v="New York"/>
    <s v="New York City"/>
    <s v="Master"/>
    <d v="1974-01-29T00:00:00"/>
    <d v="2023-01-20T00:00:00"/>
    <d v="2023-07-19T00:00:00"/>
    <x v="1"/>
    <s v="Software Developer"/>
    <n v="100558"/>
    <s v="Excellent"/>
    <n v="0.49315068493150682"/>
    <s v="Active"/>
    <x v="15"/>
    <s v="High"/>
  </r>
  <r>
    <s v="00-30270856"/>
    <s v="Elizabeth"/>
    <s v="Schmidt"/>
    <s v="Female"/>
    <s v="New York"/>
    <s v="New York City"/>
    <s v="Bachelor"/>
    <d v="1984-08-27T00:00:00"/>
    <d v="2015-09-05T00:00:00"/>
    <d v="2018-10-07T00:00:00"/>
    <x v="1"/>
    <s v="Software Developer"/>
    <n v="85918"/>
    <s v="Good"/>
    <n v="0.49315068493150682"/>
    <s v="Terminated"/>
    <x v="27"/>
    <s v="Medium"/>
  </r>
  <r>
    <s v="00-60090149"/>
    <s v="Jesse"/>
    <s v="Garcia"/>
    <s v="Female"/>
    <s v="New York"/>
    <s v="New York City"/>
    <s v="Bachelor"/>
    <d v="1970-08-15T00:00:00"/>
    <d v="2016-05-08T00:00:00"/>
    <d v="2019-05-13T00:00:00"/>
    <x v="0"/>
    <s v="Help Desk Technician"/>
    <n v="88835"/>
    <s v="Good"/>
    <n v="0.49315068493150682"/>
    <s v="Active"/>
    <x v="21"/>
    <s v="Medium"/>
  </r>
  <r>
    <s v="00-92747827"/>
    <s v="Jennifer"/>
    <s v="Garcia"/>
    <s v="Female"/>
    <s v="New York"/>
    <s v="New York City"/>
    <s v="Bachelor"/>
    <d v="1987-10-17T00:00:00"/>
    <d v="2018-10-26T00:00:00"/>
    <d v="2019-04-24T00:00:00"/>
    <x v="6"/>
    <s v="Sales Specialist"/>
    <n v="62944"/>
    <s v="Good"/>
    <n v="3.9972602739726031"/>
    <s v="Terminated"/>
    <x v="1"/>
    <s v="Medium"/>
  </r>
  <r>
    <s v="00-12111482"/>
    <s v="Derrick"/>
    <s v="Oconnell"/>
    <s v="Male"/>
    <s v="New York"/>
    <s v="New York City"/>
    <s v="Bachelor"/>
    <d v="1964-01-20T00:00:00"/>
    <d v="2015-12-27T00:00:00"/>
    <d v="2022-10-22T00:00:00"/>
    <x v="2"/>
    <s v="Operations Analyst"/>
    <n v="91666"/>
    <s v="Satisfactory"/>
    <n v="2.8301369863013699"/>
    <s v="Terminated"/>
    <x v="12"/>
    <s v="Medium"/>
  </r>
  <r>
    <s v="00-11590610"/>
    <s v="Eric"/>
    <s v="Delgado"/>
    <s v="Female"/>
    <s v="New York"/>
    <s v="New York City"/>
    <s v="Bachelor"/>
    <d v="1986-08-20T00:00:00"/>
    <d v="2015-12-09T00:00:00"/>
    <d v="2019-08-28T00:00:00"/>
    <x v="6"/>
    <s v="Sales Representative"/>
    <n v="61011"/>
    <s v="Satisfactory"/>
    <n v="0.49315068493150682"/>
    <s v="Active"/>
    <x v="28"/>
    <s v="Medium"/>
  </r>
  <r>
    <s v="00-81905550"/>
    <s v="Natalie"/>
    <s v="Woods"/>
    <s v="Female"/>
    <s v="New York"/>
    <s v="New York City"/>
    <s v="Master"/>
    <d v="1975-12-01T00:00:00"/>
    <d v="2024-03-18T00:00:00"/>
    <d v="2024-09-14T00:00:00"/>
    <x v="1"/>
    <s v="Software Developer"/>
    <n v="109779"/>
    <s v="Good"/>
    <n v="0.49315068493150682"/>
    <s v="Terminated"/>
    <x v="33"/>
    <s v="High"/>
  </r>
  <r>
    <s v="00-67790557"/>
    <s v="Katelyn"/>
    <s v="Mitchell"/>
    <s v="Female"/>
    <s v="Virginia"/>
    <s v="Richmond"/>
    <s v="High School"/>
    <d v="1985-01-14T00:00:00"/>
    <d v="2023-04-21T00:00:00"/>
    <d v="2023-10-18T00:00:00"/>
    <x v="0"/>
    <s v="Support Specialist"/>
    <n v="54788"/>
    <s v="Needs Improvement"/>
    <n v="4.1315068493150688"/>
    <s v="Active"/>
    <x v="27"/>
    <s v="Low"/>
  </r>
  <r>
    <s v="00-22927031"/>
    <s v="Debbie"/>
    <s v="Velez"/>
    <s v="Female"/>
    <s v="New York"/>
    <s v="New York City"/>
    <s v="Bachelor"/>
    <d v="1980-11-30T00:00:00"/>
    <d v="2020-02-04T00:00:00"/>
    <d v="2020-08-02T00:00:00"/>
    <x v="0"/>
    <s v="Support Specialist"/>
    <n v="58562"/>
    <s v="Good"/>
    <n v="1.7561643835616441"/>
    <s v="Active"/>
    <x v="3"/>
    <s v="Low"/>
  </r>
  <r>
    <s v="00-93185576"/>
    <s v="Denise"/>
    <s v="Hall"/>
    <s v="Female"/>
    <s v="Michigan"/>
    <s v="Grand Rapids"/>
    <s v="Master"/>
    <d v="2002-06-26T00:00:00"/>
    <d v="2020-10-13T00:00:00"/>
    <d v="2021-04-11T00:00:00"/>
    <x v="2"/>
    <s v="Operations Analyst"/>
    <n v="88719"/>
    <s v="Excellent"/>
    <n v="0.57260273972602738"/>
    <s v="Terminated"/>
    <x v="7"/>
    <s v="Medium"/>
  </r>
  <r>
    <s v="00-63270536"/>
    <s v="Jennifer"/>
    <s v="Zuniga"/>
    <s v="Male"/>
    <s v="New York"/>
    <s v="New York City"/>
    <s v="Bachelor"/>
    <d v="1995-01-14T00:00:00"/>
    <d v="2016-12-20T00:00:00"/>
    <d v="2021-12-31T00:00:00"/>
    <x v="0"/>
    <s v="Help Desk Technician"/>
    <n v="70388"/>
    <s v="Good"/>
    <n v="6.2958904109589042"/>
    <s v="Active"/>
    <x v="2"/>
    <s v="Medium"/>
  </r>
  <r>
    <s v="00-85833309"/>
    <s v="Sandra"/>
    <s v="Butler"/>
    <s v="Male"/>
    <s v="New York"/>
    <s v="New York City"/>
    <s v="High School"/>
    <d v="1993-06-17T00:00:00"/>
    <d v="2017-11-22T00:00:00"/>
    <d v="2024-10-18T00:00:00"/>
    <x v="1"/>
    <s v="IT Support Specialist"/>
    <n v="63808"/>
    <s v="Needs Improvement"/>
    <n v="2.087671232876712"/>
    <s v="Terminated"/>
    <x v="8"/>
    <s v="Medium"/>
  </r>
  <r>
    <s v="00-50261914"/>
    <s v="Gregory"/>
    <s v="Gillespie"/>
    <s v="Female"/>
    <s v="New York"/>
    <s v="New York City"/>
    <s v="Bachelor"/>
    <d v="1986-05-26T00:00:00"/>
    <d v="2022-11-21T00:00:00"/>
    <d v="2023-05-20T00:00:00"/>
    <x v="2"/>
    <s v="Operations Analyst"/>
    <n v="57527"/>
    <s v="Needs Improvement"/>
    <n v="0.49315068493150682"/>
    <s v="Active"/>
    <x v="28"/>
    <s v="Low"/>
  </r>
  <r>
    <s v="00-97227356"/>
    <s v="Randy"/>
    <s v="Simpson"/>
    <s v="Female"/>
    <s v="New York"/>
    <s v="New York City"/>
    <s v="Master"/>
    <d v="1972-06-16T00:00:00"/>
    <d v="2022-12-30T00:00:00"/>
    <d v="2023-06-28T00:00:00"/>
    <x v="6"/>
    <s v="Sales Specialist"/>
    <n v="89227"/>
    <s v="Good"/>
    <n v="0.49315068493150682"/>
    <s v="Terminated"/>
    <x v="36"/>
    <s v="Medium"/>
  </r>
  <r>
    <s v="00-60903955"/>
    <s v="Kaitlyn"/>
    <s v="Brennan"/>
    <s v="Male"/>
    <s v="New York"/>
    <s v="New York City"/>
    <s v="Bachelor"/>
    <d v="1989-01-30T00:00:00"/>
    <d v="2018-04-23T00:00:00"/>
    <d v="2021-01-03T00:00:00"/>
    <x v="0"/>
    <s v="Help Desk Technician"/>
    <n v="77002"/>
    <s v="Good"/>
    <n v="5.3698630136986303"/>
    <s v="Active"/>
    <x v="4"/>
    <s v="Medium"/>
  </r>
  <r>
    <s v="00-95462880"/>
    <s v="Nancy"/>
    <s v="Smith"/>
    <s v="Male"/>
    <s v="New York"/>
    <s v="New York City"/>
    <s v="Master"/>
    <d v="1998-06-02T00:00:00"/>
    <d v="2015-08-09T00:00:00"/>
    <d v="2024-08-28T00:00:00"/>
    <x v="6"/>
    <s v="Sales Manager"/>
    <n v="105185"/>
    <s v="Excellent"/>
    <n v="0.9178082191780822"/>
    <s v="Terminated"/>
    <x v="31"/>
    <s v="High"/>
  </r>
  <r>
    <s v="00-77089857"/>
    <s v="Carrie"/>
    <s v="Hebert"/>
    <s v="Male"/>
    <s v="Ohio"/>
    <s v="Columbus"/>
    <s v="Bachelor"/>
    <d v="1993-08-04T00:00:00"/>
    <d v="2023-05-11T00:00:00"/>
    <d v="2023-11-07T00:00:00"/>
    <x v="1"/>
    <s v="Software Developer"/>
    <n v="109997"/>
    <s v="Needs Improvement"/>
    <n v="1.4767123287671231"/>
    <s v="Active"/>
    <x v="8"/>
    <s v="High"/>
  </r>
  <r>
    <s v="00-54462389"/>
    <s v="Justin"/>
    <s v="Hays"/>
    <s v="Female"/>
    <s v="New York"/>
    <s v="New York City"/>
    <s v="Bachelor"/>
    <d v="1992-02-24T00:00:00"/>
    <d v="2020-07-29T00:00:00"/>
    <d v="2021-01-25T00:00:00"/>
    <x v="3"/>
    <s v="Accountant"/>
    <n v="68701"/>
    <s v="Excellent"/>
    <n v="0.49315068493150682"/>
    <s v="Terminated"/>
    <x v="5"/>
    <s v="Medium"/>
  </r>
  <r>
    <s v="00-15711200"/>
    <s v="Alice"/>
    <s v="Small"/>
    <s v="Male"/>
    <s v="Michigan"/>
    <s v="Warren"/>
    <s v="PhD"/>
    <d v="1984-01-05T00:00:00"/>
    <d v="2017-02-22T00:00:00"/>
    <d v="2021-10-28T00:00:00"/>
    <x v="6"/>
    <s v="Sales Consultant"/>
    <n v="76460"/>
    <s v="Excellent"/>
    <n v="0.49315068493150682"/>
    <s v="Terminated"/>
    <x v="22"/>
    <s v="Medium"/>
  </r>
  <r>
    <s v="00-73820568"/>
    <s v="Melissa"/>
    <s v="Mcdonald"/>
    <s v="Male"/>
    <s v="New York"/>
    <s v="New York City"/>
    <s v="Bachelor"/>
    <d v="1980-01-31T00:00:00"/>
    <d v="2017-03-16T00:00:00"/>
    <d v="2018-05-26T00:00:00"/>
    <x v="0"/>
    <s v="Customer Service Representative"/>
    <n v="74179"/>
    <s v="Good"/>
    <n v="8.7643835616438359"/>
    <s v="Active"/>
    <x v="0"/>
    <s v="Medium"/>
  </r>
  <r>
    <s v="00-47631028"/>
    <s v="Lisa"/>
    <s v="Rivera"/>
    <s v="Male"/>
    <s v="New York"/>
    <s v="New York City"/>
    <s v="Bachelor"/>
    <d v="1979-10-04T00:00:00"/>
    <d v="2017-10-11T00:00:00"/>
    <d v="2018-11-11T00:00:00"/>
    <x v="6"/>
    <s v="Sales Representative"/>
    <n v="69336"/>
    <s v="Needs Improvement"/>
    <n v="3.8356164383561642"/>
    <s v="Terminated"/>
    <x v="0"/>
    <s v="Medium"/>
  </r>
  <r>
    <s v="00-14416002"/>
    <s v="Stephen"/>
    <s v="Scott"/>
    <s v="Male"/>
    <s v="Pennsylvania"/>
    <s v="Pittsburgh"/>
    <s v="Master"/>
    <d v="1983-11-08T00:00:00"/>
    <d v="2017-03-14T00:00:00"/>
    <d v="2023-10-26T00:00:00"/>
    <x v="6"/>
    <s v="Sales Specialist"/>
    <n v="55995"/>
    <s v="Excellent"/>
    <n v="0.49315068493150682"/>
    <s v="Active"/>
    <x v="22"/>
    <s v="Low"/>
  </r>
  <r>
    <s v="00-37804291"/>
    <s v="Alexis"/>
    <s v="Rogers"/>
    <s v="Male"/>
    <s v="New York"/>
    <s v="New York City"/>
    <s v="High School"/>
    <d v="2003-07-02T00:00:00"/>
    <d v="2020-04-24T00:00:00"/>
    <d v="2020-10-21T00:00:00"/>
    <x v="2"/>
    <s v="Inventory Specialist"/>
    <n v="55990"/>
    <s v="Needs Improvement"/>
    <n v="0.49315068493150682"/>
    <s v="Active"/>
    <x v="26"/>
    <s v="Low"/>
  </r>
  <r>
    <s v="00-63458386"/>
    <s v="Ashley"/>
    <s v="Todd"/>
    <s v="Male"/>
    <s v="New York"/>
    <s v="New York City"/>
    <s v="High School"/>
    <d v="1969-10-18T00:00:00"/>
    <d v="2024-03-09T00:00:00"/>
    <d v="2024-09-05T00:00:00"/>
    <x v="0"/>
    <s v="Help Desk Technician"/>
    <n v="65427"/>
    <s v="Needs Improvement"/>
    <n v="0.49315068493150682"/>
    <s v="Active"/>
    <x v="23"/>
    <s v="Medium"/>
  </r>
  <r>
    <s v="00-85693188"/>
    <s v="Cheryl"/>
    <s v="Fowler"/>
    <s v="Male"/>
    <s v="Michigan"/>
    <s v="Warren"/>
    <s v="Bachelor"/>
    <d v="2003-07-20T00:00:00"/>
    <d v="2017-06-07T00:00:00"/>
    <d v="2024-06-01T00:00:00"/>
    <x v="1"/>
    <s v="Software Developer"/>
    <n v="100742"/>
    <s v="Good"/>
    <n v="3.934246575342466"/>
    <s v="Active"/>
    <x v="26"/>
    <s v="High"/>
  </r>
  <r>
    <s v="00-82553061"/>
    <s v="Margaret"/>
    <s v="Robertson"/>
    <s v="Female"/>
    <s v="New York"/>
    <s v="New York City"/>
    <s v="Bachelor"/>
    <d v="1977-08-04T00:00:00"/>
    <d v="2018-02-03T00:00:00"/>
    <d v="2023-05-22T00:00:00"/>
    <x v="4"/>
    <s v="Marketing Coordinator"/>
    <n v="78014"/>
    <s v="Excellent"/>
    <n v="0.49315068493150682"/>
    <s v="Active"/>
    <x v="18"/>
    <s v="Medium"/>
  </r>
  <r>
    <s v="00-20526386"/>
    <s v="Richard"/>
    <s v="Davis"/>
    <s v="Female"/>
    <s v="New York"/>
    <s v="New York City"/>
    <s v="Bachelor"/>
    <d v="1985-04-16T00:00:00"/>
    <d v="2020-02-24T00:00:00"/>
    <d v="2020-08-22T00:00:00"/>
    <x v="0"/>
    <s v="Support Specialist"/>
    <n v="56682"/>
    <s v="Satisfactory"/>
    <n v="3.021917808219178"/>
    <s v="Active"/>
    <x v="38"/>
    <s v="Low"/>
  </r>
  <r>
    <s v="00-23111164"/>
    <s v="Thomas"/>
    <s v="Boyle"/>
    <s v="Female"/>
    <s v="New York"/>
    <s v="New York City"/>
    <s v="Bachelor"/>
    <d v="1973-10-04T00:00:00"/>
    <d v="2019-01-03T00:00:00"/>
    <d v="2019-07-02T00:00:00"/>
    <x v="0"/>
    <s v="Support Specialist"/>
    <n v="58722"/>
    <s v="Satisfactory"/>
    <n v="2.342465753424658"/>
    <s v="Active"/>
    <x v="15"/>
    <s v="Low"/>
  </r>
  <r>
    <s v="00-91224373"/>
    <s v="Jose"/>
    <s v="Young"/>
    <s v="Male"/>
    <s v="New York"/>
    <s v="New York City"/>
    <s v="Bachelor"/>
    <d v="1975-10-18T00:00:00"/>
    <d v="2022-10-20T00:00:00"/>
    <d v="2023-12-17T00:00:00"/>
    <x v="2"/>
    <s v="Inventory Specialist"/>
    <n v="63989"/>
    <s v="Satisfactory"/>
    <n v="0.49315068493150682"/>
    <s v="Active"/>
    <x v="33"/>
    <s v="Medium"/>
  </r>
  <r>
    <s v="00-53805532"/>
    <s v="Joseph"/>
    <s v="Rivera"/>
    <s v="Male"/>
    <s v="New York"/>
    <s v="New York City"/>
    <s v="High School"/>
    <d v="1986-02-26T00:00:00"/>
    <d v="2015-08-15T00:00:00"/>
    <d v="2016-02-11T00:00:00"/>
    <x v="4"/>
    <s v="Content Creator"/>
    <n v="67403"/>
    <s v="Needs Improvement"/>
    <n v="6.2630136986301368"/>
    <s v="Active"/>
    <x v="38"/>
    <s v="Medium"/>
  </r>
  <r>
    <s v="00-70471823"/>
    <s v="Jennifer"/>
    <s v="Smith"/>
    <s v="Male"/>
    <s v="New York"/>
    <s v="New York City"/>
    <s v="PhD"/>
    <d v="1965-02-27T00:00:00"/>
    <d v="2020-09-10T00:00:00"/>
    <d v="2021-03-09T00:00:00"/>
    <x v="3"/>
    <s v="Financial Analyst"/>
    <n v="80730"/>
    <s v="Excellent"/>
    <n v="0.49315068493150682"/>
    <s v="Active"/>
    <x v="44"/>
    <s v="Medium"/>
  </r>
  <r>
    <s v="00-60388958"/>
    <s v="Michael"/>
    <s v="Young"/>
    <s v="Male"/>
    <s v="New York"/>
    <s v="New York City"/>
    <s v="Master"/>
    <d v="1983-02-11T00:00:00"/>
    <d v="2019-09-17T00:00:00"/>
    <d v="2020-03-15T00:00:00"/>
    <x v="4"/>
    <s v="Marketing Manager"/>
    <n v="101400"/>
    <s v="Excellent"/>
    <n v="3.0904109589041102"/>
    <s v="Terminated"/>
    <x v="19"/>
    <s v="High"/>
  </r>
  <r>
    <s v="00-98673882"/>
    <s v="David"/>
    <s v="Parker"/>
    <s v="Female"/>
    <s v="Illinois"/>
    <s v="Chicago"/>
    <s v="Bachelor"/>
    <d v="1986-09-11T00:00:00"/>
    <d v="2018-06-07T00:00:00"/>
    <d v="2020-06-07T00:00:00"/>
    <x v="1"/>
    <s v="System Administrator"/>
    <n v="65937"/>
    <s v="Good"/>
    <n v="3.0136986301369859"/>
    <s v="Active"/>
    <x v="28"/>
    <s v="Medium"/>
  </r>
  <r>
    <s v="00-43077929"/>
    <s v="Gina"/>
    <s v="Leblanc"/>
    <s v="Female"/>
    <s v="New York"/>
    <s v="New York City"/>
    <s v="Bachelor"/>
    <d v="1993-02-20T00:00:00"/>
    <d v="2022-12-11T00:00:00"/>
    <d v="2023-06-09T00:00:00"/>
    <x v="4"/>
    <s v="Marketing Manager"/>
    <n v="88250"/>
    <s v="Good"/>
    <n v="0.49315068493150682"/>
    <s v="Terminated"/>
    <x v="17"/>
    <s v="Medium"/>
  </r>
  <r>
    <s v="00-30699187"/>
    <s v="Jade"/>
    <s v="Collins"/>
    <s v="Male"/>
    <s v="New York"/>
    <s v="New York City"/>
    <s v="Bachelor"/>
    <d v="1971-12-02T00:00:00"/>
    <d v="2018-02-15T00:00:00"/>
    <d v="2018-08-14T00:00:00"/>
    <x v="2"/>
    <s v="Logistics Coordinator"/>
    <n v="73636"/>
    <s v="Satisfactory"/>
    <n v="6.8246575342465752"/>
    <s v="Terminated"/>
    <x v="24"/>
    <s v="Medium"/>
  </r>
  <r>
    <s v="00-62294176"/>
    <s v="Danielle"/>
    <s v="Shepard"/>
    <s v="Male"/>
    <s v="Michigan"/>
    <s v="Grand Rapids"/>
    <s v="Bachelor"/>
    <d v="1986-06-18T00:00:00"/>
    <d v="2018-05-23T00:00:00"/>
    <d v="2021-01-23T00:00:00"/>
    <x v="6"/>
    <s v="Sales Representative"/>
    <n v="81468"/>
    <s v="Good"/>
    <n v="3.720547945205479"/>
    <s v="Terminated"/>
    <x v="28"/>
    <s v="Medium"/>
  </r>
  <r>
    <s v="00-10697290"/>
    <s v="Christina"/>
    <s v="Robinson"/>
    <s v="Female"/>
    <s v="Pennsylvania"/>
    <s v="Pittsburgh"/>
    <s v="Bachelor"/>
    <d v="1979-12-10T00:00:00"/>
    <d v="2024-02-21T00:00:00"/>
    <d v="2024-08-19T00:00:00"/>
    <x v="0"/>
    <s v="Customer Service Representative"/>
    <n v="55001"/>
    <s v="Good"/>
    <n v="0.49315068493150682"/>
    <s v="Active"/>
    <x v="0"/>
    <s v="Low"/>
  </r>
  <r>
    <s v="00-46207439"/>
    <s v="Timothy"/>
    <s v="Gibson"/>
    <s v="Female"/>
    <s v="New York"/>
    <s v="New York City"/>
    <s v="Bachelor"/>
    <d v="1988-03-07T00:00:00"/>
    <d v="2016-08-23T00:00:00"/>
    <d v="2024-07-25T00:00:00"/>
    <x v="4"/>
    <s v="Marketing Coordinator"/>
    <n v="75502"/>
    <s v="Good"/>
    <n v="0.49315068493150682"/>
    <s v="Terminated"/>
    <x v="1"/>
    <s v="Medium"/>
  </r>
  <r>
    <s v="00-67845091"/>
    <s v="Nathaniel"/>
    <s v="Miles"/>
    <s v="Female"/>
    <s v="New York"/>
    <s v="New York City"/>
    <s v="High School"/>
    <d v="1991-10-15T00:00:00"/>
    <d v="2019-12-21T00:00:00"/>
    <d v="2020-06-18T00:00:00"/>
    <x v="5"/>
    <s v="Recruiter"/>
    <n v="59234"/>
    <s v="Needs Improvement"/>
    <n v="0.49315068493150682"/>
    <s v="Active"/>
    <x v="5"/>
    <s v="Low"/>
  </r>
  <r>
    <s v="00-64766762"/>
    <s v="Thomas"/>
    <s v="Medina"/>
    <s v="Male"/>
    <s v="New York"/>
    <s v="New York City"/>
    <s v="Bachelor"/>
    <d v="1973-10-09T00:00:00"/>
    <d v="2016-09-14T00:00:00"/>
    <d v="2020-03-28T00:00:00"/>
    <x v="4"/>
    <s v="Marketing Coordinator"/>
    <n v="69113"/>
    <s v="Good"/>
    <n v="0.49315068493150682"/>
    <s v="Terminated"/>
    <x v="15"/>
    <s v="Medium"/>
  </r>
  <r>
    <s v="00-84386123"/>
    <s v="Margaret"/>
    <s v="Gill"/>
    <s v="Female"/>
    <s v="Pennsylvania"/>
    <s v="Philadelphia"/>
    <s v="Master"/>
    <d v="1996-01-12T00:00:00"/>
    <d v="2016-09-21T00:00:00"/>
    <d v="2020-08-06T00:00:00"/>
    <x v="6"/>
    <s v="Sales Manager"/>
    <n v="124824"/>
    <s v="Good"/>
    <n v="5.0328767123287674"/>
    <s v="Active"/>
    <x v="6"/>
    <s v="High"/>
  </r>
  <r>
    <s v="00-53544301"/>
    <s v="Karen"/>
    <s v="Marks"/>
    <s v="Female"/>
    <s v="New York"/>
    <s v="New York City"/>
    <s v="Bachelor"/>
    <d v="1995-09-22T00:00:00"/>
    <d v="2023-02-01T00:00:00"/>
    <d v="2023-07-31T00:00:00"/>
    <x v="2"/>
    <s v="Logistics Coordinator"/>
    <n v="55550"/>
    <s v="Excellent"/>
    <n v="6.9095890410958907"/>
    <s v="Terminated"/>
    <x v="6"/>
    <s v="Low"/>
  </r>
  <r>
    <s v="00-65540647"/>
    <s v="Alicia"/>
    <s v="Rice"/>
    <s v="Male"/>
    <s v="New York"/>
    <s v="New York City"/>
    <s v="Bachelor"/>
    <d v="1975-05-26T00:00:00"/>
    <d v="2018-05-21T00:00:00"/>
    <d v="2020-07-16T00:00:00"/>
    <x v="3"/>
    <s v="Accounts Payable Specialist"/>
    <n v="69230"/>
    <s v="Good"/>
    <n v="0.49315068493150682"/>
    <s v="Active"/>
    <x v="33"/>
    <s v="Medium"/>
  </r>
  <r>
    <s v="00-85099723"/>
    <s v="Christian"/>
    <s v="Elliott"/>
    <s v="Female"/>
    <s v="New York"/>
    <s v="New York City"/>
    <s v="Bachelor"/>
    <d v="1999-03-03T00:00:00"/>
    <d v="2023-01-24T00:00:00"/>
    <d v="2023-07-23T00:00:00"/>
    <x v="3"/>
    <s v="Accountant"/>
    <n v="79248"/>
    <s v="Needs Improvement"/>
    <n v="0.49315068493150682"/>
    <s v="Terminated"/>
    <x v="31"/>
    <s v="Medium"/>
  </r>
  <r>
    <s v="00-79941466"/>
    <s v="Maria"/>
    <s v="Leach"/>
    <s v="Male"/>
    <s v="New York"/>
    <s v="New York City"/>
    <s v="Master"/>
    <d v="1982-11-15T00:00:00"/>
    <d v="2017-03-20T00:00:00"/>
    <d v="2021-06-25T00:00:00"/>
    <x v="1"/>
    <s v="Software Developer"/>
    <n v="78924"/>
    <s v="Good"/>
    <n v="2.701369863013698"/>
    <s v="Terminated"/>
    <x v="19"/>
    <s v="Medium"/>
  </r>
  <r>
    <s v="00-28634797"/>
    <s v="Ashley"/>
    <s v="Hernandez"/>
    <s v="Female"/>
    <s v="Pennsylvania"/>
    <s v="Pittsburgh"/>
    <s v="High School"/>
    <d v="1999-01-05T00:00:00"/>
    <d v="2017-05-08T00:00:00"/>
    <d v="2019-05-26T00:00:00"/>
    <x v="2"/>
    <s v="Inventory Specialist"/>
    <n v="58307"/>
    <s v="Needs Improvement"/>
    <n v="9.0602739726027401"/>
    <s v="Active"/>
    <x v="31"/>
    <s v="Low"/>
  </r>
  <r>
    <s v="00-29587040"/>
    <s v="Melissa"/>
    <s v="Ramos"/>
    <s v="Male"/>
    <s v="New York"/>
    <s v="New York City"/>
    <s v="Bachelor"/>
    <d v="1975-01-21T00:00:00"/>
    <d v="2016-09-21T00:00:00"/>
    <d v="2020-11-30T00:00:00"/>
    <x v="1"/>
    <s v="IT Support Specialist"/>
    <n v="64357"/>
    <s v="Good"/>
    <n v="0.49315068493150682"/>
    <s v="Active"/>
    <x v="9"/>
    <s v="Medium"/>
  </r>
  <r>
    <s v="00-66519399"/>
    <s v="Jamie"/>
    <s v="Aguilar"/>
    <s v="Female"/>
    <s v="North Carolina"/>
    <s v="Raleigh"/>
    <s v="Bachelor"/>
    <d v="1993-04-05T00:00:00"/>
    <d v="2017-02-05T00:00:00"/>
    <d v="2019-04-29T00:00:00"/>
    <x v="3"/>
    <s v="Accountant"/>
    <n v="74163"/>
    <s v="Satisfactory"/>
    <n v="0.49315068493150682"/>
    <s v="Terminated"/>
    <x v="17"/>
    <s v="Medium"/>
  </r>
  <r>
    <s v="00-43782566"/>
    <s v="Rachel"/>
    <s v="Griffin"/>
    <s v="Female"/>
    <s v="New York"/>
    <s v="New York City"/>
    <s v="Bachelor"/>
    <d v="1980-05-07T00:00:00"/>
    <d v="2024-01-22T00:00:00"/>
    <d v="2024-07-20T00:00:00"/>
    <x v="0"/>
    <s v="Support Specialist"/>
    <n v="62598"/>
    <s v="Satisfactory"/>
    <n v="4.6821917808219178"/>
    <s v="Active"/>
    <x v="3"/>
    <s v="Medium"/>
  </r>
  <r>
    <s v="00-76545476"/>
    <s v="Shawn"/>
    <s v="Palmer"/>
    <s v="Male"/>
    <s v="New York"/>
    <s v="New York City"/>
    <s v="Bachelor"/>
    <d v="1962-07-19T00:00:00"/>
    <d v="2020-06-26T00:00:00"/>
    <d v="2021-08-20T00:00:00"/>
    <x v="5"/>
    <s v="HR Coordinator"/>
    <n v="72109"/>
    <s v="Good"/>
    <n v="1.194520547945205"/>
    <s v="Active"/>
    <x v="13"/>
    <s v="Medium"/>
  </r>
  <r>
    <s v="00-24357588"/>
    <s v="Anne"/>
    <s v="Hansen"/>
    <s v="Male"/>
    <s v="New York"/>
    <s v="New York City"/>
    <s v="Bachelor"/>
    <d v="1979-08-21T00:00:00"/>
    <d v="2017-09-19T00:00:00"/>
    <d v="2021-07-01T00:00:00"/>
    <x v="0"/>
    <s v="Help Desk Technician"/>
    <n v="94356"/>
    <s v="Good"/>
    <n v="1.0849315068493151"/>
    <s v="Active"/>
    <x v="0"/>
    <s v="Medium"/>
  </r>
  <r>
    <s v="00-54589439"/>
    <s v="Lindsay"/>
    <s v="Cummings"/>
    <s v="Female"/>
    <s v="New York"/>
    <s v="New York City"/>
    <s v="High School"/>
    <d v="1986-05-26T00:00:00"/>
    <d v="2023-06-03T00:00:00"/>
    <d v="2023-11-30T00:00:00"/>
    <x v="0"/>
    <s v="Support Specialist"/>
    <n v="53603"/>
    <s v="Needs Improvement"/>
    <n v="6.6219178082191794"/>
    <s v="Active"/>
    <x v="28"/>
    <s v="Low"/>
  </r>
  <r>
    <s v="00-54230340"/>
    <s v="Jonathan"/>
    <s v="Smith"/>
    <s v="Male"/>
    <s v="New York"/>
    <s v="New York City"/>
    <s v="Bachelor"/>
    <d v="1977-09-12T00:00:00"/>
    <d v="2019-03-26T00:00:00"/>
    <d v="2023-02-25T00:00:00"/>
    <x v="1"/>
    <s v="Software Developer"/>
    <n v="104238"/>
    <s v="Excellent"/>
    <n v="0.49315068493150682"/>
    <s v="Active"/>
    <x v="18"/>
    <s v="High"/>
  </r>
  <r>
    <s v="00-97380687"/>
    <s v="Beth"/>
    <s v="Williams"/>
    <s v="Female"/>
    <s v="New York"/>
    <s v="New York City"/>
    <s v="Bachelor"/>
    <d v="2003-03-29T00:00:00"/>
    <d v="2024-05-13T00:00:00"/>
    <d v="2024-11-09T00:00:00"/>
    <x v="0"/>
    <s v="Customer Service Manager"/>
    <n v="79326"/>
    <s v="Satisfactory"/>
    <n v="0.49315068493150682"/>
    <s v="Active"/>
    <x v="7"/>
    <s v="Medium"/>
  </r>
  <r>
    <s v="00-53038948"/>
    <s v="Isabella"/>
    <s v="Weaver"/>
    <s v="Male"/>
    <s v="Pennsylvania"/>
    <s v="Pittsburgh"/>
    <s v="Bachelor"/>
    <d v="1994-03-23T00:00:00"/>
    <d v="2021-01-24T00:00:00"/>
    <d v="2021-07-23T00:00:00"/>
    <x v="0"/>
    <s v="Customer Service Representative"/>
    <n v="66937"/>
    <s v="Good"/>
    <n v="6.9890410958904106"/>
    <s v="Active"/>
    <x v="8"/>
    <s v="Medium"/>
  </r>
  <r>
    <s v="00-74291599"/>
    <s v="Sarah"/>
    <s v="Jones"/>
    <s v="Female"/>
    <s v="New York"/>
    <s v="New York City"/>
    <s v="Master"/>
    <d v="1997-10-05T00:00:00"/>
    <d v="2018-12-29T00:00:00"/>
    <d v="2019-06-27T00:00:00"/>
    <x v="4"/>
    <s v="Marketing Manager"/>
    <n v="91548"/>
    <s v="Excellent"/>
    <n v="5.2986301369863016"/>
    <s v="Active"/>
    <x v="34"/>
    <s v="Medium"/>
  </r>
  <r>
    <s v="00-49117508"/>
    <s v="Thomas"/>
    <s v="Mitchell"/>
    <s v="Male"/>
    <s v="Virginia"/>
    <s v="Norfolk"/>
    <s v="Bachelor"/>
    <d v="1990-03-03T00:00:00"/>
    <d v="2022-03-11T00:00:00"/>
    <d v="2022-09-07T00:00:00"/>
    <x v="0"/>
    <s v="Support Specialist"/>
    <n v="64799"/>
    <s v="Satisfactory"/>
    <n v="0.49315068493150682"/>
    <s v="Active"/>
    <x v="35"/>
    <s v="Medium"/>
  </r>
  <r>
    <s v="00-87293208"/>
    <s v="Kayla"/>
    <s v="Cannon"/>
    <s v="Male"/>
    <s v="New York"/>
    <s v="New York City"/>
    <s v="High School"/>
    <d v="1966-04-02T00:00:00"/>
    <d v="2017-10-11T00:00:00"/>
    <d v="2018-05-07T00:00:00"/>
    <x v="0"/>
    <s v="Support Specialist"/>
    <n v="64678"/>
    <s v="Needs Improvement"/>
    <n v="0.49315068493150682"/>
    <s v="Active"/>
    <x v="29"/>
    <s v="Medium"/>
  </r>
  <r>
    <s v="00-47621248"/>
    <s v="Debbie"/>
    <s v="Fisher"/>
    <s v="Male"/>
    <s v="New York"/>
    <s v="New York City"/>
    <s v="Bachelor"/>
    <d v="1969-08-17T00:00:00"/>
    <d v="2017-12-13T00:00:00"/>
    <d v="2018-06-10T00:00:00"/>
    <x v="2"/>
    <s v="Inventory Specialist"/>
    <n v="67180"/>
    <s v="Good"/>
    <n v="1.1589041095890411"/>
    <s v="Active"/>
    <x v="23"/>
    <s v="Medium"/>
  </r>
  <r>
    <s v="00-25285764"/>
    <s v="Patrick"/>
    <s v="Kane"/>
    <s v="Male"/>
    <s v="Michigan"/>
    <s v="Warren"/>
    <s v="Bachelor"/>
    <d v="1985-07-17T00:00:00"/>
    <d v="2018-12-18T00:00:00"/>
    <d v="2019-06-16T00:00:00"/>
    <x v="4"/>
    <s v="Marketing Coordinator"/>
    <n v="72036"/>
    <s v="Good"/>
    <n v="0.49315068493150682"/>
    <s v="Active"/>
    <x v="38"/>
    <s v="Medium"/>
  </r>
  <r>
    <s v="00-83233096"/>
    <s v="Nicholas"/>
    <s v="Miller"/>
    <s v="Male"/>
    <s v="New York"/>
    <s v="New York City"/>
    <s v="Bachelor"/>
    <d v="1977-03-09T00:00:00"/>
    <d v="2017-09-15T00:00:00"/>
    <d v="2018-03-14T00:00:00"/>
    <x v="2"/>
    <s v="Logistics Coordinator"/>
    <n v="65261"/>
    <s v="Satisfactory"/>
    <n v="0.49315068493150682"/>
    <s v="Active"/>
    <x v="32"/>
    <s v="Medium"/>
  </r>
  <r>
    <s v="00-71957885"/>
    <s v="Nancy"/>
    <s v="Anderson"/>
    <s v="Male"/>
    <s v="Virginia"/>
    <s v="Richmond"/>
    <s v="Bachelor"/>
    <d v="1983-08-24T00:00:00"/>
    <d v="2018-11-30T00:00:00"/>
    <d v="2019-05-29T00:00:00"/>
    <x v="6"/>
    <s v="Sales Specialist"/>
    <n v="79202"/>
    <s v="Needs Improvement"/>
    <n v="0.49315068493150682"/>
    <s v="Active"/>
    <x v="22"/>
    <s v="Medium"/>
  </r>
  <r>
    <s v="00-49101812"/>
    <s v="Michael"/>
    <s v="White"/>
    <s v="Female"/>
    <s v="New York"/>
    <s v="New York City"/>
    <s v="High School"/>
    <d v="1981-06-26T00:00:00"/>
    <d v="2017-07-28T00:00:00"/>
    <d v="2018-01-24T00:00:00"/>
    <x v="2"/>
    <s v="Inventory Specialist"/>
    <n v="59575"/>
    <s v="Excellent"/>
    <n v="2.0027397260273969"/>
    <s v="Active"/>
    <x v="25"/>
    <s v="Low"/>
  </r>
  <r>
    <s v="00-64914054"/>
    <s v="Phillip"/>
    <s v="Anderson"/>
    <s v="Male"/>
    <s v="New York"/>
    <s v="New York City"/>
    <s v="High School"/>
    <d v="1979-10-21T00:00:00"/>
    <d v="2022-03-28T00:00:00"/>
    <d v="2022-09-24T00:00:00"/>
    <x v="0"/>
    <s v="Support Specialist"/>
    <n v="65819"/>
    <s v="Needs Improvement"/>
    <n v="0.49315068493150682"/>
    <s v="Active"/>
    <x v="0"/>
    <s v="Medium"/>
  </r>
  <r>
    <s v="00-50645509"/>
    <s v="Mary"/>
    <s v="Avila"/>
    <s v="Female"/>
    <s v="New York"/>
    <s v="New York City"/>
    <s v="Bachelor"/>
    <d v="1983-02-01T00:00:00"/>
    <d v="2017-04-26T00:00:00"/>
    <d v="2018-09-22T00:00:00"/>
    <x v="1"/>
    <s v="Software Developer"/>
    <n v="76103"/>
    <s v="Satisfactory"/>
    <n v="0.49315068493150682"/>
    <s v="Active"/>
    <x v="19"/>
    <s v="Medium"/>
  </r>
  <r>
    <s v="00-66791272"/>
    <s v="Steven"/>
    <s v="Ball"/>
    <s v="Male"/>
    <s v="Michigan"/>
    <s v="Warren"/>
    <s v="Bachelor"/>
    <d v="1986-01-23T00:00:00"/>
    <d v="2023-06-14T00:00:00"/>
    <d v="2023-12-11T00:00:00"/>
    <x v="1"/>
    <s v="System Administrator"/>
    <n v="101429"/>
    <s v="Good"/>
    <n v="2.6739726027397261"/>
    <s v="Active"/>
    <x v="38"/>
    <s v="High"/>
  </r>
  <r>
    <s v="00-90253323"/>
    <s v="Amanda"/>
    <s v="Morrow"/>
    <s v="Female"/>
    <s v="New York"/>
    <s v="New York City"/>
    <s v="High School"/>
    <d v="1981-11-23T00:00:00"/>
    <d v="2019-04-07T00:00:00"/>
    <d v="2022-11-17T00:00:00"/>
    <x v="0"/>
    <s v="Customer Service Representative"/>
    <n v="66508"/>
    <s v="Needs Improvement"/>
    <n v="0.49315068493150682"/>
    <s v="Active"/>
    <x v="25"/>
    <s v="Medium"/>
  </r>
  <r>
    <s v="00-77996397"/>
    <s v="Steven"/>
    <s v="Moore"/>
    <s v="Female"/>
    <s v="New York"/>
    <s v="New York City"/>
    <s v="Bachelor"/>
    <d v="2002-11-21T00:00:00"/>
    <d v="2024-03-14T00:00:00"/>
    <d v="2024-09-10T00:00:00"/>
    <x v="2"/>
    <s v="Logistics Coordinator"/>
    <n v="58903"/>
    <s v="Satisfactory"/>
    <n v="7.9260273972602739"/>
    <s v="Active"/>
    <x v="7"/>
    <s v="Low"/>
  </r>
  <r>
    <s v="00-82966824"/>
    <s v="Sharon"/>
    <s v="Hardy"/>
    <s v="Female"/>
    <s v="New York"/>
    <s v="New York City"/>
    <s v="Master"/>
    <d v="1988-05-14T00:00:00"/>
    <d v="2015-02-13T00:00:00"/>
    <d v="2021-12-30T00:00:00"/>
    <x v="5"/>
    <s v="HR Coordinator"/>
    <n v="61697"/>
    <s v="Excellent"/>
    <n v="0.49315068493150682"/>
    <s v="Active"/>
    <x v="4"/>
    <s v="Medium"/>
  </r>
  <r>
    <s v="00-82062301"/>
    <s v="Antonio"/>
    <s v="Keller"/>
    <s v="Female"/>
    <s v="New York"/>
    <s v="New York City"/>
    <s v="Bachelor"/>
    <d v="1995-03-24T00:00:00"/>
    <d v="2020-08-26T00:00:00"/>
    <d v="2021-10-18T00:00:00"/>
    <x v="6"/>
    <s v="Sales Representative"/>
    <n v="63501"/>
    <s v="Good"/>
    <n v="3.536986301369863"/>
    <s v="Active"/>
    <x v="2"/>
    <s v="Medium"/>
  </r>
  <r>
    <s v="00-43316996"/>
    <s v="Katie"/>
    <s v="Stephenson"/>
    <s v="Male"/>
    <s v="Virginia"/>
    <s v="Virginia Beach"/>
    <s v="Bachelor"/>
    <d v="1982-12-18T00:00:00"/>
    <d v="2022-01-07T00:00:00"/>
    <d v="2022-07-06T00:00:00"/>
    <x v="0"/>
    <s v="Support Specialist"/>
    <n v="69977"/>
    <s v="Good"/>
    <n v="3.8767123287671228"/>
    <s v="Active"/>
    <x v="19"/>
    <s v="Medium"/>
  </r>
  <r>
    <s v="00-96838849"/>
    <s v="John"/>
    <s v="Jones"/>
    <s v="Male"/>
    <s v="New York"/>
    <s v="New York City"/>
    <s v="Bachelor"/>
    <d v="1997-03-19T00:00:00"/>
    <d v="2021-08-19T00:00:00"/>
    <d v="2024-08-24T00:00:00"/>
    <x v="4"/>
    <s v="Marketing Coordinator"/>
    <n v="77675"/>
    <s v="Excellent"/>
    <n v="0.49315068493150682"/>
    <s v="Active"/>
    <x v="39"/>
    <s v="Medium"/>
  </r>
  <r>
    <s v="00-96804457"/>
    <s v="Arthur"/>
    <s v="Harper"/>
    <s v="Female"/>
    <s v="New York"/>
    <s v="New York City"/>
    <s v="Bachelor"/>
    <d v="1985-06-23T00:00:00"/>
    <d v="2019-10-01T00:00:00"/>
    <d v="2020-03-29T00:00:00"/>
    <x v="0"/>
    <s v="Support Specialist"/>
    <n v="62225"/>
    <s v="Satisfactory"/>
    <n v="2.1561643835616442"/>
    <s v="Active"/>
    <x v="38"/>
    <s v="Medium"/>
  </r>
  <r>
    <s v="00-39796480"/>
    <s v="Richard"/>
    <s v="Young"/>
    <s v="Male"/>
    <s v="New York"/>
    <s v="New York City"/>
    <s v="Bachelor"/>
    <d v="1999-09-30T00:00:00"/>
    <d v="2020-03-25T00:00:00"/>
    <d v="2020-09-21T00:00:00"/>
    <x v="1"/>
    <s v="System Administrator"/>
    <n v="94657"/>
    <s v="Excellent"/>
    <n v="0.49315068493150682"/>
    <s v="Active"/>
    <x v="41"/>
    <s v="Medium"/>
  </r>
  <r>
    <s v="00-87915846"/>
    <s v="Karen"/>
    <s v="Parsons"/>
    <s v="Female"/>
    <s v="Illinois"/>
    <s v="Aurora"/>
    <s v="Bachelor"/>
    <d v="1992-10-18T00:00:00"/>
    <d v="2022-02-24T00:00:00"/>
    <d v="2022-08-23T00:00:00"/>
    <x v="0"/>
    <s v="Support Specialist"/>
    <n v="63449"/>
    <s v="Needs Improvement"/>
    <n v="4.2684931506849324"/>
    <s v="Active"/>
    <x v="17"/>
    <s v="Medium"/>
  </r>
  <r>
    <s v="00-60213478"/>
    <s v="William"/>
    <s v="Roberts"/>
    <s v="Male"/>
    <s v="New York"/>
    <s v="New York City"/>
    <s v="Master"/>
    <d v="1991-09-14T00:00:00"/>
    <d v="2019-11-13T00:00:00"/>
    <d v="2020-05-11T00:00:00"/>
    <x v="1"/>
    <s v="Software Developer"/>
    <n v="84331"/>
    <s v="Excellent"/>
    <n v="2.0493150684931511"/>
    <s v="Terminated"/>
    <x v="5"/>
    <s v="Medium"/>
  </r>
  <r>
    <s v="00-77171380"/>
    <s v="Sabrina"/>
    <s v="Johnston"/>
    <s v="Male"/>
    <s v="New York"/>
    <s v="New York City"/>
    <s v="High School"/>
    <d v="1991-11-12T00:00:00"/>
    <d v="2017-08-13T00:00:00"/>
    <d v="2020-09-16T00:00:00"/>
    <x v="2"/>
    <s v="Inventory Specialist"/>
    <n v="66482"/>
    <s v="Needs Improvement"/>
    <n v="4.1945205479452046"/>
    <s v="Terminated"/>
    <x v="5"/>
    <s v="Medium"/>
  </r>
  <r>
    <s v="00-29015320"/>
    <s v="Joel"/>
    <s v="Walter"/>
    <s v="Male"/>
    <s v="New York"/>
    <s v="New York City"/>
    <s v="Bachelor"/>
    <d v="1987-09-13T00:00:00"/>
    <d v="2018-09-14T00:00:00"/>
    <d v="2019-03-13T00:00:00"/>
    <x v="0"/>
    <s v="Help Desk Technician"/>
    <n v="72620"/>
    <s v="Good"/>
    <n v="2.227397260273972"/>
    <s v="Active"/>
    <x v="1"/>
    <s v="Medium"/>
  </r>
  <r>
    <s v="00-37765262"/>
    <s v="Adriana"/>
    <s v="Gutierrez"/>
    <s v="Female"/>
    <s v="New York"/>
    <s v="New York City"/>
    <s v="Bachelor"/>
    <d v="1983-04-15T00:00:00"/>
    <d v="2020-04-16T00:00:00"/>
    <d v="2020-10-13T00:00:00"/>
    <x v="2"/>
    <s v="Logistics Coordinator"/>
    <n v="56196"/>
    <s v="Good"/>
    <n v="0.49315068493150682"/>
    <s v="Terminated"/>
    <x v="22"/>
    <s v="Low"/>
  </r>
  <r>
    <s v="00-23102741"/>
    <s v="Bruce"/>
    <s v="Fry"/>
    <s v="Female"/>
    <s v="New York"/>
    <s v="New York City"/>
    <s v="Bachelor"/>
    <d v="1960-08-28T00:00:00"/>
    <d v="2019-12-08T00:00:00"/>
    <d v="2020-06-05T00:00:00"/>
    <x v="6"/>
    <s v="Sales Representative"/>
    <n v="64099"/>
    <s v="Satisfactory"/>
    <n v="1.150684931506849"/>
    <s v="Active"/>
    <x v="20"/>
    <s v="Medium"/>
  </r>
  <r>
    <s v="00-52803305"/>
    <s v="Jill"/>
    <s v="Thompson"/>
    <s v="Male"/>
    <s v="New York"/>
    <s v="New York City"/>
    <s v="Bachelor"/>
    <d v="1999-11-13T00:00:00"/>
    <d v="2016-09-20T00:00:00"/>
    <d v="2023-12-11T00:00:00"/>
    <x v="1"/>
    <s v="Software Developer"/>
    <n v="96108"/>
    <s v="Good"/>
    <n v="3.783561643835617"/>
    <s v="Terminated"/>
    <x v="41"/>
    <s v="Medium"/>
  </r>
  <r>
    <s v="00-25446483"/>
    <s v="Ronald"/>
    <s v="Simpson"/>
    <s v="Female"/>
    <s v="New York"/>
    <s v="New York City"/>
    <s v="Bachelor"/>
    <d v="1996-05-29T00:00:00"/>
    <d v="2015-05-14T00:00:00"/>
    <d v="2021-09-12T00:00:00"/>
    <x v="2"/>
    <s v="Inventory Specialist"/>
    <n v="54990"/>
    <s v="Good"/>
    <n v="0.49315068493150682"/>
    <s v="Active"/>
    <x v="39"/>
    <s v="Low"/>
  </r>
  <r>
    <s v="00-24678410"/>
    <s v="Shelly"/>
    <s v="Powers"/>
    <s v="Male"/>
    <s v="New York"/>
    <s v="New York City"/>
    <s v="Bachelor"/>
    <d v="2004-03-23T00:00:00"/>
    <d v="2022-11-02T00:00:00"/>
    <d v="2023-05-01T00:00:00"/>
    <x v="2"/>
    <s v="Inventory Specialist"/>
    <n v="61461"/>
    <s v="Good"/>
    <n v="3.923287671232877"/>
    <s v="Active"/>
    <x v="26"/>
    <s v="Medium"/>
  </r>
  <r>
    <s v="00-42737441"/>
    <s v="Alice"/>
    <s v="Horton"/>
    <s v="Male"/>
    <s v="New York"/>
    <s v="New York City"/>
    <s v="Bachelor"/>
    <d v="1999-03-08T00:00:00"/>
    <d v="2020-06-07T00:00:00"/>
    <d v="2020-12-04T00:00:00"/>
    <x v="2"/>
    <s v="Inventory Specialist"/>
    <n v="60507"/>
    <s v="Good"/>
    <n v="0.49315068493150682"/>
    <s v="Active"/>
    <x v="31"/>
    <s v="Medium"/>
  </r>
  <r>
    <s v="00-54424679"/>
    <s v="Edward"/>
    <s v="Bennett"/>
    <s v="Female"/>
    <s v="New York"/>
    <s v="New York City"/>
    <s v="Bachelor"/>
    <d v="1991-07-09T00:00:00"/>
    <d v="2020-10-19T00:00:00"/>
    <d v="2021-04-17T00:00:00"/>
    <x v="6"/>
    <s v="Sales Representative"/>
    <n v="57557"/>
    <s v="Good"/>
    <n v="0.49315068493150682"/>
    <s v="Active"/>
    <x v="5"/>
    <s v="Low"/>
  </r>
  <r>
    <s v="00-64364546"/>
    <s v="Amanda"/>
    <s v="Allen"/>
    <s v="Female"/>
    <s v="New York"/>
    <s v="New York City"/>
    <s v="Bachelor"/>
    <d v="1995-01-18T00:00:00"/>
    <d v="2021-03-29T00:00:00"/>
    <d v="2024-10-09T00:00:00"/>
    <x v="2"/>
    <s v="Logistics Coordinator"/>
    <n v="57996"/>
    <s v="Good"/>
    <n v="0.49315068493150682"/>
    <s v="Active"/>
    <x v="2"/>
    <s v="Low"/>
  </r>
  <r>
    <s v="00-98222374"/>
    <s v="Kevin"/>
    <s v="Zimmerman"/>
    <s v="Male"/>
    <s v="New York"/>
    <s v="New York City"/>
    <s v="PhD"/>
    <d v="1970-09-16T00:00:00"/>
    <d v="2019-11-09T00:00:00"/>
    <d v="2020-05-07T00:00:00"/>
    <x v="6"/>
    <s v="Sales Consultant"/>
    <n v="83008"/>
    <s v="Excellent"/>
    <n v="0.49315068493150682"/>
    <s v="Active"/>
    <x v="21"/>
    <s v="Medium"/>
  </r>
  <r>
    <s v="00-92424037"/>
    <s v="Steven"/>
    <s v="Brown"/>
    <s v="Female"/>
    <s v="Pennsylvania"/>
    <s v="Philadelphia"/>
    <s v="Master"/>
    <d v="1980-03-13T00:00:00"/>
    <d v="2023-06-10T00:00:00"/>
    <d v="2023-12-07T00:00:00"/>
    <x v="1"/>
    <s v="System Administrator"/>
    <n v="94473"/>
    <s v="Good"/>
    <n v="0.56986301369863013"/>
    <s v="Active"/>
    <x v="0"/>
    <s v="Medium"/>
  </r>
  <r>
    <s v="00-67653606"/>
    <s v="Tammy"/>
    <s v="Grant"/>
    <s v="Female"/>
    <s v="Michigan"/>
    <s v="Grand Rapids"/>
    <s v="High School"/>
    <d v="1990-10-08T00:00:00"/>
    <d v="2018-02-22T00:00:00"/>
    <d v="2018-08-21T00:00:00"/>
    <x v="0"/>
    <s v="Customer Service Representative"/>
    <n v="65399"/>
    <s v="Needs Improvement"/>
    <n v="0.49041095890410957"/>
    <s v="Active"/>
    <x v="16"/>
    <s v="Medium"/>
  </r>
  <r>
    <s v="00-37619925"/>
    <s v="Paul"/>
    <s v="Scott"/>
    <s v="Female"/>
    <s v="New York"/>
    <s v="New York City"/>
    <s v="Bachelor"/>
    <d v="2001-08-09T00:00:00"/>
    <d v="2017-05-09T00:00:00"/>
    <d v="2020-09-26T00:00:00"/>
    <x v="6"/>
    <s v="Sales Representative"/>
    <n v="65945"/>
    <s v="Good"/>
    <n v="0.49315068493150682"/>
    <s v="Active"/>
    <x v="11"/>
    <s v="Medium"/>
  </r>
  <r>
    <s v="00-18397164"/>
    <s v="Deborah"/>
    <s v="Nielsen"/>
    <s v="Male"/>
    <s v="New York"/>
    <s v="New York City"/>
    <s v="Master"/>
    <d v="1980-02-12T00:00:00"/>
    <d v="2020-11-24T00:00:00"/>
    <d v="2021-05-23T00:00:00"/>
    <x v="1"/>
    <s v="Software Developer"/>
    <n v="86973"/>
    <s v="Good"/>
    <n v="0.49315068493150682"/>
    <s v="Active"/>
    <x v="0"/>
    <s v="Medium"/>
  </r>
  <r>
    <s v="00-59095909"/>
    <s v="Nathan"/>
    <s v="Nichols"/>
    <s v="Male"/>
    <s v="Illinois"/>
    <s v="Aurora"/>
    <s v="PhD"/>
    <d v="1961-01-18T00:00:00"/>
    <d v="2018-11-19T00:00:00"/>
    <d v="2019-05-18T00:00:00"/>
    <x v="6"/>
    <s v="Sales Specialist"/>
    <n v="83005"/>
    <s v="Excellent"/>
    <n v="0.49315068493150682"/>
    <s v="Terminated"/>
    <x v="20"/>
    <s v="Medium"/>
  </r>
  <r>
    <s v="00-45212476"/>
    <s v="James"/>
    <s v="Adams"/>
    <s v="Male"/>
    <s v="New York"/>
    <s v="New York City"/>
    <s v="Bachelor"/>
    <d v="2000-02-20T00:00:00"/>
    <d v="2022-09-19T00:00:00"/>
    <d v="2023-03-18T00:00:00"/>
    <x v="1"/>
    <s v="Software Developer"/>
    <n v="108825"/>
    <s v="Good"/>
    <n v="0.49315068493150682"/>
    <s v="Active"/>
    <x v="41"/>
    <s v="High"/>
  </r>
  <r>
    <s v="00-95779702"/>
    <s v="Cassidy"/>
    <s v="Williams"/>
    <s v="Female"/>
    <s v="New York"/>
    <s v="New York City"/>
    <s v="Bachelor"/>
    <d v="1991-05-14T00:00:00"/>
    <d v="2018-01-29T00:00:00"/>
    <d v="2020-12-12T00:00:00"/>
    <x v="6"/>
    <s v="Sales Representative"/>
    <n v="66164"/>
    <s v="Good"/>
    <n v="0.49315068493150682"/>
    <s v="Active"/>
    <x v="5"/>
    <s v="Medium"/>
  </r>
  <r>
    <s v="00-62686364"/>
    <s v="Jacob"/>
    <s v="Gill"/>
    <s v="Male"/>
    <s v="New York"/>
    <s v="New York City"/>
    <s v="High School"/>
    <d v="1969-07-04T00:00:00"/>
    <d v="2020-10-08T00:00:00"/>
    <d v="2021-04-06T00:00:00"/>
    <x v="0"/>
    <s v="Customer Service Representative"/>
    <n v="63385"/>
    <s v="Needs Improvement"/>
    <n v="1.408219178082192"/>
    <s v="Terminated"/>
    <x v="23"/>
    <s v="Medium"/>
  </r>
  <r>
    <s v="00-71453007"/>
    <s v="Emily"/>
    <s v="Robinson"/>
    <s v="Female"/>
    <s v="Virginia"/>
    <s v="Norfolk"/>
    <s v="High School"/>
    <d v="1971-05-17T00:00:00"/>
    <d v="2021-03-23T00:00:00"/>
    <d v="2021-09-19T00:00:00"/>
    <x v="2"/>
    <s v="Inventory Specialist"/>
    <n v="59746"/>
    <s v="Needs Improvement"/>
    <n v="0.49315068493150682"/>
    <s v="Active"/>
    <x v="24"/>
    <s v="Low"/>
  </r>
  <r>
    <s v="00-49922369"/>
    <s v="Molly"/>
    <s v="Cook"/>
    <s v="Male"/>
    <s v="New York"/>
    <s v="New York City"/>
    <s v="High School"/>
    <d v="1959-06-25T00:00:00"/>
    <d v="2018-12-19T00:00:00"/>
    <d v="2019-06-17T00:00:00"/>
    <x v="0"/>
    <s v="Customer Service Representative"/>
    <n v="62527"/>
    <s v="Needs Improvement"/>
    <n v="3.6164383561643829"/>
    <s v="Terminated"/>
    <x v="14"/>
    <s v="Medium"/>
  </r>
  <r>
    <s v="00-27978165"/>
    <s v="Alexis"/>
    <s v="Giles"/>
    <s v="Male"/>
    <s v="New York"/>
    <s v="New York City"/>
    <s v="Bachelor"/>
    <d v="2004-02-09T00:00:00"/>
    <d v="2018-10-15T00:00:00"/>
    <d v="2020-04-17T00:00:00"/>
    <x v="6"/>
    <s v="Sales Specialist"/>
    <n v="61237"/>
    <s v="Good"/>
    <n v="0.49315068493150682"/>
    <s v="Terminated"/>
    <x v="26"/>
    <s v="Medium"/>
  </r>
  <r>
    <s v="00-25696616"/>
    <s v="David"/>
    <s v="Key"/>
    <s v="Female"/>
    <s v="New York"/>
    <s v="New York City"/>
    <s v="Master"/>
    <d v="1986-11-16T00:00:00"/>
    <d v="2017-07-05T00:00:00"/>
    <d v="2022-01-30T00:00:00"/>
    <x v="3"/>
    <s v="Financial Analyst"/>
    <n v="91996"/>
    <s v="Excellent"/>
    <n v="6.882191780821918"/>
    <s v="Active"/>
    <x v="28"/>
    <s v="Medium"/>
  </r>
  <r>
    <s v="00-78561753"/>
    <s v="Robin"/>
    <s v="Dominguez"/>
    <s v="Female"/>
    <s v="New York"/>
    <s v="New York City"/>
    <s v="Bachelor"/>
    <d v="1980-12-04T00:00:00"/>
    <d v="2018-10-01T00:00:00"/>
    <d v="2021-08-15T00:00:00"/>
    <x v="0"/>
    <s v="Support Specialist"/>
    <n v="64142"/>
    <s v="Good"/>
    <n v="1.145205479452055"/>
    <s v="Active"/>
    <x v="3"/>
    <s v="Medium"/>
  </r>
  <r>
    <s v="00-87149161"/>
    <s v="James"/>
    <s v="Herman"/>
    <s v="Male"/>
    <s v="New York"/>
    <s v="New York City"/>
    <s v="Bachelor"/>
    <d v="1977-11-07T00:00:00"/>
    <d v="2018-08-03T00:00:00"/>
    <d v="2019-01-30T00:00:00"/>
    <x v="6"/>
    <s v="Sales Representative"/>
    <n v="68752"/>
    <s v="Good"/>
    <n v="0.49315068493150682"/>
    <s v="Active"/>
    <x v="18"/>
    <s v="Medium"/>
  </r>
  <r>
    <s v="00-95295586"/>
    <s v="Marc"/>
    <s v="Campbell"/>
    <s v="Female"/>
    <s v="New York"/>
    <s v="New York City"/>
    <s v="Master"/>
    <d v="1988-11-04T00:00:00"/>
    <d v="2020-06-30T00:00:00"/>
    <d v="2022-12-10T00:00:00"/>
    <x v="6"/>
    <s v="Sales Specialist"/>
    <n v="71298"/>
    <s v="Excellent"/>
    <n v="3.0164383561643842"/>
    <s v="Active"/>
    <x v="4"/>
    <s v="Medium"/>
  </r>
  <r>
    <s v="00-84479105"/>
    <s v="Amanda"/>
    <s v="Howard"/>
    <s v="Male"/>
    <s v="North Carolina"/>
    <s v="Charlotte"/>
    <s v="High School"/>
    <d v="1995-02-25T00:00:00"/>
    <d v="2017-04-12T00:00:00"/>
    <d v="2018-02-20T00:00:00"/>
    <x v="0"/>
    <s v="Help Desk Technician"/>
    <n v="58313"/>
    <s v="Needs Improvement"/>
    <n v="0.49315068493150682"/>
    <s v="Terminated"/>
    <x v="2"/>
    <s v="Low"/>
  </r>
  <r>
    <s v="00-35111946"/>
    <s v="Michael"/>
    <s v="Andrade"/>
    <s v="Male"/>
    <s v="Pennsylvania"/>
    <s v="Allentown"/>
    <s v="High School"/>
    <d v="2001-11-07T00:00:00"/>
    <d v="2018-06-30T00:00:00"/>
    <d v="2021-12-18T00:00:00"/>
    <x v="0"/>
    <s v="Help Desk Technician"/>
    <n v="73163"/>
    <s v="Needs Improvement"/>
    <n v="9.2301369863013694"/>
    <s v="Active"/>
    <x v="11"/>
    <s v="Medium"/>
  </r>
  <r>
    <s v="00-17195581"/>
    <s v="Corey"/>
    <s v="Zavala"/>
    <s v="Female"/>
    <s v="Illinois"/>
    <s v="Naperville"/>
    <s v="Bachelor"/>
    <d v="1989-10-04T00:00:00"/>
    <d v="2023-07-02T00:00:00"/>
    <d v="2024-08-26T00:00:00"/>
    <x v="6"/>
    <s v="Sales Representative"/>
    <n v="74548"/>
    <s v="Satisfactory"/>
    <n v="0.49315068493150682"/>
    <s v="Terminated"/>
    <x v="35"/>
    <s v="Medium"/>
  </r>
  <r>
    <s v="00-28325379"/>
    <s v="Kathleen"/>
    <s v="Flores"/>
    <s v="Male"/>
    <s v="New York"/>
    <s v="New York City"/>
    <s v="Bachelor"/>
    <d v="1993-06-16T00:00:00"/>
    <d v="2017-03-20T00:00:00"/>
    <d v="2024-08-26T00:00:00"/>
    <x v="6"/>
    <s v="Sales Representative"/>
    <n v="80099"/>
    <s v="Good"/>
    <n v="0.49315068493150682"/>
    <s v="Terminated"/>
    <x v="8"/>
    <s v="Medium"/>
  </r>
  <r>
    <s v="00-77838742"/>
    <s v="Nathan"/>
    <s v="Gutierrez"/>
    <s v="Male"/>
    <s v="New York"/>
    <s v="New York City"/>
    <s v="High School"/>
    <d v="1969-10-05T00:00:00"/>
    <d v="2022-08-07T00:00:00"/>
    <d v="2023-02-03T00:00:00"/>
    <x v="0"/>
    <s v="Help Desk Technician"/>
    <n v="90756"/>
    <s v="Needs Improvement"/>
    <n v="0.49315068493150682"/>
    <s v="Active"/>
    <x v="23"/>
    <s v="Medium"/>
  </r>
  <r>
    <s v="00-75998330"/>
    <s v="Michelle"/>
    <s v="Figueroa"/>
    <s v="Male"/>
    <s v="New York"/>
    <s v="New York City"/>
    <s v="High School"/>
    <d v="1976-08-01T00:00:00"/>
    <d v="2019-01-07T00:00:00"/>
    <d v="2019-07-06T00:00:00"/>
    <x v="1"/>
    <s v="IT Support Specialist"/>
    <n v="58080"/>
    <s v="Needs Improvement"/>
    <n v="3.095890410958904"/>
    <s v="Active"/>
    <x v="32"/>
    <s v="Low"/>
  </r>
  <r>
    <s v="00-32448383"/>
    <s v="Jose"/>
    <s v="Donovan"/>
    <s v="Male"/>
    <s v="New York"/>
    <s v="New York City"/>
    <s v="High School"/>
    <d v="2004-02-04T00:00:00"/>
    <d v="2016-08-12T00:00:00"/>
    <d v="2022-12-18T00:00:00"/>
    <x v="2"/>
    <s v="Inventory Specialist"/>
    <n v="60965"/>
    <s v="Needs Improvement"/>
    <n v="7.934246575342466"/>
    <s v="Active"/>
    <x v="26"/>
    <s v="Medium"/>
  </r>
  <r>
    <s v="00-39598969"/>
    <s v="Jennifer"/>
    <s v="Phillips"/>
    <s v="Female"/>
    <s v="New York"/>
    <s v="New York City"/>
    <s v="Bachelor"/>
    <d v="1991-11-23T00:00:00"/>
    <d v="2017-03-18T00:00:00"/>
    <d v="2022-11-23T00:00:00"/>
    <x v="5"/>
    <s v="HR Assistant"/>
    <n v="54114"/>
    <s v="Satisfactory"/>
    <n v="0.49315068493150682"/>
    <s v="Terminated"/>
    <x v="5"/>
    <s v="Low"/>
  </r>
  <r>
    <s v="00-82156607"/>
    <s v="Mark"/>
    <s v="James"/>
    <s v="Male"/>
    <s v="New York"/>
    <s v="New York City"/>
    <s v="Bachelor"/>
    <d v="1992-01-31T00:00:00"/>
    <d v="2017-11-20T00:00:00"/>
    <d v="2019-04-09T00:00:00"/>
    <x v="0"/>
    <s v="Support Specialist"/>
    <n v="61368"/>
    <s v="Needs Improvement"/>
    <n v="0.49315068493150682"/>
    <s v="Active"/>
    <x v="5"/>
    <s v="Medium"/>
  </r>
  <r>
    <s v="00-76479831"/>
    <s v="John"/>
    <s v="Pierce"/>
    <s v="Male"/>
    <s v="New York"/>
    <s v="New York City"/>
    <s v="Bachelor"/>
    <d v="2004-05-07T00:00:00"/>
    <d v="2020-09-22T00:00:00"/>
    <d v="2021-03-21T00:00:00"/>
    <x v="6"/>
    <s v="Sales Representative"/>
    <n v="67970"/>
    <s v="Needs Improvement"/>
    <n v="0.49315068493150682"/>
    <s v="Active"/>
    <x v="45"/>
    <s v="Medium"/>
  </r>
  <r>
    <s v="00-25328557"/>
    <s v="Matthew"/>
    <s v="Hines"/>
    <s v="Male"/>
    <s v="Ohio"/>
    <s v="Columbus"/>
    <s v="Master"/>
    <d v="1975-03-16T00:00:00"/>
    <d v="2017-07-09T00:00:00"/>
    <d v="2019-12-03T00:00:00"/>
    <x v="6"/>
    <s v="Sales Consultant"/>
    <n v="92906"/>
    <s v="Excellent"/>
    <n v="7.2273972602739729"/>
    <s v="Active"/>
    <x v="9"/>
    <s v="Medium"/>
  </r>
  <r>
    <s v="00-59239353"/>
    <s v="Tammy"/>
    <s v="May"/>
    <s v="Female"/>
    <s v="Michigan"/>
    <s v="Grand Rapids"/>
    <s v="PhD"/>
    <d v="1962-11-03T00:00:00"/>
    <d v="2020-07-09T00:00:00"/>
    <d v="2022-01-14T00:00:00"/>
    <x v="6"/>
    <s v="Sales Consultant"/>
    <n v="112880"/>
    <s v="Excellent"/>
    <n v="6.3369863013698629"/>
    <s v="Active"/>
    <x v="13"/>
    <s v="High"/>
  </r>
  <r>
    <s v="00-69239219"/>
    <s v="Steven"/>
    <s v="Oconnor"/>
    <s v="Male"/>
    <s v="Illinois"/>
    <s v="Chicago"/>
    <s v="Bachelor"/>
    <d v="1972-06-19T00:00:00"/>
    <d v="2020-05-16T00:00:00"/>
    <d v="2024-11-24T00:00:00"/>
    <x v="6"/>
    <s v="Sales Specialist"/>
    <n v="92805"/>
    <s v="Excellent"/>
    <n v="0.49315068493150682"/>
    <s v="Active"/>
    <x v="36"/>
    <s v="Medium"/>
  </r>
  <r>
    <s v="00-97734330"/>
    <s v="Gary"/>
    <s v="Cortez"/>
    <s v="Male"/>
    <s v="New York"/>
    <s v="New York City"/>
    <s v="Bachelor"/>
    <d v="1979-07-12T00:00:00"/>
    <d v="2022-07-09T00:00:00"/>
    <d v="2023-01-05T00:00:00"/>
    <x v="1"/>
    <s v="Software Developer"/>
    <n v="97728"/>
    <s v="Good"/>
    <n v="0.49315068493150682"/>
    <s v="Active"/>
    <x v="0"/>
    <s v="Medium"/>
  </r>
  <r>
    <s v="00-14325890"/>
    <s v="Jack"/>
    <s v="Preston"/>
    <s v="Male"/>
    <s v="New York"/>
    <s v="New York City"/>
    <s v="Bachelor"/>
    <d v="1974-06-04T00:00:00"/>
    <d v="2019-09-07T00:00:00"/>
    <d v="2021-01-02T00:00:00"/>
    <x v="6"/>
    <s v="Sales Representative"/>
    <n v="78078"/>
    <s v="Good"/>
    <n v="0.49315068493150682"/>
    <s v="Active"/>
    <x v="9"/>
    <s v="Medium"/>
  </r>
  <r>
    <s v="00-21674661"/>
    <s v="Susan"/>
    <s v="Warren"/>
    <s v="Female"/>
    <s v="New York"/>
    <s v="New York City"/>
    <s v="Bachelor"/>
    <d v="1964-03-24T00:00:00"/>
    <d v="2019-11-22T00:00:00"/>
    <d v="2020-05-20T00:00:00"/>
    <x v="2"/>
    <s v="Inventory Specialist"/>
    <n v="64103"/>
    <s v="Good"/>
    <n v="3.5342465753424661"/>
    <s v="Active"/>
    <x v="12"/>
    <s v="Medium"/>
  </r>
  <r>
    <s v="00-41802361"/>
    <s v="Melanie"/>
    <s v="Landry"/>
    <s v="Female"/>
    <s v="New York"/>
    <s v="New York City"/>
    <s v="Bachelor"/>
    <d v="1998-01-03T00:00:00"/>
    <d v="2017-09-17T00:00:00"/>
    <d v="2020-09-17T00:00:00"/>
    <x v="1"/>
    <s v="IT Support Specialist"/>
    <n v="59095"/>
    <s v="Good"/>
    <n v="0.49315068493150682"/>
    <s v="Active"/>
    <x v="34"/>
    <s v="Low"/>
  </r>
  <r>
    <s v="00-57060874"/>
    <s v="Brandon"/>
    <s v="Smith"/>
    <s v="Female"/>
    <s v="North Carolina"/>
    <s v="Greensboro"/>
    <s v="Master"/>
    <d v="1973-07-26T00:00:00"/>
    <d v="2023-02-23T00:00:00"/>
    <d v="2023-08-22T00:00:00"/>
    <x v="6"/>
    <s v="Sales Consultant"/>
    <n v="100507"/>
    <s v="Excellent"/>
    <n v="0.49315068493150682"/>
    <s v="Active"/>
    <x v="15"/>
    <s v="High"/>
  </r>
  <r>
    <s v="00-67467610"/>
    <s v="Megan"/>
    <s v="Hall"/>
    <s v="Male"/>
    <s v="New York"/>
    <s v="New York City"/>
    <s v="Bachelor"/>
    <d v="1994-12-26T00:00:00"/>
    <d v="2017-10-02T00:00:00"/>
    <d v="2020-04-21T00:00:00"/>
    <x v="6"/>
    <s v="Sales Representative"/>
    <n v="59038"/>
    <s v="Satisfactory"/>
    <n v="0.49315068493150682"/>
    <s v="Active"/>
    <x v="2"/>
    <s v="Low"/>
  </r>
  <r>
    <s v="00-37732020"/>
    <s v="Edward"/>
    <s v="Robinson"/>
    <s v="Female"/>
    <s v="New York"/>
    <s v="New York City"/>
    <s v="Bachelor"/>
    <d v="1988-06-27T00:00:00"/>
    <d v="2023-06-27T00:00:00"/>
    <d v="2023-12-24T00:00:00"/>
    <x v="0"/>
    <s v="Support Specialist"/>
    <n v="57504"/>
    <s v="Satisfactory"/>
    <n v="3.386301369863014"/>
    <s v="Active"/>
    <x v="4"/>
    <s v="Low"/>
  </r>
  <r>
    <s v="00-57085656"/>
    <s v="Nathaniel"/>
    <s v="Williamson"/>
    <s v="Male"/>
    <s v="New York"/>
    <s v="New York City"/>
    <s v="Bachelor"/>
    <d v="1988-04-07T00:00:00"/>
    <d v="2020-09-15T00:00:00"/>
    <d v="2023-10-26T00:00:00"/>
    <x v="2"/>
    <s v="Logistics Coordinator"/>
    <n v="64145"/>
    <s v="Satisfactory"/>
    <n v="0.49315068493150682"/>
    <s v="Active"/>
    <x v="1"/>
    <s v="Medium"/>
  </r>
  <r>
    <s v="00-32599227"/>
    <s v="Sarah"/>
    <s v="Durham"/>
    <s v="Female"/>
    <s v="Michigan"/>
    <s v="Detroit"/>
    <s v="Master"/>
    <d v="1983-02-20T00:00:00"/>
    <d v="2018-09-14T00:00:00"/>
    <d v="2022-03-22T00:00:00"/>
    <x v="6"/>
    <s v="Sales Specialist"/>
    <n v="77284"/>
    <s v="Excellent"/>
    <n v="0.49315068493150682"/>
    <s v="Active"/>
    <x v="19"/>
    <s v="Medium"/>
  </r>
  <r>
    <s v="00-48833650"/>
    <s v="Tony"/>
    <s v="Smith"/>
    <s v="Male"/>
    <s v="New York"/>
    <s v="New York City"/>
    <s v="Bachelor"/>
    <d v="1995-01-31T00:00:00"/>
    <d v="2020-08-02T00:00:00"/>
    <d v="2021-01-29T00:00:00"/>
    <x v="2"/>
    <s v="Logistics Coordinator"/>
    <n v="62526"/>
    <s v="Good"/>
    <n v="0.49315068493150682"/>
    <s v="Active"/>
    <x v="2"/>
    <s v="Medium"/>
  </r>
  <r>
    <s v="00-22780905"/>
    <s v="Robert"/>
    <s v="Smith"/>
    <s v="Female"/>
    <s v="New York"/>
    <s v="New York City"/>
    <s v="Bachelor"/>
    <d v="1972-09-26T00:00:00"/>
    <d v="2017-10-08T00:00:00"/>
    <d v="2024-04-07T00:00:00"/>
    <x v="2"/>
    <s v="Inventory Specialist"/>
    <n v="53687"/>
    <s v="Good"/>
    <n v="2.871232876712329"/>
    <s v="Active"/>
    <x v="36"/>
    <s v="Low"/>
  </r>
  <r>
    <s v="00-47221734"/>
    <s v="Joshua"/>
    <s v="Madden"/>
    <s v="Male"/>
    <s v="North Carolina"/>
    <s v="Charlotte"/>
    <s v="Bachelor"/>
    <d v="1965-11-26T00:00:00"/>
    <d v="2023-01-07T00:00:00"/>
    <d v="2023-07-06T00:00:00"/>
    <x v="2"/>
    <s v="Inventory Specialist"/>
    <n v="64605"/>
    <s v="Excellent"/>
    <n v="0.49315068493150682"/>
    <s v="Terminated"/>
    <x v="29"/>
    <s v="Medium"/>
  </r>
  <r>
    <s v="00-43226234"/>
    <s v="Linda"/>
    <s v="Browning"/>
    <s v="Male"/>
    <s v="New York"/>
    <s v="New York City"/>
    <s v="Bachelor"/>
    <d v="1988-06-15T00:00:00"/>
    <d v="2022-02-11T00:00:00"/>
    <d v="2022-08-10T00:00:00"/>
    <x v="2"/>
    <s v="Logistics Coordinator"/>
    <n v="64169"/>
    <s v="Good"/>
    <n v="0.49315068493150682"/>
    <s v="Active"/>
    <x v="4"/>
    <s v="Medium"/>
  </r>
  <r>
    <s v="00-75694038"/>
    <s v="Samantha"/>
    <s v="Warren"/>
    <s v="Male"/>
    <s v="New York"/>
    <s v="New York City"/>
    <s v="Master"/>
    <d v="1969-10-29T00:00:00"/>
    <d v="2017-04-04T00:00:00"/>
    <d v="2019-06-14T00:00:00"/>
    <x v="2"/>
    <s v="Operations Analyst"/>
    <n v="70469"/>
    <s v="Excellent"/>
    <n v="0.49315068493150682"/>
    <s v="Active"/>
    <x v="23"/>
    <s v="Medium"/>
  </r>
  <r>
    <s v="00-94263610"/>
    <s v="James"/>
    <s v="Fox"/>
    <s v="Male"/>
    <s v="New York"/>
    <s v="New York City"/>
    <s v="Master"/>
    <d v="1999-02-06T00:00:00"/>
    <d v="2019-11-13T00:00:00"/>
    <d v="2023-05-25T00:00:00"/>
    <x v="2"/>
    <s v="Operations Analyst"/>
    <n v="56781"/>
    <s v="Excellent"/>
    <n v="1.506849315068493"/>
    <s v="Active"/>
    <x v="31"/>
    <s v="Low"/>
  </r>
  <r>
    <s v="00-95044078"/>
    <s v="Michael"/>
    <s v="Norton"/>
    <s v="Male"/>
    <s v="New York"/>
    <s v="New York City"/>
    <s v="Bachelor"/>
    <d v="1985-06-22T00:00:00"/>
    <d v="2023-01-31T00:00:00"/>
    <d v="2023-07-30T00:00:00"/>
    <x v="2"/>
    <s v="Logistics Coordinator"/>
    <n v="63688"/>
    <s v="Good"/>
    <n v="4.5753424657534243"/>
    <s v="Active"/>
    <x v="38"/>
    <s v="Medium"/>
  </r>
  <r>
    <s v="00-79204468"/>
    <s v="Nathan"/>
    <s v="Sullivan"/>
    <s v="Male"/>
    <s v="New York"/>
    <s v="New York City"/>
    <s v="Bachelor"/>
    <d v="1982-03-30T00:00:00"/>
    <d v="2022-08-08T00:00:00"/>
    <d v="2023-02-04T00:00:00"/>
    <x v="6"/>
    <s v="Sales Consultant"/>
    <n v="83782"/>
    <s v="Good"/>
    <n v="2.8739726027397259"/>
    <s v="Active"/>
    <x v="25"/>
    <s v="Medium"/>
  </r>
  <r>
    <s v="00-71028216"/>
    <s v="John"/>
    <s v="Terry"/>
    <s v="Female"/>
    <s v="Ohio"/>
    <s v="Cincinnati"/>
    <s v="High School"/>
    <d v="1976-02-29T00:00:00"/>
    <d v="2024-04-26T00:00:00"/>
    <d v="2024-10-23T00:00:00"/>
    <x v="2"/>
    <s v="Inventory Specialist"/>
    <n v="63561"/>
    <s v="Needs Improvement"/>
    <n v="0.49315068493150682"/>
    <s v="Active"/>
    <x v="33"/>
    <s v="Medium"/>
  </r>
  <r>
    <s v="00-10331931"/>
    <s v="Gabriella"/>
    <s v="Abbott"/>
    <s v="Male"/>
    <s v="New York"/>
    <s v="New York City"/>
    <s v="PhD"/>
    <d v="1989-01-22T00:00:00"/>
    <d v="2017-09-11T00:00:00"/>
    <d v="2018-03-09T00:00:00"/>
    <x v="6"/>
    <s v="Sales Specialist"/>
    <n v="78790"/>
    <s v="Excellent"/>
    <n v="2.4465753424657528"/>
    <s v="Active"/>
    <x v="4"/>
    <s v="Medium"/>
  </r>
  <r>
    <s v="00-71532017"/>
    <s v="Victoria"/>
    <s v="Santos"/>
    <s v="Male"/>
    <s v="New York"/>
    <s v="New York City"/>
    <s v="Bachelor"/>
    <d v="2003-06-17T00:00:00"/>
    <d v="2021-01-13T00:00:00"/>
    <d v="2021-07-12T00:00:00"/>
    <x v="6"/>
    <s v="Sales Specialist"/>
    <n v="67947"/>
    <s v="Needs Improvement"/>
    <n v="0.86027397260273974"/>
    <s v="Terminated"/>
    <x v="26"/>
    <s v="Medium"/>
  </r>
  <r>
    <s v="00-18500100"/>
    <s v="Clayton"/>
    <s v="Gray"/>
    <s v="Female"/>
    <s v="New York"/>
    <s v="New York City"/>
    <s v="Bachelor"/>
    <d v="1989-07-24T00:00:00"/>
    <d v="2017-08-03T00:00:00"/>
    <d v="2018-01-30T00:00:00"/>
    <x v="6"/>
    <s v="Sales Consultant"/>
    <n v="74475"/>
    <s v="Good"/>
    <n v="3.4712328767123291"/>
    <s v="Terminated"/>
    <x v="35"/>
    <s v="Medium"/>
  </r>
  <r>
    <s v="00-67665720"/>
    <s v="Thomas"/>
    <s v="Walsh"/>
    <s v="Male"/>
    <s v="New York"/>
    <s v="New York City"/>
    <s v="Bachelor"/>
    <d v="1980-07-15T00:00:00"/>
    <d v="2017-09-30T00:00:00"/>
    <d v="2018-03-28T00:00:00"/>
    <x v="0"/>
    <s v="Support Specialist"/>
    <n v="63322"/>
    <s v="Good"/>
    <n v="1.1534246575342471"/>
    <s v="Active"/>
    <x v="3"/>
    <s v="Medium"/>
  </r>
  <r>
    <s v="00-53334226"/>
    <s v="George"/>
    <s v="Porter"/>
    <s v="Male"/>
    <s v="New York"/>
    <s v="New York City"/>
    <s v="PhD"/>
    <d v="1988-08-28T00:00:00"/>
    <d v="2023-06-18T00:00:00"/>
    <d v="2023-12-15T00:00:00"/>
    <x v="6"/>
    <s v="Sales Specialist"/>
    <n v="65014"/>
    <s v="Excellent"/>
    <n v="7.441095890410959"/>
    <s v="Active"/>
    <x v="4"/>
    <s v="Medium"/>
  </r>
  <r>
    <s v="00-87568940"/>
    <s v="Deanna"/>
    <s v="Rivera"/>
    <s v="Male"/>
    <s v="North Carolina"/>
    <s v="Greensboro"/>
    <s v="PhD"/>
    <d v="1966-06-20T00:00:00"/>
    <d v="2017-11-30T00:00:00"/>
    <d v="2019-03-08T00:00:00"/>
    <x v="0"/>
    <s v="Customer Service Manager"/>
    <n v="67049"/>
    <s v="Excellent"/>
    <n v="0.49315068493150682"/>
    <s v="Terminated"/>
    <x v="40"/>
    <s v="Medium"/>
  </r>
  <r>
    <s v="00-56135950"/>
    <s v="Terri"/>
    <s v="Jacobson"/>
    <s v="Female"/>
    <s v="Illinois"/>
    <s v="Chicago"/>
    <s v="Bachelor"/>
    <d v="1975-02-11T00:00:00"/>
    <d v="2023-12-23T00:00:00"/>
    <d v="2024-06-20T00:00:00"/>
    <x v="2"/>
    <s v="Logistics Coordinator"/>
    <n v="65761"/>
    <s v="Satisfactory"/>
    <n v="0.49315068493150682"/>
    <s v="Terminated"/>
    <x v="9"/>
    <s v="Medium"/>
  </r>
  <r>
    <s v="00-23364695"/>
    <s v="Brad"/>
    <s v="Lewis"/>
    <s v="Male"/>
    <s v="New York"/>
    <s v="New York City"/>
    <s v="Bachelor"/>
    <d v="1977-07-08T00:00:00"/>
    <d v="2021-12-04T00:00:00"/>
    <d v="2022-06-02T00:00:00"/>
    <x v="0"/>
    <s v="Customer Service Representative"/>
    <n v="68751"/>
    <s v="Good"/>
    <n v="6.353424657534247"/>
    <s v="Active"/>
    <x v="18"/>
    <s v="Medium"/>
  </r>
  <r>
    <s v="00-26674831"/>
    <s v="Heather"/>
    <s v="Knight"/>
    <s v="Male"/>
    <s v="Pennsylvania"/>
    <s v="Pittsburgh"/>
    <s v="Bachelor"/>
    <d v="1975-10-23T00:00:00"/>
    <d v="2024-04-15T00:00:00"/>
    <d v="2024-10-12T00:00:00"/>
    <x v="2"/>
    <s v="Inventory Specialist"/>
    <n v="62465"/>
    <s v="Satisfactory"/>
    <n v="5.6876712328767134"/>
    <s v="Terminated"/>
    <x v="33"/>
    <s v="Medium"/>
  </r>
  <r>
    <s v="00-71272827"/>
    <s v="Brandon"/>
    <s v="Jones"/>
    <s v="Male"/>
    <s v="New York"/>
    <s v="New York City"/>
    <s v="Master"/>
    <d v="2003-11-26T00:00:00"/>
    <d v="2015-12-26T00:00:00"/>
    <d v="2023-01-23T00:00:00"/>
    <x v="6"/>
    <s v="Sales Specialist"/>
    <n v="58102"/>
    <s v="Excellent"/>
    <n v="1.383561643835616"/>
    <s v="Active"/>
    <x v="26"/>
    <s v="Low"/>
  </r>
  <r>
    <s v="00-27705074"/>
    <s v="Juan"/>
    <s v="Daniels"/>
    <s v="Female"/>
    <s v="New York"/>
    <s v="New York City"/>
    <s v="Bachelor"/>
    <d v="2004-01-23T00:00:00"/>
    <d v="2017-09-13T00:00:00"/>
    <d v="2018-03-11T00:00:00"/>
    <x v="2"/>
    <s v="Logistics Coordinator"/>
    <n v="57789"/>
    <s v="Needs Improvement"/>
    <n v="0.49315068493150682"/>
    <s v="Terminated"/>
    <x v="26"/>
    <s v="Low"/>
  </r>
  <r>
    <s v="00-46778269"/>
    <s v="Antonio"/>
    <s v="Mcfarland"/>
    <s v="Female"/>
    <s v="New York"/>
    <s v="New York City"/>
    <s v="Bachelor"/>
    <d v="1978-12-23T00:00:00"/>
    <d v="2016-05-02T00:00:00"/>
    <d v="2024-04-24T00:00:00"/>
    <x v="1"/>
    <s v="IT Support Specialist"/>
    <n v="62995"/>
    <s v="Satisfactory"/>
    <n v="2.4027397260273968"/>
    <s v="Active"/>
    <x v="30"/>
    <s v="Medium"/>
  </r>
  <r>
    <s v="00-21062296"/>
    <s v="Alexis"/>
    <s v="Clark"/>
    <s v="Male"/>
    <s v="New York"/>
    <s v="New York City"/>
    <s v="Bachelor"/>
    <d v="2000-02-12T00:00:00"/>
    <d v="2018-02-25T00:00:00"/>
    <d v="2018-08-24T00:00:00"/>
    <x v="4"/>
    <s v="Marketing Coordinator"/>
    <n v="74615"/>
    <s v="Good"/>
    <n v="1.517808219178082"/>
    <s v="Terminated"/>
    <x v="41"/>
    <s v="Medium"/>
  </r>
  <r>
    <s v="00-16950770"/>
    <s v="Karen"/>
    <s v="Marquez"/>
    <s v="Female"/>
    <s v="New York"/>
    <s v="New York City"/>
    <s v="Master"/>
    <d v="2000-05-19T00:00:00"/>
    <d v="2019-06-04T00:00:00"/>
    <d v="2019-12-01T00:00:00"/>
    <x v="6"/>
    <s v="Sales Specialist"/>
    <n v="83426"/>
    <s v="Good"/>
    <n v="4.5287671232876709"/>
    <s v="Terminated"/>
    <x v="37"/>
    <s v="Medium"/>
  </r>
  <r>
    <s v="00-41426254"/>
    <s v="Sarah"/>
    <s v="Evans"/>
    <s v="Female"/>
    <s v="New York"/>
    <s v="New York City"/>
    <s v="Bachelor"/>
    <d v="1996-11-12T00:00:00"/>
    <d v="2019-08-08T00:00:00"/>
    <d v="2024-12-15T00:00:00"/>
    <x v="2"/>
    <s v="Operations Analyst"/>
    <n v="83222"/>
    <s v="Good"/>
    <n v="0.49315068493150682"/>
    <s v="Active"/>
    <x v="39"/>
    <s v="Medium"/>
  </r>
  <r>
    <s v="00-22775337"/>
    <s v="John"/>
    <s v="Davenport"/>
    <s v="Female"/>
    <s v="Pennsylvania"/>
    <s v="Allentown"/>
    <s v="Bachelor"/>
    <d v="1981-06-03T00:00:00"/>
    <d v="2015-06-01T00:00:00"/>
    <d v="2021-07-21T00:00:00"/>
    <x v="2"/>
    <s v="Logistics Coordinator"/>
    <n v="57215"/>
    <s v="Good"/>
    <n v="1.3232876712328769"/>
    <s v="Active"/>
    <x v="25"/>
    <s v="Low"/>
  </r>
  <r>
    <s v="00-27810664"/>
    <s v="Erica"/>
    <s v="Fernandez"/>
    <s v="Male"/>
    <s v="New York"/>
    <s v="New York City"/>
    <s v="Bachelor"/>
    <d v="2003-10-22T00:00:00"/>
    <d v="2020-05-29T00:00:00"/>
    <d v="2021-06-11T00:00:00"/>
    <x v="2"/>
    <s v="Inventory Specialist"/>
    <n v="59469"/>
    <s v="Good"/>
    <n v="0.49315068493150682"/>
    <s v="Active"/>
    <x v="26"/>
    <s v="Low"/>
  </r>
  <r>
    <s v="00-69735865"/>
    <s v="Karla"/>
    <s v="Taylor"/>
    <s v="Female"/>
    <s v="New York"/>
    <s v="New York City"/>
    <s v="High School"/>
    <d v="1989-01-24T00:00:00"/>
    <d v="2015-09-25T00:00:00"/>
    <d v="2018-04-11T00:00:00"/>
    <x v="5"/>
    <s v="Recruiter"/>
    <n v="73592"/>
    <s v="Needs Improvement"/>
    <n v="3.0027397260273969"/>
    <s v="Active"/>
    <x v="4"/>
    <s v="Medium"/>
  </r>
  <r>
    <s v="00-26185823"/>
    <s v="Jennifer"/>
    <s v="Mason"/>
    <s v="Male"/>
    <s v="Michigan"/>
    <s v="Warren"/>
    <s v="Master"/>
    <d v="1986-04-10T00:00:00"/>
    <d v="2024-05-14T00:00:00"/>
    <d v="2024-11-10T00:00:00"/>
    <x v="6"/>
    <s v="Sales Specialist"/>
    <n v="68928"/>
    <s v="Excellent"/>
    <n v="0.49315068493150682"/>
    <s v="Active"/>
    <x v="38"/>
    <s v="Medium"/>
  </r>
  <r>
    <s v="00-27740248"/>
    <s v="Brian"/>
    <s v="Kim"/>
    <s v="Female"/>
    <s v="Pennsylvania"/>
    <s v="Pittsburgh"/>
    <s v="Bachelor"/>
    <d v="1980-11-26T00:00:00"/>
    <d v="2019-11-22T00:00:00"/>
    <d v="2022-08-23T00:00:00"/>
    <x v="0"/>
    <s v="Help Desk Technician"/>
    <n v="76265"/>
    <s v="Good"/>
    <n v="2.5534246575342472"/>
    <s v="Active"/>
    <x v="3"/>
    <s v="Medium"/>
  </r>
  <r>
    <s v="00-21989814"/>
    <s v="Charles"/>
    <s v="Jacobs"/>
    <s v="Male"/>
    <s v="New York"/>
    <s v="New York City"/>
    <s v="Bachelor"/>
    <d v="1983-01-25T00:00:00"/>
    <d v="2022-08-27T00:00:00"/>
    <d v="2023-02-23T00:00:00"/>
    <x v="0"/>
    <s v="Support Specialist"/>
    <n v="62667"/>
    <s v="Satisfactory"/>
    <n v="0.49315068493150682"/>
    <s v="Active"/>
    <x v="19"/>
    <s v="Medium"/>
  </r>
  <r>
    <s v="00-52057323"/>
    <s v="Stephanie"/>
    <s v="Sanders"/>
    <s v="Male"/>
    <s v="Michigan"/>
    <s v="Grand Rapids"/>
    <s v="Bachelor"/>
    <d v="1983-11-07T00:00:00"/>
    <d v="2018-10-28T00:00:00"/>
    <d v="2020-06-09T00:00:00"/>
    <x v="6"/>
    <s v="Sales Specialist"/>
    <n v="76384"/>
    <s v="Good"/>
    <n v="3.1123287671232882"/>
    <s v="Terminated"/>
    <x v="22"/>
    <s v="Medium"/>
  </r>
  <r>
    <s v="00-61367949"/>
    <s v="Mark"/>
    <s v="Walters"/>
    <s v="Female"/>
    <s v="Michigan"/>
    <s v="Detroit"/>
    <s v="Bachelor"/>
    <d v="1976-08-12T00:00:00"/>
    <d v="2023-11-01T00:00:00"/>
    <d v="2024-04-29T00:00:00"/>
    <x v="2"/>
    <s v="Logistics Coordinator"/>
    <n v="55791"/>
    <s v="Satisfactory"/>
    <n v="3.5205479452054789"/>
    <s v="Active"/>
    <x v="32"/>
    <s v="Low"/>
  </r>
  <r>
    <s v="00-29173414"/>
    <s v="Victoria"/>
    <s v="Henry"/>
    <s v="Female"/>
    <s v="Michigan"/>
    <s v="Warren"/>
    <s v="Master"/>
    <d v="2002-10-02T00:00:00"/>
    <d v="2016-05-18T00:00:00"/>
    <d v="2024-12-09T00:00:00"/>
    <x v="1"/>
    <s v="Software Developer"/>
    <n v="94458"/>
    <s v="Excellent"/>
    <n v="0.49315068493150682"/>
    <s v="Active"/>
    <x v="7"/>
    <s v="Medium"/>
  </r>
  <r>
    <s v="00-91915661"/>
    <s v="Angela"/>
    <s v="Bennett"/>
    <s v="Male"/>
    <s v="New York"/>
    <s v="New York City"/>
    <s v="High School"/>
    <d v="1983-08-28T00:00:00"/>
    <d v="2022-03-14T00:00:00"/>
    <d v="2022-09-10T00:00:00"/>
    <x v="2"/>
    <s v="Inventory Specialist"/>
    <n v="59258"/>
    <s v="Needs Improvement"/>
    <n v="6.5013698630136982"/>
    <s v="Active"/>
    <x v="22"/>
    <s v="Low"/>
  </r>
  <r>
    <s v="00-38595818"/>
    <s v="Erin"/>
    <s v="Guerrero"/>
    <s v="Female"/>
    <s v="North Carolina"/>
    <s v="Raleigh"/>
    <s v="Bachelor"/>
    <d v="1967-07-16T00:00:00"/>
    <d v="2021-02-03T00:00:00"/>
    <d v="2021-08-02T00:00:00"/>
    <x v="2"/>
    <s v="Operations Analyst"/>
    <n v="58109"/>
    <s v="Satisfactory"/>
    <n v="0.49315068493150682"/>
    <s v="Terminated"/>
    <x v="10"/>
    <s v="Low"/>
  </r>
  <r>
    <s v="00-92688322"/>
    <s v="Kelsey"/>
    <s v="Phillips"/>
    <s v="Male"/>
    <s v="New York"/>
    <s v="New York City"/>
    <s v="Bachelor"/>
    <d v="1969-07-22T00:00:00"/>
    <d v="2022-04-06T00:00:00"/>
    <d v="2022-10-03T00:00:00"/>
    <x v="1"/>
    <s v="IT Support Specialist"/>
    <n v="59579"/>
    <s v="Satisfactory"/>
    <n v="7.816438356164384"/>
    <s v="Active"/>
    <x v="23"/>
    <s v="Low"/>
  </r>
  <r>
    <s v="00-23484199"/>
    <s v="Jennifer"/>
    <s v="Miller"/>
    <s v="Male"/>
    <s v="Ohio"/>
    <s v="Cincinnati"/>
    <s v="Bachelor"/>
    <d v="1971-08-10T00:00:00"/>
    <d v="2017-03-01T00:00:00"/>
    <d v="2021-05-26T00:00:00"/>
    <x v="6"/>
    <s v="Sales Representative"/>
    <n v="76734"/>
    <s v="Satisfactory"/>
    <n v="0.49315068493150682"/>
    <s v="Terminated"/>
    <x v="24"/>
    <s v="Medium"/>
  </r>
  <r>
    <s v="00-61543890"/>
    <s v="Norman"/>
    <s v="Bowers"/>
    <s v="Male"/>
    <s v="New York"/>
    <s v="New York City"/>
    <s v="Bachelor"/>
    <d v="1981-02-14T00:00:00"/>
    <d v="2018-03-01T00:00:00"/>
    <d v="2020-11-15T00:00:00"/>
    <x v="6"/>
    <s v="Sales Specialist"/>
    <n v="77985"/>
    <s v="Good"/>
    <n v="2.194520547945205"/>
    <s v="Active"/>
    <x v="3"/>
    <s v="Medium"/>
  </r>
  <r>
    <s v="00-43308414"/>
    <s v="Christopher"/>
    <s v="Hahn"/>
    <s v="Male"/>
    <s v="Michigan"/>
    <s v="Warren"/>
    <s v="High School"/>
    <d v="1988-07-11T00:00:00"/>
    <d v="2020-06-21T00:00:00"/>
    <d v="2023-03-21T00:00:00"/>
    <x v="0"/>
    <s v="Customer Service Representative"/>
    <n v="66529"/>
    <s v="Needs Improvement"/>
    <n v="3.5315068493150679"/>
    <s v="Active"/>
    <x v="4"/>
    <s v="Medium"/>
  </r>
  <r>
    <s v="00-91549765"/>
    <s v="Michael"/>
    <s v="Nelson"/>
    <s v="Male"/>
    <s v="New York"/>
    <s v="New York City"/>
    <s v="Bachelor"/>
    <d v="1981-12-20T00:00:00"/>
    <d v="2017-02-21T00:00:00"/>
    <d v="2017-08-20T00:00:00"/>
    <x v="6"/>
    <s v="Sales Representative"/>
    <n v="67819"/>
    <s v="Good"/>
    <n v="0.49315068493150682"/>
    <s v="Active"/>
    <x v="25"/>
    <s v="Medium"/>
  </r>
  <r>
    <s v="00-98369672"/>
    <s v="Christopher"/>
    <s v="Jordan"/>
    <s v="Female"/>
    <s v="New York"/>
    <s v="New York City"/>
    <s v="Bachelor"/>
    <d v="1966-10-10T00:00:00"/>
    <d v="2017-08-05T00:00:00"/>
    <d v="2018-02-01T00:00:00"/>
    <x v="3"/>
    <s v="Accountant"/>
    <n v="59461"/>
    <s v="Excellent"/>
    <n v="0.49315068493150682"/>
    <s v="Active"/>
    <x v="40"/>
    <s v="Low"/>
  </r>
  <r>
    <s v="00-91460345"/>
    <s v="Angela"/>
    <s v="Russell"/>
    <s v="Female"/>
    <s v="New York"/>
    <s v="New York City"/>
    <s v="High School"/>
    <d v="1964-01-07T00:00:00"/>
    <d v="2020-01-11T00:00:00"/>
    <d v="2020-07-09T00:00:00"/>
    <x v="1"/>
    <s v="IT Support Specialist"/>
    <n v="60402"/>
    <s v="Excellent"/>
    <n v="0.49315068493150682"/>
    <s v="Active"/>
    <x v="12"/>
    <s v="Medium"/>
  </r>
  <r>
    <s v="00-49666982"/>
    <s v="Christopher"/>
    <s v="Spencer"/>
    <s v="Female"/>
    <s v="Virginia"/>
    <s v="Richmond"/>
    <s v="Bachelor"/>
    <d v="1975-07-24T00:00:00"/>
    <d v="2021-08-20T00:00:00"/>
    <d v="2023-01-28T00:00:00"/>
    <x v="1"/>
    <s v="IT Support Specialist"/>
    <n v="55994"/>
    <s v="Excellent"/>
    <n v="0.49041095890410957"/>
    <s v="Active"/>
    <x v="33"/>
    <s v="Low"/>
  </r>
  <r>
    <s v="00-61792685"/>
    <s v="Carly"/>
    <s v="Nguyen"/>
    <s v="Female"/>
    <s v="Michigan"/>
    <s v="Detroit"/>
    <s v="Bachelor"/>
    <d v="1976-06-21T00:00:00"/>
    <d v="2016-05-29T00:00:00"/>
    <d v="2024-04-06T00:00:00"/>
    <x v="3"/>
    <s v="Accounts Payable Specialist"/>
    <n v="54791"/>
    <s v="Good"/>
    <n v="0.49315068493150682"/>
    <s v="Active"/>
    <x v="32"/>
    <s v="Low"/>
  </r>
  <r>
    <s v="00-89715904"/>
    <s v="Alexander"/>
    <s v="Gutierrez"/>
    <s v="Female"/>
    <s v="Ohio"/>
    <s v="Cleveland"/>
    <s v="Bachelor"/>
    <d v="1971-04-27T00:00:00"/>
    <d v="2016-10-29T00:00:00"/>
    <d v="2017-04-27T00:00:00"/>
    <x v="2"/>
    <s v="Logistics Coordinator"/>
    <n v="64308"/>
    <s v="Satisfactory"/>
    <n v="0.49315068493150682"/>
    <s v="Terminated"/>
    <x v="24"/>
    <s v="Medium"/>
  </r>
  <r>
    <s v="00-52476240"/>
    <s v="Christopher"/>
    <s v="Santana"/>
    <s v="Male"/>
    <s v="New York"/>
    <s v="New York City"/>
    <s v="Bachelor"/>
    <d v="1961-07-17T00:00:00"/>
    <d v="2017-12-18T00:00:00"/>
    <d v="2018-06-16T00:00:00"/>
    <x v="2"/>
    <s v="Inventory Specialist"/>
    <n v="64044"/>
    <s v="Good"/>
    <n v="0.49041095890410957"/>
    <s v="Active"/>
    <x v="43"/>
    <s v="Medium"/>
  </r>
  <r>
    <s v="00-59044830"/>
    <s v="Victoria"/>
    <s v="Sanchez"/>
    <s v="Male"/>
    <s v="Michigan"/>
    <s v="Detroit"/>
    <s v="High School"/>
    <d v="1974-10-19T00:00:00"/>
    <d v="2020-07-21T00:00:00"/>
    <d v="2024-05-05T00:00:00"/>
    <x v="2"/>
    <s v="Inventory Specialist"/>
    <n v="61578"/>
    <s v="Needs Improvement"/>
    <n v="0.49315068493150682"/>
    <s v="Active"/>
    <x v="9"/>
    <s v="Medium"/>
  </r>
  <r>
    <s v="00-73218512"/>
    <s v="Gavin"/>
    <s v="James"/>
    <s v="Male"/>
    <s v="Illinois"/>
    <s v="Chicago"/>
    <s v="Master"/>
    <d v="1977-04-07T00:00:00"/>
    <d v="2024-02-23T00:00:00"/>
    <d v="2024-08-21T00:00:00"/>
    <x v="1"/>
    <s v="Software Developer"/>
    <n v="73871"/>
    <s v="Good"/>
    <n v="1.268493150684932"/>
    <s v="Active"/>
    <x v="32"/>
    <s v="Medium"/>
  </r>
  <r>
    <s v="00-88834594"/>
    <s v="Joseph"/>
    <s v="Adams"/>
    <s v="Male"/>
    <s v="New York"/>
    <s v="New York City"/>
    <s v="PhD"/>
    <d v="1997-01-26T00:00:00"/>
    <d v="2016-02-26T00:00:00"/>
    <d v="2018-09-04T00:00:00"/>
    <x v="6"/>
    <s v="Sales Specialist"/>
    <n v="76777"/>
    <s v="Excellent"/>
    <n v="0.49315068493150682"/>
    <s v="Active"/>
    <x v="39"/>
    <s v="Medium"/>
  </r>
  <r>
    <s v="00-15345470"/>
    <s v="Bryan"/>
    <s v="Hamilton"/>
    <s v="Female"/>
    <s v="New York"/>
    <s v="New York City"/>
    <s v="Bachelor"/>
    <d v="1991-12-11T00:00:00"/>
    <d v="2024-06-12T00:00:00"/>
    <d v="2024-12-09T00:00:00"/>
    <x v="0"/>
    <s v="Customer Service Representative"/>
    <n v="57457"/>
    <s v="Good"/>
    <n v="0.49315068493150682"/>
    <s v="Active"/>
    <x v="5"/>
    <s v="Low"/>
  </r>
  <r>
    <s v="00-48451741"/>
    <s v="Kevin"/>
    <s v="Patton"/>
    <s v="Female"/>
    <s v="Pennsylvania"/>
    <s v="Philadelphia"/>
    <s v="High School"/>
    <d v="1998-02-28T00:00:00"/>
    <d v="2021-05-21T00:00:00"/>
    <d v="2024-02-08T00:00:00"/>
    <x v="2"/>
    <s v="Inventory Specialist"/>
    <n v="60551"/>
    <s v="Needs Improvement"/>
    <n v="0.49315068493150682"/>
    <s v="Active"/>
    <x v="34"/>
    <s v="Medium"/>
  </r>
  <r>
    <s v="00-65758338"/>
    <s v="Johnathan"/>
    <s v="Wright"/>
    <s v="Male"/>
    <s v="New York"/>
    <s v="New York City"/>
    <s v="Bachelor"/>
    <d v="1991-09-12T00:00:00"/>
    <d v="2019-08-31T00:00:00"/>
    <d v="2024-05-29T00:00:00"/>
    <x v="2"/>
    <s v="Logistics Coordinator"/>
    <n v="61458"/>
    <s v="Excellent"/>
    <n v="7.0821917808219181"/>
    <s v="Active"/>
    <x v="5"/>
    <s v="Medium"/>
  </r>
  <r>
    <s v="00-95971459"/>
    <s v="Tyler"/>
    <s v="Jensen"/>
    <s v="Male"/>
    <s v="New York"/>
    <s v="New York City"/>
    <s v="Bachelor"/>
    <d v="1978-01-31T00:00:00"/>
    <d v="2020-06-26T00:00:00"/>
    <d v="2020-12-23T00:00:00"/>
    <x v="2"/>
    <s v="Logistics Coordinator"/>
    <n v="74903"/>
    <s v="Satisfactory"/>
    <n v="0.49041095890410957"/>
    <s v="Terminated"/>
    <x v="18"/>
    <s v="Medium"/>
  </r>
  <r>
    <s v="00-47241089"/>
    <s v="Daniel"/>
    <s v="Torres"/>
    <s v="Male"/>
    <s v="New York"/>
    <s v="New York City"/>
    <s v="Bachelor"/>
    <d v="1996-12-10T00:00:00"/>
    <d v="2016-06-02T00:00:00"/>
    <d v="2016-11-29T00:00:00"/>
    <x v="6"/>
    <s v="Sales Specialist"/>
    <n v="66450"/>
    <s v="Good"/>
    <n v="7.9835616438356167"/>
    <s v="Active"/>
    <x v="39"/>
    <s v="Medium"/>
  </r>
  <r>
    <s v="00-37272705"/>
    <s v="Martin"/>
    <s v="Oliver"/>
    <s v="Male"/>
    <s v="New York"/>
    <s v="New York City"/>
    <s v="Bachelor"/>
    <d v="1995-10-14T00:00:00"/>
    <d v="2018-11-08T00:00:00"/>
    <d v="2019-05-07T00:00:00"/>
    <x v="4"/>
    <s v="Content Creator"/>
    <n v="60027"/>
    <s v="Satisfactory"/>
    <n v="0.49315068493150682"/>
    <s v="Active"/>
    <x v="6"/>
    <s v="Medium"/>
  </r>
  <r>
    <s v="00-53855682"/>
    <s v="Michelle"/>
    <s v="Alexander"/>
    <s v="Male"/>
    <s v="New York"/>
    <s v="New York City"/>
    <s v="High School"/>
    <d v="1987-11-01T00:00:00"/>
    <d v="2019-06-17T00:00:00"/>
    <d v="2020-01-18T00:00:00"/>
    <x v="1"/>
    <s v="IT Support Specialist"/>
    <n v="61785"/>
    <s v="Needs Improvement"/>
    <n v="0.49315068493150682"/>
    <s v="Active"/>
    <x v="1"/>
    <s v="Medium"/>
  </r>
  <r>
    <s v="00-97219985"/>
    <s v="Lisa"/>
    <s v="Villarreal"/>
    <s v="Male"/>
    <s v="New York"/>
    <s v="New York City"/>
    <s v="Bachelor"/>
    <d v="1979-08-18T00:00:00"/>
    <d v="2022-08-19T00:00:00"/>
    <d v="2023-10-27T00:00:00"/>
    <x v="4"/>
    <s v="Marketing Coordinator"/>
    <n v="77437"/>
    <s v="Satisfactory"/>
    <n v="5.3589041095890408"/>
    <s v="Active"/>
    <x v="0"/>
    <s v="Medium"/>
  </r>
  <r>
    <s v="00-68718382"/>
    <s v="Derek"/>
    <s v="Flores"/>
    <s v="Female"/>
    <s v="New York"/>
    <s v="New York City"/>
    <s v="PhD"/>
    <d v="1992-05-13T00:00:00"/>
    <d v="2022-09-28T00:00:00"/>
    <d v="2024-05-04T00:00:00"/>
    <x v="3"/>
    <s v="Financial Analyst"/>
    <n v="82977"/>
    <s v="Excellent"/>
    <n v="6.1424657534246574"/>
    <s v="Active"/>
    <x v="17"/>
    <s v="Medium"/>
  </r>
  <r>
    <s v="00-42813517"/>
    <s v="James"/>
    <s v="Edwards"/>
    <s v="Female"/>
    <s v="North Carolina"/>
    <s v="Greensboro"/>
    <s v="Bachelor"/>
    <d v="1983-12-04T00:00:00"/>
    <d v="2016-06-03T00:00:00"/>
    <d v="2017-12-30T00:00:00"/>
    <x v="2"/>
    <s v="Logistics Coordinator"/>
    <n v="55177"/>
    <s v="Good"/>
    <n v="1.0356164383561639"/>
    <s v="Active"/>
    <x v="22"/>
    <s v="Low"/>
  </r>
  <r>
    <s v="00-70850538"/>
    <s v="Tanya"/>
    <s v="Carter"/>
    <s v="Male"/>
    <s v="New York"/>
    <s v="New York City"/>
    <s v="PhD"/>
    <d v="1989-06-26T00:00:00"/>
    <d v="2021-09-27T00:00:00"/>
    <d v="2022-03-26T00:00:00"/>
    <x v="6"/>
    <s v="Sales Consultant"/>
    <n v="84520"/>
    <s v="Excellent"/>
    <n v="2.5452054794520551"/>
    <s v="Terminated"/>
    <x v="35"/>
    <s v="Medium"/>
  </r>
  <r>
    <s v="00-99399687"/>
    <s v="Cynthia"/>
    <s v="Faulkner"/>
    <s v="Male"/>
    <s v="Pennsylvania"/>
    <s v="Philadelphia"/>
    <s v="High School"/>
    <d v="1998-06-26T00:00:00"/>
    <d v="2022-10-31T00:00:00"/>
    <d v="2023-04-29T00:00:00"/>
    <x v="2"/>
    <s v="Inventory Specialist"/>
    <n v="58264"/>
    <s v="Needs Improvement"/>
    <n v="0.49315068493150682"/>
    <s v="Active"/>
    <x v="31"/>
    <s v="Low"/>
  </r>
  <r>
    <s v="00-26031369"/>
    <s v="John"/>
    <s v="Bennett"/>
    <s v="Female"/>
    <s v="Illinois"/>
    <s v="Naperville"/>
    <s v="Bachelor"/>
    <d v="1959-09-13T00:00:00"/>
    <d v="2015-11-14T00:00:00"/>
    <d v="2021-07-08T00:00:00"/>
    <x v="2"/>
    <s v="Inventory Specialist"/>
    <n v="59625"/>
    <s v="Good"/>
    <n v="2.753424657534246"/>
    <s v="Active"/>
    <x v="14"/>
    <s v="Low"/>
  </r>
  <r>
    <s v="00-11523452"/>
    <s v="Kristi"/>
    <s v="Diaz"/>
    <s v="Female"/>
    <s v="New York"/>
    <s v="New York City"/>
    <s v="Master"/>
    <d v="1984-04-17T00:00:00"/>
    <d v="2017-12-28T00:00:00"/>
    <d v="2021-06-26T00:00:00"/>
    <x v="1"/>
    <s v="Software Developer"/>
    <n v="94351"/>
    <s v="Good"/>
    <n v="0.49315068493150682"/>
    <s v="Active"/>
    <x v="27"/>
    <s v="Medium"/>
  </r>
  <r>
    <s v="00-79420474"/>
    <s v="Anne"/>
    <s v="Vargas"/>
    <s v="Female"/>
    <s v="New York"/>
    <s v="New York City"/>
    <s v="Bachelor"/>
    <d v="1986-07-23T00:00:00"/>
    <d v="2017-07-31T00:00:00"/>
    <d v="2018-01-27T00:00:00"/>
    <x v="0"/>
    <s v="Customer Service Representative"/>
    <n v="54248"/>
    <s v="Needs Improvement"/>
    <n v="1.616438356164384"/>
    <s v="Active"/>
    <x v="28"/>
    <s v="Low"/>
  </r>
  <r>
    <s v="00-32409388"/>
    <s v="Hector"/>
    <s v="Saunders"/>
    <s v="Male"/>
    <s v="New York"/>
    <s v="New York City"/>
    <s v="Master"/>
    <d v="1970-01-15T00:00:00"/>
    <d v="2018-01-11T00:00:00"/>
    <d v="2018-08-20T00:00:00"/>
    <x v="6"/>
    <s v="Sales Specialist"/>
    <n v="85379"/>
    <s v="Good"/>
    <n v="0.49315068493150682"/>
    <s v="Active"/>
    <x v="23"/>
    <s v="Medium"/>
  </r>
  <r>
    <s v="00-46072958"/>
    <s v="Stephanie"/>
    <s v="Murray"/>
    <s v="Male"/>
    <s v="New York"/>
    <s v="New York City"/>
    <s v="PhD"/>
    <d v="1994-09-23T00:00:00"/>
    <d v="2022-10-03T00:00:00"/>
    <d v="2023-04-01T00:00:00"/>
    <x v="1"/>
    <s v="IT Manager"/>
    <n v="120635"/>
    <s v="Excellent"/>
    <n v="8.5671232876712331"/>
    <s v="Terminated"/>
    <x v="2"/>
    <s v="High"/>
  </r>
  <r>
    <s v="00-13940129"/>
    <s v="Jason"/>
    <s v="Salinas"/>
    <s v="Male"/>
    <s v="New York"/>
    <s v="New York City"/>
    <s v="Bachelor"/>
    <d v="1990-08-07T00:00:00"/>
    <d v="2018-11-19T00:00:00"/>
    <d v="2022-03-18T00:00:00"/>
    <x v="3"/>
    <s v="Accountant"/>
    <n v="65005"/>
    <s v="Needs Improvement"/>
    <n v="0.49315068493150682"/>
    <s v="Active"/>
    <x v="16"/>
    <s v="Medium"/>
  </r>
  <r>
    <s v="00-80310522"/>
    <s v="Heather"/>
    <s v="Fuentes"/>
    <s v="Female"/>
    <s v="New York"/>
    <s v="New York City"/>
    <s v="Bachelor"/>
    <d v="1977-06-02T00:00:00"/>
    <d v="2016-11-05T00:00:00"/>
    <d v="2018-01-19T00:00:00"/>
    <x v="2"/>
    <s v="Logistics Coordinator"/>
    <n v="56923"/>
    <s v="Excellent"/>
    <n v="0.49315068493150682"/>
    <s v="Terminated"/>
    <x v="18"/>
    <s v="Low"/>
  </r>
  <r>
    <s v="00-94226031"/>
    <s v="Laura"/>
    <s v="Chambers"/>
    <s v="Female"/>
    <s v="North Carolina"/>
    <s v="Charlotte"/>
    <s v="Bachelor"/>
    <d v="1987-06-09T00:00:00"/>
    <d v="2016-02-24T00:00:00"/>
    <d v="2017-01-21T00:00:00"/>
    <x v="2"/>
    <s v="Logistics Coordinator"/>
    <n v="55231"/>
    <s v="Satisfactory"/>
    <n v="0.49315068493150682"/>
    <s v="Active"/>
    <x v="1"/>
    <s v="Low"/>
  </r>
  <r>
    <s v="00-58335011"/>
    <s v="Cynthia"/>
    <s v="Allen"/>
    <s v="Male"/>
    <s v="Pennsylvania"/>
    <s v="Allentown"/>
    <s v="Bachelor"/>
    <d v="1984-06-05T00:00:00"/>
    <d v="2016-09-12T00:00:00"/>
    <d v="2017-07-30T00:00:00"/>
    <x v="2"/>
    <s v="Logistics Coordinator"/>
    <n v="67786"/>
    <s v="Good"/>
    <n v="4.2383561643835614"/>
    <s v="Terminated"/>
    <x v="27"/>
    <s v="Medium"/>
  </r>
  <r>
    <s v="00-59350218"/>
    <s v="Eric"/>
    <s v="Henderson"/>
    <s v="Female"/>
    <s v="New York"/>
    <s v="New York City"/>
    <s v="Master"/>
    <d v="1991-05-24T00:00:00"/>
    <d v="2017-05-27T00:00:00"/>
    <d v="2023-02-28T00:00:00"/>
    <x v="6"/>
    <s v="Sales Manager"/>
    <n v="107510"/>
    <s v="Excellent"/>
    <n v="2.7123287671232879"/>
    <s v="Active"/>
    <x v="5"/>
    <s v="High"/>
  </r>
  <r>
    <s v="00-25479814"/>
    <s v="Charles"/>
    <s v="Ewing"/>
    <s v="Female"/>
    <s v="New York"/>
    <s v="New York City"/>
    <s v="High School"/>
    <d v="1995-03-10T00:00:00"/>
    <d v="2017-07-06T00:00:00"/>
    <d v="2018-01-02T00:00:00"/>
    <x v="0"/>
    <s v="Customer Service Representative"/>
    <n v="56546"/>
    <s v="Needs Improvement"/>
    <n v="8.161643835616438"/>
    <s v="Active"/>
    <x v="2"/>
    <s v="Low"/>
  </r>
  <r>
    <s v="00-15910667"/>
    <s v="Brandi"/>
    <s v="Ferguson"/>
    <s v="Male"/>
    <s v="New York"/>
    <s v="New York City"/>
    <s v="Bachelor"/>
    <d v="2000-08-28T00:00:00"/>
    <d v="2017-12-25T00:00:00"/>
    <d v="2018-06-22T00:00:00"/>
    <x v="6"/>
    <s v="Sales Consultant"/>
    <n v="89077"/>
    <s v="Good"/>
    <n v="2.7479452054794522"/>
    <s v="Active"/>
    <x v="37"/>
    <s v="Medium"/>
  </r>
  <r>
    <s v="00-16171536"/>
    <s v="Samantha"/>
    <s v="Holt"/>
    <s v="Male"/>
    <s v="New York"/>
    <s v="New York City"/>
    <s v="Bachelor"/>
    <d v="1980-11-17T00:00:00"/>
    <d v="2019-07-31T00:00:00"/>
    <d v="2020-02-07T00:00:00"/>
    <x v="2"/>
    <s v="Logistics Coordinator"/>
    <n v="68156"/>
    <s v="Satisfactory"/>
    <n v="0.49315068493150682"/>
    <s v="Terminated"/>
    <x v="3"/>
    <s v="Medium"/>
  </r>
  <r>
    <s v="00-34019729"/>
    <s v="Benjamin"/>
    <s v="Schmitt"/>
    <s v="Male"/>
    <s v="New York"/>
    <s v="New York City"/>
    <s v="Bachelor"/>
    <d v="1960-04-11T00:00:00"/>
    <d v="2018-09-29T00:00:00"/>
    <d v="2019-03-28T00:00:00"/>
    <x v="2"/>
    <s v="Logistics Coordinator"/>
    <n v="68783"/>
    <s v="Good"/>
    <n v="0.49315068493150682"/>
    <s v="Terminated"/>
    <x v="14"/>
    <s v="Medium"/>
  </r>
  <r>
    <s v="00-98007006"/>
    <s v="Paula"/>
    <s v="Herrera"/>
    <s v="Female"/>
    <s v="Virginia"/>
    <s v="Richmond"/>
    <s v="Master"/>
    <d v="1977-10-02T00:00:00"/>
    <d v="2019-09-05T00:00:00"/>
    <d v="2020-03-03T00:00:00"/>
    <x v="1"/>
    <s v="Software Developer"/>
    <n v="88303"/>
    <s v="Excellent"/>
    <n v="0.49315068493150682"/>
    <s v="Active"/>
    <x v="18"/>
    <s v="Medium"/>
  </r>
  <r>
    <s v="00-65869014"/>
    <s v="Robin"/>
    <s v="Rodriguez"/>
    <s v="Male"/>
    <s v="New York"/>
    <s v="New York City"/>
    <s v="Bachelor"/>
    <d v="2004-03-20T00:00:00"/>
    <d v="2024-04-06T00:00:00"/>
    <d v="2024-10-03T00:00:00"/>
    <x v="3"/>
    <s v="Accountant"/>
    <n v="75078"/>
    <s v="Satisfactory"/>
    <n v="1.441095890410959"/>
    <s v="Terminated"/>
    <x v="26"/>
    <s v="Medium"/>
  </r>
  <r>
    <s v="00-20453825"/>
    <s v="Diane"/>
    <s v="Kelly"/>
    <s v="Male"/>
    <s v="Illinois"/>
    <s v="Aurora"/>
    <s v="Bachelor"/>
    <d v="1999-05-12T00:00:00"/>
    <d v="2020-09-08T00:00:00"/>
    <d v="2021-03-07T00:00:00"/>
    <x v="3"/>
    <s v="Financial Analyst"/>
    <n v="80435"/>
    <s v="Satisfactory"/>
    <n v="7.86027397260274"/>
    <s v="Terminated"/>
    <x v="41"/>
    <s v="Medium"/>
  </r>
  <r>
    <s v="00-17069536"/>
    <s v="Cheyenne"/>
    <s v="Hart"/>
    <s v="Male"/>
    <s v="New York"/>
    <s v="New York City"/>
    <s v="Bachelor"/>
    <d v="2002-08-28T00:00:00"/>
    <d v="2017-09-08T00:00:00"/>
    <d v="2021-07-04T00:00:00"/>
    <x v="2"/>
    <s v="Logistics Coordinator"/>
    <n v="63585"/>
    <s v="Excellent"/>
    <n v="0.49315068493150682"/>
    <s v="Terminated"/>
    <x v="7"/>
    <s v="Medium"/>
  </r>
  <r>
    <s v="00-63811222"/>
    <s v="Erica"/>
    <s v="Ross"/>
    <s v="Female"/>
    <s v="New York"/>
    <s v="New York City"/>
    <s v="High School"/>
    <d v="1984-01-01T00:00:00"/>
    <d v="2016-10-19T00:00:00"/>
    <d v="2023-10-16T00:00:00"/>
    <x v="2"/>
    <s v="Inventory Specialist"/>
    <n v="54994"/>
    <s v="Needs Improvement"/>
    <n v="0.49315068493150682"/>
    <s v="Active"/>
    <x v="22"/>
    <s v="Low"/>
  </r>
  <r>
    <s v="00-47890586"/>
    <s v="Martin"/>
    <s v="Hogan"/>
    <s v="Male"/>
    <s v="New York"/>
    <s v="New York City"/>
    <s v="Bachelor"/>
    <d v="1984-03-12T00:00:00"/>
    <d v="2023-02-11T00:00:00"/>
    <d v="2023-08-10T00:00:00"/>
    <x v="4"/>
    <s v="Content Creator"/>
    <n v="68828"/>
    <s v="Excellent"/>
    <n v="3.7917808219178082"/>
    <s v="Terminated"/>
    <x v="22"/>
    <s v="Medium"/>
  </r>
  <r>
    <s v="00-21594468"/>
    <s v="Alex"/>
    <s v="Green"/>
    <s v="Male"/>
    <s v="New York"/>
    <s v="New York City"/>
    <s v="Bachelor"/>
    <d v="1977-12-19T00:00:00"/>
    <d v="2020-07-17T00:00:00"/>
    <d v="2024-08-28T00:00:00"/>
    <x v="2"/>
    <s v="Inventory Specialist"/>
    <n v="68994"/>
    <s v="Satisfactory"/>
    <n v="0.49315068493150682"/>
    <s v="Terminated"/>
    <x v="18"/>
    <s v="Medium"/>
  </r>
  <r>
    <s v="00-36933626"/>
    <s v="Julie"/>
    <s v="Grant"/>
    <s v="Female"/>
    <s v="Michigan"/>
    <s v="Detroit"/>
    <s v="PhD"/>
    <d v="1993-12-30T00:00:00"/>
    <d v="2017-09-25T00:00:00"/>
    <d v="2019-07-20T00:00:00"/>
    <x v="6"/>
    <s v="Sales Specialist"/>
    <n v="64736"/>
    <s v="Excellent"/>
    <n v="2.5232876712328771"/>
    <s v="Active"/>
    <x v="8"/>
    <s v="Medium"/>
  </r>
  <r>
    <s v="00-93579731"/>
    <s v="Barbara"/>
    <s v="Griffin"/>
    <s v="Male"/>
    <s v="Pennsylvania"/>
    <s v="Pittsburgh"/>
    <s v="Bachelor"/>
    <d v="1995-05-12T00:00:00"/>
    <d v="2017-06-01T00:00:00"/>
    <d v="2024-02-26T00:00:00"/>
    <x v="2"/>
    <s v="Inventory Specialist"/>
    <n v="62922"/>
    <s v="Excellent"/>
    <n v="0.49315068493150682"/>
    <s v="Active"/>
    <x v="6"/>
    <s v="Medium"/>
  </r>
  <r>
    <s v="00-76217748"/>
    <s v="Steven"/>
    <s v="Frazier"/>
    <s v="Male"/>
    <s v="Ohio"/>
    <s v="Columbus"/>
    <s v="Bachelor"/>
    <d v="1995-02-19T00:00:00"/>
    <d v="2018-09-25T00:00:00"/>
    <d v="2019-03-24T00:00:00"/>
    <x v="0"/>
    <s v="Customer Service Representative"/>
    <n v="67268"/>
    <s v="Needs Improvement"/>
    <n v="2.720547945205479"/>
    <s v="Terminated"/>
    <x v="2"/>
    <s v="Medium"/>
  </r>
  <r>
    <s v="00-83357939"/>
    <s v="Vincent"/>
    <s v="Cooper"/>
    <s v="Female"/>
    <s v="New York"/>
    <s v="New York City"/>
    <s v="Bachelor"/>
    <d v="2000-07-21T00:00:00"/>
    <d v="2022-01-10T00:00:00"/>
    <d v="2022-07-09T00:00:00"/>
    <x v="5"/>
    <s v="HR Coordinator"/>
    <n v="57402"/>
    <s v="Good"/>
    <n v="4.7479452054794518"/>
    <s v="Terminated"/>
    <x v="37"/>
    <s v="Low"/>
  </r>
  <r>
    <s v="00-10856024"/>
    <s v="Timothy"/>
    <s v="Phillips"/>
    <s v="Male"/>
    <s v="Virginia"/>
    <s v="Richmond"/>
    <s v="Bachelor"/>
    <d v="2002-04-29T00:00:00"/>
    <d v="2018-12-23T00:00:00"/>
    <d v="2019-06-21T00:00:00"/>
    <x v="2"/>
    <s v="Inventory Specialist"/>
    <n v="61322"/>
    <s v="Excellent"/>
    <n v="0.49315068493150682"/>
    <s v="Active"/>
    <x v="7"/>
    <s v="Medium"/>
  </r>
  <r>
    <s v="00-82684966"/>
    <s v="Suzanne"/>
    <s v="Wilson"/>
    <s v="Male"/>
    <s v="Michigan"/>
    <s v="Grand Rapids"/>
    <s v="Bachelor"/>
    <d v="1982-08-27T00:00:00"/>
    <d v="2018-10-11T00:00:00"/>
    <d v="2019-04-09T00:00:00"/>
    <x v="2"/>
    <s v="Inventory Specialist"/>
    <n v="59023"/>
    <s v="Good"/>
    <n v="0.49315068493150682"/>
    <s v="Active"/>
    <x v="19"/>
    <s v="Low"/>
  </r>
  <r>
    <s v="00-54965270"/>
    <s v="Donald"/>
    <s v="Collins"/>
    <s v="Female"/>
    <s v="North Carolina"/>
    <s v="Charlotte"/>
    <s v="High School"/>
    <d v="1992-02-22T00:00:00"/>
    <d v="2015-06-26T00:00:00"/>
    <d v="2018-05-08T00:00:00"/>
    <x v="2"/>
    <s v="Inventory Specialist"/>
    <n v="60768"/>
    <s v="Needs Improvement"/>
    <n v="0.49315068493150682"/>
    <s v="Terminated"/>
    <x v="5"/>
    <s v="Medium"/>
  </r>
  <r>
    <s v="00-51273379"/>
    <s v="Kristen"/>
    <s v="Boyd"/>
    <s v="Female"/>
    <s v="New York"/>
    <s v="New York City"/>
    <s v="Bachelor"/>
    <d v="1961-02-19T00:00:00"/>
    <d v="2016-05-15T00:00:00"/>
    <d v="2024-12-05T00:00:00"/>
    <x v="2"/>
    <s v="Logistics Coordinator"/>
    <n v="59658"/>
    <s v="Good"/>
    <n v="0.58904109589041098"/>
    <s v="Active"/>
    <x v="20"/>
    <s v="Low"/>
  </r>
  <r>
    <s v="00-66346728"/>
    <s v="Thomas"/>
    <s v="Kim"/>
    <s v="Male"/>
    <s v="New York"/>
    <s v="New York City"/>
    <s v="High School"/>
    <d v="1976-06-22T00:00:00"/>
    <d v="2020-09-27T00:00:00"/>
    <d v="2021-03-26T00:00:00"/>
    <x v="1"/>
    <s v="IT Support Specialist"/>
    <n v="60654"/>
    <s v="Excellent"/>
    <n v="1.189041095890411"/>
    <s v="Active"/>
    <x v="32"/>
    <s v="Medium"/>
  </r>
  <r>
    <s v="00-47557512"/>
    <s v="Shaun"/>
    <s v="Jones"/>
    <s v="Female"/>
    <s v="New York"/>
    <s v="New York City"/>
    <s v="Bachelor"/>
    <d v="1969-08-13T00:00:00"/>
    <d v="2016-01-18T00:00:00"/>
    <d v="2020-02-17T00:00:00"/>
    <x v="0"/>
    <s v="Help Desk Technician"/>
    <n v="58869"/>
    <s v="Good"/>
    <n v="1.6"/>
    <s v="Active"/>
    <x v="23"/>
    <s v="Low"/>
  </r>
  <r>
    <s v="00-79760901"/>
    <s v="Lisa"/>
    <s v="Wilson"/>
    <s v="Male"/>
    <s v="New York"/>
    <s v="New York City"/>
    <s v="Bachelor"/>
    <d v="1976-07-19T00:00:00"/>
    <d v="2019-11-26T00:00:00"/>
    <d v="2023-11-22T00:00:00"/>
    <x v="6"/>
    <s v="Sales Representative"/>
    <n v="84224"/>
    <s v="Satisfactory"/>
    <n v="1.575342465753425"/>
    <s v="Active"/>
    <x v="32"/>
    <s v="Medium"/>
  </r>
  <r>
    <s v="00-21395409"/>
    <s v="Matthew"/>
    <s v="Rodriguez"/>
    <s v="Male"/>
    <s v="New York"/>
    <s v="New York City"/>
    <s v="Bachelor"/>
    <d v="1962-09-02T00:00:00"/>
    <d v="2020-11-06T00:00:00"/>
    <d v="2022-03-17T00:00:00"/>
    <x v="0"/>
    <s v="Support Specialist"/>
    <n v="76724"/>
    <s v="Good"/>
    <n v="0.49315068493150682"/>
    <s v="Active"/>
    <x v="13"/>
    <s v="Medium"/>
  </r>
  <r>
    <s v="00-95525640"/>
    <s v="Frank"/>
    <s v="Riggs"/>
    <s v="Male"/>
    <s v="Michigan"/>
    <s v="Grand Rapids"/>
    <s v="Bachelor"/>
    <d v="1990-11-10T00:00:00"/>
    <d v="2023-04-05T00:00:00"/>
    <d v="2023-10-02T00:00:00"/>
    <x v="2"/>
    <s v="Operations Analyst"/>
    <n v="72364"/>
    <s v="Satisfactory"/>
    <n v="0.49315068493150682"/>
    <s v="Active"/>
    <x v="16"/>
    <s v="Medium"/>
  </r>
  <r>
    <s v="00-86211608"/>
    <s v="Zachary"/>
    <s v="Arnold"/>
    <s v="Female"/>
    <s v="New York"/>
    <s v="New York City"/>
    <s v="Bachelor"/>
    <d v="2002-10-05T00:00:00"/>
    <d v="2016-05-08T00:00:00"/>
    <d v="2024-12-12T00:00:00"/>
    <x v="6"/>
    <s v="Sales Representative"/>
    <n v="64491"/>
    <s v="Good"/>
    <n v="5.6520547945205477"/>
    <s v="Active"/>
    <x v="7"/>
    <s v="Medium"/>
  </r>
  <r>
    <s v="00-41778964"/>
    <s v="Anita"/>
    <s v="Mullen"/>
    <s v="Male"/>
    <s v="New York"/>
    <s v="New York City"/>
    <s v="Bachelor"/>
    <d v="1971-01-12T00:00:00"/>
    <d v="2017-04-01T00:00:00"/>
    <d v="2017-09-28T00:00:00"/>
    <x v="0"/>
    <s v="Customer Service Representative"/>
    <n v="64668"/>
    <s v="Satisfactory"/>
    <n v="3.495890410958904"/>
    <s v="Active"/>
    <x v="21"/>
    <s v="Medium"/>
  </r>
  <r>
    <s v="00-62741214"/>
    <s v="Lauren"/>
    <s v="Soto"/>
    <s v="Male"/>
    <s v="Pennsylvania"/>
    <s v="Allentown"/>
    <s v="High School"/>
    <d v="2002-02-04T00:00:00"/>
    <d v="2022-03-14T00:00:00"/>
    <d v="2022-09-10T00:00:00"/>
    <x v="0"/>
    <s v="Customer Service Representative"/>
    <n v="59413"/>
    <s v="Needs Improvement"/>
    <n v="0.49315068493150682"/>
    <s v="Active"/>
    <x v="11"/>
    <s v="Low"/>
  </r>
  <r>
    <s v="00-52688984"/>
    <s v="Danielle"/>
    <s v="Reynolds"/>
    <s v="Female"/>
    <s v="New York"/>
    <s v="New York City"/>
    <s v="Bachelor"/>
    <d v="1994-01-23T00:00:00"/>
    <d v="2019-01-12T00:00:00"/>
    <d v="2019-07-11T00:00:00"/>
    <x v="2"/>
    <s v="Logistics Coordinator"/>
    <n v="61056"/>
    <s v="Good"/>
    <n v="0.60547945205479448"/>
    <s v="Active"/>
    <x v="8"/>
    <s v="Medium"/>
  </r>
  <r>
    <s v="00-37207628"/>
    <s v="Jo"/>
    <s v="Ware"/>
    <s v="Female"/>
    <s v="New York"/>
    <s v="New York City"/>
    <s v="Bachelor"/>
    <d v="1973-12-06T00:00:00"/>
    <d v="2017-06-24T00:00:00"/>
    <d v="2018-01-16T00:00:00"/>
    <x v="2"/>
    <s v="Operations Analyst"/>
    <n v="74120"/>
    <s v="Good"/>
    <n v="0.49315068493150682"/>
    <s v="Terminated"/>
    <x v="15"/>
    <s v="Medium"/>
  </r>
  <r>
    <s v="00-30858851"/>
    <s v="Brittany"/>
    <s v="Price"/>
    <s v="Female"/>
    <s v="New York"/>
    <s v="New York City"/>
    <s v="High School"/>
    <d v="1971-04-20T00:00:00"/>
    <d v="2016-09-30T00:00:00"/>
    <d v="2021-08-13T00:00:00"/>
    <x v="1"/>
    <s v="IT Support Specialist"/>
    <n v="56337"/>
    <s v="Excellent"/>
    <n v="3.3287671232876712"/>
    <s v="Active"/>
    <x v="24"/>
    <s v="Low"/>
  </r>
  <r>
    <s v="00-52148834"/>
    <s v="Jason"/>
    <s v="Ramirez"/>
    <s v="Female"/>
    <s v="New York"/>
    <s v="New York City"/>
    <s v="Bachelor"/>
    <d v="1999-10-19T00:00:00"/>
    <d v="2019-10-01T00:00:00"/>
    <d v="2021-07-27T00:00:00"/>
    <x v="2"/>
    <s v="Inventory Specialist"/>
    <n v="59142"/>
    <s v="Good"/>
    <n v="1.205479452054794"/>
    <s v="Terminated"/>
    <x v="41"/>
    <s v="Low"/>
  </r>
  <r>
    <s v="00-37868462"/>
    <s v="Lindsey"/>
    <s v="Brown"/>
    <s v="Male"/>
    <s v="Michigan"/>
    <s v="Grand Rapids"/>
    <s v="Bachelor"/>
    <d v="1990-10-19T00:00:00"/>
    <d v="2019-02-09T00:00:00"/>
    <d v="2020-02-22T00:00:00"/>
    <x v="2"/>
    <s v="Logistics Coordinator"/>
    <n v="67180"/>
    <s v="Good"/>
    <n v="0.90958904109589045"/>
    <s v="Active"/>
    <x v="16"/>
    <s v="Medium"/>
  </r>
  <r>
    <s v="00-26094525"/>
    <s v="Lauren"/>
    <s v="Herrera"/>
    <s v="Female"/>
    <s v="Michigan"/>
    <s v="Warren"/>
    <s v="High School"/>
    <d v="1995-01-17T00:00:00"/>
    <d v="2016-05-22T00:00:00"/>
    <d v="2020-03-19T00:00:00"/>
    <x v="0"/>
    <s v="Customer Service Representative"/>
    <n v="60177"/>
    <s v="Excellent"/>
    <n v="0.8794520547945206"/>
    <s v="Active"/>
    <x v="2"/>
    <s v="Medium"/>
  </r>
  <r>
    <s v="00-90973889"/>
    <s v="Mark"/>
    <s v="Ellis"/>
    <s v="Male"/>
    <s v="Michigan"/>
    <s v="Detroit"/>
    <s v="Bachelor"/>
    <d v="1982-08-14T00:00:00"/>
    <d v="2015-04-12T00:00:00"/>
    <d v="2017-03-28T00:00:00"/>
    <x v="1"/>
    <s v="IT Support Specialist"/>
    <n v="68661"/>
    <s v="Satisfactory"/>
    <n v="5.7616438356164386"/>
    <s v="Active"/>
    <x v="19"/>
    <s v="Medium"/>
  </r>
  <r>
    <s v="00-22242388"/>
    <s v="Emily"/>
    <s v="Burns"/>
    <s v="Male"/>
    <s v="New York"/>
    <s v="New York City"/>
    <s v="Bachelor"/>
    <d v="1970-07-13T00:00:00"/>
    <d v="2022-09-06T00:00:00"/>
    <d v="2023-03-05T00:00:00"/>
    <x v="2"/>
    <s v="Operations Analyst"/>
    <n v="81510"/>
    <s v="Satisfactory"/>
    <n v="0.49315068493150682"/>
    <s v="Active"/>
    <x v="21"/>
    <s v="Medium"/>
  </r>
  <r>
    <s v="00-78915391"/>
    <s v="Lawrence"/>
    <s v="Price"/>
    <s v="Female"/>
    <s v="New York"/>
    <s v="New York City"/>
    <s v="Bachelor"/>
    <d v="1973-11-26T00:00:00"/>
    <d v="2015-06-02T00:00:00"/>
    <d v="2021-10-05T00:00:00"/>
    <x v="2"/>
    <s v="Operations Analyst"/>
    <n v="83267"/>
    <s v="Excellent"/>
    <n v="0.49041095890410957"/>
    <s v="Active"/>
    <x v="15"/>
    <s v="Medium"/>
  </r>
  <r>
    <s v="00-33336132"/>
    <s v="Brenda"/>
    <s v="Bailey"/>
    <s v="Female"/>
    <s v="New York"/>
    <s v="New York City"/>
    <s v="Bachelor"/>
    <d v="2003-03-14T00:00:00"/>
    <d v="2015-11-25T00:00:00"/>
    <d v="2022-11-29T00:00:00"/>
    <x v="2"/>
    <s v="Inventory Specialist"/>
    <n v="61566"/>
    <s v="Needs Improvement"/>
    <n v="0.52328767123287667"/>
    <s v="Terminated"/>
    <x v="7"/>
    <s v="Medium"/>
  </r>
  <r>
    <s v="00-70693413"/>
    <s v="Stephen"/>
    <s v="Thompson"/>
    <s v="Female"/>
    <s v="New York"/>
    <s v="New York City"/>
    <s v="Master"/>
    <d v="1987-12-18T00:00:00"/>
    <d v="2020-09-18T00:00:00"/>
    <d v="2021-03-17T00:00:00"/>
    <x v="1"/>
    <s v="Software Developer"/>
    <n v="96890"/>
    <s v="Excellent"/>
    <n v="0.49315068493150682"/>
    <s v="Active"/>
    <x v="1"/>
    <s v="Medium"/>
  </r>
  <r>
    <s v="00-22713811"/>
    <s v="Janice"/>
    <s v="Evans"/>
    <s v="Female"/>
    <s v="Michigan"/>
    <s v="Grand Rapids"/>
    <s v="Bachelor"/>
    <d v="2002-02-26T00:00:00"/>
    <d v="2019-08-27T00:00:00"/>
    <d v="2023-12-02T00:00:00"/>
    <x v="2"/>
    <s v="Operations Manager"/>
    <n v="85260"/>
    <s v="Good"/>
    <n v="0.49315068493150682"/>
    <s v="Terminated"/>
    <x v="11"/>
    <s v="Medium"/>
  </r>
  <r>
    <s v="00-11604831"/>
    <s v="Brittany"/>
    <s v="Powers"/>
    <s v="Male"/>
    <s v="New York"/>
    <s v="New York City"/>
    <s v="Bachelor"/>
    <d v="1996-09-02T00:00:00"/>
    <d v="2016-05-01T00:00:00"/>
    <d v="2021-12-30T00:00:00"/>
    <x v="0"/>
    <s v="Help Desk Technician"/>
    <n v="92489"/>
    <s v="Good"/>
    <n v="0.49315068493150682"/>
    <s v="Active"/>
    <x v="39"/>
    <s v="Medium"/>
  </r>
  <r>
    <s v="00-36592965"/>
    <s v="David"/>
    <s v="Torres"/>
    <s v="Male"/>
    <s v="Michigan"/>
    <s v="Detroit"/>
    <s v="Bachelor"/>
    <d v="1981-07-04T00:00:00"/>
    <d v="2023-03-13T00:00:00"/>
    <d v="2023-09-09T00:00:00"/>
    <x v="1"/>
    <s v="Software Developer"/>
    <n v="94069"/>
    <s v="Needs Improvement"/>
    <n v="0.49315068493150682"/>
    <s v="Active"/>
    <x v="25"/>
    <s v="Medium"/>
  </r>
  <r>
    <s v="00-94597104"/>
    <s v="Nathaniel"/>
    <s v="Thomas"/>
    <s v="Female"/>
    <s v="North Carolina"/>
    <s v="Raleigh"/>
    <s v="Master"/>
    <d v="1959-12-01T00:00:00"/>
    <d v="2024-05-30T00:00:00"/>
    <d v="2024-11-26T00:00:00"/>
    <x v="2"/>
    <s v="Operations Analyst"/>
    <n v="86995"/>
    <s v="Good"/>
    <n v="3.8219178082191778"/>
    <s v="Active"/>
    <x v="14"/>
    <s v="Medium"/>
  </r>
  <r>
    <s v="00-88667527"/>
    <s v="Robert"/>
    <s v="Taylor"/>
    <s v="Female"/>
    <s v="North Carolina"/>
    <s v="Charlotte"/>
    <s v="Bachelor"/>
    <d v="1982-02-04T00:00:00"/>
    <d v="2017-05-30T00:00:00"/>
    <d v="2022-07-06T00:00:00"/>
    <x v="6"/>
    <s v="Sales Representative"/>
    <n v="72745"/>
    <s v="Excellent"/>
    <n v="6.9945205479452053"/>
    <s v="Terminated"/>
    <x v="25"/>
    <s v="Medium"/>
  </r>
  <r>
    <s v="00-18653290"/>
    <s v="Rodney"/>
    <s v="Tucker"/>
    <s v="Female"/>
    <s v="New York"/>
    <s v="New York City"/>
    <s v="Bachelor"/>
    <d v="1998-12-26T00:00:00"/>
    <d v="2017-07-28T00:00:00"/>
    <d v="2018-01-24T00:00:00"/>
    <x v="6"/>
    <s v="Sales Specialist"/>
    <n v="61665"/>
    <s v="Good"/>
    <n v="0.49315068493150682"/>
    <s v="Active"/>
    <x v="31"/>
    <s v="Medium"/>
  </r>
  <r>
    <s v="00-27286109"/>
    <s v="Heather"/>
    <s v="Brewer"/>
    <s v="Female"/>
    <s v="Michigan"/>
    <s v="Grand Rapids"/>
    <s v="Bachelor"/>
    <d v="1964-08-11T00:00:00"/>
    <d v="2016-03-08T00:00:00"/>
    <d v="2023-06-01T00:00:00"/>
    <x v="2"/>
    <s v="Inventory Specialist"/>
    <n v="59458"/>
    <s v="Good"/>
    <n v="4.117808219178082"/>
    <s v="Active"/>
    <x v="44"/>
    <s v="Low"/>
  </r>
  <r>
    <s v="00-15730602"/>
    <s v="Angela"/>
    <s v="Burns"/>
    <s v="Female"/>
    <s v="New York"/>
    <s v="New York City"/>
    <s v="Master"/>
    <d v="1973-04-01T00:00:00"/>
    <d v="2024-02-24T00:00:00"/>
    <d v="2024-08-22T00:00:00"/>
    <x v="0"/>
    <s v="Customer Service Manager"/>
    <n v="79702"/>
    <s v="Excellent"/>
    <n v="1.816438356164384"/>
    <s v="Terminated"/>
    <x v="36"/>
    <s v="Medium"/>
  </r>
  <r>
    <s v="00-87025433"/>
    <s v="Jacob"/>
    <s v="Wilkinson"/>
    <s v="Female"/>
    <s v="New York"/>
    <s v="New York City"/>
    <s v="Bachelor"/>
    <d v="2003-02-14T00:00:00"/>
    <d v="2019-08-29T00:00:00"/>
    <d v="2020-02-25T00:00:00"/>
    <x v="2"/>
    <s v="Logistics Coordinator"/>
    <n v="53029"/>
    <s v="Good"/>
    <n v="6.7424657534246579"/>
    <s v="Active"/>
    <x v="7"/>
    <s v="Low"/>
  </r>
  <r>
    <s v="00-76588957"/>
    <s v="Brian"/>
    <s v="Howard"/>
    <s v="Male"/>
    <s v="Michigan"/>
    <s v="Warren"/>
    <s v="Bachelor"/>
    <d v="1995-12-03T00:00:00"/>
    <d v="2015-01-04T00:00:00"/>
    <d v="2015-10-13T00:00:00"/>
    <x v="6"/>
    <s v="Sales Consultant"/>
    <n v="84676"/>
    <s v="Good"/>
    <n v="0.49315068493150682"/>
    <s v="Terminated"/>
    <x v="6"/>
    <s v="Medium"/>
  </r>
  <r>
    <s v="00-33193791"/>
    <s v="Todd"/>
    <s v="Lee"/>
    <s v="Male"/>
    <s v="New York"/>
    <s v="New York City"/>
    <s v="Bachelor"/>
    <d v="1979-11-01T00:00:00"/>
    <d v="2018-05-30T00:00:00"/>
    <d v="2021-12-22T00:00:00"/>
    <x v="2"/>
    <s v="Inventory Specialist"/>
    <n v="59856"/>
    <s v="Satisfactory"/>
    <n v="0.49315068493150682"/>
    <s v="Active"/>
    <x v="0"/>
    <s v="Low"/>
  </r>
  <r>
    <s v="00-47561442"/>
    <s v="Tamara"/>
    <s v="Wagner"/>
    <s v="Male"/>
    <s v="New York"/>
    <s v="New York City"/>
    <s v="Bachelor"/>
    <d v="1962-10-05T00:00:00"/>
    <d v="2019-07-12T00:00:00"/>
    <d v="2020-01-08T00:00:00"/>
    <x v="2"/>
    <s v="Inventory Specialist"/>
    <n v="65428"/>
    <s v="Good"/>
    <n v="0.49315068493150682"/>
    <s v="Active"/>
    <x v="13"/>
    <s v="Medium"/>
  </r>
  <r>
    <s v="00-92423989"/>
    <s v="Robert"/>
    <s v="Vasquez"/>
    <s v="Female"/>
    <s v="New York"/>
    <s v="New York City"/>
    <s v="Master"/>
    <d v="2002-01-01T00:00:00"/>
    <d v="2021-10-03T00:00:00"/>
    <d v="2022-04-01T00:00:00"/>
    <x v="1"/>
    <s v="Software Developer"/>
    <n v="83279"/>
    <s v="Good"/>
    <n v="0.49315068493150682"/>
    <s v="Terminated"/>
    <x v="11"/>
    <s v="Medium"/>
  </r>
  <r>
    <s v="00-49608344"/>
    <s v="Mary"/>
    <s v="Burns"/>
    <s v="Male"/>
    <s v="Illinois"/>
    <s v="Naperville"/>
    <s v="Bachelor"/>
    <d v="1980-06-21T00:00:00"/>
    <d v="2020-02-02T00:00:00"/>
    <d v="2021-12-10T00:00:00"/>
    <x v="2"/>
    <s v="Operations Analyst"/>
    <n v="70711"/>
    <s v="Good"/>
    <n v="2.868493150684932"/>
    <s v="Active"/>
    <x v="3"/>
    <s v="Medium"/>
  </r>
  <r>
    <s v="00-18184472"/>
    <s v="Ariana"/>
    <s v="Flynn"/>
    <s v="Male"/>
    <s v="New York"/>
    <s v="New York City"/>
    <s v="Bachelor"/>
    <d v="1983-05-02T00:00:00"/>
    <d v="2016-03-26T00:00:00"/>
    <d v="2018-01-03T00:00:00"/>
    <x v="6"/>
    <s v="Sales Representative"/>
    <n v="68840"/>
    <s v="Good"/>
    <n v="8.5643835616438349"/>
    <s v="Active"/>
    <x v="22"/>
    <s v="Medium"/>
  </r>
  <r>
    <s v="00-66268745"/>
    <s v="Kelly"/>
    <s v="Hill"/>
    <s v="Female"/>
    <s v="New York"/>
    <s v="New York City"/>
    <s v="Bachelor"/>
    <d v="1982-10-04T00:00:00"/>
    <d v="2017-07-28T00:00:00"/>
    <d v="2018-05-12T00:00:00"/>
    <x v="2"/>
    <s v="Inventory Specialist"/>
    <n v="54544"/>
    <s v="Needs Improvement"/>
    <n v="0.49315068493150682"/>
    <s v="Terminated"/>
    <x v="19"/>
    <s v="Low"/>
  </r>
  <r>
    <s v="00-94658420"/>
    <s v="Keith"/>
    <s v="Norman"/>
    <s v="Female"/>
    <s v="Illinois"/>
    <s v="Chicago"/>
    <s v="Bachelor"/>
    <d v="1987-05-07T00:00:00"/>
    <d v="2018-08-07T00:00:00"/>
    <d v="2019-02-03T00:00:00"/>
    <x v="2"/>
    <s v="Logistics Coordinator"/>
    <n v="60276"/>
    <s v="Good"/>
    <n v="4.0849315068493146"/>
    <s v="Active"/>
    <x v="1"/>
    <s v="Medium"/>
  </r>
  <r>
    <s v="00-12621269"/>
    <s v="Julia"/>
    <s v="Cannon"/>
    <s v="Female"/>
    <s v="North Carolina"/>
    <s v="Charlotte"/>
    <s v="Bachelor"/>
    <d v="2000-08-14T00:00:00"/>
    <d v="2018-08-01T00:00:00"/>
    <d v="2019-01-28T00:00:00"/>
    <x v="2"/>
    <s v="Inventory Specialist"/>
    <n v="61107"/>
    <s v="Satisfactory"/>
    <n v="3.9917808219178079"/>
    <s v="Active"/>
    <x v="37"/>
    <s v="Medium"/>
  </r>
  <r>
    <s v="00-74382155"/>
    <s v="William"/>
    <s v="Armstrong"/>
    <s v="Male"/>
    <s v="New York"/>
    <s v="New York City"/>
    <s v="Bachelor"/>
    <d v="1983-05-17T00:00:00"/>
    <d v="2020-04-14T00:00:00"/>
    <d v="2020-10-11T00:00:00"/>
    <x v="3"/>
    <s v="Accountant"/>
    <n v="65736"/>
    <s v="Good"/>
    <n v="1.3589041095890411"/>
    <s v="Active"/>
    <x v="22"/>
    <s v="Medium"/>
  </r>
  <r>
    <s v="00-85920407"/>
    <s v="Kimberly"/>
    <s v="Morrow"/>
    <s v="Female"/>
    <s v="Michigan"/>
    <s v="Grand Rapids"/>
    <s v="Bachelor"/>
    <d v="1998-12-14T00:00:00"/>
    <d v="2020-05-22T00:00:00"/>
    <d v="2021-06-24T00:00:00"/>
    <x v="6"/>
    <s v="Sales Consultant"/>
    <n v="67955"/>
    <s v="Good"/>
    <n v="0.49315068493150682"/>
    <s v="Active"/>
    <x v="31"/>
    <s v="Medium"/>
  </r>
  <r>
    <s v="00-34134478"/>
    <s v="Amber"/>
    <s v="Sherman"/>
    <s v="Female"/>
    <s v="Michigan"/>
    <s v="Grand Rapids"/>
    <s v="Bachelor"/>
    <d v="1985-07-18T00:00:00"/>
    <d v="2015-10-23T00:00:00"/>
    <d v="2018-10-25T00:00:00"/>
    <x v="2"/>
    <s v="Logistics Coordinator"/>
    <n v="59494"/>
    <s v="Good"/>
    <n v="8.6027397260273979"/>
    <s v="Active"/>
    <x v="38"/>
    <s v="Low"/>
  </r>
  <r>
    <s v="00-13933043"/>
    <s v="Jennifer"/>
    <s v="Payne"/>
    <s v="Female"/>
    <s v="New York"/>
    <s v="New York City"/>
    <s v="Bachelor"/>
    <d v="1997-06-10T00:00:00"/>
    <d v="2023-06-15T00:00:00"/>
    <d v="2023-12-12T00:00:00"/>
    <x v="2"/>
    <s v="Logistics Coordinator"/>
    <n v="59952"/>
    <s v="Good"/>
    <n v="0.49315068493150682"/>
    <s v="Active"/>
    <x v="34"/>
    <s v="Low"/>
  </r>
  <r>
    <s v="00-73308406"/>
    <s v="Curtis"/>
    <s v="Greer"/>
    <s v="Male"/>
    <s v="New York"/>
    <s v="New York City"/>
    <s v="Bachelor"/>
    <d v="1978-06-30T00:00:00"/>
    <d v="2020-10-18T00:00:00"/>
    <d v="2023-01-27T00:00:00"/>
    <x v="3"/>
    <s v="Financial Analyst"/>
    <n v="103016"/>
    <s v="Satisfactory"/>
    <n v="0.49315068493150682"/>
    <s v="Active"/>
    <x v="30"/>
    <s v="High"/>
  </r>
  <r>
    <s v="00-31424479"/>
    <s v="John"/>
    <s v="Golden"/>
    <s v="Female"/>
    <s v="New York"/>
    <s v="New York City"/>
    <s v="Bachelor"/>
    <d v="2000-07-02T00:00:00"/>
    <d v="2016-01-13T00:00:00"/>
    <d v="2019-03-06T00:00:00"/>
    <x v="4"/>
    <s v="Marketing Manager"/>
    <n v="100482"/>
    <s v="Good"/>
    <n v="0.49315068493150682"/>
    <s v="Terminated"/>
    <x v="37"/>
    <s v="High"/>
  </r>
  <r>
    <s v="00-45772648"/>
    <s v="Shannon"/>
    <s v="Bailey"/>
    <s v="Male"/>
    <s v="North Carolina"/>
    <s v="Raleigh"/>
    <s v="Bachelor"/>
    <d v="1978-03-23T00:00:00"/>
    <d v="2020-11-13T00:00:00"/>
    <d v="2021-05-12T00:00:00"/>
    <x v="2"/>
    <s v="Logistics Coordinator"/>
    <n v="73237"/>
    <s v="Good"/>
    <n v="0.56438356164383563"/>
    <s v="Active"/>
    <x v="18"/>
    <s v="Medium"/>
  </r>
  <r>
    <s v="00-39448924"/>
    <s v="Christopher"/>
    <s v="Grimes"/>
    <s v="Female"/>
    <s v="New York"/>
    <s v="New York City"/>
    <s v="High School"/>
    <d v="1964-09-08T00:00:00"/>
    <d v="2020-02-15T00:00:00"/>
    <d v="2020-08-13T00:00:00"/>
    <x v="0"/>
    <s v="Support Specialist"/>
    <n v="66112"/>
    <s v="Needs Improvement"/>
    <n v="4.8712328767123294"/>
    <s v="Active"/>
    <x v="44"/>
    <s v="Medium"/>
  </r>
  <r>
    <s v="00-33315234"/>
    <s v="Kimberly"/>
    <s v="Young"/>
    <s v="Male"/>
    <s v="New York"/>
    <s v="New York City"/>
    <s v="Bachelor"/>
    <d v="2000-02-08T00:00:00"/>
    <d v="2017-11-11T00:00:00"/>
    <d v="2022-12-28T00:00:00"/>
    <x v="6"/>
    <s v="Sales Consultant"/>
    <n v="81762"/>
    <s v="Good"/>
    <n v="1.821917808219178"/>
    <s v="Terminated"/>
    <x v="41"/>
    <s v="Medium"/>
  </r>
  <r>
    <s v="00-58155056"/>
    <s v="Joan"/>
    <s v="Norris"/>
    <s v="Male"/>
    <s v="New York"/>
    <s v="New York City"/>
    <s v="Bachelor"/>
    <d v="1974-04-28T00:00:00"/>
    <d v="2018-11-30T00:00:00"/>
    <d v="2019-05-29T00:00:00"/>
    <x v="3"/>
    <s v="Accountant"/>
    <n v="87267"/>
    <s v="Good"/>
    <n v="1.0356164383561639"/>
    <s v="Terminated"/>
    <x v="9"/>
    <s v="Medium"/>
  </r>
  <r>
    <s v="00-57201978"/>
    <s v="Jennifer"/>
    <s v="Chen"/>
    <s v="Male"/>
    <s v="Michigan"/>
    <s v="Grand Rapids"/>
    <s v="Bachelor"/>
    <d v="1970-06-05T00:00:00"/>
    <d v="2024-03-05T00:00:00"/>
    <d v="2024-09-01T00:00:00"/>
    <x v="6"/>
    <s v="Sales Specialist"/>
    <n v="89912"/>
    <s v="Satisfactory"/>
    <n v="3.827397260273973"/>
    <s v="Active"/>
    <x v="21"/>
    <s v="Medium"/>
  </r>
  <r>
    <s v="00-85579195"/>
    <s v="Christina"/>
    <s v="Glover"/>
    <s v="Male"/>
    <s v="New York"/>
    <s v="New York City"/>
    <s v="Bachelor"/>
    <d v="1977-04-06T00:00:00"/>
    <d v="2018-11-11T00:00:00"/>
    <d v="2019-05-10T00:00:00"/>
    <x v="2"/>
    <s v="Logistics Coordinator"/>
    <n v="72188"/>
    <s v="Good"/>
    <n v="1.9616438356164381"/>
    <s v="Terminated"/>
    <x v="32"/>
    <s v="Medium"/>
  </r>
  <r>
    <s v="00-51480401"/>
    <s v="Jamie"/>
    <s v="Brown"/>
    <s v="Female"/>
    <s v="New York"/>
    <s v="New York City"/>
    <s v="Bachelor"/>
    <d v="1986-10-22T00:00:00"/>
    <d v="2017-05-17T00:00:00"/>
    <d v="2022-09-13T00:00:00"/>
    <x v="2"/>
    <s v="Inventory Specialist"/>
    <n v="62997"/>
    <s v="Satisfactory"/>
    <n v="0.49315068493150682"/>
    <s v="Active"/>
    <x v="28"/>
    <s v="Medium"/>
  </r>
  <r>
    <s v="00-17538738"/>
    <s v="Amanda"/>
    <s v="Carlson"/>
    <s v="Female"/>
    <s v="New York"/>
    <s v="New York City"/>
    <s v="Master"/>
    <d v="1997-04-02T00:00:00"/>
    <d v="2017-03-07T00:00:00"/>
    <d v="2017-09-13T00:00:00"/>
    <x v="6"/>
    <s v="Sales Consultant"/>
    <n v="76899"/>
    <s v="Excellent"/>
    <n v="6.3479452054794523"/>
    <s v="Active"/>
    <x v="39"/>
    <s v="Medium"/>
  </r>
  <r>
    <s v="00-80658723"/>
    <s v="Mario"/>
    <s v="Padilla"/>
    <s v="Female"/>
    <s v="Michigan"/>
    <s v="Warren"/>
    <s v="High School"/>
    <d v="1977-10-09T00:00:00"/>
    <d v="2019-04-23T00:00:00"/>
    <d v="2021-09-07T00:00:00"/>
    <x v="0"/>
    <s v="Customer Service Representative"/>
    <n v="56201"/>
    <s v="Needs Improvement"/>
    <n v="7.0164383561643833"/>
    <s v="Terminated"/>
    <x v="18"/>
    <s v="Low"/>
  </r>
  <r>
    <s v="00-37040091"/>
    <s v="Ashley"/>
    <s v="Farley"/>
    <s v="Male"/>
    <s v="Michigan"/>
    <s v="Warren"/>
    <s v="Bachelor"/>
    <d v="1975-07-27T00:00:00"/>
    <d v="2023-07-19T00:00:00"/>
    <d v="2024-01-15T00:00:00"/>
    <x v="2"/>
    <s v="Logistics Coordinator"/>
    <n v="67818"/>
    <s v="Good"/>
    <n v="0.49315068493150682"/>
    <s v="Active"/>
    <x v="33"/>
    <s v="Medium"/>
  </r>
  <r>
    <s v="00-33818260"/>
    <s v="Tricia"/>
    <s v="Shelton"/>
    <s v="Male"/>
    <s v="New York"/>
    <s v="New York City"/>
    <s v="High School"/>
    <d v="1975-02-20T00:00:00"/>
    <d v="2024-02-06T00:00:00"/>
    <d v="2024-08-04T00:00:00"/>
    <x v="0"/>
    <s v="Customer Service Representative"/>
    <n v="58887"/>
    <s v="Excellent"/>
    <n v="4.2684931506849324"/>
    <s v="Active"/>
    <x v="9"/>
    <s v="Low"/>
  </r>
  <r>
    <s v="00-12941099"/>
    <s v="Derek"/>
    <s v="Brady"/>
    <s v="Female"/>
    <s v="New York"/>
    <s v="New York City"/>
    <s v="High School"/>
    <d v="1974-11-07T00:00:00"/>
    <d v="2017-06-09T00:00:00"/>
    <d v="2019-12-11T00:00:00"/>
    <x v="2"/>
    <s v="Inventory Specialist"/>
    <n v="61341"/>
    <s v="Needs Improvement"/>
    <n v="5.6684931506849319"/>
    <s v="Active"/>
    <x v="9"/>
    <s v="Medium"/>
  </r>
  <r>
    <s v="00-24887509"/>
    <s v="Samantha"/>
    <s v="Riddle"/>
    <s v="Female"/>
    <s v="New York"/>
    <s v="New York City"/>
    <s v="Master"/>
    <d v="1988-10-24T00:00:00"/>
    <d v="2017-12-03T00:00:00"/>
    <d v="2018-05-31T00:00:00"/>
    <x v="6"/>
    <s v="Sales Manager"/>
    <n v="115420"/>
    <s v="Good"/>
    <n v="0.49315068493150682"/>
    <s v="Active"/>
    <x v="4"/>
    <s v="High"/>
  </r>
  <r>
    <s v="00-60142505"/>
    <s v="Diana"/>
    <s v="Miles"/>
    <s v="Female"/>
    <s v="New York"/>
    <s v="New York City"/>
    <s v="High School"/>
    <d v="1982-09-15T00:00:00"/>
    <d v="2022-02-21T00:00:00"/>
    <d v="2022-08-20T00:00:00"/>
    <x v="2"/>
    <s v="Inventory Specialist"/>
    <n v="62479"/>
    <s v="Needs Improvement"/>
    <n v="0.49315068493150682"/>
    <s v="Active"/>
    <x v="19"/>
    <s v="Medium"/>
  </r>
  <r>
    <s v="00-88653825"/>
    <s v="John"/>
    <s v="Dawson"/>
    <s v="Female"/>
    <s v="New York"/>
    <s v="New York City"/>
    <s v="Master"/>
    <d v="1981-08-04T00:00:00"/>
    <d v="2016-11-17T00:00:00"/>
    <d v="2021-04-29T00:00:00"/>
    <x v="6"/>
    <s v="Sales Consultant"/>
    <n v="104096"/>
    <s v="Good"/>
    <n v="5.1041095890410961"/>
    <s v="Active"/>
    <x v="25"/>
    <s v="High"/>
  </r>
  <r>
    <s v="00-28314232"/>
    <s v="John"/>
    <s v="Bridges"/>
    <s v="Male"/>
    <s v="Pennsylvania"/>
    <s v="Pittsburgh"/>
    <s v="Bachelor"/>
    <d v="1974-11-08T00:00:00"/>
    <d v="2024-06-01T00:00:00"/>
    <d v="2024-11-28T00:00:00"/>
    <x v="2"/>
    <s v="Operations Analyst"/>
    <n v="71839"/>
    <s v="Good"/>
    <n v="0.49315068493150682"/>
    <s v="Active"/>
    <x v="9"/>
    <s v="Medium"/>
  </r>
  <r>
    <s v="00-95800828"/>
    <s v="Tracy"/>
    <s v="Ray"/>
    <s v="Male"/>
    <s v="New York"/>
    <s v="New York City"/>
    <s v="Master"/>
    <d v="1990-11-13T00:00:00"/>
    <d v="2024-04-14T00:00:00"/>
    <d v="2024-10-11T00:00:00"/>
    <x v="1"/>
    <s v="System Administrator"/>
    <n v="65899"/>
    <s v="Excellent"/>
    <n v="7.2356164383561641"/>
    <s v="Active"/>
    <x v="16"/>
    <s v="Medium"/>
  </r>
  <r>
    <s v="00-33381086"/>
    <s v="Courtney"/>
    <s v="Brooks"/>
    <s v="Male"/>
    <s v="Michigan"/>
    <s v="Grand Rapids"/>
    <s v="Bachelor"/>
    <d v="1989-04-26T00:00:00"/>
    <d v="2022-01-30T00:00:00"/>
    <d v="2024-09-06T00:00:00"/>
    <x v="2"/>
    <s v="Inventory Specialist"/>
    <n v="59751"/>
    <s v="Needs Improvement"/>
    <n v="0.49315068493150682"/>
    <s v="Active"/>
    <x v="35"/>
    <s v="Low"/>
  </r>
  <r>
    <s v="00-92370625"/>
    <s v="Cynthia"/>
    <s v="Beard"/>
    <s v="Male"/>
    <s v="Michigan"/>
    <s v="Detroit"/>
    <s v="Bachelor"/>
    <d v="1996-03-27T00:00:00"/>
    <d v="2023-02-06T00:00:00"/>
    <d v="2023-08-05T00:00:00"/>
    <x v="0"/>
    <s v="Help Desk Technician"/>
    <n v="77004"/>
    <s v="Satisfactory"/>
    <n v="0.49315068493150682"/>
    <s v="Active"/>
    <x v="6"/>
    <s v="Medium"/>
  </r>
  <r>
    <s v="00-89047551"/>
    <s v="Richard"/>
    <s v="Brady"/>
    <s v="Male"/>
    <s v="New York"/>
    <s v="New York City"/>
    <s v="High School"/>
    <d v="1995-04-30T00:00:00"/>
    <d v="2017-09-27T00:00:00"/>
    <d v="2018-03-25T00:00:00"/>
    <x v="2"/>
    <s v="Inventory Specialist"/>
    <n v="61581"/>
    <s v="Needs Improvement"/>
    <n v="0.77260273972602744"/>
    <s v="Active"/>
    <x v="6"/>
    <s v="Medium"/>
  </r>
  <r>
    <s v="00-49529438"/>
    <s v="Sharon"/>
    <s v="Wood"/>
    <s v="Male"/>
    <s v="New York"/>
    <s v="New York City"/>
    <s v="Bachelor"/>
    <d v="1964-08-18T00:00:00"/>
    <d v="2016-07-08T00:00:00"/>
    <d v="2024-10-22T00:00:00"/>
    <x v="0"/>
    <s v="Customer Service Representative"/>
    <n v="73414"/>
    <s v="Good"/>
    <n v="3.5671232876712331"/>
    <s v="Active"/>
    <x v="44"/>
    <s v="Medium"/>
  </r>
  <r>
    <s v="00-86884584"/>
    <s v="Mark"/>
    <s v="Smith"/>
    <s v="Male"/>
    <s v="New York"/>
    <s v="New York City"/>
    <s v="Bachelor"/>
    <d v="1999-04-28T00:00:00"/>
    <d v="2019-10-28T00:00:00"/>
    <d v="2021-11-04T00:00:00"/>
    <x v="1"/>
    <s v="Software Developer"/>
    <n v="102891"/>
    <s v="Good"/>
    <n v="0.49315068493150682"/>
    <s v="Active"/>
    <x v="41"/>
    <s v="High"/>
  </r>
  <r>
    <s v="00-34438599"/>
    <s v="Melanie"/>
    <s v="Davis"/>
    <s v="Male"/>
    <s v="New York"/>
    <s v="New York City"/>
    <s v="Master"/>
    <d v="1973-05-04T00:00:00"/>
    <d v="2021-06-28T00:00:00"/>
    <d v="2021-12-25T00:00:00"/>
    <x v="1"/>
    <s v="Software Developer"/>
    <n v="76778"/>
    <s v="Good"/>
    <n v="0.49315068493150682"/>
    <s v="Active"/>
    <x v="15"/>
    <s v="Medium"/>
  </r>
  <r>
    <s v="00-95851936"/>
    <s v="Cynthia"/>
    <s v="Terry"/>
    <s v="Male"/>
    <s v="New York"/>
    <s v="New York City"/>
    <s v="Bachelor"/>
    <d v="1984-10-15T00:00:00"/>
    <d v="2020-11-26T00:00:00"/>
    <d v="2021-05-25T00:00:00"/>
    <x v="6"/>
    <s v="Sales Consultant"/>
    <n v="104919"/>
    <s v="Excellent"/>
    <n v="1.854794520547945"/>
    <s v="Active"/>
    <x v="27"/>
    <s v="High"/>
  </r>
  <r>
    <s v="00-54448673"/>
    <s v="Bryan"/>
    <s v="Ferguson"/>
    <s v="Male"/>
    <s v="Michigan"/>
    <s v="Grand Rapids"/>
    <s v="Master"/>
    <d v="1960-06-18T00:00:00"/>
    <d v="2022-03-26T00:00:00"/>
    <d v="2022-09-22T00:00:00"/>
    <x v="6"/>
    <s v="Sales Consultant"/>
    <n v="73654"/>
    <s v="Excellent"/>
    <n v="1.7753424657534249"/>
    <s v="Active"/>
    <x v="20"/>
    <s v="Medium"/>
  </r>
  <r>
    <s v="00-52885071"/>
    <s v="Tammy"/>
    <s v="Summers"/>
    <s v="Male"/>
    <s v="Illinois"/>
    <s v="Naperville"/>
    <s v="Bachelor"/>
    <d v="1963-04-02T00:00:00"/>
    <d v="2017-07-12T00:00:00"/>
    <d v="2021-07-30T00:00:00"/>
    <x v="2"/>
    <s v="Operations Analyst"/>
    <n v="97119"/>
    <s v="Good"/>
    <n v="0.78904109589041094"/>
    <s v="Active"/>
    <x v="13"/>
    <s v="Medium"/>
  </r>
  <r>
    <s v="00-99929175"/>
    <s v="Joseph"/>
    <s v="Clayton"/>
    <s v="Female"/>
    <s v="North Carolina"/>
    <s v="Greensboro"/>
    <s v="Master"/>
    <d v="1979-07-20T00:00:00"/>
    <d v="2021-05-12T00:00:00"/>
    <d v="2022-01-19T00:00:00"/>
    <x v="2"/>
    <s v="Operations Manager"/>
    <n v="108780"/>
    <s v="Excellent"/>
    <n v="0.49315068493150682"/>
    <s v="Active"/>
    <x v="0"/>
    <s v="High"/>
  </r>
  <r>
    <s v="00-11529494"/>
    <s v="Amy"/>
    <s v="Anderson"/>
    <s v="Male"/>
    <s v="New York"/>
    <s v="New York City"/>
    <s v="Bachelor"/>
    <d v="1970-11-30T00:00:00"/>
    <d v="2017-11-28T00:00:00"/>
    <d v="2023-01-15T00:00:00"/>
    <x v="2"/>
    <s v="Inventory Specialist"/>
    <n v="66416"/>
    <s v="Good"/>
    <n v="0.49315068493150682"/>
    <s v="Active"/>
    <x v="21"/>
    <s v="Medium"/>
  </r>
  <r>
    <s v="00-19099261"/>
    <s v="Todd"/>
    <s v="Cooper"/>
    <s v="Female"/>
    <s v="New York"/>
    <s v="New York City"/>
    <s v="High School"/>
    <d v="2001-08-04T00:00:00"/>
    <d v="2018-09-23T00:00:00"/>
    <d v="2019-03-22T00:00:00"/>
    <x v="2"/>
    <s v="Inventory Specialist"/>
    <n v="53611"/>
    <s v="Needs Improvement"/>
    <n v="0.49315068493150682"/>
    <s v="Active"/>
    <x v="11"/>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C50480-394D-46F2-802D-86D0C9FF6244}" name="PivotTable1"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3:B9" firstHeaderRow="1" firstDataRow="1" firstDataCol="1"/>
  <pivotFields count="18">
    <pivotField dataField="1" showAll="0"/>
    <pivotField showAll="0"/>
    <pivotField showAll="0"/>
    <pivotField showAll="0">
      <items count="3">
        <item x="0"/>
        <item x="1"/>
        <item t="default"/>
      </items>
    </pivotField>
    <pivotField showAll="0"/>
    <pivotField showAll="0"/>
    <pivotField showAll="0"/>
    <pivotField numFmtId="14" showAll="0"/>
    <pivotField numFmtId="14" showAll="0">
      <items count="814">
        <item x="779"/>
        <item x="432"/>
        <item x="355"/>
        <item x="649"/>
        <item x="275"/>
        <item x="477"/>
        <item x="767"/>
        <item x="353"/>
        <item x="318"/>
        <item x="429"/>
        <item x="661"/>
        <item x="593"/>
        <item x="399"/>
        <item x="576"/>
        <item x="315"/>
        <item x="710"/>
        <item x="768"/>
        <item x="340"/>
        <item x="180"/>
        <item x="755"/>
        <item x="492"/>
        <item x="51"/>
        <item x="615"/>
        <item x="624"/>
        <item x="259"/>
        <item x="601"/>
        <item x="183"/>
        <item x="603"/>
        <item x="712"/>
        <item x="592"/>
        <item x="274"/>
        <item x="738"/>
        <item x="769"/>
        <item x="525"/>
        <item x="41"/>
        <item x="606"/>
        <item x="507"/>
        <item x="706"/>
        <item x="605"/>
        <item x="317"/>
        <item x="126"/>
        <item x="788"/>
        <item x="758"/>
        <item x="201"/>
        <item x="2"/>
        <item x="3"/>
        <item x="473"/>
        <item x="474"/>
        <item x="742"/>
        <item x="728"/>
        <item x="776"/>
        <item x="71"/>
        <item x="80"/>
        <item x="226"/>
        <item x="783"/>
        <item x="202"/>
        <item x="212"/>
        <item x="448"/>
        <item x="0"/>
        <item x="17"/>
        <item x="198"/>
        <item x="772"/>
        <item x="707"/>
        <item x="267"/>
        <item x="604"/>
        <item x="291"/>
        <item x="756"/>
        <item x="717"/>
        <item x="335"/>
        <item x="344"/>
        <item x="726"/>
        <item x="731"/>
        <item x="735"/>
        <item x="171"/>
        <item x="208"/>
        <item x="28"/>
        <item x="551"/>
        <item x="235"/>
        <item x="307"/>
        <item x="460"/>
        <item x="393"/>
        <item x="407"/>
        <item x="631"/>
        <item x="466"/>
        <item x="304"/>
        <item x="495"/>
        <item x="296"/>
        <item x="384"/>
        <item x="343"/>
        <item x="660"/>
        <item x="329"/>
        <item x="385"/>
        <item x="765"/>
        <item x="747"/>
        <item x="229"/>
        <item x="44"/>
        <item x="463"/>
        <item x="727"/>
        <item x="741"/>
        <item x="802"/>
        <item x="324"/>
        <item x="330"/>
        <item x="611"/>
        <item x="154"/>
        <item x="37"/>
        <item x="413"/>
        <item x="527"/>
        <item x="20"/>
        <item x="450"/>
        <item x="453"/>
        <item x="635"/>
        <item x="68"/>
        <item x="1"/>
        <item x="197"/>
        <item x="724"/>
        <item x="617"/>
        <item x="430"/>
        <item x="721"/>
        <item x="572"/>
        <item x="795"/>
        <item x="156"/>
        <item x="85"/>
        <item x="70"/>
        <item x="284"/>
        <item x="682"/>
        <item x="599"/>
        <item x="583"/>
        <item x="586"/>
        <item x="187"/>
        <item x="405"/>
        <item x="762"/>
        <item x="696"/>
        <item x="193"/>
        <item x="271"/>
        <item x="521"/>
        <item x="303"/>
        <item x="19"/>
        <item x="395"/>
        <item x="102"/>
        <item x="248"/>
        <item x="565"/>
        <item x="646"/>
        <item x="349"/>
        <item x="419"/>
        <item x="524"/>
        <item x="538"/>
        <item x="634"/>
        <item x="668"/>
        <item x="382"/>
        <item x="7"/>
        <item x="794"/>
        <item x="365"/>
        <item x="517"/>
        <item x="312"/>
        <item x="743"/>
        <item x="775"/>
        <item x="750"/>
        <item x="153"/>
        <item x="272"/>
        <item x="619"/>
        <item x="799"/>
        <item x="273"/>
        <item x="764"/>
        <item x="570"/>
        <item x="52"/>
        <item x="674"/>
        <item x="472"/>
        <item x="548"/>
        <item x="216"/>
        <item x="810"/>
        <item x="478"/>
        <item x="298"/>
        <item x="32"/>
        <item x="134"/>
        <item x="61"/>
        <item x="534"/>
        <item x="537"/>
        <item x="531"/>
        <item x="412"/>
        <item x="541"/>
        <item x="11"/>
        <item x="257"/>
        <item x="739"/>
        <item x="377"/>
        <item x="701"/>
        <item x="23"/>
        <item x="49"/>
        <item x="81"/>
        <item x="427"/>
        <item x="89"/>
        <item x="98"/>
        <item x="143"/>
        <item x="396"/>
        <item x="245"/>
        <item x="277"/>
        <item x="486"/>
        <item x="746"/>
        <item x="280"/>
        <item x="699"/>
        <item x="561"/>
        <item x="323"/>
        <item x="364"/>
        <item x="138"/>
        <item x="181"/>
        <item x="55"/>
        <item x="637"/>
        <item x="129"/>
        <item x="454"/>
        <item x="749"/>
        <item x="806"/>
        <item x="79"/>
        <item x="398"/>
        <item x="309"/>
        <item x="690"/>
        <item x="415"/>
        <item x="375"/>
        <item x="569"/>
        <item x="281"/>
        <item x="402"/>
        <item x="585"/>
        <item x="21"/>
        <item x="228"/>
        <item x="244"/>
        <item x="29"/>
        <item x="178"/>
        <item x="93"/>
        <item x="42"/>
        <item x="566"/>
        <item x="461"/>
        <item x="380"/>
        <item x="459"/>
        <item x="582"/>
        <item x="78"/>
        <item x="122"/>
        <item x="242"/>
        <item x="326"/>
        <item x="597"/>
        <item x="791"/>
        <item x="503"/>
        <item x="386"/>
        <item x="612"/>
        <item x="573"/>
        <item x="105"/>
        <item x="203"/>
        <item x="812"/>
        <item x="73"/>
        <item x="703"/>
        <item x="86"/>
        <item x="800"/>
        <item x="362"/>
        <item x="26"/>
        <item x="100"/>
        <item x="110"/>
        <item x="87"/>
        <item x="177"/>
        <item x="60"/>
        <item x="252"/>
        <item x="438"/>
        <item x="264"/>
        <item x="45"/>
        <item x="480"/>
        <item x="287"/>
        <item x="397"/>
        <item x="373"/>
        <item x="233"/>
        <item x="206"/>
        <item x="670"/>
        <item x="620"/>
        <item x="299"/>
        <item x="423"/>
        <item x="519"/>
        <item x="629"/>
        <item x="667"/>
        <item x="571"/>
        <item x="708"/>
        <item x="722"/>
        <item x="246"/>
        <item x="470"/>
        <item x="149"/>
        <item x="559"/>
        <item x="327"/>
        <item x="250"/>
        <item x="560"/>
        <item x="410"/>
        <item x="48"/>
        <item x="82"/>
        <item x="191"/>
        <item x="632"/>
        <item x="514"/>
        <item x="630"/>
        <item x="142"/>
        <item x="322"/>
        <item x="374"/>
        <item x="627"/>
        <item x="391"/>
        <item x="109"/>
        <item x="483"/>
        <item x="433"/>
        <item x="678"/>
        <item x="190"/>
        <item x="336"/>
        <item x="426"/>
        <item x="27"/>
        <item x="370"/>
        <item x="43"/>
        <item x="520"/>
        <item x="491"/>
        <item x="36"/>
        <item x="488"/>
        <item x="588"/>
        <item x="676"/>
        <item x="241"/>
        <item x="388"/>
        <item x="389"/>
        <item x="400"/>
        <item x="175"/>
        <item x="289"/>
        <item x="247"/>
        <item x="358"/>
        <item x="378"/>
        <item x="379"/>
        <item x="515"/>
        <item x="529"/>
        <item x="346"/>
        <item x="446"/>
        <item x="533"/>
        <item x="92"/>
        <item x="192"/>
        <item x="251"/>
        <item x="657"/>
        <item x="595"/>
        <item x="328"/>
        <item x="136"/>
        <item x="751"/>
        <item x="170"/>
        <item x="276"/>
        <item x="196"/>
        <item x="675"/>
        <item x="442"/>
        <item x="754"/>
        <item x="332"/>
        <item x="673"/>
        <item x="387"/>
        <item x="411"/>
        <item x="8"/>
        <item x="536"/>
        <item x="286"/>
        <item x="715"/>
        <item x="420"/>
        <item x="115"/>
        <item x="64"/>
        <item x="579"/>
        <item x="221"/>
        <item x="204"/>
        <item x="146"/>
        <item x="732"/>
        <item x="793"/>
        <item x="124"/>
        <item x="422"/>
        <item x="434"/>
        <item x="440"/>
        <item x="394"/>
        <item x="207"/>
        <item x="16"/>
        <item x="644"/>
        <item x="285"/>
        <item x="96"/>
        <item x="155"/>
        <item x="449"/>
        <item x="672"/>
        <item x="444"/>
        <item x="753"/>
        <item x="120"/>
        <item x="642"/>
        <item x="135"/>
        <item x="622"/>
        <item x="681"/>
        <item x="261"/>
        <item x="763"/>
        <item x="123"/>
        <item x="409"/>
        <item x="57"/>
        <item x="238"/>
        <item x="403"/>
        <item x="357"/>
        <item x="65"/>
        <item x="766"/>
        <item x="345"/>
        <item x="487"/>
        <item x="112"/>
        <item x="186"/>
        <item x="53"/>
        <item x="62"/>
        <item x="639"/>
        <item x="91"/>
        <item x="647"/>
        <item x="22"/>
        <item x="481"/>
        <item x="796"/>
        <item x="485"/>
        <item x="199"/>
        <item x="306"/>
        <item x="554"/>
        <item x="141"/>
        <item x="225"/>
        <item x="359"/>
        <item x="445"/>
        <item x="451"/>
        <item x="497"/>
        <item x="390"/>
        <item x="455"/>
        <item x="493"/>
        <item x="35"/>
        <item x="709"/>
        <item x="416"/>
        <item x="733"/>
        <item x="265"/>
        <item x="255"/>
        <item x="319"/>
        <item x="467"/>
        <item x="501"/>
        <item x="780"/>
        <item x="166"/>
        <item x="300"/>
        <item x="232"/>
        <item x="547"/>
        <item x="360"/>
        <item x="564"/>
        <item x="771"/>
        <item x="778"/>
        <item x="730"/>
        <item x="431"/>
        <item x="316"/>
        <item x="687"/>
        <item x="269"/>
        <item x="626"/>
        <item x="352"/>
        <item x="499"/>
        <item x="653"/>
        <item x="464"/>
        <item x="577"/>
        <item x="371"/>
        <item x="383"/>
        <item x="254"/>
        <item x="504"/>
        <item x="553"/>
        <item x="210"/>
        <item x="421"/>
        <item x="535"/>
        <item x="666"/>
        <item x="656"/>
        <item x="545"/>
        <item x="482"/>
        <item x="325"/>
        <item x="688"/>
        <item x="759"/>
        <item x="435"/>
        <item x="659"/>
        <item x="511"/>
        <item x="74"/>
        <item x="490"/>
        <item x="725"/>
        <item x="111"/>
        <item x="132"/>
        <item x="84"/>
        <item x="550"/>
        <item x="439"/>
        <item x="25"/>
        <item x="308"/>
        <item x="95"/>
        <item x="12"/>
        <item x="376"/>
        <item x="782"/>
        <item x="609"/>
        <item x="266"/>
        <item x="237"/>
        <item x="790"/>
        <item x="356"/>
        <item x="621"/>
        <item x="568"/>
        <item x="239"/>
        <item x="462"/>
        <item x="108"/>
        <item x="581"/>
        <item x="119"/>
        <item x="218"/>
        <item x="654"/>
        <item x="321"/>
        <item x="10"/>
        <item x="784"/>
        <item x="658"/>
        <item x="555"/>
        <item x="509"/>
        <item x="414"/>
        <item x="268"/>
        <item x="685"/>
        <item x="354"/>
        <item x="785"/>
        <item x="292"/>
        <item x="469"/>
        <item x="711"/>
        <item x="596"/>
        <item x="75"/>
        <item x="663"/>
        <item x="167"/>
        <item x="723"/>
        <item x="151"/>
        <item x="636"/>
        <item x="677"/>
        <item x="50"/>
        <item x="219"/>
        <item x="684"/>
        <item x="748"/>
        <item x="539"/>
        <item x="372"/>
        <item x="616"/>
        <item x="693"/>
        <item x="361"/>
        <item x="600"/>
        <item x="214"/>
        <item x="223"/>
        <item x="30"/>
        <item x="5"/>
        <item x="542"/>
        <item x="650"/>
        <item x="94"/>
        <item x="745"/>
        <item x="625"/>
        <item x="452"/>
        <item x="692"/>
        <item x="770"/>
        <item x="465"/>
        <item x="683"/>
        <item x="54"/>
        <item x="757"/>
        <item x="510"/>
        <item x="589"/>
        <item x="671"/>
        <item x="496"/>
        <item x="610"/>
        <item x="787"/>
        <item x="664"/>
        <item x="24"/>
        <item x="331"/>
        <item x="437"/>
        <item x="760"/>
        <item x="789"/>
        <item x="125"/>
        <item x="574"/>
        <item x="189"/>
        <item x="165"/>
        <item x="669"/>
        <item x="808"/>
        <item x="339"/>
        <item x="213"/>
        <item x="38"/>
        <item x="179"/>
        <item x="347"/>
        <item x="72"/>
        <item x="502"/>
        <item x="130"/>
        <item x="700"/>
        <item x="258"/>
        <item x="350"/>
        <item x="641"/>
        <item x="479"/>
        <item x="719"/>
        <item x="9"/>
        <item x="302"/>
        <item x="546"/>
        <item x="665"/>
        <item x="15"/>
        <item x="127"/>
        <item x="811"/>
        <item x="205"/>
        <item x="369"/>
        <item x="418"/>
        <item x="163"/>
        <item x="807"/>
        <item x="220"/>
        <item x="441"/>
        <item x="443"/>
        <item x="575"/>
        <item x="428"/>
        <item x="532"/>
        <item x="652"/>
        <item x="160"/>
        <item x="116"/>
        <item x="137"/>
        <item x="736"/>
        <item x="781"/>
        <item x="121"/>
        <item x="526"/>
        <item x="209"/>
        <item x="476"/>
        <item x="363"/>
        <item x="705"/>
        <item x="288"/>
        <item x="651"/>
        <item x="484"/>
        <item x="752"/>
        <item x="88"/>
        <item x="236"/>
        <item x="513"/>
        <item x="425"/>
        <item x="447"/>
        <item x="567"/>
        <item x="695"/>
        <item x="234"/>
        <item x="801"/>
        <item x="500"/>
        <item x="655"/>
        <item x="194"/>
        <item x="557"/>
        <item x="18"/>
        <item x="498"/>
        <item x="263"/>
        <item x="643"/>
        <item x="718"/>
        <item x="293"/>
        <item x="152"/>
        <item x="809"/>
        <item x="645"/>
        <item x="457"/>
        <item x="117"/>
        <item x="489"/>
        <item x="283"/>
        <item x="720"/>
        <item x="262"/>
        <item x="168"/>
        <item x="128"/>
        <item x="147"/>
        <item x="140"/>
        <item x="240"/>
        <item x="366"/>
        <item x="544"/>
        <item x="224"/>
        <item x="47"/>
        <item x="518"/>
        <item x="243"/>
        <item x="558"/>
        <item x="76"/>
        <item x="563"/>
        <item x="549"/>
        <item x="278"/>
        <item x="282"/>
        <item x="556"/>
        <item x="97"/>
        <item x="161"/>
        <item x="249"/>
        <item x="157"/>
        <item x="150"/>
        <item x="587"/>
        <item x="404"/>
        <item x="686"/>
        <item x="351"/>
        <item x="83"/>
        <item x="162"/>
        <item x="56"/>
        <item x="270"/>
        <item x="680"/>
        <item x="698"/>
        <item x="184"/>
        <item x="734"/>
        <item x="578"/>
        <item x="424"/>
        <item x="714"/>
        <item x="13"/>
        <item x="348"/>
        <item x="39"/>
        <item x="185"/>
        <item x="543"/>
        <item x="139"/>
        <item x="260"/>
        <item x="114"/>
        <item x="174"/>
        <item x="256"/>
        <item x="4"/>
        <item x="59"/>
        <item x="740"/>
        <item x="598"/>
        <item x="594"/>
        <item x="133"/>
        <item x="211"/>
        <item x="368"/>
        <item x="623"/>
        <item x="6"/>
        <item x="227"/>
        <item x="737"/>
        <item x="662"/>
        <item x="494"/>
        <item x="34"/>
        <item x="69"/>
        <item x="118"/>
        <item x="106"/>
        <item x="144"/>
        <item x="613"/>
        <item x="417"/>
        <item x="158"/>
        <item x="33"/>
        <item x="337"/>
        <item x="188"/>
        <item x="63"/>
        <item x="628"/>
        <item x="505"/>
        <item x="523"/>
        <item x="279"/>
        <item x="584"/>
        <item x="614"/>
        <item x="694"/>
        <item x="215"/>
        <item x="408"/>
        <item x="602"/>
        <item x="633"/>
        <item x="338"/>
        <item x="697"/>
        <item x="169"/>
        <item x="508"/>
        <item x="805"/>
        <item x="101"/>
        <item x="516"/>
        <item x="689"/>
        <item x="301"/>
        <item x="182"/>
        <item x="314"/>
        <item x="131"/>
        <item x="773"/>
        <item x="506"/>
        <item x="14"/>
        <item x="103"/>
        <item x="761"/>
        <item x="590"/>
        <item x="90"/>
        <item x="342"/>
        <item x="512"/>
        <item x="608"/>
        <item x="392"/>
        <item x="458"/>
        <item x="320"/>
        <item x="552"/>
        <item x="311"/>
        <item x="333"/>
        <item x="148"/>
        <item x="456"/>
        <item x="176"/>
        <item x="231"/>
        <item x="113"/>
        <item x="294"/>
        <item x="436"/>
        <item x="638"/>
        <item x="530"/>
        <item x="313"/>
        <item x="172"/>
        <item x="66"/>
        <item x="786"/>
        <item x="406"/>
        <item x="702"/>
        <item x="691"/>
        <item x="679"/>
        <item x="164"/>
        <item x="104"/>
        <item x="797"/>
        <item x="305"/>
        <item x="310"/>
        <item x="107"/>
        <item x="716"/>
        <item x="290"/>
        <item x="295"/>
        <item x="704"/>
        <item x="77"/>
        <item x="562"/>
        <item x="67"/>
        <item x="253"/>
        <item x="798"/>
        <item x="230"/>
        <item x="195"/>
        <item x="367"/>
        <item x="334"/>
        <item x="471"/>
        <item x="777"/>
        <item x="297"/>
        <item x="40"/>
        <item x="792"/>
        <item x="618"/>
        <item x="648"/>
        <item x="607"/>
        <item x="145"/>
        <item x="522"/>
        <item x="580"/>
        <item x="58"/>
        <item x="744"/>
        <item x="804"/>
        <item x="475"/>
        <item x="540"/>
        <item x="591"/>
        <item x="99"/>
        <item x="46"/>
        <item x="217"/>
        <item x="640"/>
        <item x="713"/>
        <item x="31"/>
        <item x="341"/>
        <item x="200"/>
        <item x="774"/>
        <item x="173"/>
        <item x="803"/>
        <item x="222"/>
        <item x="729"/>
        <item x="381"/>
        <item x="468"/>
        <item x="401"/>
        <item x="159"/>
        <item x="528"/>
        <item t="default"/>
      </items>
    </pivotField>
    <pivotField numFmtId="14" showAll="0">
      <items count="806">
        <item x="771"/>
        <item x="421"/>
        <item x="610"/>
        <item x="418"/>
        <item x="498"/>
        <item x="309"/>
        <item x="461"/>
        <item x="78"/>
        <item x="198"/>
        <item x="70"/>
        <item x="724"/>
        <item x="204"/>
        <item x="737"/>
        <item x="762"/>
        <item x="718"/>
        <item x="738"/>
        <item x="713"/>
        <item x="787"/>
        <item x="757"/>
        <item x="729"/>
        <item x="460"/>
        <item x="540"/>
        <item x="212"/>
        <item x="466"/>
        <item x="293"/>
        <item x="32"/>
        <item x="270"/>
        <item x="530"/>
        <item x="736"/>
        <item x="524"/>
        <item x="11"/>
        <item x="37"/>
        <item x="734"/>
        <item x="364"/>
        <item x="692"/>
        <item x="714"/>
        <item x="48"/>
        <item x="23"/>
        <item x="86"/>
        <item x="668"/>
        <item x="95"/>
        <item x="384"/>
        <item x="243"/>
        <item x="419"/>
        <item x="475"/>
        <item x="276"/>
        <item x="690"/>
        <item x="698"/>
        <item x="136"/>
        <item x="635"/>
        <item x="54"/>
        <item x="797"/>
        <item x="386"/>
        <item x="363"/>
        <item x="277"/>
        <item x="392"/>
        <item x="21"/>
        <item x="224"/>
        <item x="242"/>
        <item x="390"/>
        <item x="175"/>
        <item x="119"/>
        <item x="315"/>
        <item x="69"/>
        <item x="632"/>
        <item x="751"/>
        <item x="776"/>
        <item x="454"/>
        <item x="102"/>
        <item x="383"/>
        <item x="600"/>
        <item x="72"/>
        <item x="241"/>
        <item x="791"/>
        <item x="349"/>
        <item x="26"/>
        <item x="97"/>
        <item x="633"/>
        <item x="59"/>
        <item x="324"/>
        <item x="426"/>
        <item x="262"/>
        <item x="740"/>
        <item x="282"/>
        <item x="361"/>
        <item x="132"/>
        <item x="202"/>
        <item x="615"/>
        <item x="449"/>
        <item x="735"/>
        <item x="657"/>
        <item x="559"/>
        <item x="699"/>
        <item x="177"/>
        <item x="720"/>
        <item x="558"/>
        <item x="147"/>
        <item x="638"/>
        <item x="316"/>
        <item x="352"/>
        <item x="588"/>
        <item x="534"/>
        <item x="249"/>
        <item x="369"/>
        <item x="780"/>
        <item x="3"/>
        <item x="379"/>
        <item x="601"/>
        <item x="187"/>
        <item x="280"/>
        <item x="42"/>
        <item x="45"/>
        <item x="473"/>
        <item x="143"/>
        <item x="199"/>
        <item x="569"/>
        <item x="422"/>
        <item x="387"/>
        <item x="304"/>
        <item x="416"/>
        <item x="27"/>
        <item x="358"/>
        <item x="43"/>
        <item x="512"/>
        <item x="333"/>
        <item x="481"/>
        <item x="36"/>
        <item x="477"/>
        <item x="465"/>
        <item x="194"/>
        <item x="777"/>
        <item x="666"/>
        <item x="238"/>
        <item x="376"/>
        <item x="388"/>
        <item x="239"/>
        <item x="173"/>
        <item x="284"/>
        <item x="246"/>
        <item x="345"/>
        <item x="366"/>
        <item x="522"/>
        <item x="531"/>
        <item x="335"/>
        <item x="435"/>
        <item x="526"/>
        <item x="782"/>
        <item x="694"/>
        <item x="188"/>
        <item x="250"/>
        <item x="648"/>
        <item x="578"/>
        <item x="580"/>
        <item x="317"/>
        <item x="134"/>
        <item x="748"/>
        <item x="273"/>
        <item x="192"/>
        <item x="674"/>
        <item x="321"/>
        <item x="374"/>
        <item x="572"/>
        <item x="590"/>
        <item x="281"/>
        <item x="411"/>
        <item x="63"/>
        <item x="565"/>
        <item x="216"/>
        <item x="200"/>
        <item x="144"/>
        <item x="725"/>
        <item x="786"/>
        <item x="589"/>
        <item x="244"/>
        <item x="381"/>
        <item x="203"/>
        <item x="623"/>
        <item x="636"/>
        <item x="44"/>
        <item x="107"/>
        <item x="1"/>
        <item x="634"/>
        <item x="662"/>
        <item x="404"/>
        <item x="433"/>
        <item x="750"/>
        <item x="117"/>
        <item x="630"/>
        <item x="269"/>
        <item x="608"/>
        <item x="672"/>
        <item x="758"/>
        <item x="120"/>
        <item x="89"/>
        <item x="746"/>
        <item x="585"/>
        <item x="344"/>
        <item x="476"/>
        <item x="307"/>
        <item x="109"/>
        <item x="591"/>
        <item x="182"/>
        <item x="52"/>
        <item x="61"/>
        <item x="575"/>
        <item x="22"/>
        <item x="469"/>
        <item x="427"/>
        <item x="225"/>
        <item x="297"/>
        <item x="519"/>
        <item x="220"/>
        <item x="346"/>
        <item x="434"/>
        <item x="444"/>
        <item x="483"/>
        <item x="700"/>
        <item x="676"/>
        <item x="407"/>
        <item x="443"/>
        <item x="16"/>
        <item x="790"/>
        <item x="263"/>
        <item x="311"/>
        <item x="773"/>
        <item x="726"/>
        <item x="294"/>
        <item x="228"/>
        <item x="186"/>
        <item x="555"/>
        <item x="247"/>
        <item x="754"/>
        <item x="393"/>
        <item x="760"/>
        <item x="770"/>
        <item x="372"/>
        <item x="741"/>
        <item x="417"/>
        <item x="79"/>
        <item x="80"/>
        <item x="267"/>
        <item x="612"/>
        <item x="761"/>
        <item x="265"/>
        <item x="618"/>
        <item x="643"/>
        <item x="359"/>
        <item x="253"/>
        <item x="340"/>
        <item x="663"/>
        <item x="682"/>
        <item x="521"/>
        <item x="207"/>
        <item x="412"/>
        <item x="296"/>
        <item x="353"/>
        <item x="656"/>
        <item x="646"/>
        <item x="537"/>
        <item x="680"/>
        <item x="506"/>
        <item x="410"/>
        <item x="650"/>
        <item x="613"/>
        <item x="706"/>
        <item x="179"/>
        <item x="513"/>
        <item x="504"/>
        <item x="73"/>
        <item x="715"/>
        <item x="108"/>
        <item x="129"/>
        <item x="620"/>
        <item x="542"/>
        <item x="92"/>
        <item x="12"/>
        <item x="594"/>
        <item x="264"/>
        <item x="619"/>
        <item x="783"/>
        <item x="527"/>
        <item x="343"/>
        <item x="607"/>
        <item x="139"/>
        <item x="474"/>
        <item x="236"/>
        <item x="450"/>
        <item x="105"/>
        <item x="116"/>
        <item x="647"/>
        <item x="681"/>
        <item x="584"/>
        <item x="644"/>
        <item x="658"/>
        <item x="313"/>
        <item x="778"/>
        <item x="649"/>
        <item x="231"/>
        <item x="603"/>
        <item x="397"/>
        <item x="406"/>
        <item x="501"/>
        <item x="712"/>
        <item x="287"/>
        <item x="457"/>
        <item x="581"/>
        <item x="624"/>
        <item x="74"/>
        <item x="653"/>
        <item x="660"/>
        <item x="165"/>
        <item x="400"/>
        <item x="149"/>
        <item x="723"/>
        <item x="301"/>
        <item x="399"/>
        <item x="550"/>
        <item x="385"/>
        <item x="487"/>
        <item x="489"/>
        <item x="370"/>
        <item x="360"/>
        <item x="350"/>
        <item x="482"/>
        <item x="616"/>
        <item x="598"/>
        <item x="685"/>
        <item x="90"/>
        <item x="218"/>
        <item x="83"/>
        <item x="5"/>
        <item x="560"/>
        <item x="91"/>
        <item x="495"/>
        <item x="64"/>
        <item x="2"/>
        <item x="743"/>
        <item x="611"/>
        <item x="257"/>
        <item x="675"/>
        <item x="753"/>
        <item x="502"/>
        <item x="661"/>
        <item x="518"/>
        <item x="25"/>
        <item x="232"/>
        <item x="462"/>
        <item x="654"/>
        <item x="342"/>
        <item x="251"/>
        <item x="254"/>
        <item x="93"/>
        <item x="557"/>
        <item x="35"/>
        <item x="442"/>
        <item x="440"/>
        <item x="28"/>
        <item x="169"/>
        <item x="122"/>
        <item x="60"/>
        <item x="185"/>
        <item x="163"/>
        <item x="153"/>
        <item x="800"/>
        <item x="711"/>
        <item x="328"/>
        <item x="703"/>
        <item x="176"/>
        <item x="221"/>
        <item x="213"/>
        <item x="325"/>
        <item x="779"/>
        <item x="622"/>
        <item x="733"/>
        <item x="539"/>
        <item x="453"/>
        <item x="626"/>
        <item x="491"/>
        <item x="744"/>
        <item x="0"/>
        <item x="508"/>
        <item x="732"/>
        <item x="127"/>
        <item x="691"/>
        <item x="256"/>
        <item x="380"/>
        <item x="532"/>
        <item x="702"/>
        <item x="375"/>
        <item x="629"/>
        <item x="458"/>
        <item x="802"/>
        <item x="467"/>
        <item x="710"/>
        <item x="9"/>
        <item x="168"/>
        <item x="759"/>
        <item x="665"/>
        <item x="625"/>
        <item x="448"/>
        <item x="552"/>
        <item x="112"/>
        <item x="206"/>
        <item x="494"/>
        <item x="574"/>
        <item x="788"/>
        <item x="235"/>
        <item x="651"/>
        <item x="470"/>
        <item x="214"/>
        <item x="538"/>
        <item x="152"/>
        <item x="291"/>
        <item x="15"/>
        <item x="492"/>
        <item x="763"/>
        <item x="271"/>
        <item x="582"/>
        <item x="640"/>
        <item x="123"/>
        <item x="24"/>
        <item x="599"/>
        <item x="547"/>
        <item x="798"/>
        <item x="314"/>
        <item x="201"/>
        <item x="7"/>
        <item x="29"/>
        <item x="131"/>
        <item x="563"/>
        <item x="586"/>
        <item x="423"/>
        <item x="409"/>
        <item x="775"/>
        <item x="38"/>
        <item x="245"/>
        <item x="151"/>
        <item x="669"/>
        <item x="161"/>
        <item x="413"/>
        <item x="772"/>
        <item x="439"/>
        <item x="799"/>
        <item x="493"/>
        <item x="51"/>
        <item x="546"/>
        <item x="215"/>
        <item x="430"/>
        <item x="677"/>
        <item x="803"/>
        <item x="341"/>
        <item x="664"/>
        <item x="121"/>
        <item x="525"/>
        <item x="158"/>
        <item x="113"/>
        <item x="432"/>
        <item x="135"/>
        <item x="300"/>
        <item x="684"/>
        <item x="268"/>
        <item x="730"/>
        <item x="195"/>
        <item x="8"/>
        <item x="774"/>
        <item x="510"/>
        <item x="106"/>
        <item x="118"/>
        <item x="286"/>
        <item x="124"/>
        <item x="452"/>
        <item x="520"/>
        <item x="528"/>
        <item x="205"/>
        <item x="464"/>
        <item x="362"/>
        <item x="402"/>
        <item x="696"/>
        <item x="164"/>
        <item x="529"/>
        <item x="320"/>
        <item x="568"/>
        <item x="299"/>
        <item x="283"/>
        <item x="641"/>
        <item x="471"/>
        <item x="749"/>
        <item x="389"/>
        <item x="85"/>
        <item x="233"/>
        <item x="259"/>
        <item x="210"/>
        <item x="209"/>
        <item x="425"/>
        <item x="415"/>
        <item x="82"/>
        <item x="429"/>
        <item x="436"/>
        <item x="20"/>
        <item x="687"/>
        <item x="792"/>
        <item x="490"/>
        <item x="645"/>
        <item x="190"/>
        <item x="382"/>
        <item x="549"/>
        <item x="18"/>
        <item x="53"/>
        <item x="488"/>
        <item x="261"/>
        <item x="631"/>
        <item x="709"/>
        <item x="288"/>
        <item x="150"/>
        <item x="334"/>
        <item x="801"/>
        <item x="637"/>
        <item x="446"/>
        <item x="84"/>
        <item x="114"/>
        <item x="478"/>
        <item x="279"/>
        <item x="337"/>
        <item x="401"/>
        <item x="308"/>
        <item x="405"/>
        <item x="260"/>
        <item x="166"/>
        <item x="125"/>
        <item x="365"/>
        <item x="138"/>
        <item x="237"/>
        <item x="556"/>
        <item x="354"/>
        <item x="141"/>
        <item x="371"/>
        <item x="219"/>
        <item x="30"/>
        <item x="511"/>
        <item x="673"/>
        <item x="764"/>
        <item x="554"/>
        <item x="274"/>
        <item x="278"/>
        <item x="548"/>
        <item x="667"/>
        <item x="56"/>
        <item x="553"/>
        <item x="94"/>
        <item x="159"/>
        <item x="248"/>
        <item x="155"/>
        <item x="784"/>
        <item x="148"/>
        <item x="573"/>
        <item x="679"/>
        <item x="338"/>
        <item x="81"/>
        <item x="160"/>
        <item x="804"/>
        <item x="55"/>
        <item x="697"/>
        <item x="781"/>
        <item x="716"/>
        <item x="17"/>
        <item x="671"/>
        <item x="689"/>
        <item x="180"/>
        <item x="564"/>
        <item x="414"/>
        <item x="705"/>
        <item x="517"/>
        <item x="13"/>
        <item x="739"/>
        <item x="39"/>
        <item x="181"/>
        <item x="310"/>
        <item x="41"/>
        <item x="137"/>
        <item x="659"/>
        <item x="351"/>
        <item x="111"/>
        <item x="172"/>
        <item x="255"/>
        <item x="4"/>
        <item x="58"/>
        <item x="480"/>
        <item x="500"/>
        <item x="583"/>
        <item x="579"/>
        <item x="130"/>
        <item x="208"/>
        <item x="544"/>
        <item x="356"/>
        <item x="6"/>
        <item x="223"/>
        <item x="731"/>
        <item x="652"/>
        <item x="484"/>
        <item x="348"/>
        <item x="68"/>
        <item x="561"/>
        <item x="115"/>
        <item x="103"/>
        <item x="142"/>
        <item x="595"/>
        <item x="606"/>
        <item x="408"/>
        <item x="156"/>
        <item x="33"/>
        <item x="768"/>
        <item x="326"/>
        <item x="451"/>
        <item x="184"/>
        <item x="62"/>
        <item x="614"/>
        <item x="496"/>
        <item x="516"/>
        <item x="468"/>
        <item x="275"/>
        <item x="222"/>
        <item x="596"/>
        <item x="258"/>
        <item x="234"/>
        <item x="266"/>
        <item x="211"/>
        <item x="545"/>
        <item x="398"/>
        <item x="587"/>
        <item x="570"/>
        <item x="621"/>
        <item x="327"/>
        <item x="688"/>
        <item x="167"/>
        <item x="499"/>
        <item x="796"/>
        <item x="98"/>
        <item x="509"/>
        <item x="230"/>
        <item x="67"/>
        <item x="178"/>
        <item x="306"/>
        <item x="128"/>
        <item x="766"/>
        <item x="497"/>
        <item x="515"/>
        <item x="14"/>
        <item x="100"/>
        <item x="755"/>
        <item x="576"/>
        <item x="87"/>
        <item x="331"/>
        <item x="505"/>
        <item x="745"/>
        <item x="593"/>
        <item x="378"/>
        <item x="447"/>
        <item x="197"/>
        <item x="312"/>
        <item x="602"/>
        <item x="727"/>
        <item x="543"/>
        <item x="303"/>
        <item x="322"/>
        <item x="146"/>
        <item x="445"/>
        <item x="174"/>
        <item x="47"/>
        <item x="227"/>
        <item x="110"/>
        <item x="318"/>
        <item x="295"/>
        <item x="289"/>
        <item x="424"/>
        <item x="627"/>
        <item x="523"/>
        <item x="765"/>
        <item x="305"/>
        <item x="170"/>
        <item x="357"/>
        <item x="65"/>
        <item x="183"/>
        <item x="396"/>
        <item x="693"/>
        <item x="609"/>
        <item x="50"/>
        <item x="683"/>
        <item x="162"/>
        <item x="329"/>
        <item x="101"/>
        <item x="789"/>
        <item x="272"/>
        <item x="571"/>
        <item x="10"/>
        <item x="455"/>
        <item x="77"/>
        <item x="721"/>
        <item x="332"/>
        <item x="34"/>
        <item x="747"/>
        <item x="567"/>
        <item x="339"/>
        <item x="347"/>
        <item x="438"/>
        <item x="441"/>
        <item x="302"/>
        <item x="541"/>
        <item x="126"/>
        <item x="717"/>
        <item x="686"/>
        <item x="431"/>
        <item x="104"/>
        <item x="229"/>
        <item x="707"/>
        <item x="728"/>
        <item x="719"/>
        <item x="154"/>
        <item x="140"/>
        <item x="551"/>
        <item x="403"/>
        <item x="722"/>
        <item x="285"/>
        <item x="605"/>
        <item x="336"/>
        <item x="145"/>
        <item x="19"/>
        <item x="290"/>
        <item x="695"/>
        <item x="76"/>
        <item x="420"/>
        <item x="503"/>
        <item x="437"/>
        <item x="395"/>
        <item x="66"/>
        <item x="319"/>
        <item x="252"/>
        <item x="617"/>
        <item x="71"/>
        <item x="373"/>
        <item x="377"/>
        <item x="226"/>
        <item x="472"/>
        <item x="394"/>
        <item x="191"/>
        <item x="355"/>
        <item x="323"/>
        <item x="133"/>
        <item x="459"/>
        <item x="769"/>
        <item x="642"/>
        <item x="670"/>
        <item x="292"/>
        <item x="597"/>
        <item x="785"/>
        <item x="88"/>
        <item x="604"/>
        <item x="795"/>
        <item x="639"/>
        <item x="592"/>
        <item x="40"/>
        <item x="514"/>
        <item x="566"/>
        <item x="57"/>
        <item x="536"/>
        <item x="485"/>
        <item x="479"/>
        <item x="742"/>
        <item x="298"/>
        <item x="655"/>
        <item x="794"/>
        <item x="463"/>
        <item x="533"/>
        <item x="240"/>
        <item x="535"/>
        <item x="562"/>
        <item x="367"/>
        <item x="577"/>
        <item x="96"/>
        <item x="486"/>
        <item x="46"/>
        <item x="75"/>
        <item x="193"/>
        <item x="628"/>
        <item x="704"/>
        <item x="31"/>
        <item x="330"/>
        <item x="196"/>
        <item x="678"/>
        <item x="767"/>
        <item x="171"/>
        <item x="793"/>
        <item x="217"/>
        <item x="507"/>
        <item x="752"/>
        <item x="708"/>
        <item x="756"/>
        <item x="368"/>
        <item x="49"/>
        <item x="701"/>
        <item x="456"/>
        <item x="99"/>
        <item x="391"/>
        <item x="189"/>
        <item x="157"/>
        <item x="428"/>
        <item t="default"/>
      </items>
    </pivotField>
    <pivotField axis="axisRow" showAll="0" measureFilter="1" sortType="descending">
      <items count="8">
        <item x="6"/>
        <item x="2"/>
        <item x="4"/>
        <item x="1"/>
        <item x="5"/>
        <item x="3"/>
        <item x="0"/>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s>
  <rowFields count="1">
    <field x="10"/>
  </rowFields>
  <rowItems count="6">
    <i>
      <x/>
    </i>
    <i>
      <x v="1"/>
    </i>
    <i>
      <x v="2"/>
    </i>
    <i>
      <x v="3"/>
    </i>
    <i>
      <x v="6"/>
    </i>
    <i t="grand">
      <x/>
    </i>
  </rowItems>
  <colItems count="1">
    <i/>
  </colItems>
  <dataFields count="1">
    <dataField name="Count of Employee_ID" fld="0" subtotal="count" baseField="10" baseItem="1"/>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3DA18C-2F73-4B71-9A3B-D901413F3D00}"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3:B6" firstHeaderRow="1" firstDataRow="1" firstDataCol="1"/>
  <pivotFields count="18">
    <pivotField dataField="1" showAll="0"/>
    <pivotField showAll="0"/>
    <pivotField showAll="0"/>
    <pivotField axis="axisRow" showAll="0">
      <items count="3">
        <item x="0"/>
        <item x="1"/>
        <item t="default"/>
      </items>
    </pivotField>
    <pivotField showAll="0"/>
    <pivotField showAll="0"/>
    <pivotField showAll="0"/>
    <pivotField numFmtId="14" showAll="0"/>
    <pivotField numFmtId="14" showAll="0">
      <items count="814">
        <item x="779"/>
        <item x="432"/>
        <item x="355"/>
        <item x="649"/>
        <item x="275"/>
        <item x="477"/>
        <item x="767"/>
        <item x="353"/>
        <item x="318"/>
        <item x="429"/>
        <item x="661"/>
        <item x="593"/>
        <item x="399"/>
        <item x="576"/>
        <item x="315"/>
        <item x="710"/>
        <item x="768"/>
        <item x="340"/>
        <item x="180"/>
        <item x="755"/>
        <item x="492"/>
        <item x="51"/>
        <item x="615"/>
        <item x="624"/>
        <item x="259"/>
        <item x="601"/>
        <item x="183"/>
        <item x="603"/>
        <item x="712"/>
        <item x="592"/>
        <item x="274"/>
        <item x="738"/>
        <item x="769"/>
        <item x="525"/>
        <item x="41"/>
        <item x="606"/>
        <item x="507"/>
        <item x="706"/>
        <item x="605"/>
        <item x="317"/>
        <item x="126"/>
        <item x="788"/>
        <item x="758"/>
        <item x="201"/>
        <item x="2"/>
        <item x="3"/>
        <item x="473"/>
        <item x="474"/>
        <item x="742"/>
        <item x="728"/>
        <item x="776"/>
        <item x="71"/>
        <item x="80"/>
        <item x="226"/>
        <item x="783"/>
        <item x="202"/>
        <item x="212"/>
        <item x="448"/>
        <item x="0"/>
        <item x="17"/>
        <item x="198"/>
        <item x="772"/>
        <item x="707"/>
        <item x="267"/>
        <item x="604"/>
        <item x="291"/>
        <item x="756"/>
        <item x="717"/>
        <item x="335"/>
        <item x="344"/>
        <item x="726"/>
        <item x="731"/>
        <item x="735"/>
        <item x="171"/>
        <item x="208"/>
        <item x="28"/>
        <item x="551"/>
        <item x="235"/>
        <item x="307"/>
        <item x="460"/>
        <item x="393"/>
        <item x="407"/>
        <item x="631"/>
        <item x="466"/>
        <item x="304"/>
        <item x="495"/>
        <item x="296"/>
        <item x="384"/>
        <item x="343"/>
        <item x="660"/>
        <item x="329"/>
        <item x="385"/>
        <item x="765"/>
        <item x="747"/>
        <item x="229"/>
        <item x="44"/>
        <item x="463"/>
        <item x="727"/>
        <item x="741"/>
        <item x="802"/>
        <item x="324"/>
        <item x="330"/>
        <item x="611"/>
        <item x="154"/>
        <item x="37"/>
        <item x="413"/>
        <item x="527"/>
        <item x="20"/>
        <item x="450"/>
        <item x="453"/>
        <item x="635"/>
        <item x="68"/>
        <item x="1"/>
        <item x="197"/>
        <item x="724"/>
        <item x="617"/>
        <item x="430"/>
        <item x="721"/>
        <item x="572"/>
        <item x="795"/>
        <item x="156"/>
        <item x="85"/>
        <item x="70"/>
        <item x="284"/>
        <item x="682"/>
        <item x="599"/>
        <item x="583"/>
        <item x="586"/>
        <item x="187"/>
        <item x="405"/>
        <item x="762"/>
        <item x="696"/>
        <item x="193"/>
        <item x="271"/>
        <item x="521"/>
        <item x="303"/>
        <item x="19"/>
        <item x="395"/>
        <item x="102"/>
        <item x="248"/>
        <item x="565"/>
        <item x="646"/>
        <item x="349"/>
        <item x="419"/>
        <item x="524"/>
        <item x="538"/>
        <item x="634"/>
        <item x="668"/>
        <item x="382"/>
        <item x="7"/>
        <item x="794"/>
        <item x="365"/>
        <item x="517"/>
        <item x="312"/>
        <item x="743"/>
        <item x="775"/>
        <item x="750"/>
        <item x="153"/>
        <item x="272"/>
        <item x="619"/>
        <item x="799"/>
        <item x="273"/>
        <item x="764"/>
        <item x="570"/>
        <item x="52"/>
        <item x="674"/>
        <item x="472"/>
        <item x="548"/>
        <item x="216"/>
        <item x="810"/>
        <item x="478"/>
        <item x="298"/>
        <item x="32"/>
        <item x="134"/>
        <item x="61"/>
        <item x="534"/>
        <item x="537"/>
        <item x="531"/>
        <item x="412"/>
        <item x="541"/>
        <item x="11"/>
        <item x="257"/>
        <item x="739"/>
        <item x="377"/>
        <item x="701"/>
        <item x="23"/>
        <item x="49"/>
        <item x="81"/>
        <item x="427"/>
        <item x="89"/>
        <item x="98"/>
        <item x="143"/>
        <item x="396"/>
        <item x="245"/>
        <item x="277"/>
        <item x="486"/>
        <item x="746"/>
        <item x="280"/>
        <item x="699"/>
        <item x="561"/>
        <item x="323"/>
        <item x="364"/>
        <item x="138"/>
        <item x="181"/>
        <item x="55"/>
        <item x="637"/>
        <item x="129"/>
        <item x="454"/>
        <item x="749"/>
        <item x="806"/>
        <item x="79"/>
        <item x="398"/>
        <item x="309"/>
        <item x="690"/>
        <item x="415"/>
        <item x="375"/>
        <item x="569"/>
        <item x="281"/>
        <item x="402"/>
        <item x="585"/>
        <item x="21"/>
        <item x="228"/>
        <item x="244"/>
        <item x="29"/>
        <item x="178"/>
        <item x="93"/>
        <item x="42"/>
        <item x="566"/>
        <item x="461"/>
        <item x="380"/>
        <item x="459"/>
        <item x="582"/>
        <item x="78"/>
        <item x="122"/>
        <item x="242"/>
        <item x="326"/>
        <item x="597"/>
        <item x="791"/>
        <item x="503"/>
        <item x="386"/>
        <item x="612"/>
        <item x="573"/>
        <item x="105"/>
        <item x="203"/>
        <item x="812"/>
        <item x="73"/>
        <item x="703"/>
        <item x="86"/>
        <item x="800"/>
        <item x="362"/>
        <item x="26"/>
        <item x="100"/>
        <item x="110"/>
        <item x="87"/>
        <item x="177"/>
        <item x="60"/>
        <item x="252"/>
        <item x="438"/>
        <item x="264"/>
        <item x="45"/>
        <item x="480"/>
        <item x="287"/>
        <item x="397"/>
        <item x="373"/>
        <item x="233"/>
        <item x="206"/>
        <item x="670"/>
        <item x="620"/>
        <item x="299"/>
        <item x="423"/>
        <item x="519"/>
        <item x="629"/>
        <item x="667"/>
        <item x="571"/>
        <item x="708"/>
        <item x="722"/>
        <item x="246"/>
        <item x="470"/>
        <item x="149"/>
        <item x="559"/>
        <item x="327"/>
        <item x="250"/>
        <item x="560"/>
        <item x="410"/>
        <item x="48"/>
        <item x="82"/>
        <item x="191"/>
        <item x="632"/>
        <item x="514"/>
        <item x="630"/>
        <item x="142"/>
        <item x="322"/>
        <item x="374"/>
        <item x="627"/>
        <item x="391"/>
        <item x="109"/>
        <item x="483"/>
        <item x="433"/>
        <item x="678"/>
        <item x="190"/>
        <item x="336"/>
        <item x="426"/>
        <item x="27"/>
        <item x="370"/>
        <item x="43"/>
        <item x="520"/>
        <item x="491"/>
        <item x="36"/>
        <item x="488"/>
        <item x="588"/>
        <item x="676"/>
        <item x="241"/>
        <item x="388"/>
        <item x="389"/>
        <item x="400"/>
        <item x="175"/>
        <item x="289"/>
        <item x="247"/>
        <item x="358"/>
        <item x="378"/>
        <item x="379"/>
        <item x="515"/>
        <item x="529"/>
        <item x="346"/>
        <item x="446"/>
        <item x="533"/>
        <item x="92"/>
        <item x="192"/>
        <item x="251"/>
        <item x="657"/>
        <item x="595"/>
        <item x="328"/>
        <item x="136"/>
        <item x="751"/>
        <item x="170"/>
        <item x="276"/>
        <item x="196"/>
        <item x="675"/>
        <item x="442"/>
        <item x="754"/>
        <item x="332"/>
        <item x="673"/>
        <item x="387"/>
        <item x="411"/>
        <item x="8"/>
        <item x="536"/>
        <item x="286"/>
        <item x="715"/>
        <item x="420"/>
        <item x="115"/>
        <item x="64"/>
        <item x="579"/>
        <item x="221"/>
        <item x="204"/>
        <item x="146"/>
        <item x="732"/>
        <item x="793"/>
        <item x="124"/>
        <item x="422"/>
        <item x="434"/>
        <item x="440"/>
        <item x="394"/>
        <item x="207"/>
        <item x="16"/>
        <item x="644"/>
        <item x="285"/>
        <item x="96"/>
        <item x="155"/>
        <item x="449"/>
        <item x="672"/>
        <item x="444"/>
        <item x="753"/>
        <item x="120"/>
        <item x="642"/>
        <item x="135"/>
        <item x="622"/>
        <item x="681"/>
        <item x="261"/>
        <item x="763"/>
        <item x="123"/>
        <item x="409"/>
        <item x="57"/>
        <item x="238"/>
        <item x="403"/>
        <item x="357"/>
        <item x="65"/>
        <item x="766"/>
        <item x="345"/>
        <item x="487"/>
        <item x="112"/>
        <item x="186"/>
        <item x="53"/>
        <item x="62"/>
        <item x="639"/>
        <item x="91"/>
        <item x="647"/>
        <item x="22"/>
        <item x="481"/>
        <item x="796"/>
        <item x="485"/>
        <item x="199"/>
        <item x="306"/>
        <item x="554"/>
        <item x="141"/>
        <item x="225"/>
        <item x="359"/>
        <item x="445"/>
        <item x="451"/>
        <item x="497"/>
        <item x="390"/>
        <item x="455"/>
        <item x="493"/>
        <item x="35"/>
        <item x="709"/>
        <item x="416"/>
        <item x="733"/>
        <item x="265"/>
        <item x="255"/>
        <item x="319"/>
        <item x="467"/>
        <item x="501"/>
        <item x="780"/>
        <item x="166"/>
        <item x="300"/>
        <item x="232"/>
        <item x="547"/>
        <item x="360"/>
        <item x="564"/>
        <item x="771"/>
        <item x="778"/>
        <item x="730"/>
        <item x="431"/>
        <item x="316"/>
        <item x="687"/>
        <item x="269"/>
        <item x="626"/>
        <item x="352"/>
        <item x="499"/>
        <item x="653"/>
        <item x="464"/>
        <item x="577"/>
        <item x="371"/>
        <item x="383"/>
        <item x="254"/>
        <item x="504"/>
        <item x="553"/>
        <item x="210"/>
        <item x="421"/>
        <item x="535"/>
        <item x="666"/>
        <item x="656"/>
        <item x="545"/>
        <item x="482"/>
        <item x="325"/>
        <item x="688"/>
        <item x="759"/>
        <item x="435"/>
        <item x="659"/>
        <item x="511"/>
        <item x="74"/>
        <item x="490"/>
        <item x="725"/>
        <item x="111"/>
        <item x="132"/>
        <item x="84"/>
        <item x="550"/>
        <item x="439"/>
        <item x="25"/>
        <item x="308"/>
        <item x="95"/>
        <item x="12"/>
        <item x="376"/>
        <item x="782"/>
        <item x="609"/>
        <item x="266"/>
        <item x="237"/>
        <item x="790"/>
        <item x="356"/>
        <item x="621"/>
        <item x="568"/>
        <item x="239"/>
        <item x="462"/>
        <item x="108"/>
        <item x="581"/>
        <item x="119"/>
        <item x="218"/>
        <item x="654"/>
        <item x="321"/>
        <item x="10"/>
        <item x="784"/>
        <item x="658"/>
        <item x="555"/>
        <item x="509"/>
        <item x="414"/>
        <item x="268"/>
        <item x="685"/>
        <item x="354"/>
        <item x="785"/>
        <item x="292"/>
        <item x="469"/>
        <item x="711"/>
        <item x="596"/>
        <item x="75"/>
        <item x="663"/>
        <item x="167"/>
        <item x="723"/>
        <item x="151"/>
        <item x="636"/>
        <item x="677"/>
        <item x="50"/>
        <item x="219"/>
        <item x="684"/>
        <item x="748"/>
        <item x="539"/>
        <item x="372"/>
        <item x="616"/>
        <item x="693"/>
        <item x="361"/>
        <item x="600"/>
        <item x="214"/>
        <item x="223"/>
        <item x="30"/>
        <item x="5"/>
        <item x="542"/>
        <item x="650"/>
        <item x="94"/>
        <item x="745"/>
        <item x="625"/>
        <item x="452"/>
        <item x="692"/>
        <item x="770"/>
        <item x="465"/>
        <item x="683"/>
        <item x="54"/>
        <item x="757"/>
        <item x="510"/>
        <item x="589"/>
        <item x="671"/>
        <item x="496"/>
        <item x="610"/>
        <item x="787"/>
        <item x="664"/>
        <item x="24"/>
        <item x="331"/>
        <item x="437"/>
        <item x="760"/>
        <item x="789"/>
        <item x="125"/>
        <item x="574"/>
        <item x="189"/>
        <item x="165"/>
        <item x="669"/>
        <item x="808"/>
        <item x="339"/>
        <item x="213"/>
        <item x="38"/>
        <item x="179"/>
        <item x="347"/>
        <item x="72"/>
        <item x="502"/>
        <item x="130"/>
        <item x="700"/>
        <item x="258"/>
        <item x="350"/>
        <item x="641"/>
        <item x="479"/>
        <item x="719"/>
        <item x="9"/>
        <item x="302"/>
        <item x="546"/>
        <item x="665"/>
        <item x="15"/>
        <item x="127"/>
        <item x="811"/>
        <item x="205"/>
        <item x="369"/>
        <item x="418"/>
        <item x="163"/>
        <item x="807"/>
        <item x="220"/>
        <item x="441"/>
        <item x="443"/>
        <item x="575"/>
        <item x="428"/>
        <item x="532"/>
        <item x="652"/>
        <item x="160"/>
        <item x="116"/>
        <item x="137"/>
        <item x="736"/>
        <item x="781"/>
        <item x="121"/>
        <item x="526"/>
        <item x="209"/>
        <item x="476"/>
        <item x="363"/>
        <item x="705"/>
        <item x="288"/>
        <item x="651"/>
        <item x="484"/>
        <item x="752"/>
        <item x="88"/>
        <item x="236"/>
        <item x="513"/>
        <item x="425"/>
        <item x="447"/>
        <item x="567"/>
        <item x="695"/>
        <item x="234"/>
        <item x="801"/>
        <item x="500"/>
        <item x="655"/>
        <item x="194"/>
        <item x="557"/>
        <item x="18"/>
        <item x="498"/>
        <item x="263"/>
        <item x="643"/>
        <item x="718"/>
        <item x="293"/>
        <item x="152"/>
        <item x="809"/>
        <item x="645"/>
        <item x="457"/>
        <item x="117"/>
        <item x="489"/>
        <item x="283"/>
        <item x="720"/>
        <item x="262"/>
        <item x="168"/>
        <item x="128"/>
        <item x="147"/>
        <item x="140"/>
        <item x="240"/>
        <item x="366"/>
        <item x="544"/>
        <item x="224"/>
        <item x="47"/>
        <item x="518"/>
        <item x="243"/>
        <item x="558"/>
        <item x="76"/>
        <item x="563"/>
        <item x="549"/>
        <item x="278"/>
        <item x="282"/>
        <item x="556"/>
        <item x="97"/>
        <item x="161"/>
        <item x="249"/>
        <item x="157"/>
        <item x="150"/>
        <item x="587"/>
        <item x="404"/>
        <item x="686"/>
        <item x="351"/>
        <item x="83"/>
        <item x="162"/>
        <item x="56"/>
        <item x="270"/>
        <item x="680"/>
        <item x="698"/>
        <item x="184"/>
        <item x="734"/>
        <item x="578"/>
        <item x="424"/>
        <item x="714"/>
        <item x="13"/>
        <item x="348"/>
        <item x="39"/>
        <item x="185"/>
        <item x="543"/>
        <item x="139"/>
        <item x="260"/>
        <item x="114"/>
        <item x="174"/>
        <item x="256"/>
        <item x="4"/>
        <item x="59"/>
        <item x="740"/>
        <item x="598"/>
        <item x="594"/>
        <item x="133"/>
        <item x="211"/>
        <item x="368"/>
        <item x="623"/>
        <item x="6"/>
        <item x="227"/>
        <item x="737"/>
        <item x="662"/>
        <item x="494"/>
        <item x="34"/>
        <item x="69"/>
        <item x="118"/>
        <item x="106"/>
        <item x="144"/>
        <item x="613"/>
        <item x="417"/>
        <item x="158"/>
        <item x="33"/>
        <item x="337"/>
        <item x="188"/>
        <item x="63"/>
        <item x="628"/>
        <item x="505"/>
        <item x="523"/>
        <item x="279"/>
        <item x="584"/>
        <item x="614"/>
        <item x="694"/>
        <item x="215"/>
        <item x="408"/>
        <item x="602"/>
        <item x="633"/>
        <item x="338"/>
        <item x="697"/>
        <item x="169"/>
        <item x="508"/>
        <item x="805"/>
        <item x="101"/>
        <item x="516"/>
        <item x="689"/>
        <item x="301"/>
        <item x="182"/>
        <item x="314"/>
        <item x="131"/>
        <item x="773"/>
        <item x="506"/>
        <item x="14"/>
        <item x="103"/>
        <item x="761"/>
        <item x="590"/>
        <item x="90"/>
        <item x="342"/>
        <item x="512"/>
        <item x="608"/>
        <item x="392"/>
        <item x="458"/>
        <item x="320"/>
        <item x="552"/>
        <item x="311"/>
        <item x="333"/>
        <item x="148"/>
        <item x="456"/>
        <item x="176"/>
        <item x="231"/>
        <item x="113"/>
        <item x="294"/>
        <item x="436"/>
        <item x="638"/>
        <item x="530"/>
        <item x="313"/>
        <item x="172"/>
        <item x="66"/>
        <item x="786"/>
        <item x="406"/>
        <item x="702"/>
        <item x="691"/>
        <item x="679"/>
        <item x="164"/>
        <item x="104"/>
        <item x="797"/>
        <item x="305"/>
        <item x="310"/>
        <item x="107"/>
        <item x="716"/>
        <item x="290"/>
        <item x="295"/>
        <item x="704"/>
        <item x="77"/>
        <item x="562"/>
        <item x="67"/>
        <item x="253"/>
        <item x="798"/>
        <item x="230"/>
        <item x="195"/>
        <item x="367"/>
        <item x="334"/>
        <item x="471"/>
        <item x="777"/>
        <item x="297"/>
        <item x="40"/>
        <item x="792"/>
        <item x="618"/>
        <item x="648"/>
        <item x="607"/>
        <item x="145"/>
        <item x="522"/>
        <item x="580"/>
        <item x="58"/>
        <item x="744"/>
        <item x="804"/>
        <item x="475"/>
        <item x="540"/>
        <item x="591"/>
        <item x="99"/>
        <item x="46"/>
        <item x="217"/>
        <item x="640"/>
        <item x="713"/>
        <item x="31"/>
        <item x="341"/>
        <item x="200"/>
        <item x="774"/>
        <item x="173"/>
        <item x="803"/>
        <item x="222"/>
        <item x="729"/>
        <item x="381"/>
        <item x="468"/>
        <item x="401"/>
        <item x="159"/>
        <item x="528"/>
        <item t="default"/>
      </items>
    </pivotField>
    <pivotField numFmtId="14" showAll="0">
      <items count="806">
        <item x="771"/>
        <item x="421"/>
        <item x="610"/>
        <item x="418"/>
        <item x="498"/>
        <item x="309"/>
        <item x="461"/>
        <item x="78"/>
        <item x="198"/>
        <item x="70"/>
        <item x="724"/>
        <item x="204"/>
        <item x="737"/>
        <item x="762"/>
        <item x="718"/>
        <item x="738"/>
        <item x="713"/>
        <item x="787"/>
        <item x="757"/>
        <item x="729"/>
        <item x="460"/>
        <item x="540"/>
        <item x="212"/>
        <item x="466"/>
        <item x="293"/>
        <item x="32"/>
        <item x="270"/>
        <item x="530"/>
        <item x="736"/>
        <item x="524"/>
        <item x="11"/>
        <item x="37"/>
        <item x="734"/>
        <item x="364"/>
        <item x="692"/>
        <item x="714"/>
        <item x="48"/>
        <item x="23"/>
        <item x="86"/>
        <item x="668"/>
        <item x="95"/>
        <item x="384"/>
        <item x="243"/>
        <item x="419"/>
        <item x="475"/>
        <item x="276"/>
        <item x="690"/>
        <item x="698"/>
        <item x="136"/>
        <item x="635"/>
        <item x="54"/>
        <item x="797"/>
        <item x="386"/>
        <item x="363"/>
        <item x="277"/>
        <item x="392"/>
        <item x="21"/>
        <item x="224"/>
        <item x="242"/>
        <item x="390"/>
        <item x="175"/>
        <item x="119"/>
        <item x="315"/>
        <item x="69"/>
        <item x="632"/>
        <item x="751"/>
        <item x="776"/>
        <item x="454"/>
        <item x="102"/>
        <item x="383"/>
        <item x="600"/>
        <item x="72"/>
        <item x="241"/>
        <item x="791"/>
        <item x="349"/>
        <item x="26"/>
        <item x="97"/>
        <item x="633"/>
        <item x="59"/>
        <item x="324"/>
        <item x="426"/>
        <item x="262"/>
        <item x="740"/>
        <item x="282"/>
        <item x="361"/>
        <item x="132"/>
        <item x="202"/>
        <item x="615"/>
        <item x="449"/>
        <item x="735"/>
        <item x="657"/>
        <item x="559"/>
        <item x="699"/>
        <item x="177"/>
        <item x="720"/>
        <item x="558"/>
        <item x="147"/>
        <item x="638"/>
        <item x="316"/>
        <item x="352"/>
        <item x="588"/>
        <item x="534"/>
        <item x="249"/>
        <item x="369"/>
        <item x="780"/>
        <item x="3"/>
        <item x="379"/>
        <item x="601"/>
        <item x="187"/>
        <item x="280"/>
        <item x="42"/>
        <item x="45"/>
        <item x="473"/>
        <item x="143"/>
        <item x="199"/>
        <item x="569"/>
        <item x="422"/>
        <item x="387"/>
        <item x="304"/>
        <item x="416"/>
        <item x="27"/>
        <item x="358"/>
        <item x="43"/>
        <item x="512"/>
        <item x="333"/>
        <item x="481"/>
        <item x="36"/>
        <item x="477"/>
        <item x="465"/>
        <item x="194"/>
        <item x="777"/>
        <item x="666"/>
        <item x="238"/>
        <item x="376"/>
        <item x="388"/>
        <item x="239"/>
        <item x="173"/>
        <item x="284"/>
        <item x="246"/>
        <item x="345"/>
        <item x="366"/>
        <item x="522"/>
        <item x="531"/>
        <item x="335"/>
        <item x="435"/>
        <item x="526"/>
        <item x="782"/>
        <item x="694"/>
        <item x="188"/>
        <item x="250"/>
        <item x="648"/>
        <item x="578"/>
        <item x="580"/>
        <item x="317"/>
        <item x="134"/>
        <item x="748"/>
        <item x="273"/>
        <item x="192"/>
        <item x="674"/>
        <item x="321"/>
        <item x="374"/>
        <item x="572"/>
        <item x="590"/>
        <item x="281"/>
        <item x="411"/>
        <item x="63"/>
        <item x="565"/>
        <item x="216"/>
        <item x="200"/>
        <item x="144"/>
        <item x="725"/>
        <item x="786"/>
        <item x="589"/>
        <item x="244"/>
        <item x="381"/>
        <item x="203"/>
        <item x="623"/>
        <item x="636"/>
        <item x="44"/>
        <item x="107"/>
        <item x="1"/>
        <item x="634"/>
        <item x="662"/>
        <item x="404"/>
        <item x="433"/>
        <item x="750"/>
        <item x="117"/>
        <item x="630"/>
        <item x="269"/>
        <item x="608"/>
        <item x="672"/>
        <item x="758"/>
        <item x="120"/>
        <item x="89"/>
        <item x="746"/>
        <item x="585"/>
        <item x="344"/>
        <item x="476"/>
        <item x="307"/>
        <item x="109"/>
        <item x="591"/>
        <item x="182"/>
        <item x="52"/>
        <item x="61"/>
        <item x="575"/>
        <item x="22"/>
        <item x="469"/>
        <item x="427"/>
        <item x="225"/>
        <item x="297"/>
        <item x="519"/>
        <item x="220"/>
        <item x="346"/>
        <item x="434"/>
        <item x="444"/>
        <item x="483"/>
        <item x="700"/>
        <item x="676"/>
        <item x="407"/>
        <item x="443"/>
        <item x="16"/>
        <item x="790"/>
        <item x="263"/>
        <item x="311"/>
        <item x="773"/>
        <item x="726"/>
        <item x="294"/>
        <item x="228"/>
        <item x="186"/>
        <item x="555"/>
        <item x="247"/>
        <item x="754"/>
        <item x="393"/>
        <item x="760"/>
        <item x="770"/>
        <item x="372"/>
        <item x="741"/>
        <item x="417"/>
        <item x="79"/>
        <item x="80"/>
        <item x="267"/>
        <item x="612"/>
        <item x="761"/>
        <item x="265"/>
        <item x="618"/>
        <item x="643"/>
        <item x="359"/>
        <item x="253"/>
        <item x="340"/>
        <item x="663"/>
        <item x="682"/>
        <item x="521"/>
        <item x="207"/>
        <item x="412"/>
        <item x="296"/>
        <item x="353"/>
        <item x="656"/>
        <item x="646"/>
        <item x="537"/>
        <item x="680"/>
        <item x="506"/>
        <item x="410"/>
        <item x="650"/>
        <item x="613"/>
        <item x="706"/>
        <item x="179"/>
        <item x="513"/>
        <item x="504"/>
        <item x="73"/>
        <item x="715"/>
        <item x="108"/>
        <item x="129"/>
        <item x="620"/>
        <item x="542"/>
        <item x="92"/>
        <item x="12"/>
        <item x="594"/>
        <item x="264"/>
        <item x="619"/>
        <item x="783"/>
        <item x="527"/>
        <item x="343"/>
        <item x="607"/>
        <item x="139"/>
        <item x="474"/>
        <item x="236"/>
        <item x="450"/>
        <item x="105"/>
        <item x="116"/>
        <item x="647"/>
        <item x="681"/>
        <item x="584"/>
        <item x="644"/>
        <item x="658"/>
        <item x="313"/>
        <item x="778"/>
        <item x="649"/>
        <item x="231"/>
        <item x="603"/>
        <item x="397"/>
        <item x="406"/>
        <item x="501"/>
        <item x="712"/>
        <item x="287"/>
        <item x="457"/>
        <item x="581"/>
        <item x="624"/>
        <item x="74"/>
        <item x="653"/>
        <item x="660"/>
        <item x="165"/>
        <item x="400"/>
        <item x="149"/>
        <item x="723"/>
        <item x="301"/>
        <item x="399"/>
        <item x="550"/>
        <item x="385"/>
        <item x="487"/>
        <item x="489"/>
        <item x="370"/>
        <item x="360"/>
        <item x="350"/>
        <item x="482"/>
        <item x="616"/>
        <item x="598"/>
        <item x="685"/>
        <item x="90"/>
        <item x="218"/>
        <item x="83"/>
        <item x="5"/>
        <item x="560"/>
        <item x="91"/>
        <item x="495"/>
        <item x="64"/>
        <item x="2"/>
        <item x="743"/>
        <item x="611"/>
        <item x="257"/>
        <item x="675"/>
        <item x="753"/>
        <item x="502"/>
        <item x="661"/>
        <item x="518"/>
        <item x="25"/>
        <item x="232"/>
        <item x="462"/>
        <item x="654"/>
        <item x="342"/>
        <item x="251"/>
        <item x="254"/>
        <item x="93"/>
        <item x="557"/>
        <item x="35"/>
        <item x="442"/>
        <item x="440"/>
        <item x="28"/>
        <item x="169"/>
        <item x="122"/>
        <item x="60"/>
        <item x="185"/>
        <item x="163"/>
        <item x="153"/>
        <item x="800"/>
        <item x="711"/>
        <item x="328"/>
        <item x="703"/>
        <item x="176"/>
        <item x="221"/>
        <item x="213"/>
        <item x="325"/>
        <item x="779"/>
        <item x="622"/>
        <item x="733"/>
        <item x="539"/>
        <item x="453"/>
        <item x="626"/>
        <item x="491"/>
        <item x="744"/>
        <item x="0"/>
        <item x="508"/>
        <item x="732"/>
        <item x="127"/>
        <item x="691"/>
        <item x="256"/>
        <item x="380"/>
        <item x="532"/>
        <item x="702"/>
        <item x="375"/>
        <item x="629"/>
        <item x="458"/>
        <item x="802"/>
        <item x="467"/>
        <item x="710"/>
        <item x="9"/>
        <item x="168"/>
        <item x="759"/>
        <item x="665"/>
        <item x="625"/>
        <item x="448"/>
        <item x="552"/>
        <item x="112"/>
        <item x="206"/>
        <item x="494"/>
        <item x="574"/>
        <item x="788"/>
        <item x="235"/>
        <item x="651"/>
        <item x="470"/>
        <item x="214"/>
        <item x="538"/>
        <item x="152"/>
        <item x="291"/>
        <item x="15"/>
        <item x="492"/>
        <item x="763"/>
        <item x="271"/>
        <item x="582"/>
        <item x="640"/>
        <item x="123"/>
        <item x="24"/>
        <item x="599"/>
        <item x="547"/>
        <item x="798"/>
        <item x="314"/>
        <item x="201"/>
        <item x="7"/>
        <item x="29"/>
        <item x="131"/>
        <item x="563"/>
        <item x="586"/>
        <item x="423"/>
        <item x="409"/>
        <item x="775"/>
        <item x="38"/>
        <item x="245"/>
        <item x="151"/>
        <item x="669"/>
        <item x="161"/>
        <item x="413"/>
        <item x="772"/>
        <item x="439"/>
        <item x="799"/>
        <item x="493"/>
        <item x="51"/>
        <item x="546"/>
        <item x="215"/>
        <item x="430"/>
        <item x="677"/>
        <item x="803"/>
        <item x="341"/>
        <item x="664"/>
        <item x="121"/>
        <item x="525"/>
        <item x="158"/>
        <item x="113"/>
        <item x="432"/>
        <item x="135"/>
        <item x="300"/>
        <item x="684"/>
        <item x="268"/>
        <item x="730"/>
        <item x="195"/>
        <item x="8"/>
        <item x="774"/>
        <item x="510"/>
        <item x="106"/>
        <item x="118"/>
        <item x="286"/>
        <item x="124"/>
        <item x="452"/>
        <item x="520"/>
        <item x="528"/>
        <item x="205"/>
        <item x="464"/>
        <item x="362"/>
        <item x="402"/>
        <item x="696"/>
        <item x="164"/>
        <item x="529"/>
        <item x="320"/>
        <item x="568"/>
        <item x="299"/>
        <item x="283"/>
        <item x="641"/>
        <item x="471"/>
        <item x="749"/>
        <item x="389"/>
        <item x="85"/>
        <item x="233"/>
        <item x="259"/>
        <item x="210"/>
        <item x="209"/>
        <item x="425"/>
        <item x="415"/>
        <item x="82"/>
        <item x="429"/>
        <item x="436"/>
        <item x="20"/>
        <item x="687"/>
        <item x="792"/>
        <item x="490"/>
        <item x="645"/>
        <item x="190"/>
        <item x="382"/>
        <item x="549"/>
        <item x="18"/>
        <item x="53"/>
        <item x="488"/>
        <item x="261"/>
        <item x="631"/>
        <item x="709"/>
        <item x="288"/>
        <item x="150"/>
        <item x="334"/>
        <item x="801"/>
        <item x="637"/>
        <item x="446"/>
        <item x="84"/>
        <item x="114"/>
        <item x="478"/>
        <item x="279"/>
        <item x="337"/>
        <item x="401"/>
        <item x="308"/>
        <item x="405"/>
        <item x="260"/>
        <item x="166"/>
        <item x="125"/>
        <item x="365"/>
        <item x="138"/>
        <item x="237"/>
        <item x="556"/>
        <item x="354"/>
        <item x="141"/>
        <item x="371"/>
        <item x="219"/>
        <item x="30"/>
        <item x="511"/>
        <item x="673"/>
        <item x="764"/>
        <item x="554"/>
        <item x="274"/>
        <item x="278"/>
        <item x="548"/>
        <item x="667"/>
        <item x="56"/>
        <item x="553"/>
        <item x="94"/>
        <item x="159"/>
        <item x="248"/>
        <item x="155"/>
        <item x="784"/>
        <item x="148"/>
        <item x="573"/>
        <item x="679"/>
        <item x="338"/>
        <item x="81"/>
        <item x="160"/>
        <item x="804"/>
        <item x="55"/>
        <item x="697"/>
        <item x="781"/>
        <item x="716"/>
        <item x="17"/>
        <item x="671"/>
        <item x="689"/>
        <item x="180"/>
        <item x="564"/>
        <item x="414"/>
        <item x="705"/>
        <item x="517"/>
        <item x="13"/>
        <item x="739"/>
        <item x="39"/>
        <item x="181"/>
        <item x="310"/>
        <item x="41"/>
        <item x="137"/>
        <item x="659"/>
        <item x="351"/>
        <item x="111"/>
        <item x="172"/>
        <item x="255"/>
        <item x="4"/>
        <item x="58"/>
        <item x="480"/>
        <item x="500"/>
        <item x="583"/>
        <item x="579"/>
        <item x="130"/>
        <item x="208"/>
        <item x="544"/>
        <item x="356"/>
        <item x="6"/>
        <item x="223"/>
        <item x="731"/>
        <item x="652"/>
        <item x="484"/>
        <item x="348"/>
        <item x="68"/>
        <item x="561"/>
        <item x="115"/>
        <item x="103"/>
        <item x="142"/>
        <item x="595"/>
        <item x="606"/>
        <item x="408"/>
        <item x="156"/>
        <item x="33"/>
        <item x="768"/>
        <item x="326"/>
        <item x="451"/>
        <item x="184"/>
        <item x="62"/>
        <item x="614"/>
        <item x="496"/>
        <item x="516"/>
        <item x="468"/>
        <item x="275"/>
        <item x="222"/>
        <item x="596"/>
        <item x="258"/>
        <item x="234"/>
        <item x="266"/>
        <item x="211"/>
        <item x="545"/>
        <item x="398"/>
        <item x="587"/>
        <item x="570"/>
        <item x="621"/>
        <item x="327"/>
        <item x="688"/>
        <item x="167"/>
        <item x="499"/>
        <item x="796"/>
        <item x="98"/>
        <item x="509"/>
        <item x="230"/>
        <item x="67"/>
        <item x="178"/>
        <item x="306"/>
        <item x="128"/>
        <item x="766"/>
        <item x="497"/>
        <item x="515"/>
        <item x="14"/>
        <item x="100"/>
        <item x="755"/>
        <item x="576"/>
        <item x="87"/>
        <item x="331"/>
        <item x="505"/>
        <item x="745"/>
        <item x="593"/>
        <item x="378"/>
        <item x="447"/>
        <item x="197"/>
        <item x="312"/>
        <item x="602"/>
        <item x="727"/>
        <item x="543"/>
        <item x="303"/>
        <item x="322"/>
        <item x="146"/>
        <item x="445"/>
        <item x="174"/>
        <item x="47"/>
        <item x="227"/>
        <item x="110"/>
        <item x="318"/>
        <item x="295"/>
        <item x="289"/>
        <item x="424"/>
        <item x="627"/>
        <item x="523"/>
        <item x="765"/>
        <item x="305"/>
        <item x="170"/>
        <item x="357"/>
        <item x="65"/>
        <item x="183"/>
        <item x="396"/>
        <item x="693"/>
        <item x="609"/>
        <item x="50"/>
        <item x="683"/>
        <item x="162"/>
        <item x="329"/>
        <item x="101"/>
        <item x="789"/>
        <item x="272"/>
        <item x="571"/>
        <item x="10"/>
        <item x="455"/>
        <item x="77"/>
        <item x="721"/>
        <item x="332"/>
        <item x="34"/>
        <item x="747"/>
        <item x="567"/>
        <item x="339"/>
        <item x="347"/>
        <item x="438"/>
        <item x="441"/>
        <item x="302"/>
        <item x="541"/>
        <item x="126"/>
        <item x="717"/>
        <item x="686"/>
        <item x="431"/>
        <item x="104"/>
        <item x="229"/>
        <item x="707"/>
        <item x="728"/>
        <item x="719"/>
        <item x="154"/>
        <item x="140"/>
        <item x="551"/>
        <item x="403"/>
        <item x="722"/>
        <item x="285"/>
        <item x="605"/>
        <item x="336"/>
        <item x="145"/>
        <item x="19"/>
        <item x="290"/>
        <item x="695"/>
        <item x="76"/>
        <item x="420"/>
        <item x="503"/>
        <item x="437"/>
        <item x="395"/>
        <item x="66"/>
        <item x="319"/>
        <item x="252"/>
        <item x="617"/>
        <item x="71"/>
        <item x="373"/>
        <item x="377"/>
        <item x="226"/>
        <item x="472"/>
        <item x="394"/>
        <item x="191"/>
        <item x="355"/>
        <item x="323"/>
        <item x="133"/>
        <item x="459"/>
        <item x="769"/>
        <item x="642"/>
        <item x="670"/>
        <item x="292"/>
        <item x="597"/>
        <item x="785"/>
        <item x="88"/>
        <item x="604"/>
        <item x="795"/>
        <item x="639"/>
        <item x="592"/>
        <item x="40"/>
        <item x="514"/>
        <item x="566"/>
        <item x="57"/>
        <item x="536"/>
        <item x="485"/>
        <item x="479"/>
        <item x="742"/>
        <item x="298"/>
        <item x="655"/>
        <item x="794"/>
        <item x="463"/>
        <item x="533"/>
        <item x="240"/>
        <item x="535"/>
        <item x="562"/>
        <item x="367"/>
        <item x="577"/>
        <item x="96"/>
        <item x="486"/>
        <item x="46"/>
        <item x="75"/>
        <item x="193"/>
        <item x="628"/>
        <item x="704"/>
        <item x="31"/>
        <item x="330"/>
        <item x="196"/>
        <item x="678"/>
        <item x="767"/>
        <item x="171"/>
        <item x="793"/>
        <item x="217"/>
        <item x="507"/>
        <item x="752"/>
        <item x="708"/>
        <item x="756"/>
        <item x="368"/>
        <item x="49"/>
        <item x="701"/>
        <item x="456"/>
        <item x="99"/>
        <item x="391"/>
        <item x="189"/>
        <item x="157"/>
        <item x="428"/>
        <item t="default"/>
      </items>
    </pivotField>
    <pivotField showAll="0">
      <items count="8">
        <item x="0"/>
        <item x="3"/>
        <item x="5"/>
        <item x="1"/>
        <item x="4"/>
        <item x="2"/>
        <item x="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s>
  <rowFields count="1">
    <field x="3"/>
  </rowFields>
  <rowItems count="3">
    <i>
      <x/>
    </i>
    <i>
      <x v="1"/>
    </i>
    <i t="grand">
      <x/>
    </i>
  </rowItems>
  <colItems count="1">
    <i/>
  </colItems>
  <dataFields count="1">
    <dataField name="Employee" fld="0" subtotal="count" baseField="3" baseItem="0"/>
  </dataFields>
  <chartFormats count="5">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D7ABD6-6DAD-4B90-BEB9-5DAC37EAD51E}" name="PivotTable3"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14" firstHeaderRow="1" firstDataRow="1" firstDataCol="1"/>
  <pivotFields count="18">
    <pivotField dataField="1" showAll="0"/>
    <pivotField showAll="0"/>
    <pivotField showAll="0"/>
    <pivotField showAll="0">
      <items count="3">
        <item x="0"/>
        <item x="1"/>
        <item t="default"/>
      </items>
    </pivotField>
    <pivotField showAll="0"/>
    <pivotField showAll="0"/>
    <pivotField showAll="0"/>
    <pivotField numFmtId="14" showAll="0"/>
    <pivotField numFmtId="14" showAll="0">
      <items count="814">
        <item x="779"/>
        <item x="432"/>
        <item x="355"/>
        <item x="649"/>
        <item x="275"/>
        <item x="477"/>
        <item x="767"/>
        <item x="353"/>
        <item x="318"/>
        <item x="429"/>
        <item x="661"/>
        <item x="593"/>
        <item x="399"/>
        <item x="576"/>
        <item x="315"/>
        <item x="710"/>
        <item x="768"/>
        <item x="340"/>
        <item x="180"/>
        <item x="755"/>
        <item x="492"/>
        <item x="51"/>
        <item x="615"/>
        <item x="624"/>
        <item x="259"/>
        <item x="601"/>
        <item x="183"/>
        <item x="603"/>
        <item x="712"/>
        <item x="592"/>
        <item x="274"/>
        <item x="738"/>
        <item x="769"/>
        <item x="525"/>
        <item x="41"/>
        <item x="606"/>
        <item x="507"/>
        <item x="706"/>
        <item x="605"/>
        <item x="317"/>
        <item x="126"/>
        <item x="788"/>
        <item x="758"/>
        <item x="201"/>
        <item x="2"/>
        <item x="3"/>
        <item x="473"/>
        <item x="474"/>
        <item x="742"/>
        <item x="728"/>
        <item x="776"/>
        <item x="71"/>
        <item x="80"/>
        <item x="226"/>
        <item x="783"/>
        <item x="202"/>
        <item x="212"/>
        <item x="448"/>
        <item x="0"/>
        <item x="17"/>
        <item x="198"/>
        <item x="772"/>
        <item x="707"/>
        <item x="267"/>
        <item x="604"/>
        <item x="291"/>
        <item x="756"/>
        <item x="717"/>
        <item x="335"/>
        <item x="344"/>
        <item x="726"/>
        <item x="731"/>
        <item x="735"/>
        <item x="171"/>
        <item x="208"/>
        <item x="28"/>
        <item x="551"/>
        <item x="235"/>
        <item x="307"/>
        <item x="460"/>
        <item x="393"/>
        <item x="407"/>
        <item x="631"/>
        <item x="466"/>
        <item x="304"/>
        <item x="495"/>
        <item x="296"/>
        <item x="384"/>
        <item x="343"/>
        <item x="660"/>
        <item x="329"/>
        <item x="385"/>
        <item x="765"/>
        <item x="747"/>
        <item x="229"/>
        <item x="44"/>
        <item x="463"/>
        <item x="727"/>
        <item x="741"/>
        <item x="802"/>
        <item x="324"/>
        <item x="330"/>
        <item x="611"/>
        <item x="154"/>
        <item x="37"/>
        <item x="413"/>
        <item x="527"/>
        <item x="20"/>
        <item x="450"/>
        <item x="453"/>
        <item x="635"/>
        <item x="68"/>
        <item x="1"/>
        <item x="197"/>
        <item x="724"/>
        <item x="617"/>
        <item x="430"/>
        <item x="721"/>
        <item x="572"/>
        <item x="795"/>
        <item x="156"/>
        <item x="85"/>
        <item x="70"/>
        <item x="284"/>
        <item x="682"/>
        <item x="599"/>
        <item x="583"/>
        <item x="586"/>
        <item x="187"/>
        <item x="405"/>
        <item x="762"/>
        <item x="696"/>
        <item x="193"/>
        <item x="271"/>
        <item x="521"/>
        <item x="303"/>
        <item x="19"/>
        <item x="395"/>
        <item x="102"/>
        <item x="248"/>
        <item x="565"/>
        <item x="646"/>
        <item x="349"/>
        <item x="419"/>
        <item x="524"/>
        <item x="538"/>
        <item x="634"/>
        <item x="668"/>
        <item x="382"/>
        <item x="7"/>
        <item x="794"/>
        <item x="365"/>
        <item x="517"/>
        <item x="312"/>
        <item x="743"/>
        <item x="775"/>
        <item x="750"/>
        <item x="153"/>
        <item x="272"/>
        <item x="619"/>
        <item x="799"/>
        <item x="273"/>
        <item x="764"/>
        <item x="570"/>
        <item x="52"/>
        <item x="674"/>
        <item x="472"/>
        <item x="548"/>
        <item x="216"/>
        <item x="810"/>
        <item x="478"/>
        <item x="298"/>
        <item x="32"/>
        <item x="134"/>
        <item x="61"/>
        <item x="534"/>
        <item x="537"/>
        <item x="531"/>
        <item x="412"/>
        <item x="541"/>
        <item x="11"/>
        <item x="257"/>
        <item x="739"/>
        <item x="377"/>
        <item x="701"/>
        <item x="23"/>
        <item x="49"/>
        <item x="81"/>
        <item x="427"/>
        <item x="89"/>
        <item x="98"/>
        <item x="143"/>
        <item x="396"/>
        <item x="245"/>
        <item x="277"/>
        <item x="486"/>
        <item x="746"/>
        <item x="280"/>
        <item x="699"/>
        <item x="561"/>
        <item x="323"/>
        <item x="364"/>
        <item x="138"/>
        <item x="181"/>
        <item x="55"/>
        <item x="637"/>
        <item x="129"/>
        <item x="454"/>
        <item x="749"/>
        <item x="806"/>
        <item x="79"/>
        <item x="398"/>
        <item x="309"/>
        <item x="690"/>
        <item x="415"/>
        <item x="375"/>
        <item x="569"/>
        <item x="281"/>
        <item x="402"/>
        <item x="585"/>
        <item x="21"/>
        <item x="228"/>
        <item x="244"/>
        <item x="29"/>
        <item x="178"/>
        <item x="93"/>
        <item x="42"/>
        <item x="566"/>
        <item x="461"/>
        <item x="380"/>
        <item x="459"/>
        <item x="582"/>
        <item x="78"/>
        <item x="122"/>
        <item x="242"/>
        <item x="326"/>
        <item x="597"/>
        <item x="791"/>
        <item x="503"/>
        <item x="386"/>
        <item x="612"/>
        <item x="573"/>
        <item x="105"/>
        <item x="203"/>
        <item x="812"/>
        <item x="73"/>
        <item x="703"/>
        <item x="86"/>
        <item x="800"/>
        <item x="362"/>
        <item x="26"/>
        <item x="100"/>
        <item x="110"/>
        <item x="87"/>
        <item x="177"/>
        <item x="60"/>
        <item x="252"/>
        <item x="438"/>
        <item x="264"/>
        <item x="45"/>
        <item x="480"/>
        <item x="287"/>
        <item x="397"/>
        <item x="373"/>
        <item x="233"/>
        <item x="206"/>
        <item x="670"/>
        <item x="620"/>
        <item x="299"/>
        <item x="423"/>
        <item x="519"/>
        <item x="629"/>
        <item x="667"/>
        <item x="571"/>
        <item x="708"/>
        <item x="722"/>
        <item x="246"/>
        <item x="470"/>
        <item x="149"/>
        <item x="559"/>
        <item x="327"/>
        <item x="250"/>
        <item x="560"/>
        <item x="410"/>
        <item x="48"/>
        <item x="82"/>
        <item x="191"/>
        <item x="632"/>
        <item x="514"/>
        <item x="630"/>
        <item x="142"/>
        <item x="322"/>
        <item x="374"/>
        <item x="627"/>
        <item x="391"/>
        <item x="109"/>
        <item x="483"/>
        <item x="433"/>
        <item x="678"/>
        <item x="190"/>
        <item x="336"/>
        <item x="426"/>
        <item x="27"/>
        <item x="370"/>
        <item x="43"/>
        <item x="520"/>
        <item x="491"/>
        <item x="36"/>
        <item x="488"/>
        <item x="588"/>
        <item x="676"/>
        <item x="241"/>
        <item x="388"/>
        <item x="389"/>
        <item x="400"/>
        <item x="175"/>
        <item x="289"/>
        <item x="247"/>
        <item x="358"/>
        <item x="378"/>
        <item x="379"/>
        <item x="515"/>
        <item x="529"/>
        <item x="346"/>
        <item x="446"/>
        <item x="533"/>
        <item x="92"/>
        <item x="192"/>
        <item x="251"/>
        <item x="657"/>
        <item x="595"/>
        <item x="328"/>
        <item x="136"/>
        <item x="751"/>
        <item x="170"/>
        <item x="276"/>
        <item x="196"/>
        <item x="675"/>
        <item x="442"/>
        <item x="754"/>
        <item x="332"/>
        <item x="673"/>
        <item x="387"/>
        <item x="411"/>
        <item x="8"/>
        <item x="536"/>
        <item x="286"/>
        <item x="715"/>
        <item x="420"/>
        <item x="115"/>
        <item x="64"/>
        <item x="579"/>
        <item x="221"/>
        <item x="204"/>
        <item x="146"/>
        <item x="732"/>
        <item x="793"/>
        <item x="124"/>
        <item x="422"/>
        <item x="434"/>
        <item x="440"/>
        <item x="394"/>
        <item x="207"/>
        <item x="16"/>
        <item x="644"/>
        <item x="285"/>
        <item x="96"/>
        <item x="155"/>
        <item x="449"/>
        <item x="672"/>
        <item x="444"/>
        <item x="753"/>
        <item x="120"/>
        <item x="642"/>
        <item x="135"/>
        <item x="622"/>
        <item x="681"/>
        <item x="261"/>
        <item x="763"/>
        <item x="123"/>
        <item x="409"/>
        <item x="57"/>
        <item x="238"/>
        <item x="403"/>
        <item x="357"/>
        <item x="65"/>
        <item x="766"/>
        <item x="345"/>
        <item x="487"/>
        <item x="112"/>
        <item x="186"/>
        <item x="53"/>
        <item x="62"/>
        <item x="639"/>
        <item x="91"/>
        <item x="647"/>
        <item x="22"/>
        <item x="481"/>
        <item x="796"/>
        <item x="485"/>
        <item x="199"/>
        <item x="306"/>
        <item x="554"/>
        <item x="141"/>
        <item x="225"/>
        <item x="359"/>
        <item x="445"/>
        <item x="451"/>
        <item x="497"/>
        <item x="390"/>
        <item x="455"/>
        <item x="493"/>
        <item x="35"/>
        <item x="709"/>
        <item x="416"/>
        <item x="733"/>
        <item x="265"/>
        <item x="255"/>
        <item x="319"/>
        <item x="467"/>
        <item x="501"/>
        <item x="780"/>
        <item x="166"/>
        <item x="300"/>
        <item x="232"/>
        <item x="547"/>
        <item x="360"/>
        <item x="564"/>
        <item x="771"/>
        <item x="778"/>
        <item x="730"/>
        <item x="431"/>
        <item x="316"/>
        <item x="687"/>
        <item x="269"/>
        <item x="626"/>
        <item x="352"/>
        <item x="499"/>
        <item x="653"/>
        <item x="464"/>
        <item x="577"/>
        <item x="371"/>
        <item x="383"/>
        <item x="254"/>
        <item x="504"/>
        <item x="553"/>
        <item x="210"/>
        <item x="421"/>
        <item x="535"/>
        <item x="666"/>
        <item x="656"/>
        <item x="545"/>
        <item x="482"/>
        <item x="325"/>
        <item x="688"/>
        <item x="759"/>
        <item x="435"/>
        <item x="659"/>
        <item x="511"/>
        <item x="74"/>
        <item x="490"/>
        <item x="725"/>
        <item x="111"/>
        <item x="132"/>
        <item x="84"/>
        <item x="550"/>
        <item x="439"/>
        <item x="25"/>
        <item x="308"/>
        <item x="95"/>
        <item x="12"/>
        <item x="376"/>
        <item x="782"/>
        <item x="609"/>
        <item x="266"/>
        <item x="237"/>
        <item x="790"/>
        <item x="356"/>
        <item x="621"/>
        <item x="568"/>
        <item x="239"/>
        <item x="462"/>
        <item x="108"/>
        <item x="581"/>
        <item x="119"/>
        <item x="218"/>
        <item x="654"/>
        <item x="321"/>
        <item x="10"/>
        <item x="784"/>
        <item x="658"/>
        <item x="555"/>
        <item x="509"/>
        <item x="414"/>
        <item x="268"/>
        <item x="685"/>
        <item x="354"/>
        <item x="785"/>
        <item x="292"/>
        <item x="469"/>
        <item x="711"/>
        <item x="596"/>
        <item x="75"/>
        <item x="663"/>
        <item x="167"/>
        <item x="723"/>
        <item x="151"/>
        <item x="636"/>
        <item x="677"/>
        <item x="50"/>
        <item x="219"/>
        <item x="684"/>
        <item x="748"/>
        <item x="539"/>
        <item x="372"/>
        <item x="616"/>
        <item x="693"/>
        <item x="361"/>
        <item x="600"/>
        <item x="214"/>
        <item x="223"/>
        <item x="30"/>
        <item x="5"/>
        <item x="542"/>
        <item x="650"/>
        <item x="94"/>
        <item x="745"/>
        <item x="625"/>
        <item x="452"/>
        <item x="692"/>
        <item x="770"/>
        <item x="465"/>
        <item x="683"/>
        <item x="54"/>
        <item x="757"/>
        <item x="510"/>
        <item x="589"/>
        <item x="671"/>
        <item x="496"/>
        <item x="610"/>
        <item x="787"/>
        <item x="664"/>
        <item x="24"/>
        <item x="331"/>
        <item x="437"/>
        <item x="760"/>
        <item x="789"/>
        <item x="125"/>
        <item x="574"/>
        <item x="189"/>
        <item x="165"/>
        <item x="669"/>
        <item x="808"/>
        <item x="339"/>
        <item x="213"/>
        <item x="38"/>
        <item x="179"/>
        <item x="347"/>
        <item x="72"/>
        <item x="502"/>
        <item x="130"/>
        <item x="700"/>
        <item x="258"/>
        <item x="350"/>
        <item x="641"/>
        <item x="479"/>
        <item x="719"/>
        <item x="9"/>
        <item x="302"/>
        <item x="546"/>
        <item x="665"/>
        <item x="15"/>
        <item x="127"/>
        <item x="811"/>
        <item x="205"/>
        <item x="369"/>
        <item x="418"/>
        <item x="163"/>
        <item x="807"/>
        <item x="220"/>
        <item x="441"/>
        <item x="443"/>
        <item x="575"/>
        <item x="428"/>
        <item x="532"/>
        <item x="652"/>
        <item x="160"/>
        <item x="116"/>
        <item x="137"/>
        <item x="736"/>
        <item x="781"/>
        <item x="121"/>
        <item x="526"/>
        <item x="209"/>
        <item x="476"/>
        <item x="363"/>
        <item x="705"/>
        <item x="288"/>
        <item x="651"/>
        <item x="484"/>
        <item x="752"/>
        <item x="88"/>
        <item x="236"/>
        <item x="513"/>
        <item x="425"/>
        <item x="447"/>
        <item x="567"/>
        <item x="695"/>
        <item x="234"/>
        <item x="801"/>
        <item x="500"/>
        <item x="655"/>
        <item x="194"/>
        <item x="557"/>
        <item x="18"/>
        <item x="498"/>
        <item x="263"/>
        <item x="643"/>
        <item x="718"/>
        <item x="293"/>
        <item x="152"/>
        <item x="809"/>
        <item x="645"/>
        <item x="457"/>
        <item x="117"/>
        <item x="489"/>
        <item x="283"/>
        <item x="720"/>
        <item x="262"/>
        <item x="168"/>
        <item x="128"/>
        <item x="147"/>
        <item x="140"/>
        <item x="240"/>
        <item x="366"/>
        <item x="544"/>
        <item x="224"/>
        <item x="47"/>
        <item x="518"/>
        <item x="243"/>
        <item x="558"/>
        <item x="76"/>
        <item x="563"/>
        <item x="549"/>
        <item x="278"/>
        <item x="282"/>
        <item x="556"/>
        <item x="97"/>
        <item x="161"/>
        <item x="249"/>
        <item x="157"/>
        <item x="150"/>
        <item x="587"/>
        <item x="404"/>
        <item x="686"/>
        <item x="351"/>
        <item x="83"/>
        <item x="162"/>
        <item x="56"/>
        <item x="270"/>
        <item x="680"/>
        <item x="698"/>
        <item x="184"/>
        <item x="734"/>
        <item x="578"/>
        <item x="424"/>
        <item x="714"/>
        <item x="13"/>
        <item x="348"/>
        <item x="39"/>
        <item x="185"/>
        <item x="543"/>
        <item x="139"/>
        <item x="260"/>
        <item x="114"/>
        <item x="174"/>
        <item x="256"/>
        <item x="4"/>
        <item x="59"/>
        <item x="740"/>
        <item x="598"/>
        <item x="594"/>
        <item x="133"/>
        <item x="211"/>
        <item x="368"/>
        <item x="623"/>
        <item x="6"/>
        <item x="227"/>
        <item x="737"/>
        <item x="662"/>
        <item x="494"/>
        <item x="34"/>
        <item x="69"/>
        <item x="118"/>
        <item x="106"/>
        <item x="144"/>
        <item x="613"/>
        <item x="417"/>
        <item x="158"/>
        <item x="33"/>
        <item x="337"/>
        <item x="188"/>
        <item x="63"/>
        <item x="628"/>
        <item x="505"/>
        <item x="523"/>
        <item x="279"/>
        <item x="584"/>
        <item x="614"/>
        <item x="694"/>
        <item x="215"/>
        <item x="408"/>
        <item x="602"/>
        <item x="633"/>
        <item x="338"/>
        <item x="697"/>
        <item x="169"/>
        <item x="508"/>
        <item x="805"/>
        <item x="101"/>
        <item x="516"/>
        <item x="689"/>
        <item x="301"/>
        <item x="182"/>
        <item x="314"/>
        <item x="131"/>
        <item x="773"/>
        <item x="506"/>
        <item x="14"/>
        <item x="103"/>
        <item x="761"/>
        <item x="590"/>
        <item x="90"/>
        <item x="342"/>
        <item x="512"/>
        <item x="608"/>
        <item x="392"/>
        <item x="458"/>
        <item x="320"/>
        <item x="552"/>
        <item x="311"/>
        <item x="333"/>
        <item x="148"/>
        <item x="456"/>
        <item x="176"/>
        <item x="231"/>
        <item x="113"/>
        <item x="294"/>
        <item x="436"/>
        <item x="638"/>
        <item x="530"/>
        <item x="313"/>
        <item x="172"/>
        <item x="66"/>
        <item x="786"/>
        <item x="406"/>
        <item x="702"/>
        <item x="691"/>
        <item x="679"/>
        <item x="164"/>
        <item x="104"/>
        <item x="797"/>
        <item x="305"/>
        <item x="310"/>
        <item x="107"/>
        <item x="716"/>
        <item x="290"/>
        <item x="295"/>
        <item x="704"/>
        <item x="77"/>
        <item x="562"/>
        <item x="67"/>
        <item x="253"/>
        <item x="798"/>
        <item x="230"/>
        <item x="195"/>
        <item x="367"/>
        <item x="334"/>
        <item x="471"/>
        <item x="777"/>
        <item x="297"/>
        <item x="40"/>
        <item x="792"/>
        <item x="618"/>
        <item x="648"/>
        <item x="607"/>
        <item x="145"/>
        <item x="522"/>
        <item x="580"/>
        <item x="58"/>
        <item x="744"/>
        <item x="804"/>
        <item x="475"/>
        <item x="540"/>
        <item x="591"/>
        <item x="99"/>
        <item x="46"/>
        <item x="217"/>
        <item x="640"/>
        <item x="713"/>
        <item x="31"/>
        <item x="341"/>
        <item x="200"/>
        <item x="774"/>
        <item x="173"/>
        <item x="803"/>
        <item x="222"/>
        <item x="729"/>
        <item x="381"/>
        <item x="468"/>
        <item x="401"/>
        <item x="159"/>
        <item x="528"/>
        <item t="default"/>
      </items>
    </pivotField>
    <pivotField numFmtId="14" showAll="0">
      <items count="806">
        <item x="771"/>
        <item x="421"/>
        <item x="610"/>
        <item x="418"/>
        <item x="498"/>
        <item x="309"/>
        <item x="461"/>
        <item x="78"/>
        <item x="198"/>
        <item x="70"/>
        <item x="724"/>
        <item x="204"/>
        <item x="737"/>
        <item x="762"/>
        <item x="718"/>
        <item x="738"/>
        <item x="713"/>
        <item x="787"/>
        <item x="757"/>
        <item x="729"/>
        <item x="460"/>
        <item x="540"/>
        <item x="212"/>
        <item x="466"/>
        <item x="293"/>
        <item x="32"/>
        <item x="270"/>
        <item x="530"/>
        <item x="736"/>
        <item x="524"/>
        <item x="11"/>
        <item x="37"/>
        <item x="734"/>
        <item x="364"/>
        <item x="692"/>
        <item x="714"/>
        <item x="48"/>
        <item x="23"/>
        <item x="86"/>
        <item x="668"/>
        <item x="95"/>
        <item x="384"/>
        <item x="243"/>
        <item x="419"/>
        <item x="475"/>
        <item x="276"/>
        <item x="690"/>
        <item x="698"/>
        <item x="136"/>
        <item x="635"/>
        <item x="54"/>
        <item x="797"/>
        <item x="386"/>
        <item x="363"/>
        <item x="277"/>
        <item x="392"/>
        <item x="21"/>
        <item x="224"/>
        <item x="242"/>
        <item x="390"/>
        <item x="175"/>
        <item x="119"/>
        <item x="315"/>
        <item x="69"/>
        <item x="632"/>
        <item x="751"/>
        <item x="776"/>
        <item x="454"/>
        <item x="102"/>
        <item x="383"/>
        <item x="600"/>
        <item x="72"/>
        <item x="241"/>
        <item x="791"/>
        <item x="349"/>
        <item x="26"/>
        <item x="97"/>
        <item x="633"/>
        <item x="59"/>
        <item x="324"/>
        <item x="426"/>
        <item x="262"/>
        <item x="740"/>
        <item x="282"/>
        <item x="361"/>
        <item x="132"/>
        <item x="202"/>
        <item x="615"/>
        <item x="449"/>
        <item x="735"/>
        <item x="657"/>
        <item x="559"/>
        <item x="699"/>
        <item x="177"/>
        <item x="720"/>
        <item x="558"/>
        <item x="147"/>
        <item x="638"/>
        <item x="316"/>
        <item x="352"/>
        <item x="588"/>
        <item x="534"/>
        <item x="249"/>
        <item x="369"/>
        <item x="780"/>
        <item x="3"/>
        <item x="379"/>
        <item x="601"/>
        <item x="187"/>
        <item x="280"/>
        <item x="42"/>
        <item x="45"/>
        <item x="473"/>
        <item x="143"/>
        <item x="199"/>
        <item x="569"/>
        <item x="422"/>
        <item x="387"/>
        <item x="304"/>
        <item x="416"/>
        <item x="27"/>
        <item x="358"/>
        <item x="43"/>
        <item x="512"/>
        <item x="333"/>
        <item x="481"/>
        <item x="36"/>
        <item x="477"/>
        <item x="465"/>
        <item x="194"/>
        <item x="777"/>
        <item x="666"/>
        <item x="238"/>
        <item x="376"/>
        <item x="388"/>
        <item x="239"/>
        <item x="173"/>
        <item x="284"/>
        <item x="246"/>
        <item x="345"/>
        <item x="366"/>
        <item x="522"/>
        <item x="531"/>
        <item x="335"/>
        <item x="435"/>
        <item x="526"/>
        <item x="782"/>
        <item x="694"/>
        <item x="188"/>
        <item x="250"/>
        <item x="648"/>
        <item x="578"/>
        <item x="580"/>
        <item x="317"/>
        <item x="134"/>
        <item x="748"/>
        <item x="273"/>
        <item x="192"/>
        <item x="674"/>
        <item x="321"/>
        <item x="374"/>
        <item x="572"/>
        <item x="590"/>
        <item x="281"/>
        <item x="411"/>
        <item x="63"/>
        <item x="565"/>
        <item x="216"/>
        <item x="200"/>
        <item x="144"/>
        <item x="725"/>
        <item x="786"/>
        <item x="589"/>
        <item x="244"/>
        <item x="381"/>
        <item x="203"/>
        <item x="623"/>
        <item x="636"/>
        <item x="44"/>
        <item x="107"/>
        <item x="1"/>
        <item x="634"/>
        <item x="662"/>
        <item x="404"/>
        <item x="433"/>
        <item x="750"/>
        <item x="117"/>
        <item x="630"/>
        <item x="269"/>
        <item x="608"/>
        <item x="672"/>
        <item x="758"/>
        <item x="120"/>
        <item x="89"/>
        <item x="746"/>
        <item x="585"/>
        <item x="344"/>
        <item x="476"/>
        <item x="307"/>
        <item x="109"/>
        <item x="591"/>
        <item x="182"/>
        <item x="52"/>
        <item x="61"/>
        <item x="575"/>
        <item x="22"/>
        <item x="469"/>
        <item x="427"/>
        <item x="225"/>
        <item x="297"/>
        <item x="519"/>
        <item x="220"/>
        <item x="346"/>
        <item x="434"/>
        <item x="444"/>
        <item x="483"/>
        <item x="700"/>
        <item x="676"/>
        <item x="407"/>
        <item x="443"/>
        <item x="16"/>
        <item x="790"/>
        <item x="263"/>
        <item x="311"/>
        <item x="773"/>
        <item x="726"/>
        <item x="294"/>
        <item x="228"/>
        <item x="186"/>
        <item x="555"/>
        <item x="247"/>
        <item x="754"/>
        <item x="393"/>
        <item x="760"/>
        <item x="770"/>
        <item x="372"/>
        <item x="741"/>
        <item x="417"/>
        <item x="79"/>
        <item x="80"/>
        <item x="267"/>
        <item x="612"/>
        <item x="761"/>
        <item x="265"/>
        <item x="618"/>
        <item x="643"/>
        <item x="359"/>
        <item x="253"/>
        <item x="340"/>
        <item x="663"/>
        <item x="682"/>
        <item x="521"/>
        <item x="207"/>
        <item x="412"/>
        <item x="296"/>
        <item x="353"/>
        <item x="656"/>
        <item x="646"/>
        <item x="537"/>
        <item x="680"/>
        <item x="506"/>
        <item x="410"/>
        <item x="650"/>
        <item x="613"/>
        <item x="706"/>
        <item x="179"/>
        <item x="513"/>
        <item x="504"/>
        <item x="73"/>
        <item x="715"/>
        <item x="108"/>
        <item x="129"/>
        <item x="620"/>
        <item x="542"/>
        <item x="92"/>
        <item x="12"/>
        <item x="594"/>
        <item x="264"/>
        <item x="619"/>
        <item x="783"/>
        <item x="527"/>
        <item x="343"/>
        <item x="607"/>
        <item x="139"/>
        <item x="474"/>
        <item x="236"/>
        <item x="450"/>
        <item x="105"/>
        <item x="116"/>
        <item x="647"/>
        <item x="681"/>
        <item x="584"/>
        <item x="644"/>
        <item x="658"/>
        <item x="313"/>
        <item x="778"/>
        <item x="649"/>
        <item x="231"/>
        <item x="603"/>
        <item x="397"/>
        <item x="406"/>
        <item x="501"/>
        <item x="712"/>
        <item x="287"/>
        <item x="457"/>
        <item x="581"/>
        <item x="624"/>
        <item x="74"/>
        <item x="653"/>
        <item x="660"/>
        <item x="165"/>
        <item x="400"/>
        <item x="149"/>
        <item x="723"/>
        <item x="301"/>
        <item x="399"/>
        <item x="550"/>
        <item x="385"/>
        <item x="487"/>
        <item x="489"/>
        <item x="370"/>
        <item x="360"/>
        <item x="350"/>
        <item x="482"/>
        <item x="616"/>
        <item x="598"/>
        <item x="685"/>
        <item x="90"/>
        <item x="218"/>
        <item x="83"/>
        <item x="5"/>
        <item x="560"/>
        <item x="91"/>
        <item x="495"/>
        <item x="64"/>
        <item x="2"/>
        <item x="743"/>
        <item x="611"/>
        <item x="257"/>
        <item x="675"/>
        <item x="753"/>
        <item x="502"/>
        <item x="661"/>
        <item x="518"/>
        <item x="25"/>
        <item x="232"/>
        <item x="462"/>
        <item x="654"/>
        <item x="342"/>
        <item x="251"/>
        <item x="254"/>
        <item x="93"/>
        <item x="557"/>
        <item x="35"/>
        <item x="442"/>
        <item x="440"/>
        <item x="28"/>
        <item x="169"/>
        <item x="122"/>
        <item x="60"/>
        <item x="185"/>
        <item x="163"/>
        <item x="153"/>
        <item x="800"/>
        <item x="711"/>
        <item x="328"/>
        <item x="703"/>
        <item x="176"/>
        <item x="221"/>
        <item x="213"/>
        <item x="325"/>
        <item x="779"/>
        <item x="622"/>
        <item x="733"/>
        <item x="539"/>
        <item x="453"/>
        <item x="626"/>
        <item x="491"/>
        <item x="744"/>
        <item x="0"/>
        <item x="508"/>
        <item x="732"/>
        <item x="127"/>
        <item x="691"/>
        <item x="256"/>
        <item x="380"/>
        <item x="532"/>
        <item x="702"/>
        <item x="375"/>
        <item x="629"/>
        <item x="458"/>
        <item x="802"/>
        <item x="467"/>
        <item x="710"/>
        <item x="9"/>
        <item x="168"/>
        <item x="759"/>
        <item x="665"/>
        <item x="625"/>
        <item x="448"/>
        <item x="552"/>
        <item x="112"/>
        <item x="206"/>
        <item x="494"/>
        <item x="574"/>
        <item x="788"/>
        <item x="235"/>
        <item x="651"/>
        <item x="470"/>
        <item x="214"/>
        <item x="538"/>
        <item x="152"/>
        <item x="291"/>
        <item x="15"/>
        <item x="492"/>
        <item x="763"/>
        <item x="271"/>
        <item x="582"/>
        <item x="640"/>
        <item x="123"/>
        <item x="24"/>
        <item x="599"/>
        <item x="547"/>
        <item x="798"/>
        <item x="314"/>
        <item x="201"/>
        <item x="7"/>
        <item x="29"/>
        <item x="131"/>
        <item x="563"/>
        <item x="586"/>
        <item x="423"/>
        <item x="409"/>
        <item x="775"/>
        <item x="38"/>
        <item x="245"/>
        <item x="151"/>
        <item x="669"/>
        <item x="161"/>
        <item x="413"/>
        <item x="772"/>
        <item x="439"/>
        <item x="799"/>
        <item x="493"/>
        <item x="51"/>
        <item x="546"/>
        <item x="215"/>
        <item x="430"/>
        <item x="677"/>
        <item x="803"/>
        <item x="341"/>
        <item x="664"/>
        <item x="121"/>
        <item x="525"/>
        <item x="158"/>
        <item x="113"/>
        <item x="432"/>
        <item x="135"/>
        <item x="300"/>
        <item x="684"/>
        <item x="268"/>
        <item x="730"/>
        <item x="195"/>
        <item x="8"/>
        <item x="774"/>
        <item x="510"/>
        <item x="106"/>
        <item x="118"/>
        <item x="286"/>
        <item x="124"/>
        <item x="452"/>
        <item x="520"/>
        <item x="528"/>
        <item x="205"/>
        <item x="464"/>
        <item x="362"/>
        <item x="402"/>
        <item x="696"/>
        <item x="164"/>
        <item x="529"/>
        <item x="320"/>
        <item x="568"/>
        <item x="299"/>
        <item x="283"/>
        <item x="641"/>
        <item x="471"/>
        <item x="749"/>
        <item x="389"/>
        <item x="85"/>
        <item x="233"/>
        <item x="259"/>
        <item x="210"/>
        <item x="209"/>
        <item x="425"/>
        <item x="415"/>
        <item x="82"/>
        <item x="429"/>
        <item x="436"/>
        <item x="20"/>
        <item x="687"/>
        <item x="792"/>
        <item x="490"/>
        <item x="645"/>
        <item x="190"/>
        <item x="382"/>
        <item x="549"/>
        <item x="18"/>
        <item x="53"/>
        <item x="488"/>
        <item x="261"/>
        <item x="631"/>
        <item x="709"/>
        <item x="288"/>
        <item x="150"/>
        <item x="334"/>
        <item x="801"/>
        <item x="637"/>
        <item x="446"/>
        <item x="84"/>
        <item x="114"/>
        <item x="478"/>
        <item x="279"/>
        <item x="337"/>
        <item x="401"/>
        <item x="308"/>
        <item x="405"/>
        <item x="260"/>
        <item x="166"/>
        <item x="125"/>
        <item x="365"/>
        <item x="138"/>
        <item x="237"/>
        <item x="556"/>
        <item x="354"/>
        <item x="141"/>
        <item x="371"/>
        <item x="219"/>
        <item x="30"/>
        <item x="511"/>
        <item x="673"/>
        <item x="764"/>
        <item x="554"/>
        <item x="274"/>
        <item x="278"/>
        <item x="548"/>
        <item x="667"/>
        <item x="56"/>
        <item x="553"/>
        <item x="94"/>
        <item x="159"/>
        <item x="248"/>
        <item x="155"/>
        <item x="784"/>
        <item x="148"/>
        <item x="573"/>
        <item x="679"/>
        <item x="338"/>
        <item x="81"/>
        <item x="160"/>
        <item x="804"/>
        <item x="55"/>
        <item x="697"/>
        <item x="781"/>
        <item x="716"/>
        <item x="17"/>
        <item x="671"/>
        <item x="689"/>
        <item x="180"/>
        <item x="564"/>
        <item x="414"/>
        <item x="705"/>
        <item x="517"/>
        <item x="13"/>
        <item x="739"/>
        <item x="39"/>
        <item x="181"/>
        <item x="310"/>
        <item x="41"/>
        <item x="137"/>
        <item x="659"/>
        <item x="351"/>
        <item x="111"/>
        <item x="172"/>
        <item x="255"/>
        <item x="4"/>
        <item x="58"/>
        <item x="480"/>
        <item x="500"/>
        <item x="583"/>
        <item x="579"/>
        <item x="130"/>
        <item x="208"/>
        <item x="544"/>
        <item x="356"/>
        <item x="6"/>
        <item x="223"/>
        <item x="731"/>
        <item x="652"/>
        <item x="484"/>
        <item x="348"/>
        <item x="68"/>
        <item x="561"/>
        <item x="115"/>
        <item x="103"/>
        <item x="142"/>
        <item x="595"/>
        <item x="606"/>
        <item x="408"/>
        <item x="156"/>
        <item x="33"/>
        <item x="768"/>
        <item x="326"/>
        <item x="451"/>
        <item x="184"/>
        <item x="62"/>
        <item x="614"/>
        <item x="496"/>
        <item x="516"/>
        <item x="468"/>
        <item x="275"/>
        <item x="222"/>
        <item x="596"/>
        <item x="258"/>
        <item x="234"/>
        <item x="266"/>
        <item x="211"/>
        <item x="545"/>
        <item x="398"/>
        <item x="587"/>
        <item x="570"/>
        <item x="621"/>
        <item x="327"/>
        <item x="688"/>
        <item x="167"/>
        <item x="499"/>
        <item x="796"/>
        <item x="98"/>
        <item x="509"/>
        <item x="230"/>
        <item x="67"/>
        <item x="178"/>
        <item x="306"/>
        <item x="128"/>
        <item x="766"/>
        <item x="497"/>
        <item x="515"/>
        <item x="14"/>
        <item x="100"/>
        <item x="755"/>
        <item x="576"/>
        <item x="87"/>
        <item x="331"/>
        <item x="505"/>
        <item x="745"/>
        <item x="593"/>
        <item x="378"/>
        <item x="447"/>
        <item x="197"/>
        <item x="312"/>
        <item x="602"/>
        <item x="727"/>
        <item x="543"/>
        <item x="303"/>
        <item x="322"/>
        <item x="146"/>
        <item x="445"/>
        <item x="174"/>
        <item x="47"/>
        <item x="227"/>
        <item x="110"/>
        <item x="318"/>
        <item x="295"/>
        <item x="289"/>
        <item x="424"/>
        <item x="627"/>
        <item x="523"/>
        <item x="765"/>
        <item x="305"/>
        <item x="170"/>
        <item x="357"/>
        <item x="65"/>
        <item x="183"/>
        <item x="396"/>
        <item x="693"/>
        <item x="609"/>
        <item x="50"/>
        <item x="683"/>
        <item x="162"/>
        <item x="329"/>
        <item x="101"/>
        <item x="789"/>
        <item x="272"/>
        <item x="571"/>
        <item x="10"/>
        <item x="455"/>
        <item x="77"/>
        <item x="721"/>
        <item x="332"/>
        <item x="34"/>
        <item x="747"/>
        <item x="567"/>
        <item x="339"/>
        <item x="347"/>
        <item x="438"/>
        <item x="441"/>
        <item x="302"/>
        <item x="541"/>
        <item x="126"/>
        <item x="717"/>
        <item x="686"/>
        <item x="431"/>
        <item x="104"/>
        <item x="229"/>
        <item x="707"/>
        <item x="728"/>
        <item x="719"/>
        <item x="154"/>
        <item x="140"/>
        <item x="551"/>
        <item x="403"/>
        <item x="722"/>
        <item x="285"/>
        <item x="605"/>
        <item x="336"/>
        <item x="145"/>
        <item x="19"/>
        <item x="290"/>
        <item x="695"/>
        <item x="76"/>
        <item x="420"/>
        <item x="503"/>
        <item x="437"/>
        <item x="395"/>
        <item x="66"/>
        <item x="319"/>
        <item x="252"/>
        <item x="617"/>
        <item x="71"/>
        <item x="373"/>
        <item x="377"/>
        <item x="226"/>
        <item x="472"/>
        <item x="394"/>
        <item x="191"/>
        <item x="355"/>
        <item x="323"/>
        <item x="133"/>
        <item x="459"/>
        <item x="769"/>
        <item x="642"/>
        <item x="670"/>
        <item x="292"/>
        <item x="597"/>
        <item x="785"/>
        <item x="88"/>
        <item x="604"/>
        <item x="795"/>
        <item x="639"/>
        <item x="592"/>
        <item x="40"/>
        <item x="514"/>
        <item x="566"/>
        <item x="57"/>
        <item x="536"/>
        <item x="485"/>
        <item x="479"/>
        <item x="742"/>
        <item x="298"/>
        <item x="655"/>
        <item x="794"/>
        <item x="463"/>
        <item x="533"/>
        <item x="240"/>
        <item x="535"/>
        <item x="562"/>
        <item x="367"/>
        <item x="577"/>
        <item x="96"/>
        <item x="486"/>
        <item x="46"/>
        <item x="75"/>
        <item x="193"/>
        <item x="628"/>
        <item x="704"/>
        <item x="31"/>
        <item x="330"/>
        <item x="196"/>
        <item x="678"/>
        <item x="767"/>
        <item x="171"/>
        <item x="793"/>
        <item x="217"/>
        <item x="507"/>
        <item x="752"/>
        <item x="708"/>
        <item x="756"/>
        <item x="368"/>
        <item x="49"/>
        <item x="701"/>
        <item x="456"/>
        <item x="99"/>
        <item x="391"/>
        <item x="189"/>
        <item x="157"/>
        <item x="428"/>
        <item t="default"/>
      </items>
    </pivotField>
    <pivotField showAll="0">
      <items count="8">
        <item x="0"/>
        <item x="3"/>
        <item x="5"/>
        <item x="1"/>
        <item x="4"/>
        <item x="2"/>
        <item x="6"/>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 axis="axisRow" showAll="0">
      <items count="15">
        <item x="0"/>
        <item x="1"/>
        <item x="2"/>
        <item x="3"/>
        <item x="4"/>
        <item x="5"/>
        <item x="6"/>
        <item x="7"/>
        <item x="8"/>
        <item x="9"/>
        <item x="10"/>
        <item x="11"/>
        <item x="12"/>
        <item x="13"/>
        <item t="default"/>
      </items>
    </pivotField>
    <pivotField axis="axisRow" showAll="0">
      <items count="13">
        <item x="0"/>
        <item sd="0" x="1"/>
        <item sd="0" x="2"/>
        <item sd="0" x="3"/>
        <item sd="0" x="4"/>
        <item sd="0" x="5"/>
        <item sd="0" x="6"/>
        <item sd="0" x="7"/>
        <item sd="0" x="8"/>
        <item sd="0" x="9"/>
        <item sd="0" x="10"/>
        <item x="11"/>
        <item t="default"/>
      </items>
    </pivotField>
  </pivotFields>
  <rowFields count="2">
    <field x="17"/>
    <field x="16"/>
  </rowFields>
  <rowItems count="11">
    <i>
      <x v="1"/>
    </i>
    <i>
      <x v="2"/>
    </i>
    <i>
      <x v="3"/>
    </i>
    <i>
      <x v="4"/>
    </i>
    <i>
      <x v="5"/>
    </i>
    <i>
      <x v="6"/>
    </i>
    <i>
      <x v="7"/>
    </i>
    <i>
      <x v="8"/>
    </i>
    <i>
      <x v="9"/>
    </i>
    <i>
      <x v="10"/>
    </i>
    <i t="grand">
      <x/>
    </i>
  </rowItems>
  <colItems count="1">
    <i/>
  </colItems>
  <dataFields count="1">
    <dataField name="Employee" fld="0" subtotal="count" baseField="17" baseItem="1"/>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8AEF20-893F-4265-A6C2-DA7F3AFD64DC}" name="PivotTable4"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D3:E14" firstHeaderRow="1" firstDataRow="1" firstDataCol="1"/>
  <pivotFields count="18">
    <pivotField dataField="1" showAll="0"/>
    <pivotField showAll="0"/>
    <pivotField showAll="0"/>
    <pivotField showAll="0">
      <items count="3">
        <item x="0"/>
        <item x="1"/>
        <item t="default"/>
      </items>
    </pivotField>
    <pivotField showAll="0"/>
    <pivotField showAll="0"/>
    <pivotField showAll="0"/>
    <pivotField numFmtId="14" showAll="0"/>
    <pivotField numFmtId="14" showAll="0">
      <items count="814">
        <item x="779"/>
        <item x="432"/>
        <item x="355"/>
        <item x="649"/>
        <item x="275"/>
        <item x="477"/>
        <item x="767"/>
        <item x="353"/>
        <item x="318"/>
        <item x="429"/>
        <item x="661"/>
        <item x="593"/>
        <item x="399"/>
        <item x="576"/>
        <item x="315"/>
        <item x="710"/>
        <item x="768"/>
        <item x="340"/>
        <item x="180"/>
        <item x="755"/>
        <item x="492"/>
        <item x="51"/>
        <item x="615"/>
        <item x="624"/>
        <item x="259"/>
        <item x="601"/>
        <item x="183"/>
        <item x="603"/>
        <item x="712"/>
        <item x="592"/>
        <item x="274"/>
        <item x="738"/>
        <item x="769"/>
        <item x="525"/>
        <item x="41"/>
        <item x="606"/>
        <item x="507"/>
        <item x="706"/>
        <item x="605"/>
        <item x="317"/>
        <item x="126"/>
        <item x="788"/>
        <item x="758"/>
        <item x="201"/>
        <item x="2"/>
        <item x="3"/>
        <item x="473"/>
        <item x="474"/>
        <item x="742"/>
        <item x="728"/>
        <item x="776"/>
        <item x="71"/>
        <item x="80"/>
        <item x="226"/>
        <item x="783"/>
        <item x="202"/>
        <item x="212"/>
        <item x="448"/>
        <item x="0"/>
        <item x="17"/>
        <item x="198"/>
        <item x="772"/>
        <item x="707"/>
        <item x="267"/>
        <item x="604"/>
        <item x="291"/>
        <item x="756"/>
        <item x="717"/>
        <item x="335"/>
        <item x="344"/>
        <item x="726"/>
        <item x="731"/>
        <item x="735"/>
        <item x="171"/>
        <item x="208"/>
        <item x="28"/>
        <item x="551"/>
        <item x="235"/>
        <item x="307"/>
        <item x="460"/>
        <item x="393"/>
        <item x="407"/>
        <item x="631"/>
        <item x="466"/>
        <item x="304"/>
        <item x="495"/>
        <item x="296"/>
        <item x="384"/>
        <item x="343"/>
        <item x="660"/>
        <item x="329"/>
        <item x="385"/>
        <item x="765"/>
        <item x="747"/>
        <item x="229"/>
        <item x="44"/>
        <item x="463"/>
        <item x="727"/>
        <item x="741"/>
        <item x="802"/>
        <item x="324"/>
        <item x="330"/>
        <item x="611"/>
        <item x="154"/>
        <item x="37"/>
        <item x="413"/>
        <item x="527"/>
        <item x="20"/>
        <item x="450"/>
        <item x="453"/>
        <item x="635"/>
        <item x="68"/>
        <item x="1"/>
        <item x="197"/>
        <item x="724"/>
        <item x="617"/>
        <item x="430"/>
        <item x="721"/>
        <item x="572"/>
        <item x="795"/>
        <item x="156"/>
        <item x="85"/>
        <item x="70"/>
        <item x="284"/>
        <item x="682"/>
        <item x="599"/>
        <item x="583"/>
        <item x="586"/>
        <item x="187"/>
        <item x="405"/>
        <item x="762"/>
        <item x="696"/>
        <item x="193"/>
        <item x="271"/>
        <item x="521"/>
        <item x="303"/>
        <item x="19"/>
        <item x="395"/>
        <item x="102"/>
        <item x="248"/>
        <item x="565"/>
        <item x="646"/>
        <item x="349"/>
        <item x="419"/>
        <item x="524"/>
        <item x="538"/>
        <item x="634"/>
        <item x="668"/>
        <item x="382"/>
        <item x="7"/>
        <item x="794"/>
        <item x="365"/>
        <item x="517"/>
        <item x="312"/>
        <item x="743"/>
        <item x="775"/>
        <item x="750"/>
        <item x="153"/>
        <item x="272"/>
        <item x="619"/>
        <item x="799"/>
        <item x="273"/>
        <item x="764"/>
        <item x="570"/>
        <item x="52"/>
        <item x="674"/>
        <item x="472"/>
        <item x="548"/>
        <item x="216"/>
        <item x="810"/>
        <item x="478"/>
        <item x="298"/>
        <item x="32"/>
        <item x="134"/>
        <item x="61"/>
        <item x="534"/>
        <item x="537"/>
        <item x="531"/>
        <item x="412"/>
        <item x="541"/>
        <item x="11"/>
        <item x="257"/>
        <item x="739"/>
        <item x="377"/>
        <item x="701"/>
        <item x="23"/>
        <item x="49"/>
        <item x="81"/>
        <item x="427"/>
        <item x="89"/>
        <item x="98"/>
        <item x="143"/>
        <item x="396"/>
        <item x="245"/>
        <item x="277"/>
        <item x="486"/>
        <item x="746"/>
        <item x="280"/>
        <item x="699"/>
        <item x="561"/>
        <item x="323"/>
        <item x="364"/>
        <item x="138"/>
        <item x="181"/>
        <item x="55"/>
        <item x="637"/>
        <item x="129"/>
        <item x="454"/>
        <item x="749"/>
        <item x="806"/>
        <item x="79"/>
        <item x="398"/>
        <item x="309"/>
        <item x="690"/>
        <item x="415"/>
        <item x="375"/>
        <item x="569"/>
        <item x="281"/>
        <item x="402"/>
        <item x="585"/>
        <item x="21"/>
        <item x="228"/>
        <item x="244"/>
        <item x="29"/>
        <item x="178"/>
        <item x="93"/>
        <item x="42"/>
        <item x="566"/>
        <item x="461"/>
        <item x="380"/>
        <item x="459"/>
        <item x="582"/>
        <item x="78"/>
        <item x="122"/>
        <item x="242"/>
        <item x="326"/>
        <item x="597"/>
        <item x="791"/>
        <item x="503"/>
        <item x="386"/>
        <item x="612"/>
        <item x="573"/>
        <item x="105"/>
        <item x="203"/>
        <item x="812"/>
        <item x="73"/>
        <item x="703"/>
        <item x="86"/>
        <item x="800"/>
        <item x="362"/>
        <item x="26"/>
        <item x="100"/>
        <item x="110"/>
        <item x="87"/>
        <item x="177"/>
        <item x="60"/>
        <item x="252"/>
        <item x="438"/>
        <item x="264"/>
        <item x="45"/>
        <item x="480"/>
        <item x="287"/>
        <item x="397"/>
        <item x="373"/>
        <item x="233"/>
        <item x="206"/>
        <item x="670"/>
        <item x="620"/>
        <item x="299"/>
        <item x="423"/>
        <item x="519"/>
        <item x="629"/>
        <item x="667"/>
        <item x="571"/>
        <item x="708"/>
        <item x="722"/>
        <item x="246"/>
        <item x="470"/>
        <item x="149"/>
        <item x="559"/>
        <item x="327"/>
        <item x="250"/>
        <item x="560"/>
        <item x="410"/>
        <item x="48"/>
        <item x="82"/>
        <item x="191"/>
        <item x="632"/>
        <item x="514"/>
        <item x="630"/>
        <item x="142"/>
        <item x="322"/>
        <item x="374"/>
        <item x="627"/>
        <item x="391"/>
        <item x="109"/>
        <item x="483"/>
        <item x="433"/>
        <item x="678"/>
        <item x="190"/>
        <item x="336"/>
        <item x="426"/>
        <item x="27"/>
        <item x="370"/>
        <item x="43"/>
        <item x="520"/>
        <item x="491"/>
        <item x="36"/>
        <item x="488"/>
        <item x="588"/>
        <item x="676"/>
        <item x="241"/>
        <item x="388"/>
        <item x="389"/>
        <item x="400"/>
        <item x="175"/>
        <item x="289"/>
        <item x="247"/>
        <item x="358"/>
        <item x="378"/>
        <item x="379"/>
        <item x="515"/>
        <item x="529"/>
        <item x="346"/>
        <item x="446"/>
        <item x="533"/>
        <item x="92"/>
        <item x="192"/>
        <item x="251"/>
        <item x="657"/>
        <item x="595"/>
        <item x="328"/>
        <item x="136"/>
        <item x="751"/>
        <item x="170"/>
        <item x="276"/>
        <item x="196"/>
        <item x="675"/>
        <item x="442"/>
        <item x="754"/>
        <item x="332"/>
        <item x="673"/>
        <item x="387"/>
        <item x="411"/>
        <item x="8"/>
        <item x="536"/>
        <item x="286"/>
        <item x="715"/>
        <item x="420"/>
        <item x="115"/>
        <item x="64"/>
        <item x="579"/>
        <item x="221"/>
        <item x="204"/>
        <item x="146"/>
        <item x="732"/>
        <item x="793"/>
        <item x="124"/>
        <item x="422"/>
        <item x="434"/>
        <item x="440"/>
        <item x="394"/>
        <item x="207"/>
        <item x="16"/>
        <item x="644"/>
        <item x="285"/>
        <item x="96"/>
        <item x="155"/>
        <item x="449"/>
        <item x="672"/>
        <item x="444"/>
        <item x="753"/>
        <item x="120"/>
        <item x="642"/>
        <item x="135"/>
        <item x="622"/>
        <item x="681"/>
        <item x="261"/>
        <item x="763"/>
        <item x="123"/>
        <item x="409"/>
        <item x="57"/>
        <item x="238"/>
        <item x="403"/>
        <item x="357"/>
        <item x="65"/>
        <item x="766"/>
        <item x="345"/>
        <item x="487"/>
        <item x="112"/>
        <item x="186"/>
        <item x="53"/>
        <item x="62"/>
        <item x="639"/>
        <item x="91"/>
        <item x="647"/>
        <item x="22"/>
        <item x="481"/>
        <item x="796"/>
        <item x="485"/>
        <item x="199"/>
        <item x="306"/>
        <item x="554"/>
        <item x="141"/>
        <item x="225"/>
        <item x="359"/>
        <item x="445"/>
        <item x="451"/>
        <item x="497"/>
        <item x="390"/>
        <item x="455"/>
        <item x="493"/>
        <item x="35"/>
        <item x="709"/>
        <item x="416"/>
        <item x="733"/>
        <item x="265"/>
        <item x="255"/>
        <item x="319"/>
        <item x="467"/>
        <item x="501"/>
        <item x="780"/>
        <item x="166"/>
        <item x="300"/>
        <item x="232"/>
        <item x="547"/>
        <item x="360"/>
        <item x="564"/>
        <item x="771"/>
        <item x="778"/>
        <item x="730"/>
        <item x="431"/>
        <item x="316"/>
        <item x="687"/>
        <item x="269"/>
        <item x="626"/>
        <item x="352"/>
        <item x="499"/>
        <item x="653"/>
        <item x="464"/>
        <item x="577"/>
        <item x="371"/>
        <item x="383"/>
        <item x="254"/>
        <item x="504"/>
        <item x="553"/>
        <item x="210"/>
        <item x="421"/>
        <item x="535"/>
        <item x="666"/>
        <item x="656"/>
        <item x="545"/>
        <item x="482"/>
        <item x="325"/>
        <item x="688"/>
        <item x="759"/>
        <item x="435"/>
        <item x="659"/>
        <item x="511"/>
        <item x="74"/>
        <item x="490"/>
        <item x="725"/>
        <item x="111"/>
        <item x="132"/>
        <item x="84"/>
        <item x="550"/>
        <item x="439"/>
        <item x="25"/>
        <item x="308"/>
        <item x="95"/>
        <item x="12"/>
        <item x="376"/>
        <item x="782"/>
        <item x="609"/>
        <item x="266"/>
        <item x="237"/>
        <item x="790"/>
        <item x="356"/>
        <item x="621"/>
        <item x="568"/>
        <item x="239"/>
        <item x="462"/>
        <item x="108"/>
        <item x="581"/>
        <item x="119"/>
        <item x="218"/>
        <item x="654"/>
        <item x="321"/>
        <item x="10"/>
        <item x="784"/>
        <item x="658"/>
        <item x="555"/>
        <item x="509"/>
        <item x="414"/>
        <item x="268"/>
        <item x="685"/>
        <item x="354"/>
        <item x="785"/>
        <item x="292"/>
        <item x="469"/>
        <item x="711"/>
        <item x="596"/>
        <item x="75"/>
        <item x="663"/>
        <item x="167"/>
        <item x="723"/>
        <item x="151"/>
        <item x="636"/>
        <item x="677"/>
        <item x="50"/>
        <item x="219"/>
        <item x="684"/>
        <item x="748"/>
        <item x="539"/>
        <item x="372"/>
        <item x="616"/>
        <item x="693"/>
        <item x="361"/>
        <item x="600"/>
        <item x="214"/>
        <item x="223"/>
        <item x="30"/>
        <item x="5"/>
        <item x="542"/>
        <item x="650"/>
        <item x="94"/>
        <item x="745"/>
        <item x="625"/>
        <item x="452"/>
        <item x="692"/>
        <item x="770"/>
        <item x="465"/>
        <item x="683"/>
        <item x="54"/>
        <item x="757"/>
        <item x="510"/>
        <item x="589"/>
        <item x="671"/>
        <item x="496"/>
        <item x="610"/>
        <item x="787"/>
        <item x="664"/>
        <item x="24"/>
        <item x="331"/>
        <item x="437"/>
        <item x="760"/>
        <item x="789"/>
        <item x="125"/>
        <item x="574"/>
        <item x="189"/>
        <item x="165"/>
        <item x="669"/>
        <item x="808"/>
        <item x="339"/>
        <item x="213"/>
        <item x="38"/>
        <item x="179"/>
        <item x="347"/>
        <item x="72"/>
        <item x="502"/>
        <item x="130"/>
        <item x="700"/>
        <item x="258"/>
        <item x="350"/>
        <item x="641"/>
        <item x="479"/>
        <item x="719"/>
        <item x="9"/>
        <item x="302"/>
        <item x="546"/>
        <item x="665"/>
        <item x="15"/>
        <item x="127"/>
        <item x="811"/>
        <item x="205"/>
        <item x="369"/>
        <item x="418"/>
        <item x="163"/>
        <item x="807"/>
        <item x="220"/>
        <item x="441"/>
        <item x="443"/>
        <item x="575"/>
        <item x="428"/>
        <item x="532"/>
        <item x="652"/>
        <item x="160"/>
        <item x="116"/>
        <item x="137"/>
        <item x="736"/>
        <item x="781"/>
        <item x="121"/>
        <item x="526"/>
        <item x="209"/>
        <item x="476"/>
        <item x="363"/>
        <item x="705"/>
        <item x="288"/>
        <item x="651"/>
        <item x="484"/>
        <item x="752"/>
        <item x="88"/>
        <item x="236"/>
        <item x="513"/>
        <item x="425"/>
        <item x="447"/>
        <item x="567"/>
        <item x="695"/>
        <item x="234"/>
        <item x="801"/>
        <item x="500"/>
        <item x="655"/>
        <item x="194"/>
        <item x="557"/>
        <item x="18"/>
        <item x="498"/>
        <item x="263"/>
        <item x="643"/>
        <item x="718"/>
        <item x="293"/>
        <item x="152"/>
        <item x="809"/>
        <item x="645"/>
        <item x="457"/>
        <item x="117"/>
        <item x="489"/>
        <item x="283"/>
        <item x="720"/>
        <item x="262"/>
        <item x="168"/>
        <item x="128"/>
        <item x="147"/>
        <item x="140"/>
        <item x="240"/>
        <item x="366"/>
        <item x="544"/>
        <item x="224"/>
        <item x="47"/>
        <item x="518"/>
        <item x="243"/>
        <item x="558"/>
        <item x="76"/>
        <item x="563"/>
        <item x="549"/>
        <item x="278"/>
        <item x="282"/>
        <item x="556"/>
        <item x="97"/>
        <item x="161"/>
        <item x="249"/>
        <item x="157"/>
        <item x="150"/>
        <item x="587"/>
        <item x="404"/>
        <item x="686"/>
        <item x="351"/>
        <item x="83"/>
        <item x="162"/>
        <item x="56"/>
        <item x="270"/>
        <item x="680"/>
        <item x="698"/>
        <item x="184"/>
        <item x="734"/>
        <item x="578"/>
        <item x="424"/>
        <item x="714"/>
        <item x="13"/>
        <item x="348"/>
        <item x="39"/>
        <item x="185"/>
        <item x="543"/>
        <item x="139"/>
        <item x="260"/>
        <item x="114"/>
        <item x="174"/>
        <item x="256"/>
        <item x="4"/>
        <item x="59"/>
        <item x="740"/>
        <item x="598"/>
        <item x="594"/>
        <item x="133"/>
        <item x="211"/>
        <item x="368"/>
        <item x="623"/>
        <item x="6"/>
        <item x="227"/>
        <item x="737"/>
        <item x="662"/>
        <item x="494"/>
        <item x="34"/>
        <item x="69"/>
        <item x="118"/>
        <item x="106"/>
        <item x="144"/>
        <item x="613"/>
        <item x="417"/>
        <item x="158"/>
        <item x="33"/>
        <item x="337"/>
        <item x="188"/>
        <item x="63"/>
        <item x="628"/>
        <item x="505"/>
        <item x="523"/>
        <item x="279"/>
        <item x="584"/>
        <item x="614"/>
        <item x="694"/>
        <item x="215"/>
        <item x="408"/>
        <item x="602"/>
        <item x="633"/>
        <item x="338"/>
        <item x="697"/>
        <item x="169"/>
        <item x="508"/>
        <item x="805"/>
        <item x="101"/>
        <item x="516"/>
        <item x="689"/>
        <item x="301"/>
        <item x="182"/>
        <item x="314"/>
        <item x="131"/>
        <item x="773"/>
        <item x="506"/>
        <item x="14"/>
        <item x="103"/>
        <item x="761"/>
        <item x="590"/>
        <item x="90"/>
        <item x="342"/>
        <item x="512"/>
        <item x="608"/>
        <item x="392"/>
        <item x="458"/>
        <item x="320"/>
        <item x="552"/>
        <item x="311"/>
        <item x="333"/>
        <item x="148"/>
        <item x="456"/>
        <item x="176"/>
        <item x="231"/>
        <item x="113"/>
        <item x="294"/>
        <item x="436"/>
        <item x="638"/>
        <item x="530"/>
        <item x="313"/>
        <item x="172"/>
        <item x="66"/>
        <item x="786"/>
        <item x="406"/>
        <item x="702"/>
        <item x="691"/>
        <item x="679"/>
        <item x="164"/>
        <item x="104"/>
        <item x="797"/>
        <item x="305"/>
        <item x="310"/>
        <item x="107"/>
        <item x="716"/>
        <item x="290"/>
        <item x="295"/>
        <item x="704"/>
        <item x="77"/>
        <item x="562"/>
        <item x="67"/>
        <item x="253"/>
        <item x="798"/>
        <item x="230"/>
        <item x="195"/>
        <item x="367"/>
        <item x="334"/>
        <item x="471"/>
        <item x="777"/>
        <item x="297"/>
        <item x="40"/>
        <item x="792"/>
        <item x="618"/>
        <item x="648"/>
        <item x="607"/>
        <item x="145"/>
        <item x="522"/>
        <item x="580"/>
        <item x="58"/>
        <item x="744"/>
        <item x="804"/>
        <item x="475"/>
        <item x="540"/>
        <item x="591"/>
        <item x="99"/>
        <item x="46"/>
        <item x="217"/>
        <item x="640"/>
        <item x="713"/>
        <item x="31"/>
        <item x="341"/>
        <item x="200"/>
        <item x="774"/>
        <item x="173"/>
        <item x="803"/>
        <item x="222"/>
        <item x="729"/>
        <item x="381"/>
        <item x="468"/>
        <item x="401"/>
        <item x="159"/>
        <item x="528"/>
        <item t="default"/>
      </items>
    </pivotField>
    <pivotField numFmtId="14" showAll="0">
      <items count="806">
        <item x="771"/>
        <item x="421"/>
        <item x="610"/>
        <item x="418"/>
        <item x="498"/>
        <item x="309"/>
        <item x="461"/>
        <item x="78"/>
        <item x="198"/>
        <item x="70"/>
        <item x="724"/>
        <item x="204"/>
        <item x="737"/>
        <item x="762"/>
        <item x="718"/>
        <item x="738"/>
        <item x="713"/>
        <item x="787"/>
        <item x="757"/>
        <item x="729"/>
        <item x="460"/>
        <item x="540"/>
        <item x="212"/>
        <item x="466"/>
        <item x="293"/>
        <item x="32"/>
        <item x="270"/>
        <item x="530"/>
        <item x="736"/>
        <item x="524"/>
        <item x="11"/>
        <item x="37"/>
        <item x="734"/>
        <item x="364"/>
        <item x="692"/>
        <item x="714"/>
        <item x="48"/>
        <item x="23"/>
        <item x="86"/>
        <item x="668"/>
        <item x="95"/>
        <item x="384"/>
        <item x="243"/>
        <item x="419"/>
        <item x="475"/>
        <item x="276"/>
        <item x="690"/>
        <item x="698"/>
        <item x="136"/>
        <item x="635"/>
        <item x="54"/>
        <item x="797"/>
        <item x="386"/>
        <item x="363"/>
        <item x="277"/>
        <item x="392"/>
        <item x="21"/>
        <item x="224"/>
        <item x="242"/>
        <item x="390"/>
        <item x="175"/>
        <item x="119"/>
        <item x="315"/>
        <item x="69"/>
        <item x="632"/>
        <item x="751"/>
        <item x="776"/>
        <item x="454"/>
        <item x="102"/>
        <item x="383"/>
        <item x="600"/>
        <item x="72"/>
        <item x="241"/>
        <item x="791"/>
        <item x="349"/>
        <item x="26"/>
        <item x="97"/>
        <item x="633"/>
        <item x="59"/>
        <item x="324"/>
        <item x="426"/>
        <item x="262"/>
        <item x="740"/>
        <item x="282"/>
        <item x="361"/>
        <item x="132"/>
        <item x="202"/>
        <item x="615"/>
        <item x="449"/>
        <item x="735"/>
        <item x="657"/>
        <item x="559"/>
        <item x="699"/>
        <item x="177"/>
        <item x="720"/>
        <item x="558"/>
        <item x="147"/>
        <item x="638"/>
        <item x="316"/>
        <item x="352"/>
        <item x="588"/>
        <item x="534"/>
        <item x="249"/>
        <item x="369"/>
        <item x="780"/>
        <item x="3"/>
        <item x="379"/>
        <item x="601"/>
        <item x="187"/>
        <item x="280"/>
        <item x="42"/>
        <item x="45"/>
        <item x="473"/>
        <item x="143"/>
        <item x="199"/>
        <item x="569"/>
        <item x="422"/>
        <item x="387"/>
        <item x="304"/>
        <item x="416"/>
        <item x="27"/>
        <item x="358"/>
        <item x="43"/>
        <item x="512"/>
        <item x="333"/>
        <item x="481"/>
        <item x="36"/>
        <item x="477"/>
        <item x="465"/>
        <item x="194"/>
        <item x="777"/>
        <item x="666"/>
        <item x="238"/>
        <item x="376"/>
        <item x="388"/>
        <item x="239"/>
        <item x="173"/>
        <item x="284"/>
        <item x="246"/>
        <item x="345"/>
        <item x="366"/>
        <item x="522"/>
        <item x="531"/>
        <item x="335"/>
        <item x="435"/>
        <item x="526"/>
        <item x="782"/>
        <item x="694"/>
        <item x="188"/>
        <item x="250"/>
        <item x="648"/>
        <item x="578"/>
        <item x="580"/>
        <item x="317"/>
        <item x="134"/>
        <item x="748"/>
        <item x="273"/>
        <item x="192"/>
        <item x="674"/>
        <item x="321"/>
        <item x="374"/>
        <item x="572"/>
        <item x="590"/>
        <item x="281"/>
        <item x="411"/>
        <item x="63"/>
        <item x="565"/>
        <item x="216"/>
        <item x="200"/>
        <item x="144"/>
        <item x="725"/>
        <item x="786"/>
        <item x="589"/>
        <item x="244"/>
        <item x="381"/>
        <item x="203"/>
        <item x="623"/>
        <item x="636"/>
        <item x="44"/>
        <item x="107"/>
        <item x="1"/>
        <item x="634"/>
        <item x="662"/>
        <item x="404"/>
        <item x="433"/>
        <item x="750"/>
        <item x="117"/>
        <item x="630"/>
        <item x="269"/>
        <item x="608"/>
        <item x="672"/>
        <item x="758"/>
        <item x="120"/>
        <item x="89"/>
        <item x="746"/>
        <item x="585"/>
        <item x="344"/>
        <item x="476"/>
        <item x="307"/>
        <item x="109"/>
        <item x="591"/>
        <item x="182"/>
        <item x="52"/>
        <item x="61"/>
        <item x="575"/>
        <item x="22"/>
        <item x="469"/>
        <item x="427"/>
        <item x="225"/>
        <item x="297"/>
        <item x="519"/>
        <item x="220"/>
        <item x="346"/>
        <item x="434"/>
        <item x="444"/>
        <item x="483"/>
        <item x="700"/>
        <item x="676"/>
        <item x="407"/>
        <item x="443"/>
        <item x="16"/>
        <item x="790"/>
        <item x="263"/>
        <item x="311"/>
        <item x="773"/>
        <item x="726"/>
        <item x="294"/>
        <item x="228"/>
        <item x="186"/>
        <item x="555"/>
        <item x="247"/>
        <item x="754"/>
        <item x="393"/>
        <item x="760"/>
        <item x="770"/>
        <item x="372"/>
        <item x="741"/>
        <item x="417"/>
        <item x="79"/>
        <item x="80"/>
        <item x="267"/>
        <item x="612"/>
        <item x="761"/>
        <item x="265"/>
        <item x="618"/>
        <item x="643"/>
        <item x="359"/>
        <item x="253"/>
        <item x="340"/>
        <item x="663"/>
        <item x="682"/>
        <item x="521"/>
        <item x="207"/>
        <item x="412"/>
        <item x="296"/>
        <item x="353"/>
        <item x="656"/>
        <item x="646"/>
        <item x="537"/>
        <item x="680"/>
        <item x="506"/>
        <item x="410"/>
        <item x="650"/>
        <item x="613"/>
        <item x="706"/>
        <item x="179"/>
        <item x="513"/>
        <item x="504"/>
        <item x="73"/>
        <item x="715"/>
        <item x="108"/>
        <item x="129"/>
        <item x="620"/>
        <item x="542"/>
        <item x="92"/>
        <item x="12"/>
        <item x="594"/>
        <item x="264"/>
        <item x="619"/>
        <item x="783"/>
        <item x="527"/>
        <item x="343"/>
        <item x="607"/>
        <item x="139"/>
        <item x="474"/>
        <item x="236"/>
        <item x="450"/>
        <item x="105"/>
        <item x="116"/>
        <item x="647"/>
        <item x="681"/>
        <item x="584"/>
        <item x="644"/>
        <item x="658"/>
        <item x="313"/>
        <item x="778"/>
        <item x="649"/>
        <item x="231"/>
        <item x="603"/>
        <item x="397"/>
        <item x="406"/>
        <item x="501"/>
        <item x="712"/>
        <item x="287"/>
        <item x="457"/>
        <item x="581"/>
        <item x="624"/>
        <item x="74"/>
        <item x="653"/>
        <item x="660"/>
        <item x="165"/>
        <item x="400"/>
        <item x="149"/>
        <item x="723"/>
        <item x="301"/>
        <item x="399"/>
        <item x="550"/>
        <item x="385"/>
        <item x="487"/>
        <item x="489"/>
        <item x="370"/>
        <item x="360"/>
        <item x="350"/>
        <item x="482"/>
        <item x="616"/>
        <item x="598"/>
        <item x="685"/>
        <item x="90"/>
        <item x="218"/>
        <item x="83"/>
        <item x="5"/>
        <item x="560"/>
        <item x="91"/>
        <item x="495"/>
        <item x="64"/>
        <item x="2"/>
        <item x="743"/>
        <item x="611"/>
        <item x="257"/>
        <item x="675"/>
        <item x="753"/>
        <item x="502"/>
        <item x="661"/>
        <item x="518"/>
        <item x="25"/>
        <item x="232"/>
        <item x="462"/>
        <item x="654"/>
        <item x="342"/>
        <item x="251"/>
        <item x="254"/>
        <item x="93"/>
        <item x="557"/>
        <item x="35"/>
        <item x="442"/>
        <item x="440"/>
        <item x="28"/>
        <item x="169"/>
        <item x="122"/>
        <item x="60"/>
        <item x="185"/>
        <item x="163"/>
        <item x="153"/>
        <item x="800"/>
        <item x="711"/>
        <item x="328"/>
        <item x="703"/>
        <item x="176"/>
        <item x="221"/>
        <item x="213"/>
        <item x="325"/>
        <item x="779"/>
        <item x="622"/>
        <item x="733"/>
        <item x="539"/>
        <item x="453"/>
        <item x="626"/>
        <item x="491"/>
        <item x="744"/>
        <item x="0"/>
        <item x="508"/>
        <item x="732"/>
        <item x="127"/>
        <item x="691"/>
        <item x="256"/>
        <item x="380"/>
        <item x="532"/>
        <item x="702"/>
        <item x="375"/>
        <item x="629"/>
        <item x="458"/>
        <item x="802"/>
        <item x="467"/>
        <item x="710"/>
        <item x="9"/>
        <item x="168"/>
        <item x="759"/>
        <item x="665"/>
        <item x="625"/>
        <item x="448"/>
        <item x="552"/>
        <item x="112"/>
        <item x="206"/>
        <item x="494"/>
        <item x="574"/>
        <item x="788"/>
        <item x="235"/>
        <item x="651"/>
        <item x="470"/>
        <item x="214"/>
        <item x="538"/>
        <item x="152"/>
        <item x="291"/>
        <item x="15"/>
        <item x="492"/>
        <item x="763"/>
        <item x="271"/>
        <item x="582"/>
        <item x="640"/>
        <item x="123"/>
        <item x="24"/>
        <item x="599"/>
        <item x="547"/>
        <item x="798"/>
        <item x="314"/>
        <item x="201"/>
        <item x="7"/>
        <item x="29"/>
        <item x="131"/>
        <item x="563"/>
        <item x="586"/>
        <item x="423"/>
        <item x="409"/>
        <item x="775"/>
        <item x="38"/>
        <item x="245"/>
        <item x="151"/>
        <item x="669"/>
        <item x="161"/>
        <item x="413"/>
        <item x="772"/>
        <item x="439"/>
        <item x="799"/>
        <item x="493"/>
        <item x="51"/>
        <item x="546"/>
        <item x="215"/>
        <item x="430"/>
        <item x="677"/>
        <item x="803"/>
        <item x="341"/>
        <item x="664"/>
        <item x="121"/>
        <item x="525"/>
        <item x="158"/>
        <item x="113"/>
        <item x="432"/>
        <item x="135"/>
        <item x="300"/>
        <item x="684"/>
        <item x="268"/>
        <item x="730"/>
        <item x="195"/>
        <item x="8"/>
        <item x="774"/>
        <item x="510"/>
        <item x="106"/>
        <item x="118"/>
        <item x="286"/>
        <item x="124"/>
        <item x="452"/>
        <item x="520"/>
        <item x="528"/>
        <item x="205"/>
        <item x="464"/>
        <item x="362"/>
        <item x="402"/>
        <item x="696"/>
        <item x="164"/>
        <item x="529"/>
        <item x="320"/>
        <item x="568"/>
        <item x="299"/>
        <item x="283"/>
        <item x="641"/>
        <item x="471"/>
        <item x="749"/>
        <item x="389"/>
        <item x="85"/>
        <item x="233"/>
        <item x="259"/>
        <item x="210"/>
        <item x="209"/>
        <item x="425"/>
        <item x="415"/>
        <item x="82"/>
        <item x="429"/>
        <item x="436"/>
        <item x="20"/>
        <item x="687"/>
        <item x="792"/>
        <item x="490"/>
        <item x="645"/>
        <item x="190"/>
        <item x="382"/>
        <item x="549"/>
        <item x="18"/>
        <item x="53"/>
        <item x="488"/>
        <item x="261"/>
        <item x="631"/>
        <item x="709"/>
        <item x="288"/>
        <item x="150"/>
        <item x="334"/>
        <item x="801"/>
        <item x="637"/>
        <item x="446"/>
        <item x="84"/>
        <item x="114"/>
        <item x="478"/>
        <item x="279"/>
        <item x="337"/>
        <item x="401"/>
        <item x="308"/>
        <item x="405"/>
        <item x="260"/>
        <item x="166"/>
        <item x="125"/>
        <item x="365"/>
        <item x="138"/>
        <item x="237"/>
        <item x="556"/>
        <item x="354"/>
        <item x="141"/>
        <item x="371"/>
        <item x="219"/>
        <item x="30"/>
        <item x="511"/>
        <item x="673"/>
        <item x="764"/>
        <item x="554"/>
        <item x="274"/>
        <item x="278"/>
        <item x="548"/>
        <item x="667"/>
        <item x="56"/>
        <item x="553"/>
        <item x="94"/>
        <item x="159"/>
        <item x="248"/>
        <item x="155"/>
        <item x="784"/>
        <item x="148"/>
        <item x="573"/>
        <item x="679"/>
        <item x="338"/>
        <item x="81"/>
        <item x="160"/>
        <item x="804"/>
        <item x="55"/>
        <item x="697"/>
        <item x="781"/>
        <item x="716"/>
        <item x="17"/>
        <item x="671"/>
        <item x="689"/>
        <item x="180"/>
        <item x="564"/>
        <item x="414"/>
        <item x="705"/>
        <item x="517"/>
        <item x="13"/>
        <item x="739"/>
        <item x="39"/>
        <item x="181"/>
        <item x="310"/>
        <item x="41"/>
        <item x="137"/>
        <item x="659"/>
        <item x="351"/>
        <item x="111"/>
        <item x="172"/>
        <item x="255"/>
        <item x="4"/>
        <item x="58"/>
        <item x="480"/>
        <item x="500"/>
        <item x="583"/>
        <item x="579"/>
        <item x="130"/>
        <item x="208"/>
        <item x="544"/>
        <item x="356"/>
        <item x="6"/>
        <item x="223"/>
        <item x="731"/>
        <item x="652"/>
        <item x="484"/>
        <item x="348"/>
        <item x="68"/>
        <item x="561"/>
        <item x="115"/>
        <item x="103"/>
        <item x="142"/>
        <item x="595"/>
        <item x="606"/>
        <item x="408"/>
        <item x="156"/>
        <item x="33"/>
        <item x="768"/>
        <item x="326"/>
        <item x="451"/>
        <item x="184"/>
        <item x="62"/>
        <item x="614"/>
        <item x="496"/>
        <item x="516"/>
        <item x="468"/>
        <item x="275"/>
        <item x="222"/>
        <item x="596"/>
        <item x="258"/>
        <item x="234"/>
        <item x="266"/>
        <item x="211"/>
        <item x="545"/>
        <item x="398"/>
        <item x="587"/>
        <item x="570"/>
        <item x="621"/>
        <item x="327"/>
        <item x="688"/>
        <item x="167"/>
        <item x="499"/>
        <item x="796"/>
        <item x="98"/>
        <item x="509"/>
        <item x="230"/>
        <item x="67"/>
        <item x="178"/>
        <item x="306"/>
        <item x="128"/>
        <item x="766"/>
        <item x="497"/>
        <item x="515"/>
        <item x="14"/>
        <item x="100"/>
        <item x="755"/>
        <item x="576"/>
        <item x="87"/>
        <item x="331"/>
        <item x="505"/>
        <item x="745"/>
        <item x="593"/>
        <item x="378"/>
        <item x="447"/>
        <item x="197"/>
        <item x="312"/>
        <item x="602"/>
        <item x="727"/>
        <item x="543"/>
        <item x="303"/>
        <item x="322"/>
        <item x="146"/>
        <item x="445"/>
        <item x="174"/>
        <item x="47"/>
        <item x="227"/>
        <item x="110"/>
        <item x="318"/>
        <item x="295"/>
        <item x="289"/>
        <item x="424"/>
        <item x="627"/>
        <item x="523"/>
        <item x="765"/>
        <item x="305"/>
        <item x="170"/>
        <item x="357"/>
        <item x="65"/>
        <item x="183"/>
        <item x="396"/>
        <item x="693"/>
        <item x="609"/>
        <item x="50"/>
        <item x="683"/>
        <item x="162"/>
        <item x="329"/>
        <item x="101"/>
        <item x="789"/>
        <item x="272"/>
        <item x="571"/>
        <item x="10"/>
        <item x="455"/>
        <item x="77"/>
        <item x="721"/>
        <item x="332"/>
        <item x="34"/>
        <item x="747"/>
        <item x="567"/>
        <item x="339"/>
        <item x="347"/>
        <item x="438"/>
        <item x="441"/>
        <item x="302"/>
        <item x="541"/>
        <item x="126"/>
        <item x="717"/>
        <item x="686"/>
        <item x="431"/>
        <item x="104"/>
        <item x="229"/>
        <item x="707"/>
        <item x="728"/>
        <item x="719"/>
        <item x="154"/>
        <item x="140"/>
        <item x="551"/>
        <item x="403"/>
        <item x="722"/>
        <item x="285"/>
        <item x="605"/>
        <item x="336"/>
        <item x="145"/>
        <item x="19"/>
        <item x="290"/>
        <item x="695"/>
        <item x="76"/>
        <item x="420"/>
        <item x="503"/>
        <item x="437"/>
        <item x="395"/>
        <item x="66"/>
        <item x="319"/>
        <item x="252"/>
        <item x="617"/>
        <item x="71"/>
        <item x="373"/>
        <item x="377"/>
        <item x="226"/>
        <item x="472"/>
        <item x="394"/>
        <item x="191"/>
        <item x="355"/>
        <item x="323"/>
        <item x="133"/>
        <item x="459"/>
        <item x="769"/>
        <item x="642"/>
        <item x="670"/>
        <item x="292"/>
        <item x="597"/>
        <item x="785"/>
        <item x="88"/>
        <item x="604"/>
        <item x="795"/>
        <item x="639"/>
        <item x="592"/>
        <item x="40"/>
        <item x="514"/>
        <item x="566"/>
        <item x="57"/>
        <item x="536"/>
        <item x="485"/>
        <item x="479"/>
        <item x="742"/>
        <item x="298"/>
        <item x="655"/>
        <item x="794"/>
        <item x="463"/>
        <item x="533"/>
        <item x="240"/>
        <item x="535"/>
        <item x="562"/>
        <item x="367"/>
        <item x="577"/>
        <item x="96"/>
        <item x="486"/>
        <item x="46"/>
        <item x="75"/>
        <item x="193"/>
        <item x="628"/>
        <item x="704"/>
        <item x="31"/>
        <item x="330"/>
        <item x="196"/>
        <item x="678"/>
        <item x="767"/>
        <item x="171"/>
        <item x="793"/>
        <item x="217"/>
        <item x="507"/>
        <item x="752"/>
        <item x="708"/>
        <item x="756"/>
        <item x="368"/>
        <item x="49"/>
        <item x="701"/>
        <item x="456"/>
        <item x="99"/>
        <item x="391"/>
        <item x="189"/>
        <item x="157"/>
        <item x="428"/>
        <item t="default"/>
      </items>
    </pivotField>
    <pivotField showAll="0">
      <items count="8">
        <item x="0"/>
        <item x="3"/>
        <item x="5"/>
        <item x="1"/>
        <item x="4"/>
        <item x="2"/>
        <item x="6"/>
        <item t="default"/>
      </items>
    </pivotField>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13">
        <item x="0"/>
        <item sd="0" x="1"/>
        <item sd="0" x="2"/>
        <item sd="0" x="3"/>
        <item sd="0" x="4"/>
        <item sd="0" x="5"/>
        <item sd="0" x="6"/>
        <item sd="0" x="7"/>
        <item sd="0" x="8"/>
        <item sd="0" x="9"/>
        <item sd="0" x="10"/>
        <item x="11"/>
        <item t="default"/>
      </items>
    </pivotField>
    <pivotField showAll="0">
      <items count="15">
        <item x="0"/>
        <item x="1"/>
        <item x="2"/>
        <item x="3"/>
        <item x="4"/>
        <item x="5"/>
        <item x="6"/>
        <item x="7"/>
        <item x="8"/>
        <item x="9"/>
        <item x="10"/>
        <item x="11"/>
        <item x="12"/>
        <item x="13"/>
        <item t="default"/>
      </items>
    </pivotField>
    <pivotField showAll="0">
      <items count="13">
        <item x="0"/>
        <item x="1"/>
        <item x="2"/>
        <item x="3"/>
        <item x="4"/>
        <item x="5"/>
        <item x="6"/>
        <item x="7"/>
        <item x="8"/>
        <item x="9"/>
        <item x="10"/>
        <item x="11"/>
        <item t="default"/>
      </items>
    </pivotField>
  </pivotFields>
  <rowFields count="2">
    <field x="15"/>
    <field x="14"/>
  </rowFields>
  <rowItems count="11">
    <i>
      <x v="1"/>
    </i>
    <i>
      <x v="2"/>
    </i>
    <i>
      <x v="3"/>
    </i>
    <i>
      <x v="4"/>
    </i>
    <i>
      <x v="5"/>
    </i>
    <i>
      <x v="6"/>
    </i>
    <i>
      <x v="7"/>
    </i>
    <i>
      <x v="8"/>
    </i>
    <i>
      <x v="9"/>
    </i>
    <i>
      <x v="10"/>
    </i>
    <i t="grand">
      <x/>
    </i>
  </rowItems>
  <colItems count="1">
    <i/>
  </colItems>
  <dataFields count="1">
    <dataField name="Employee" fld="0" subtotal="count" baseField="15" baseItem="1"/>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67B41B-AF1B-4158-AB1B-42C981DDDE9C}" name="PivotTable5"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A3:B11" firstHeaderRow="1" firstDataRow="1" firstDataCol="1"/>
  <pivotFields count="18">
    <pivotField showAll="0"/>
    <pivotField showAll="0"/>
    <pivotField showAll="0"/>
    <pivotField showAll="0">
      <items count="3">
        <item x="0"/>
        <item x="1"/>
        <item t="default"/>
      </items>
    </pivotField>
    <pivotField showAll="0"/>
    <pivotField showAll="0"/>
    <pivotField showAll="0"/>
    <pivotField numFmtId="14" showAll="0"/>
    <pivotField numFmtId="14" showAll="0">
      <items count="814">
        <item x="779"/>
        <item x="432"/>
        <item x="355"/>
        <item x="649"/>
        <item x="275"/>
        <item x="477"/>
        <item x="767"/>
        <item x="353"/>
        <item x="318"/>
        <item x="429"/>
        <item x="661"/>
        <item x="593"/>
        <item x="399"/>
        <item x="576"/>
        <item x="315"/>
        <item x="710"/>
        <item x="768"/>
        <item x="340"/>
        <item x="180"/>
        <item x="755"/>
        <item x="492"/>
        <item x="51"/>
        <item x="615"/>
        <item x="624"/>
        <item x="259"/>
        <item x="601"/>
        <item x="183"/>
        <item x="603"/>
        <item x="712"/>
        <item x="592"/>
        <item x="274"/>
        <item x="738"/>
        <item x="769"/>
        <item x="525"/>
        <item x="41"/>
        <item x="606"/>
        <item x="507"/>
        <item x="706"/>
        <item x="605"/>
        <item x="317"/>
        <item x="126"/>
        <item x="788"/>
        <item x="758"/>
        <item x="201"/>
        <item x="2"/>
        <item x="3"/>
        <item x="473"/>
        <item x="474"/>
        <item x="742"/>
        <item x="728"/>
        <item x="776"/>
        <item x="71"/>
        <item x="80"/>
        <item x="226"/>
        <item x="783"/>
        <item x="202"/>
        <item x="212"/>
        <item x="448"/>
        <item x="0"/>
        <item x="17"/>
        <item x="198"/>
        <item x="772"/>
        <item x="707"/>
        <item x="267"/>
        <item x="604"/>
        <item x="291"/>
        <item x="756"/>
        <item x="717"/>
        <item x="335"/>
        <item x="344"/>
        <item x="726"/>
        <item x="731"/>
        <item x="735"/>
        <item x="171"/>
        <item x="208"/>
        <item x="28"/>
        <item x="551"/>
        <item x="235"/>
        <item x="307"/>
        <item x="460"/>
        <item x="393"/>
        <item x="407"/>
        <item x="631"/>
        <item x="466"/>
        <item x="304"/>
        <item x="495"/>
        <item x="296"/>
        <item x="384"/>
        <item x="343"/>
        <item x="660"/>
        <item x="329"/>
        <item x="385"/>
        <item x="765"/>
        <item x="747"/>
        <item x="229"/>
        <item x="44"/>
        <item x="463"/>
        <item x="727"/>
        <item x="741"/>
        <item x="802"/>
        <item x="324"/>
        <item x="330"/>
        <item x="611"/>
        <item x="154"/>
        <item x="37"/>
        <item x="413"/>
        <item x="527"/>
        <item x="20"/>
        <item x="450"/>
        <item x="453"/>
        <item x="635"/>
        <item x="68"/>
        <item x="1"/>
        <item x="197"/>
        <item x="724"/>
        <item x="617"/>
        <item x="430"/>
        <item x="721"/>
        <item x="572"/>
        <item x="795"/>
        <item x="156"/>
        <item x="85"/>
        <item x="70"/>
        <item x="284"/>
        <item x="682"/>
        <item x="599"/>
        <item x="583"/>
        <item x="586"/>
        <item x="187"/>
        <item x="405"/>
        <item x="762"/>
        <item x="696"/>
        <item x="193"/>
        <item x="271"/>
        <item x="521"/>
        <item x="303"/>
        <item x="19"/>
        <item x="395"/>
        <item x="102"/>
        <item x="248"/>
        <item x="565"/>
        <item x="646"/>
        <item x="349"/>
        <item x="419"/>
        <item x="524"/>
        <item x="538"/>
        <item x="634"/>
        <item x="668"/>
        <item x="382"/>
        <item x="7"/>
        <item x="794"/>
        <item x="365"/>
        <item x="517"/>
        <item x="312"/>
        <item x="743"/>
        <item x="775"/>
        <item x="750"/>
        <item x="153"/>
        <item x="272"/>
        <item x="619"/>
        <item x="799"/>
        <item x="273"/>
        <item x="764"/>
        <item x="570"/>
        <item x="52"/>
        <item x="674"/>
        <item x="472"/>
        <item x="548"/>
        <item x="216"/>
        <item x="810"/>
        <item x="478"/>
        <item x="298"/>
        <item x="32"/>
        <item x="134"/>
        <item x="61"/>
        <item x="534"/>
        <item x="537"/>
        <item x="531"/>
        <item x="412"/>
        <item x="541"/>
        <item x="11"/>
        <item x="257"/>
        <item x="739"/>
        <item x="377"/>
        <item x="701"/>
        <item x="23"/>
        <item x="49"/>
        <item x="81"/>
        <item x="427"/>
        <item x="89"/>
        <item x="98"/>
        <item x="143"/>
        <item x="396"/>
        <item x="245"/>
        <item x="277"/>
        <item x="486"/>
        <item x="746"/>
        <item x="280"/>
        <item x="699"/>
        <item x="561"/>
        <item x="323"/>
        <item x="364"/>
        <item x="138"/>
        <item x="181"/>
        <item x="55"/>
        <item x="637"/>
        <item x="129"/>
        <item x="454"/>
        <item x="749"/>
        <item x="806"/>
        <item x="79"/>
        <item x="398"/>
        <item x="309"/>
        <item x="690"/>
        <item x="415"/>
        <item x="375"/>
        <item x="569"/>
        <item x="281"/>
        <item x="402"/>
        <item x="585"/>
        <item x="21"/>
        <item x="228"/>
        <item x="244"/>
        <item x="29"/>
        <item x="178"/>
        <item x="93"/>
        <item x="42"/>
        <item x="566"/>
        <item x="461"/>
        <item x="380"/>
        <item x="459"/>
        <item x="582"/>
        <item x="78"/>
        <item x="122"/>
        <item x="242"/>
        <item x="326"/>
        <item x="597"/>
        <item x="791"/>
        <item x="503"/>
        <item x="386"/>
        <item x="612"/>
        <item x="573"/>
        <item x="105"/>
        <item x="203"/>
        <item x="812"/>
        <item x="73"/>
        <item x="703"/>
        <item x="86"/>
        <item x="800"/>
        <item x="362"/>
        <item x="26"/>
        <item x="100"/>
        <item x="110"/>
        <item x="87"/>
        <item x="177"/>
        <item x="60"/>
        <item x="252"/>
        <item x="438"/>
        <item x="264"/>
        <item x="45"/>
        <item x="480"/>
        <item x="287"/>
        <item x="397"/>
        <item x="373"/>
        <item x="233"/>
        <item x="206"/>
        <item x="670"/>
        <item x="620"/>
        <item x="299"/>
        <item x="423"/>
        <item x="519"/>
        <item x="629"/>
        <item x="667"/>
        <item x="571"/>
        <item x="708"/>
        <item x="722"/>
        <item x="246"/>
        <item x="470"/>
        <item x="149"/>
        <item x="559"/>
        <item x="327"/>
        <item x="250"/>
        <item x="560"/>
        <item x="410"/>
        <item x="48"/>
        <item x="82"/>
        <item x="191"/>
        <item x="632"/>
        <item x="514"/>
        <item x="630"/>
        <item x="142"/>
        <item x="322"/>
        <item x="374"/>
        <item x="627"/>
        <item x="391"/>
        <item x="109"/>
        <item x="483"/>
        <item x="433"/>
        <item x="678"/>
        <item x="190"/>
        <item x="336"/>
        <item x="426"/>
        <item x="27"/>
        <item x="370"/>
        <item x="43"/>
        <item x="520"/>
        <item x="491"/>
        <item x="36"/>
        <item x="488"/>
        <item x="588"/>
        <item x="676"/>
        <item x="241"/>
        <item x="388"/>
        <item x="389"/>
        <item x="400"/>
        <item x="175"/>
        <item x="289"/>
        <item x="247"/>
        <item x="358"/>
        <item x="378"/>
        <item x="379"/>
        <item x="515"/>
        <item x="529"/>
        <item x="346"/>
        <item x="446"/>
        <item x="533"/>
        <item x="92"/>
        <item x="192"/>
        <item x="251"/>
        <item x="657"/>
        <item x="595"/>
        <item x="328"/>
        <item x="136"/>
        <item x="751"/>
        <item x="170"/>
        <item x="276"/>
        <item x="196"/>
        <item x="675"/>
        <item x="442"/>
        <item x="754"/>
        <item x="332"/>
        <item x="673"/>
        <item x="387"/>
        <item x="411"/>
        <item x="8"/>
        <item x="536"/>
        <item x="286"/>
        <item x="715"/>
        <item x="420"/>
        <item x="115"/>
        <item x="64"/>
        <item x="579"/>
        <item x="221"/>
        <item x="204"/>
        <item x="146"/>
        <item x="732"/>
        <item x="793"/>
        <item x="124"/>
        <item x="422"/>
        <item x="434"/>
        <item x="440"/>
        <item x="394"/>
        <item x="207"/>
        <item x="16"/>
        <item x="644"/>
        <item x="285"/>
        <item x="96"/>
        <item x="155"/>
        <item x="449"/>
        <item x="672"/>
        <item x="444"/>
        <item x="753"/>
        <item x="120"/>
        <item x="642"/>
        <item x="135"/>
        <item x="622"/>
        <item x="681"/>
        <item x="261"/>
        <item x="763"/>
        <item x="123"/>
        <item x="409"/>
        <item x="57"/>
        <item x="238"/>
        <item x="403"/>
        <item x="357"/>
        <item x="65"/>
        <item x="766"/>
        <item x="345"/>
        <item x="487"/>
        <item x="112"/>
        <item x="186"/>
        <item x="53"/>
        <item x="62"/>
        <item x="639"/>
        <item x="91"/>
        <item x="647"/>
        <item x="22"/>
        <item x="481"/>
        <item x="796"/>
        <item x="485"/>
        <item x="199"/>
        <item x="306"/>
        <item x="554"/>
        <item x="141"/>
        <item x="225"/>
        <item x="359"/>
        <item x="445"/>
        <item x="451"/>
        <item x="497"/>
        <item x="390"/>
        <item x="455"/>
        <item x="493"/>
        <item x="35"/>
        <item x="709"/>
        <item x="416"/>
        <item x="733"/>
        <item x="265"/>
        <item x="255"/>
        <item x="319"/>
        <item x="467"/>
        <item x="501"/>
        <item x="780"/>
        <item x="166"/>
        <item x="300"/>
        <item x="232"/>
        <item x="547"/>
        <item x="360"/>
        <item x="564"/>
        <item x="771"/>
        <item x="778"/>
        <item x="730"/>
        <item x="431"/>
        <item x="316"/>
        <item x="687"/>
        <item x="269"/>
        <item x="626"/>
        <item x="352"/>
        <item x="499"/>
        <item x="653"/>
        <item x="464"/>
        <item x="577"/>
        <item x="371"/>
        <item x="383"/>
        <item x="254"/>
        <item x="504"/>
        <item x="553"/>
        <item x="210"/>
        <item x="421"/>
        <item x="535"/>
        <item x="666"/>
        <item x="656"/>
        <item x="545"/>
        <item x="482"/>
        <item x="325"/>
        <item x="688"/>
        <item x="759"/>
        <item x="435"/>
        <item x="659"/>
        <item x="511"/>
        <item x="74"/>
        <item x="490"/>
        <item x="725"/>
        <item x="111"/>
        <item x="132"/>
        <item x="84"/>
        <item x="550"/>
        <item x="439"/>
        <item x="25"/>
        <item x="308"/>
        <item x="95"/>
        <item x="12"/>
        <item x="376"/>
        <item x="782"/>
        <item x="609"/>
        <item x="266"/>
        <item x="237"/>
        <item x="790"/>
        <item x="356"/>
        <item x="621"/>
        <item x="568"/>
        <item x="239"/>
        <item x="462"/>
        <item x="108"/>
        <item x="581"/>
        <item x="119"/>
        <item x="218"/>
        <item x="654"/>
        <item x="321"/>
        <item x="10"/>
        <item x="784"/>
        <item x="658"/>
        <item x="555"/>
        <item x="509"/>
        <item x="414"/>
        <item x="268"/>
        <item x="685"/>
        <item x="354"/>
        <item x="785"/>
        <item x="292"/>
        <item x="469"/>
        <item x="711"/>
        <item x="596"/>
        <item x="75"/>
        <item x="663"/>
        <item x="167"/>
        <item x="723"/>
        <item x="151"/>
        <item x="636"/>
        <item x="677"/>
        <item x="50"/>
        <item x="219"/>
        <item x="684"/>
        <item x="748"/>
        <item x="539"/>
        <item x="372"/>
        <item x="616"/>
        <item x="693"/>
        <item x="361"/>
        <item x="600"/>
        <item x="214"/>
        <item x="223"/>
        <item x="30"/>
        <item x="5"/>
        <item x="542"/>
        <item x="650"/>
        <item x="94"/>
        <item x="745"/>
        <item x="625"/>
        <item x="452"/>
        <item x="692"/>
        <item x="770"/>
        <item x="465"/>
        <item x="683"/>
        <item x="54"/>
        <item x="757"/>
        <item x="510"/>
        <item x="589"/>
        <item x="671"/>
        <item x="496"/>
        <item x="610"/>
        <item x="787"/>
        <item x="664"/>
        <item x="24"/>
        <item x="331"/>
        <item x="437"/>
        <item x="760"/>
        <item x="789"/>
        <item x="125"/>
        <item x="574"/>
        <item x="189"/>
        <item x="165"/>
        <item x="669"/>
        <item x="808"/>
        <item x="339"/>
        <item x="213"/>
        <item x="38"/>
        <item x="179"/>
        <item x="347"/>
        <item x="72"/>
        <item x="502"/>
        <item x="130"/>
        <item x="700"/>
        <item x="258"/>
        <item x="350"/>
        <item x="641"/>
        <item x="479"/>
        <item x="719"/>
        <item x="9"/>
        <item x="302"/>
        <item x="546"/>
        <item x="665"/>
        <item x="15"/>
        <item x="127"/>
        <item x="811"/>
        <item x="205"/>
        <item x="369"/>
        <item x="418"/>
        <item x="163"/>
        <item x="807"/>
        <item x="220"/>
        <item x="441"/>
        <item x="443"/>
        <item x="575"/>
        <item x="428"/>
        <item x="532"/>
        <item x="652"/>
        <item x="160"/>
        <item x="116"/>
        <item x="137"/>
        <item x="736"/>
        <item x="781"/>
        <item x="121"/>
        <item x="526"/>
        <item x="209"/>
        <item x="476"/>
        <item x="363"/>
        <item x="705"/>
        <item x="288"/>
        <item x="651"/>
        <item x="484"/>
        <item x="752"/>
        <item x="88"/>
        <item x="236"/>
        <item x="513"/>
        <item x="425"/>
        <item x="447"/>
        <item x="567"/>
        <item x="695"/>
        <item x="234"/>
        <item x="801"/>
        <item x="500"/>
        <item x="655"/>
        <item x="194"/>
        <item x="557"/>
        <item x="18"/>
        <item x="498"/>
        <item x="263"/>
        <item x="643"/>
        <item x="718"/>
        <item x="293"/>
        <item x="152"/>
        <item x="809"/>
        <item x="645"/>
        <item x="457"/>
        <item x="117"/>
        <item x="489"/>
        <item x="283"/>
        <item x="720"/>
        <item x="262"/>
        <item x="168"/>
        <item x="128"/>
        <item x="147"/>
        <item x="140"/>
        <item x="240"/>
        <item x="366"/>
        <item x="544"/>
        <item x="224"/>
        <item x="47"/>
        <item x="518"/>
        <item x="243"/>
        <item x="558"/>
        <item x="76"/>
        <item x="563"/>
        <item x="549"/>
        <item x="278"/>
        <item x="282"/>
        <item x="556"/>
        <item x="97"/>
        <item x="161"/>
        <item x="249"/>
        <item x="157"/>
        <item x="150"/>
        <item x="587"/>
        <item x="404"/>
        <item x="686"/>
        <item x="351"/>
        <item x="83"/>
        <item x="162"/>
        <item x="56"/>
        <item x="270"/>
        <item x="680"/>
        <item x="698"/>
        <item x="184"/>
        <item x="734"/>
        <item x="578"/>
        <item x="424"/>
        <item x="714"/>
        <item x="13"/>
        <item x="348"/>
        <item x="39"/>
        <item x="185"/>
        <item x="543"/>
        <item x="139"/>
        <item x="260"/>
        <item x="114"/>
        <item x="174"/>
        <item x="256"/>
        <item x="4"/>
        <item x="59"/>
        <item x="740"/>
        <item x="598"/>
        <item x="594"/>
        <item x="133"/>
        <item x="211"/>
        <item x="368"/>
        <item x="623"/>
        <item x="6"/>
        <item x="227"/>
        <item x="737"/>
        <item x="662"/>
        <item x="494"/>
        <item x="34"/>
        <item x="69"/>
        <item x="118"/>
        <item x="106"/>
        <item x="144"/>
        <item x="613"/>
        <item x="417"/>
        <item x="158"/>
        <item x="33"/>
        <item x="337"/>
        <item x="188"/>
        <item x="63"/>
        <item x="628"/>
        <item x="505"/>
        <item x="523"/>
        <item x="279"/>
        <item x="584"/>
        <item x="614"/>
        <item x="694"/>
        <item x="215"/>
        <item x="408"/>
        <item x="602"/>
        <item x="633"/>
        <item x="338"/>
        <item x="697"/>
        <item x="169"/>
        <item x="508"/>
        <item x="805"/>
        <item x="101"/>
        <item x="516"/>
        <item x="689"/>
        <item x="301"/>
        <item x="182"/>
        <item x="314"/>
        <item x="131"/>
        <item x="773"/>
        <item x="506"/>
        <item x="14"/>
        <item x="103"/>
        <item x="761"/>
        <item x="590"/>
        <item x="90"/>
        <item x="342"/>
        <item x="512"/>
        <item x="608"/>
        <item x="392"/>
        <item x="458"/>
        <item x="320"/>
        <item x="552"/>
        <item x="311"/>
        <item x="333"/>
        <item x="148"/>
        <item x="456"/>
        <item x="176"/>
        <item x="231"/>
        <item x="113"/>
        <item x="294"/>
        <item x="436"/>
        <item x="638"/>
        <item x="530"/>
        <item x="313"/>
        <item x="172"/>
        <item x="66"/>
        <item x="786"/>
        <item x="406"/>
        <item x="702"/>
        <item x="691"/>
        <item x="679"/>
        <item x="164"/>
        <item x="104"/>
        <item x="797"/>
        <item x="305"/>
        <item x="310"/>
        <item x="107"/>
        <item x="716"/>
        <item x="290"/>
        <item x="295"/>
        <item x="704"/>
        <item x="77"/>
        <item x="562"/>
        <item x="67"/>
        <item x="253"/>
        <item x="798"/>
        <item x="230"/>
        <item x="195"/>
        <item x="367"/>
        <item x="334"/>
        <item x="471"/>
        <item x="777"/>
        <item x="297"/>
        <item x="40"/>
        <item x="792"/>
        <item x="618"/>
        <item x="648"/>
        <item x="607"/>
        <item x="145"/>
        <item x="522"/>
        <item x="580"/>
        <item x="58"/>
        <item x="744"/>
        <item x="804"/>
        <item x="475"/>
        <item x="540"/>
        <item x="591"/>
        <item x="99"/>
        <item x="46"/>
        <item x="217"/>
        <item x="640"/>
        <item x="713"/>
        <item x="31"/>
        <item x="341"/>
        <item x="200"/>
        <item x="774"/>
        <item x="173"/>
        <item x="803"/>
        <item x="222"/>
        <item x="729"/>
        <item x="381"/>
        <item x="468"/>
        <item x="401"/>
        <item x="159"/>
        <item x="528"/>
        <item t="default"/>
      </items>
    </pivotField>
    <pivotField numFmtId="14" showAll="0">
      <items count="806">
        <item x="771"/>
        <item x="421"/>
        <item x="610"/>
        <item x="418"/>
        <item x="498"/>
        <item x="309"/>
        <item x="461"/>
        <item x="78"/>
        <item x="198"/>
        <item x="70"/>
        <item x="724"/>
        <item x="204"/>
        <item x="737"/>
        <item x="762"/>
        <item x="718"/>
        <item x="738"/>
        <item x="713"/>
        <item x="787"/>
        <item x="757"/>
        <item x="729"/>
        <item x="460"/>
        <item x="540"/>
        <item x="212"/>
        <item x="466"/>
        <item x="293"/>
        <item x="32"/>
        <item x="270"/>
        <item x="530"/>
        <item x="736"/>
        <item x="524"/>
        <item x="11"/>
        <item x="37"/>
        <item x="734"/>
        <item x="364"/>
        <item x="692"/>
        <item x="714"/>
        <item x="48"/>
        <item x="23"/>
        <item x="86"/>
        <item x="668"/>
        <item x="95"/>
        <item x="384"/>
        <item x="243"/>
        <item x="419"/>
        <item x="475"/>
        <item x="276"/>
        <item x="690"/>
        <item x="698"/>
        <item x="136"/>
        <item x="635"/>
        <item x="54"/>
        <item x="797"/>
        <item x="386"/>
        <item x="363"/>
        <item x="277"/>
        <item x="392"/>
        <item x="21"/>
        <item x="224"/>
        <item x="242"/>
        <item x="390"/>
        <item x="175"/>
        <item x="119"/>
        <item x="315"/>
        <item x="69"/>
        <item x="632"/>
        <item x="751"/>
        <item x="776"/>
        <item x="454"/>
        <item x="102"/>
        <item x="383"/>
        <item x="600"/>
        <item x="72"/>
        <item x="241"/>
        <item x="791"/>
        <item x="349"/>
        <item x="26"/>
        <item x="97"/>
        <item x="633"/>
        <item x="59"/>
        <item x="324"/>
        <item x="426"/>
        <item x="262"/>
        <item x="740"/>
        <item x="282"/>
        <item x="361"/>
        <item x="132"/>
        <item x="202"/>
        <item x="615"/>
        <item x="449"/>
        <item x="735"/>
        <item x="657"/>
        <item x="559"/>
        <item x="699"/>
        <item x="177"/>
        <item x="720"/>
        <item x="558"/>
        <item x="147"/>
        <item x="638"/>
        <item x="316"/>
        <item x="352"/>
        <item x="588"/>
        <item x="534"/>
        <item x="249"/>
        <item x="369"/>
        <item x="780"/>
        <item x="3"/>
        <item x="379"/>
        <item x="601"/>
        <item x="187"/>
        <item x="280"/>
        <item x="42"/>
        <item x="45"/>
        <item x="473"/>
        <item x="143"/>
        <item x="199"/>
        <item x="569"/>
        <item x="422"/>
        <item x="387"/>
        <item x="304"/>
        <item x="416"/>
        <item x="27"/>
        <item x="358"/>
        <item x="43"/>
        <item x="512"/>
        <item x="333"/>
        <item x="481"/>
        <item x="36"/>
        <item x="477"/>
        <item x="465"/>
        <item x="194"/>
        <item x="777"/>
        <item x="666"/>
        <item x="238"/>
        <item x="376"/>
        <item x="388"/>
        <item x="239"/>
        <item x="173"/>
        <item x="284"/>
        <item x="246"/>
        <item x="345"/>
        <item x="366"/>
        <item x="522"/>
        <item x="531"/>
        <item x="335"/>
        <item x="435"/>
        <item x="526"/>
        <item x="782"/>
        <item x="694"/>
        <item x="188"/>
        <item x="250"/>
        <item x="648"/>
        <item x="578"/>
        <item x="580"/>
        <item x="317"/>
        <item x="134"/>
        <item x="748"/>
        <item x="273"/>
        <item x="192"/>
        <item x="674"/>
        <item x="321"/>
        <item x="374"/>
        <item x="572"/>
        <item x="590"/>
        <item x="281"/>
        <item x="411"/>
        <item x="63"/>
        <item x="565"/>
        <item x="216"/>
        <item x="200"/>
        <item x="144"/>
        <item x="725"/>
        <item x="786"/>
        <item x="589"/>
        <item x="244"/>
        <item x="381"/>
        <item x="203"/>
        <item x="623"/>
        <item x="636"/>
        <item x="44"/>
        <item x="107"/>
        <item x="1"/>
        <item x="634"/>
        <item x="662"/>
        <item x="404"/>
        <item x="433"/>
        <item x="750"/>
        <item x="117"/>
        <item x="630"/>
        <item x="269"/>
        <item x="608"/>
        <item x="672"/>
        <item x="758"/>
        <item x="120"/>
        <item x="89"/>
        <item x="746"/>
        <item x="585"/>
        <item x="344"/>
        <item x="476"/>
        <item x="307"/>
        <item x="109"/>
        <item x="591"/>
        <item x="182"/>
        <item x="52"/>
        <item x="61"/>
        <item x="575"/>
        <item x="22"/>
        <item x="469"/>
        <item x="427"/>
        <item x="225"/>
        <item x="297"/>
        <item x="519"/>
        <item x="220"/>
        <item x="346"/>
        <item x="434"/>
        <item x="444"/>
        <item x="483"/>
        <item x="700"/>
        <item x="676"/>
        <item x="407"/>
        <item x="443"/>
        <item x="16"/>
        <item x="790"/>
        <item x="263"/>
        <item x="311"/>
        <item x="773"/>
        <item x="726"/>
        <item x="294"/>
        <item x="228"/>
        <item x="186"/>
        <item x="555"/>
        <item x="247"/>
        <item x="754"/>
        <item x="393"/>
        <item x="760"/>
        <item x="770"/>
        <item x="372"/>
        <item x="741"/>
        <item x="417"/>
        <item x="79"/>
        <item x="80"/>
        <item x="267"/>
        <item x="612"/>
        <item x="761"/>
        <item x="265"/>
        <item x="618"/>
        <item x="643"/>
        <item x="359"/>
        <item x="253"/>
        <item x="340"/>
        <item x="663"/>
        <item x="682"/>
        <item x="521"/>
        <item x="207"/>
        <item x="412"/>
        <item x="296"/>
        <item x="353"/>
        <item x="656"/>
        <item x="646"/>
        <item x="537"/>
        <item x="680"/>
        <item x="506"/>
        <item x="410"/>
        <item x="650"/>
        <item x="613"/>
        <item x="706"/>
        <item x="179"/>
        <item x="513"/>
        <item x="504"/>
        <item x="73"/>
        <item x="715"/>
        <item x="108"/>
        <item x="129"/>
        <item x="620"/>
        <item x="542"/>
        <item x="92"/>
        <item x="12"/>
        <item x="594"/>
        <item x="264"/>
        <item x="619"/>
        <item x="783"/>
        <item x="527"/>
        <item x="343"/>
        <item x="607"/>
        <item x="139"/>
        <item x="474"/>
        <item x="236"/>
        <item x="450"/>
        <item x="105"/>
        <item x="116"/>
        <item x="647"/>
        <item x="681"/>
        <item x="584"/>
        <item x="644"/>
        <item x="658"/>
        <item x="313"/>
        <item x="778"/>
        <item x="649"/>
        <item x="231"/>
        <item x="603"/>
        <item x="397"/>
        <item x="406"/>
        <item x="501"/>
        <item x="712"/>
        <item x="287"/>
        <item x="457"/>
        <item x="581"/>
        <item x="624"/>
        <item x="74"/>
        <item x="653"/>
        <item x="660"/>
        <item x="165"/>
        <item x="400"/>
        <item x="149"/>
        <item x="723"/>
        <item x="301"/>
        <item x="399"/>
        <item x="550"/>
        <item x="385"/>
        <item x="487"/>
        <item x="489"/>
        <item x="370"/>
        <item x="360"/>
        <item x="350"/>
        <item x="482"/>
        <item x="616"/>
        <item x="598"/>
        <item x="685"/>
        <item x="90"/>
        <item x="218"/>
        <item x="83"/>
        <item x="5"/>
        <item x="560"/>
        <item x="91"/>
        <item x="495"/>
        <item x="64"/>
        <item x="2"/>
        <item x="743"/>
        <item x="611"/>
        <item x="257"/>
        <item x="675"/>
        <item x="753"/>
        <item x="502"/>
        <item x="661"/>
        <item x="518"/>
        <item x="25"/>
        <item x="232"/>
        <item x="462"/>
        <item x="654"/>
        <item x="342"/>
        <item x="251"/>
        <item x="254"/>
        <item x="93"/>
        <item x="557"/>
        <item x="35"/>
        <item x="442"/>
        <item x="440"/>
        <item x="28"/>
        <item x="169"/>
        <item x="122"/>
        <item x="60"/>
        <item x="185"/>
        <item x="163"/>
        <item x="153"/>
        <item x="800"/>
        <item x="711"/>
        <item x="328"/>
        <item x="703"/>
        <item x="176"/>
        <item x="221"/>
        <item x="213"/>
        <item x="325"/>
        <item x="779"/>
        <item x="622"/>
        <item x="733"/>
        <item x="539"/>
        <item x="453"/>
        <item x="626"/>
        <item x="491"/>
        <item x="744"/>
        <item x="0"/>
        <item x="508"/>
        <item x="732"/>
        <item x="127"/>
        <item x="691"/>
        <item x="256"/>
        <item x="380"/>
        <item x="532"/>
        <item x="702"/>
        <item x="375"/>
        <item x="629"/>
        <item x="458"/>
        <item x="802"/>
        <item x="467"/>
        <item x="710"/>
        <item x="9"/>
        <item x="168"/>
        <item x="759"/>
        <item x="665"/>
        <item x="625"/>
        <item x="448"/>
        <item x="552"/>
        <item x="112"/>
        <item x="206"/>
        <item x="494"/>
        <item x="574"/>
        <item x="788"/>
        <item x="235"/>
        <item x="651"/>
        <item x="470"/>
        <item x="214"/>
        <item x="538"/>
        <item x="152"/>
        <item x="291"/>
        <item x="15"/>
        <item x="492"/>
        <item x="763"/>
        <item x="271"/>
        <item x="582"/>
        <item x="640"/>
        <item x="123"/>
        <item x="24"/>
        <item x="599"/>
        <item x="547"/>
        <item x="798"/>
        <item x="314"/>
        <item x="201"/>
        <item x="7"/>
        <item x="29"/>
        <item x="131"/>
        <item x="563"/>
        <item x="586"/>
        <item x="423"/>
        <item x="409"/>
        <item x="775"/>
        <item x="38"/>
        <item x="245"/>
        <item x="151"/>
        <item x="669"/>
        <item x="161"/>
        <item x="413"/>
        <item x="772"/>
        <item x="439"/>
        <item x="799"/>
        <item x="493"/>
        <item x="51"/>
        <item x="546"/>
        <item x="215"/>
        <item x="430"/>
        <item x="677"/>
        <item x="803"/>
        <item x="341"/>
        <item x="664"/>
        <item x="121"/>
        <item x="525"/>
        <item x="158"/>
        <item x="113"/>
        <item x="432"/>
        <item x="135"/>
        <item x="300"/>
        <item x="684"/>
        <item x="268"/>
        <item x="730"/>
        <item x="195"/>
        <item x="8"/>
        <item x="774"/>
        <item x="510"/>
        <item x="106"/>
        <item x="118"/>
        <item x="286"/>
        <item x="124"/>
        <item x="452"/>
        <item x="520"/>
        <item x="528"/>
        <item x="205"/>
        <item x="464"/>
        <item x="362"/>
        <item x="402"/>
        <item x="696"/>
        <item x="164"/>
        <item x="529"/>
        <item x="320"/>
        <item x="568"/>
        <item x="299"/>
        <item x="283"/>
        <item x="641"/>
        <item x="471"/>
        <item x="749"/>
        <item x="389"/>
        <item x="85"/>
        <item x="233"/>
        <item x="259"/>
        <item x="210"/>
        <item x="209"/>
        <item x="425"/>
        <item x="415"/>
        <item x="82"/>
        <item x="429"/>
        <item x="436"/>
        <item x="20"/>
        <item x="687"/>
        <item x="792"/>
        <item x="490"/>
        <item x="645"/>
        <item x="190"/>
        <item x="382"/>
        <item x="549"/>
        <item x="18"/>
        <item x="53"/>
        <item x="488"/>
        <item x="261"/>
        <item x="631"/>
        <item x="709"/>
        <item x="288"/>
        <item x="150"/>
        <item x="334"/>
        <item x="801"/>
        <item x="637"/>
        <item x="446"/>
        <item x="84"/>
        <item x="114"/>
        <item x="478"/>
        <item x="279"/>
        <item x="337"/>
        <item x="401"/>
        <item x="308"/>
        <item x="405"/>
        <item x="260"/>
        <item x="166"/>
        <item x="125"/>
        <item x="365"/>
        <item x="138"/>
        <item x="237"/>
        <item x="556"/>
        <item x="354"/>
        <item x="141"/>
        <item x="371"/>
        <item x="219"/>
        <item x="30"/>
        <item x="511"/>
        <item x="673"/>
        <item x="764"/>
        <item x="554"/>
        <item x="274"/>
        <item x="278"/>
        <item x="548"/>
        <item x="667"/>
        <item x="56"/>
        <item x="553"/>
        <item x="94"/>
        <item x="159"/>
        <item x="248"/>
        <item x="155"/>
        <item x="784"/>
        <item x="148"/>
        <item x="573"/>
        <item x="679"/>
        <item x="338"/>
        <item x="81"/>
        <item x="160"/>
        <item x="804"/>
        <item x="55"/>
        <item x="697"/>
        <item x="781"/>
        <item x="716"/>
        <item x="17"/>
        <item x="671"/>
        <item x="689"/>
        <item x="180"/>
        <item x="564"/>
        <item x="414"/>
        <item x="705"/>
        <item x="517"/>
        <item x="13"/>
        <item x="739"/>
        <item x="39"/>
        <item x="181"/>
        <item x="310"/>
        <item x="41"/>
        <item x="137"/>
        <item x="659"/>
        <item x="351"/>
        <item x="111"/>
        <item x="172"/>
        <item x="255"/>
        <item x="4"/>
        <item x="58"/>
        <item x="480"/>
        <item x="500"/>
        <item x="583"/>
        <item x="579"/>
        <item x="130"/>
        <item x="208"/>
        <item x="544"/>
        <item x="356"/>
        <item x="6"/>
        <item x="223"/>
        <item x="731"/>
        <item x="652"/>
        <item x="484"/>
        <item x="348"/>
        <item x="68"/>
        <item x="561"/>
        <item x="115"/>
        <item x="103"/>
        <item x="142"/>
        <item x="595"/>
        <item x="606"/>
        <item x="408"/>
        <item x="156"/>
        <item x="33"/>
        <item x="768"/>
        <item x="326"/>
        <item x="451"/>
        <item x="184"/>
        <item x="62"/>
        <item x="614"/>
        <item x="496"/>
        <item x="516"/>
        <item x="468"/>
        <item x="275"/>
        <item x="222"/>
        <item x="596"/>
        <item x="258"/>
        <item x="234"/>
        <item x="266"/>
        <item x="211"/>
        <item x="545"/>
        <item x="398"/>
        <item x="587"/>
        <item x="570"/>
        <item x="621"/>
        <item x="327"/>
        <item x="688"/>
        <item x="167"/>
        <item x="499"/>
        <item x="796"/>
        <item x="98"/>
        <item x="509"/>
        <item x="230"/>
        <item x="67"/>
        <item x="178"/>
        <item x="306"/>
        <item x="128"/>
        <item x="766"/>
        <item x="497"/>
        <item x="515"/>
        <item x="14"/>
        <item x="100"/>
        <item x="755"/>
        <item x="576"/>
        <item x="87"/>
        <item x="331"/>
        <item x="505"/>
        <item x="745"/>
        <item x="593"/>
        <item x="378"/>
        <item x="447"/>
        <item x="197"/>
        <item x="312"/>
        <item x="602"/>
        <item x="727"/>
        <item x="543"/>
        <item x="303"/>
        <item x="322"/>
        <item x="146"/>
        <item x="445"/>
        <item x="174"/>
        <item x="47"/>
        <item x="227"/>
        <item x="110"/>
        <item x="318"/>
        <item x="295"/>
        <item x="289"/>
        <item x="424"/>
        <item x="627"/>
        <item x="523"/>
        <item x="765"/>
        <item x="305"/>
        <item x="170"/>
        <item x="357"/>
        <item x="65"/>
        <item x="183"/>
        <item x="396"/>
        <item x="693"/>
        <item x="609"/>
        <item x="50"/>
        <item x="683"/>
        <item x="162"/>
        <item x="329"/>
        <item x="101"/>
        <item x="789"/>
        <item x="272"/>
        <item x="571"/>
        <item x="10"/>
        <item x="455"/>
        <item x="77"/>
        <item x="721"/>
        <item x="332"/>
        <item x="34"/>
        <item x="747"/>
        <item x="567"/>
        <item x="339"/>
        <item x="347"/>
        <item x="438"/>
        <item x="441"/>
        <item x="302"/>
        <item x="541"/>
        <item x="126"/>
        <item x="717"/>
        <item x="686"/>
        <item x="431"/>
        <item x="104"/>
        <item x="229"/>
        <item x="707"/>
        <item x="728"/>
        <item x="719"/>
        <item x="154"/>
        <item x="140"/>
        <item x="551"/>
        <item x="403"/>
        <item x="722"/>
        <item x="285"/>
        <item x="605"/>
        <item x="336"/>
        <item x="145"/>
        <item x="19"/>
        <item x="290"/>
        <item x="695"/>
        <item x="76"/>
        <item x="420"/>
        <item x="503"/>
        <item x="437"/>
        <item x="395"/>
        <item x="66"/>
        <item x="319"/>
        <item x="252"/>
        <item x="617"/>
        <item x="71"/>
        <item x="373"/>
        <item x="377"/>
        <item x="226"/>
        <item x="472"/>
        <item x="394"/>
        <item x="191"/>
        <item x="355"/>
        <item x="323"/>
        <item x="133"/>
        <item x="459"/>
        <item x="769"/>
        <item x="642"/>
        <item x="670"/>
        <item x="292"/>
        <item x="597"/>
        <item x="785"/>
        <item x="88"/>
        <item x="604"/>
        <item x="795"/>
        <item x="639"/>
        <item x="592"/>
        <item x="40"/>
        <item x="514"/>
        <item x="566"/>
        <item x="57"/>
        <item x="536"/>
        <item x="485"/>
        <item x="479"/>
        <item x="742"/>
        <item x="298"/>
        <item x="655"/>
        <item x="794"/>
        <item x="463"/>
        <item x="533"/>
        <item x="240"/>
        <item x="535"/>
        <item x="562"/>
        <item x="367"/>
        <item x="577"/>
        <item x="96"/>
        <item x="486"/>
        <item x="46"/>
        <item x="75"/>
        <item x="193"/>
        <item x="628"/>
        <item x="704"/>
        <item x="31"/>
        <item x="330"/>
        <item x="196"/>
        <item x="678"/>
        <item x="767"/>
        <item x="171"/>
        <item x="793"/>
        <item x="217"/>
        <item x="507"/>
        <item x="752"/>
        <item x="708"/>
        <item x="756"/>
        <item x="368"/>
        <item x="49"/>
        <item x="701"/>
        <item x="456"/>
        <item x="99"/>
        <item x="391"/>
        <item x="189"/>
        <item x="157"/>
        <item x="428"/>
        <item t="default"/>
      </items>
    </pivotField>
    <pivotField axis="axisRow" showAll="0">
      <items count="8">
        <item x="0"/>
        <item x="3"/>
        <item x="5"/>
        <item x="1"/>
        <item x="4"/>
        <item x="2"/>
        <item x="6"/>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s>
  <rowFields count="1">
    <field x="10"/>
  </rowFields>
  <rowItems count="8">
    <i>
      <x/>
    </i>
    <i>
      <x v="1"/>
    </i>
    <i>
      <x v="2"/>
    </i>
    <i>
      <x v="3"/>
    </i>
    <i>
      <x v="4"/>
    </i>
    <i>
      <x v="5"/>
    </i>
    <i>
      <x v="6"/>
    </i>
    <i t="grand">
      <x/>
    </i>
  </rowItems>
  <colItems count="1">
    <i/>
  </colItems>
  <dataFields count="1">
    <dataField name="Salary." fld="12" baseField="1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22BC26-AD38-47BD-B87F-A078CDD85EB9}"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H7:J24" firstHeaderRow="1" firstDataRow="1" firstDataCol="0"/>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3C24F7-15E4-4209-8AD5-492228C74732}" name="PivotTable6"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3:B8" firstHeaderRow="1" firstDataRow="1" firstDataCol="1"/>
  <pivotFields count="18">
    <pivotField dataField="1" showAll="0"/>
    <pivotField showAll="0"/>
    <pivotField showAll="0"/>
    <pivotField showAll="0">
      <items count="3">
        <item x="0"/>
        <item x="1"/>
        <item t="default"/>
      </items>
    </pivotField>
    <pivotField showAll="0"/>
    <pivotField showAll="0"/>
    <pivotField showAll="0"/>
    <pivotField numFmtId="14" showAll="0"/>
    <pivotField numFmtId="14" showAll="0">
      <items count="814">
        <item x="779"/>
        <item x="432"/>
        <item x="355"/>
        <item x="649"/>
        <item x="275"/>
        <item x="477"/>
        <item x="767"/>
        <item x="353"/>
        <item x="318"/>
        <item x="429"/>
        <item x="661"/>
        <item x="593"/>
        <item x="399"/>
        <item x="576"/>
        <item x="315"/>
        <item x="710"/>
        <item x="768"/>
        <item x="340"/>
        <item x="180"/>
        <item x="755"/>
        <item x="492"/>
        <item x="51"/>
        <item x="615"/>
        <item x="624"/>
        <item x="259"/>
        <item x="601"/>
        <item x="183"/>
        <item x="603"/>
        <item x="712"/>
        <item x="592"/>
        <item x="274"/>
        <item x="738"/>
        <item x="769"/>
        <item x="525"/>
        <item x="41"/>
        <item x="606"/>
        <item x="507"/>
        <item x="706"/>
        <item x="605"/>
        <item x="317"/>
        <item x="126"/>
        <item x="788"/>
        <item x="758"/>
        <item x="201"/>
        <item x="2"/>
        <item x="3"/>
        <item x="473"/>
        <item x="474"/>
        <item x="742"/>
        <item x="728"/>
        <item x="776"/>
        <item x="71"/>
        <item x="80"/>
        <item x="226"/>
        <item x="783"/>
        <item x="202"/>
        <item x="212"/>
        <item x="448"/>
        <item x="0"/>
        <item x="17"/>
        <item x="198"/>
        <item x="772"/>
        <item x="707"/>
        <item x="267"/>
        <item x="604"/>
        <item x="291"/>
        <item x="756"/>
        <item x="717"/>
        <item x="335"/>
        <item x="344"/>
        <item x="726"/>
        <item x="731"/>
        <item x="735"/>
        <item x="171"/>
        <item x="208"/>
        <item x="28"/>
        <item x="551"/>
        <item x="235"/>
        <item x="307"/>
        <item x="460"/>
        <item x="393"/>
        <item x="407"/>
        <item x="631"/>
        <item x="466"/>
        <item x="304"/>
        <item x="495"/>
        <item x="296"/>
        <item x="384"/>
        <item x="343"/>
        <item x="660"/>
        <item x="329"/>
        <item x="385"/>
        <item x="765"/>
        <item x="747"/>
        <item x="229"/>
        <item x="44"/>
        <item x="463"/>
        <item x="727"/>
        <item x="741"/>
        <item x="802"/>
        <item x="324"/>
        <item x="330"/>
        <item x="611"/>
        <item x="154"/>
        <item x="37"/>
        <item x="413"/>
        <item x="527"/>
        <item x="20"/>
        <item x="450"/>
        <item x="453"/>
        <item x="635"/>
        <item x="68"/>
        <item x="1"/>
        <item x="197"/>
        <item x="724"/>
        <item x="617"/>
        <item x="430"/>
        <item x="721"/>
        <item x="572"/>
        <item x="795"/>
        <item x="156"/>
        <item x="85"/>
        <item x="70"/>
        <item x="284"/>
        <item x="682"/>
        <item x="599"/>
        <item x="583"/>
        <item x="586"/>
        <item x="187"/>
        <item x="405"/>
        <item x="762"/>
        <item x="696"/>
        <item x="193"/>
        <item x="271"/>
        <item x="521"/>
        <item x="303"/>
        <item x="19"/>
        <item x="395"/>
        <item x="102"/>
        <item x="248"/>
        <item x="565"/>
        <item x="646"/>
        <item x="349"/>
        <item x="419"/>
        <item x="524"/>
        <item x="538"/>
        <item x="634"/>
        <item x="668"/>
        <item x="382"/>
        <item x="7"/>
        <item x="794"/>
        <item x="365"/>
        <item x="517"/>
        <item x="312"/>
        <item x="743"/>
        <item x="775"/>
        <item x="750"/>
        <item x="153"/>
        <item x="272"/>
        <item x="619"/>
        <item x="799"/>
        <item x="273"/>
        <item x="764"/>
        <item x="570"/>
        <item x="52"/>
        <item x="674"/>
        <item x="472"/>
        <item x="548"/>
        <item x="216"/>
        <item x="810"/>
        <item x="478"/>
        <item x="298"/>
        <item x="32"/>
        <item x="134"/>
        <item x="61"/>
        <item x="534"/>
        <item x="537"/>
        <item x="531"/>
        <item x="412"/>
        <item x="541"/>
        <item x="11"/>
        <item x="257"/>
        <item x="739"/>
        <item x="377"/>
        <item x="701"/>
        <item x="23"/>
        <item x="49"/>
        <item x="81"/>
        <item x="427"/>
        <item x="89"/>
        <item x="98"/>
        <item x="143"/>
        <item x="396"/>
        <item x="245"/>
        <item x="277"/>
        <item x="486"/>
        <item x="746"/>
        <item x="280"/>
        <item x="699"/>
        <item x="561"/>
        <item x="323"/>
        <item x="364"/>
        <item x="138"/>
        <item x="181"/>
        <item x="55"/>
        <item x="637"/>
        <item x="129"/>
        <item x="454"/>
        <item x="749"/>
        <item x="806"/>
        <item x="79"/>
        <item x="398"/>
        <item x="309"/>
        <item x="690"/>
        <item x="415"/>
        <item x="375"/>
        <item x="569"/>
        <item x="281"/>
        <item x="402"/>
        <item x="585"/>
        <item x="21"/>
        <item x="228"/>
        <item x="244"/>
        <item x="29"/>
        <item x="178"/>
        <item x="93"/>
        <item x="42"/>
        <item x="566"/>
        <item x="461"/>
        <item x="380"/>
        <item x="459"/>
        <item x="582"/>
        <item x="78"/>
        <item x="122"/>
        <item x="242"/>
        <item x="326"/>
        <item x="597"/>
        <item x="791"/>
        <item x="503"/>
        <item x="386"/>
        <item x="612"/>
        <item x="573"/>
        <item x="105"/>
        <item x="203"/>
        <item x="812"/>
        <item x="73"/>
        <item x="703"/>
        <item x="86"/>
        <item x="800"/>
        <item x="362"/>
        <item x="26"/>
        <item x="100"/>
        <item x="110"/>
        <item x="87"/>
        <item x="177"/>
        <item x="60"/>
        <item x="252"/>
        <item x="438"/>
        <item x="264"/>
        <item x="45"/>
        <item x="480"/>
        <item x="287"/>
        <item x="397"/>
        <item x="373"/>
        <item x="233"/>
        <item x="206"/>
        <item x="670"/>
        <item x="620"/>
        <item x="299"/>
        <item x="423"/>
        <item x="519"/>
        <item x="629"/>
        <item x="667"/>
        <item x="571"/>
        <item x="708"/>
        <item x="722"/>
        <item x="246"/>
        <item x="470"/>
        <item x="149"/>
        <item x="559"/>
        <item x="327"/>
        <item x="250"/>
        <item x="560"/>
        <item x="410"/>
        <item x="48"/>
        <item x="82"/>
        <item x="191"/>
        <item x="632"/>
        <item x="514"/>
        <item x="630"/>
        <item x="142"/>
        <item x="322"/>
        <item x="374"/>
        <item x="627"/>
        <item x="391"/>
        <item x="109"/>
        <item x="483"/>
        <item x="433"/>
        <item x="678"/>
        <item x="190"/>
        <item x="336"/>
        <item x="426"/>
        <item x="27"/>
        <item x="370"/>
        <item x="43"/>
        <item x="520"/>
        <item x="491"/>
        <item x="36"/>
        <item x="488"/>
        <item x="588"/>
        <item x="676"/>
        <item x="241"/>
        <item x="388"/>
        <item x="389"/>
        <item x="400"/>
        <item x="175"/>
        <item x="289"/>
        <item x="247"/>
        <item x="358"/>
        <item x="378"/>
        <item x="379"/>
        <item x="515"/>
        <item x="529"/>
        <item x="346"/>
        <item x="446"/>
        <item x="533"/>
        <item x="92"/>
        <item x="192"/>
        <item x="251"/>
        <item x="657"/>
        <item x="595"/>
        <item x="328"/>
        <item x="136"/>
        <item x="751"/>
        <item x="170"/>
        <item x="276"/>
        <item x="196"/>
        <item x="675"/>
        <item x="442"/>
        <item x="754"/>
        <item x="332"/>
        <item x="673"/>
        <item x="387"/>
        <item x="411"/>
        <item x="8"/>
        <item x="536"/>
        <item x="286"/>
        <item x="715"/>
        <item x="420"/>
        <item x="115"/>
        <item x="64"/>
        <item x="579"/>
        <item x="221"/>
        <item x="204"/>
        <item x="146"/>
        <item x="732"/>
        <item x="793"/>
        <item x="124"/>
        <item x="422"/>
        <item x="434"/>
        <item x="440"/>
        <item x="394"/>
        <item x="207"/>
        <item x="16"/>
        <item x="644"/>
        <item x="285"/>
        <item x="96"/>
        <item x="155"/>
        <item x="449"/>
        <item x="672"/>
        <item x="444"/>
        <item x="753"/>
        <item x="120"/>
        <item x="642"/>
        <item x="135"/>
        <item x="622"/>
        <item x="681"/>
        <item x="261"/>
        <item x="763"/>
        <item x="123"/>
        <item x="409"/>
        <item x="57"/>
        <item x="238"/>
        <item x="403"/>
        <item x="357"/>
        <item x="65"/>
        <item x="766"/>
        <item x="345"/>
        <item x="487"/>
        <item x="112"/>
        <item x="186"/>
        <item x="53"/>
        <item x="62"/>
        <item x="639"/>
        <item x="91"/>
        <item x="647"/>
        <item x="22"/>
        <item x="481"/>
        <item x="796"/>
        <item x="485"/>
        <item x="199"/>
        <item x="306"/>
        <item x="554"/>
        <item x="141"/>
        <item x="225"/>
        <item x="359"/>
        <item x="445"/>
        <item x="451"/>
        <item x="497"/>
        <item x="390"/>
        <item x="455"/>
        <item x="493"/>
        <item x="35"/>
        <item x="709"/>
        <item x="416"/>
        <item x="733"/>
        <item x="265"/>
        <item x="255"/>
        <item x="319"/>
        <item x="467"/>
        <item x="501"/>
        <item x="780"/>
        <item x="166"/>
        <item x="300"/>
        <item x="232"/>
        <item x="547"/>
        <item x="360"/>
        <item x="564"/>
        <item x="771"/>
        <item x="778"/>
        <item x="730"/>
        <item x="431"/>
        <item x="316"/>
        <item x="687"/>
        <item x="269"/>
        <item x="626"/>
        <item x="352"/>
        <item x="499"/>
        <item x="653"/>
        <item x="464"/>
        <item x="577"/>
        <item x="371"/>
        <item x="383"/>
        <item x="254"/>
        <item x="504"/>
        <item x="553"/>
        <item x="210"/>
        <item x="421"/>
        <item x="535"/>
        <item x="666"/>
        <item x="656"/>
        <item x="545"/>
        <item x="482"/>
        <item x="325"/>
        <item x="688"/>
        <item x="759"/>
        <item x="435"/>
        <item x="659"/>
        <item x="511"/>
        <item x="74"/>
        <item x="490"/>
        <item x="725"/>
        <item x="111"/>
        <item x="132"/>
        <item x="84"/>
        <item x="550"/>
        <item x="439"/>
        <item x="25"/>
        <item x="308"/>
        <item x="95"/>
        <item x="12"/>
        <item x="376"/>
        <item x="782"/>
        <item x="609"/>
        <item x="266"/>
        <item x="237"/>
        <item x="790"/>
        <item x="356"/>
        <item x="621"/>
        <item x="568"/>
        <item x="239"/>
        <item x="462"/>
        <item x="108"/>
        <item x="581"/>
        <item x="119"/>
        <item x="218"/>
        <item x="654"/>
        <item x="321"/>
        <item x="10"/>
        <item x="784"/>
        <item x="658"/>
        <item x="555"/>
        <item x="509"/>
        <item x="414"/>
        <item x="268"/>
        <item x="685"/>
        <item x="354"/>
        <item x="785"/>
        <item x="292"/>
        <item x="469"/>
        <item x="711"/>
        <item x="596"/>
        <item x="75"/>
        <item x="663"/>
        <item x="167"/>
        <item x="723"/>
        <item x="151"/>
        <item x="636"/>
        <item x="677"/>
        <item x="50"/>
        <item x="219"/>
        <item x="684"/>
        <item x="748"/>
        <item x="539"/>
        <item x="372"/>
        <item x="616"/>
        <item x="693"/>
        <item x="361"/>
        <item x="600"/>
        <item x="214"/>
        <item x="223"/>
        <item x="30"/>
        <item x="5"/>
        <item x="542"/>
        <item x="650"/>
        <item x="94"/>
        <item x="745"/>
        <item x="625"/>
        <item x="452"/>
        <item x="692"/>
        <item x="770"/>
        <item x="465"/>
        <item x="683"/>
        <item x="54"/>
        <item x="757"/>
        <item x="510"/>
        <item x="589"/>
        <item x="671"/>
        <item x="496"/>
        <item x="610"/>
        <item x="787"/>
        <item x="664"/>
        <item x="24"/>
        <item x="331"/>
        <item x="437"/>
        <item x="760"/>
        <item x="789"/>
        <item x="125"/>
        <item x="574"/>
        <item x="189"/>
        <item x="165"/>
        <item x="669"/>
        <item x="808"/>
        <item x="339"/>
        <item x="213"/>
        <item x="38"/>
        <item x="179"/>
        <item x="347"/>
        <item x="72"/>
        <item x="502"/>
        <item x="130"/>
        <item x="700"/>
        <item x="258"/>
        <item x="350"/>
        <item x="641"/>
        <item x="479"/>
        <item x="719"/>
        <item x="9"/>
        <item x="302"/>
        <item x="546"/>
        <item x="665"/>
        <item x="15"/>
        <item x="127"/>
        <item x="811"/>
        <item x="205"/>
        <item x="369"/>
        <item x="418"/>
        <item x="163"/>
        <item x="807"/>
        <item x="220"/>
        <item x="441"/>
        <item x="443"/>
        <item x="575"/>
        <item x="428"/>
        <item x="532"/>
        <item x="652"/>
        <item x="160"/>
        <item x="116"/>
        <item x="137"/>
        <item x="736"/>
        <item x="781"/>
        <item x="121"/>
        <item x="526"/>
        <item x="209"/>
        <item x="476"/>
        <item x="363"/>
        <item x="705"/>
        <item x="288"/>
        <item x="651"/>
        <item x="484"/>
        <item x="752"/>
        <item x="88"/>
        <item x="236"/>
        <item x="513"/>
        <item x="425"/>
        <item x="447"/>
        <item x="567"/>
        <item x="695"/>
        <item x="234"/>
        <item x="801"/>
        <item x="500"/>
        <item x="655"/>
        <item x="194"/>
        <item x="557"/>
        <item x="18"/>
        <item x="498"/>
        <item x="263"/>
        <item x="643"/>
        <item x="718"/>
        <item x="293"/>
        <item x="152"/>
        <item x="809"/>
        <item x="645"/>
        <item x="457"/>
        <item x="117"/>
        <item x="489"/>
        <item x="283"/>
        <item x="720"/>
        <item x="262"/>
        <item x="168"/>
        <item x="128"/>
        <item x="147"/>
        <item x="140"/>
        <item x="240"/>
        <item x="366"/>
        <item x="544"/>
        <item x="224"/>
        <item x="47"/>
        <item x="518"/>
        <item x="243"/>
        <item x="558"/>
        <item x="76"/>
        <item x="563"/>
        <item x="549"/>
        <item x="278"/>
        <item x="282"/>
        <item x="556"/>
        <item x="97"/>
        <item x="161"/>
        <item x="249"/>
        <item x="157"/>
        <item x="150"/>
        <item x="587"/>
        <item x="404"/>
        <item x="686"/>
        <item x="351"/>
        <item x="83"/>
        <item x="162"/>
        <item x="56"/>
        <item x="270"/>
        <item x="680"/>
        <item x="698"/>
        <item x="184"/>
        <item x="734"/>
        <item x="578"/>
        <item x="424"/>
        <item x="714"/>
        <item x="13"/>
        <item x="348"/>
        <item x="39"/>
        <item x="185"/>
        <item x="543"/>
        <item x="139"/>
        <item x="260"/>
        <item x="114"/>
        <item x="174"/>
        <item x="256"/>
        <item x="4"/>
        <item x="59"/>
        <item x="740"/>
        <item x="598"/>
        <item x="594"/>
        <item x="133"/>
        <item x="211"/>
        <item x="368"/>
        <item x="623"/>
        <item x="6"/>
        <item x="227"/>
        <item x="737"/>
        <item x="662"/>
        <item x="494"/>
        <item x="34"/>
        <item x="69"/>
        <item x="118"/>
        <item x="106"/>
        <item x="144"/>
        <item x="613"/>
        <item x="417"/>
        <item x="158"/>
        <item x="33"/>
        <item x="337"/>
        <item x="188"/>
        <item x="63"/>
        <item x="628"/>
        <item x="505"/>
        <item x="523"/>
        <item x="279"/>
        <item x="584"/>
        <item x="614"/>
        <item x="694"/>
        <item x="215"/>
        <item x="408"/>
        <item x="602"/>
        <item x="633"/>
        <item x="338"/>
        <item x="697"/>
        <item x="169"/>
        <item x="508"/>
        <item x="805"/>
        <item x="101"/>
        <item x="516"/>
        <item x="689"/>
        <item x="301"/>
        <item x="182"/>
        <item x="314"/>
        <item x="131"/>
        <item x="773"/>
        <item x="506"/>
        <item x="14"/>
        <item x="103"/>
        <item x="761"/>
        <item x="590"/>
        <item x="90"/>
        <item x="342"/>
        <item x="512"/>
        <item x="608"/>
        <item x="392"/>
        <item x="458"/>
        <item x="320"/>
        <item x="552"/>
        <item x="311"/>
        <item x="333"/>
        <item x="148"/>
        <item x="456"/>
        <item x="176"/>
        <item x="231"/>
        <item x="113"/>
        <item x="294"/>
        <item x="436"/>
        <item x="638"/>
        <item x="530"/>
        <item x="313"/>
        <item x="172"/>
        <item x="66"/>
        <item x="786"/>
        <item x="406"/>
        <item x="702"/>
        <item x="691"/>
        <item x="679"/>
        <item x="164"/>
        <item x="104"/>
        <item x="797"/>
        <item x="305"/>
        <item x="310"/>
        <item x="107"/>
        <item x="716"/>
        <item x="290"/>
        <item x="295"/>
        <item x="704"/>
        <item x="77"/>
        <item x="562"/>
        <item x="67"/>
        <item x="253"/>
        <item x="798"/>
        <item x="230"/>
        <item x="195"/>
        <item x="367"/>
        <item x="334"/>
        <item x="471"/>
        <item x="777"/>
        <item x="297"/>
        <item x="40"/>
        <item x="792"/>
        <item x="618"/>
        <item x="648"/>
        <item x="607"/>
        <item x="145"/>
        <item x="522"/>
        <item x="580"/>
        <item x="58"/>
        <item x="744"/>
        <item x="804"/>
        <item x="475"/>
        <item x="540"/>
        <item x="591"/>
        <item x="99"/>
        <item x="46"/>
        <item x="217"/>
        <item x="640"/>
        <item x="713"/>
        <item x="31"/>
        <item x="341"/>
        <item x="200"/>
        <item x="774"/>
        <item x="173"/>
        <item x="803"/>
        <item x="222"/>
        <item x="729"/>
        <item x="381"/>
        <item x="468"/>
        <item x="401"/>
        <item x="159"/>
        <item x="528"/>
        <item t="default"/>
      </items>
    </pivotField>
    <pivotField numFmtId="14" showAll="0">
      <items count="806">
        <item x="771"/>
        <item x="421"/>
        <item x="610"/>
        <item x="418"/>
        <item x="498"/>
        <item x="309"/>
        <item x="461"/>
        <item x="78"/>
        <item x="198"/>
        <item x="70"/>
        <item x="724"/>
        <item x="204"/>
        <item x="737"/>
        <item x="762"/>
        <item x="718"/>
        <item x="738"/>
        <item x="713"/>
        <item x="787"/>
        <item x="757"/>
        <item x="729"/>
        <item x="460"/>
        <item x="540"/>
        <item x="212"/>
        <item x="466"/>
        <item x="293"/>
        <item x="32"/>
        <item x="270"/>
        <item x="530"/>
        <item x="736"/>
        <item x="524"/>
        <item x="11"/>
        <item x="37"/>
        <item x="734"/>
        <item x="364"/>
        <item x="692"/>
        <item x="714"/>
        <item x="48"/>
        <item x="23"/>
        <item x="86"/>
        <item x="668"/>
        <item x="95"/>
        <item x="384"/>
        <item x="243"/>
        <item x="419"/>
        <item x="475"/>
        <item x="276"/>
        <item x="690"/>
        <item x="698"/>
        <item x="136"/>
        <item x="635"/>
        <item x="54"/>
        <item x="797"/>
        <item x="386"/>
        <item x="363"/>
        <item x="277"/>
        <item x="392"/>
        <item x="21"/>
        <item x="224"/>
        <item x="242"/>
        <item x="390"/>
        <item x="175"/>
        <item x="119"/>
        <item x="315"/>
        <item x="69"/>
        <item x="632"/>
        <item x="751"/>
        <item x="776"/>
        <item x="454"/>
        <item x="102"/>
        <item x="383"/>
        <item x="600"/>
        <item x="72"/>
        <item x="241"/>
        <item x="791"/>
        <item x="349"/>
        <item x="26"/>
        <item x="97"/>
        <item x="633"/>
        <item x="59"/>
        <item x="324"/>
        <item x="426"/>
        <item x="262"/>
        <item x="740"/>
        <item x="282"/>
        <item x="361"/>
        <item x="132"/>
        <item x="202"/>
        <item x="615"/>
        <item x="449"/>
        <item x="735"/>
        <item x="657"/>
        <item x="559"/>
        <item x="699"/>
        <item x="177"/>
        <item x="720"/>
        <item x="558"/>
        <item x="147"/>
        <item x="638"/>
        <item x="316"/>
        <item x="352"/>
        <item x="588"/>
        <item x="534"/>
        <item x="249"/>
        <item x="369"/>
        <item x="780"/>
        <item x="3"/>
        <item x="379"/>
        <item x="601"/>
        <item x="187"/>
        <item x="280"/>
        <item x="42"/>
        <item x="45"/>
        <item x="473"/>
        <item x="143"/>
        <item x="199"/>
        <item x="569"/>
        <item x="422"/>
        <item x="387"/>
        <item x="304"/>
        <item x="416"/>
        <item x="27"/>
        <item x="358"/>
        <item x="43"/>
        <item x="512"/>
        <item x="333"/>
        <item x="481"/>
        <item x="36"/>
        <item x="477"/>
        <item x="465"/>
        <item x="194"/>
        <item x="777"/>
        <item x="666"/>
        <item x="238"/>
        <item x="376"/>
        <item x="388"/>
        <item x="239"/>
        <item x="173"/>
        <item x="284"/>
        <item x="246"/>
        <item x="345"/>
        <item x="366"/>
        <item x="522"/>
        <item x="531"/>
        <item x="335"/>
        <item x="435"/>
        <item x="526"/>
        <item x="782"/>
        <item x="694"/>
        <item x="188"/>
        <item x="250"/>
        <item x="648"/>
        <item x="578"/>
        <item x="580"/>
        <item x="317"/>
        <item x="134"/>
        <item x="748"/>
        <item x="273"/>
        <item x="192"/>
        <item x="674"/>
        <item x="321"/>
        <item x="374"/>
        <item x="572"/>
        <item x="590"/>
        <item x="281"/>
        <item x="411"/>
        <item x="63"/>
        <item x="565"/>
        <item x="216"/>
        <item x="200"/>
        <item x="144"/>
        <item x="725"/>
        <item x="786"/>
        <item x="589"/>
        <item x="244"/>
        <item x="381"/>
        <item x="203"/>
        <item x="623"/>
        <item x="636"/>
        <item x="44"/>
        <item x="107"/>
        <item x="1"/>
        <item x="634"/>
        <item x="662"/>
        <item x="404"/>
        <item x="433"/>
        <item x="750"/>
        <item x="117"/>
        <item x="630"/>
        <item x="269"/>
        <item x="608"/>
        <item x="672"/>
        <item x="758"/>
        <item x="120"/>
        <item x="89"/>
        <item x="746"/>
        <item x="585"/>
        <item x="344"/>
        <item x="476"/>
        <item x="307"/>
        <item x="109"/>
        <item x="591"/>
        <item x="182"/>
        <item x="52"/>
        <item x="61"/>
        <item x="575"/>
        <item x="22"/>
        <item x="469"/>
        <item x="427"/>
        <item x="225"/>
        <item x="297"/>
        <item x="519"/>
        <item x="220"/>
        <item x="346"/>
        <item x="434"/>
        <item x="444"/>
        <item x="483"/>
        <item x="700"/>
        <item x="676"/>
        <item x="407"/>
        <item x="443"/>
        <item x="16"/>
        <item x="790"/>
        <item x="263"/>
        <item x="311"/>
        <item x="773"/>
        <item x="726"/>
        <item x="294"/>
        <item x="228"/>
        <item x="186"/>
        <item x="555"/>
        <item x="247"/>
        <item x="754"/>
        <item x="393"/>
        <item x="760"/>
        <item x="770"/>
        <item x="372"/>
        <item x="741"/>
        <item x="417"/>
        <item x="79"/>
        <item x="80"/>
        <item x="267"/>
        <item x="612"/>
        <item x="761"/>
        <item x="265"/>
        <item x="618"/>
        <item x="643"/>
        <item x="359"/>
        <item x="253"/>
        <item x="340"/>
        <item x="663"/>
        <item x="682"/>
        <item x="521"/>
        <item x="207"/>
        <item x="412"/>
        <item x="296"/>
        <item x="353"/>
        <item x="656"/>
        <item x="646"/>
        <item x="537"/>
        <item x="680"/>
        <item x="506"/>
        <item x="410"/>
        <item x="650"/>
        <item x="613"/>
        <item x="706"/>
        <item x="179"/>
        <item x="513"/>
        <item x="504"/>
        <item x="73"/>
        <item x="715"/>
        <item x="108"/>
        <item x="129"/>
        <item x="620"/>
        <item x="542"/>
        <item x="92"/>
        <item x="12"/>
        <item x="594"/>
        <item x="264"/>
        <item x="619"/>
        <item x="783"/>
        <item x="527"/>
        <item x="343"/>
        <item x="607"/>
        <item x="139"/>
        <item x="474"/>
        <item x="236"/>
        <item x="450"/>
        <item x="105"/>
        <item x="116"/>
        <item x="647"/>
        <item x="681"/>
        <item x="584"/>
        <item x="644"/>
        <item x="658"/>
        <item x="313"/>
        <item x="778"/>
        <item x="649"/>
        <item x="231"/>
        <item x="603"/>
        <item x="397"/>
        <item x="406"/>
        <item x="501"/>
        <item x="712"/>
        <item x="287"/>
        <item x="457"/>
        <item x="581"/>
        <item x="624"/>
        <item x="74"/>
        <item x="653"/>
        <item x="660"/>
        <item x="165"/>
        <item x="400"/>
        <item x="149"/>
        <item x="723"/>
        <item x="301"/>
        <item x="399"/>
        <item x="550"/>
        <item x="385"/>
        <item x="487"/>
        <item x="489"/>
        <item x="370"/>
        <item x="360"/>
        <item x="350"/>
        <item x="482"/>
        <item x="616"/>
        <item x="598"/>
        <item x="685"/>
        <item x="90"/>
        <item x="218"/>
        <item x="83"/>
        <item x="5"/>
        <item x="560"/>
        <item x="91"/>
        <item x="495"/>
        <item x="64"/>
        <item x="2"/>
        <item x="743"/>
        <item x="611"/>
        <item x="257"/>
        <item x="675"/>
        <item x="753"/>
        <item x="502"/>
        <item x="661"/>
        <item x="518"/>
        <item x="25"/>
        <item x="232"/>
        <item x="462"/>
        <item x="654"/>
        <item x="342"/>
        <item x="251"/>
        <item x="254"/>
        <item x="93"/>
        <item x="557"/>
        <item x="35"/>
        <item x="442"/>
        <item x="440"/>
        <item x="28"/>
        <item x="169"/>
        <item x="122"/>
        <item x="60"/>
        <item x="185"/>
        <item x="163"/>
        <item x="153"/>
        <item x="800"/>
        <item x="711"/>
        <item x="328"/>
        <item x="703"/>
        <item x="176"/>
        <item x="221"/>
        <item x="213"/>
        <item x="325"/>
        <item x="779"/>
        <item x="622"/>
        <item x="733"/>
        <item x="539"/>
        <item x="453"/>
        <item x="626"/>
        <item x="491"/>
        <item x="744"/>
        <item x="0"/>
        <item x="508"/>
        <item x="732"/>
        <item x="127"/>
        <item x="691"/>
        <item x="256"/>
        <item x="380"/>
        <item x="532"/>
        <item x="702"/>
        <item x="375"/>
        <item x="629"/>
        <item x="458"/>
        <item x="802"/>
        <item x="467"/>
        <item x="710"/>
        <item x="9"/>
        <item x="168"/>
        <item x="759"/>
        <item x="665"/>
        <item x="625"/>
        <item x="448"/>
        <item x="552"/>
        <item x="112"/>
        <item x="206"/>
        <item x="494"/>
        <item x="574"/>
        <item x="788"/>
        <item x="235"/>
        <item x="651"/>
        <item x="470"/>
        <item x="214"/>
        <item x="538"/>
        <item x="152"/>
        <item x="291"/>
        <item x="15"/>
        <item x="492"/>
        <item x="763"/>
        <item x="271"/>
        <item x="582"/>
        <item x="640"/>
        <item x="123"/>
        <item x="24"/>
        <item x="599"/>
        <item x="547"/>
        <item x="798"/>
        <item x="314"/>
        <item x="201"/>
        <item x="7"/>
        <item x="29"/>
        <item x="131"/>
        <item x="563"/>
        <item x="586"/>
        <item x="423"/>
        <item x="409"/>
        <item x="775"/>
        <item x="38"/>
        <item x="245"/>
        <item x="151"/>
        <item x="669"/>
        <item x="161"/>
        <item x="413"/>
        <item x="772"/>
        <item x="439"/>
        <item x="799"/>
        <item x="493"/>
        <item x="51"/>
        <item x="546"/>
        <item x="215"/>
        <item x="430"/>
        <item x="677"/>
        <item x="803"/>
        <item x="341"/>
        <item x="664"/>
        <item x="121"/>
        <item x="525"/>
        <item x="158"/>
        <item x="113"/>
        <item x="432"/>
        <item x="135"/>
        <item x="300"/>
        <item x="684"/>
        <item x="268"/>
        <item x="730"/>
        <item x="195"/>
        <item x="8"/>
        <item x="774"/>
        <item x="510"/>
        <item x="106"/>
        <item x="118"/>
        <item x="286"/>
        <item x="124"/>
        <item x="452"/>
        <item x="520"/>
        <item x="528"/>
        <item x="205"/>
        <item x="464"/>
        <item x="362"/>
        <item x="402"/>
        <item x="696"/>
        <item x="164"/>
        <item x="529"/>
        <item x="320"/>
        <item x="568"/>
        <item x="299"/>
        <item x="283"/>
        <item x="641"/>
        <item x="471"/>
        <item x="749"/>
        <item x="389"/>
        <item x="85"/>
        <item x="233"/>
        <item x="259"/>
        <item x="210"/>
        <item x="209"/>
        <item x="425"/>
        <item x="415"/>
        <item x="82"/>
        <item x="429"/>
        <item x="436"/>
        <item x="20"/>
        <item x="687"/>
        <item x="792"/>
        <item x="490"/>
        <item x="645"/>
        <item x="190"/>
        <item x="382"/>
        <item x="549"/>
        <item x="18"/>
        <item x="53"/>
        <item x="488"/>
        <item x="261"/>
        <item x="631"/>
        <item x="709"/>
        <item x="288"/>
        <item x="150"/>
        <item x="334"/>
        <item x="801"/>
        <item x="637"/>
        <item x="446"/>
        <item x="84"/>
        <item x="114"/>
        <item x="478"/>
        <item x="279"/>
        <item x="337"/>
        <item x="401"/>
        <item x="308"/>
        <item x="405"/>
        <item x="260"/>
        <item x="166"/>
        <item x="125"/>
        <item x="365"/>
        <item x="138"/>
        <item x="237"/>
        <item x="556"/>
        <item x="354"/>
        <item x="141"/>
        <item x="371"/>
        <item x="219"/>
        <item x="30"/>
        <item x="511"/>
        <item x="673"/>
        <item x="764"/>
        <item x="554"/>
        <item x="274"/>
        <item x="278"/>
        <item x="548"/>
        <item x="667"/>
        <item x="56"/>
        <item x="553"/>
        <item x="94"/>
        <item x="159"/>
        <item x="248"/>
        <item x="155"/>
        <item x="784"/>
        <item x="148"/>
        <item x="573"/>
        <item x="679"/>
        <item x="338"/>
        <item x="81"/>
        <item x="160"/>
        <item x="804"/>
        <item x="55"/>
        <item x="697"/>
        <item x="781"/>
        <item x="716"/>
        <item x="17"/>
        <item x="671"/>
        <item x="689"/>
        <item x="180"/>
        <item x="564"/>
        <item x="414"/>
        <item x="705"/>
        <item x="517"/>
        <item x="13"/>
        <item x="739"/>
        <item x="39"/>
        <item x="181"/>
        <item x="310"/>
        <item x="41"/>
        <item x="137"/>
        <item x="659"/>
        <item x="351"/>
        <item x="111"/>
        <item x="172"/>
        <item x="255"/>
        <item x="4"/>
        <item x="58"/>
        <item x="480"/>
        <item x="500"/>
        <item x="583"/>
        <item x="579"/>
        <item x="130"/>
        <item x="208"/>
        <item x="544"/>
        <item x="356"/>
        <item x="6"/>
        <item x="223"/>
        <item x="731"/>
        <item x="652"/>
        <item x="484"/>
        <item x="348"/>
        <item x="68"/>
        <item x="561"/>
        <item x="115"/>
        <item x="103"/>
        <item x="142"/>
        <item x="595"/>
        <item x="606"/>
        <item x="408"/>
        <item x="156"/>
        <item x="33"/>
        <item x="768"/>
        <item x="326"/>
        <item x="451"/>
        <item x="184"/>
        <item x="62"/>
        <item x="614"/>
        <item x="496"/>
        <item x="516"/>
        <item x="468"/>
        <item x="275"/>
        <item x="222"/>
        <item x="596"/>
        <item x="258"/>
        <item x="234"/>
        <item x="266"/>
        <item x="211"/>
        <item x="545"/>
        <item x="398"/>
        <item x="587"/>
        <item x="570"/>
        <item x="621"/>
        <item x="327"/>
        <item x="688"/>
        <item x="167"/>
        <item x="499"/>
        <item x="796"/>
        <item x="98"/>
        <item x="509"/>
        <item x="230"/>
        <item x="67"/>
        <item x="178"/>
        <item x="306"/>
        <item x="128"/>
        <item x="766"/>
        <item x="497"/>
        <item x="515"/>
        <item x="14"/>
        <item x="100"/>
        <item x="755"/>
        <item x="576"/>
        <item x="87"/>
        <item x="331"/>
        <item x="505"/>
        <item x="745"/>
        <item x="593"/>
        <item x="378"/>
        <item x="447"/>
        <item x="197"/>
        <item x="312"/>
        <item x="602"/>
        <item x="727"/>
        <item x="543"/>
        <item x="303"/>
        <item x="322"/>
        <item x="146"/>
        <item x="445"/>
        <item x="174"/>
        <item x="47"/>
        <item x="227"/>
        <item x="110"/>
        <item x="318"/>
        <item x="295"/>
        <item x="289"/>
        <item x="424"/>
        <item x="627"/>
        <item x="523"/>
        <item x="765"/>
        <item x="305"/>
        <item x="170"/>
        <item x="357"/>
        <item x="65"/>
        <item x="183"/>
        <item x="396"/>
        <item x="693"/>
        <item x="609"/>
        <item x="50"/>
        <item x="683"/>
        <item x="162"/>
        <item x="329"/>
        <item x="101"/>
        <item x="789"/>
        <item x="272"/>
        <item x="571"/>
        <item x="10"/>
        <item x="455"/>
        <item x="77"/>
        <item x="721"/>
        <item x="332"/>
        <item x="34"/>
        <item x="747"/>
        <item x="567"/>
        <item x="339"/>
        <item x="347"/>
        <item x="438"/>
        <item x="441"/>
        <item x="302"/>
        <item x="541"/>
        <item x="126"/>
        <item x="717"/>
        <item x="686"/>
        <item x="431"/>
        <item x="104"/>
        <item x="229"/>
        <item x="707"/>
        <item x="728"/>
        <item x="719"/>
        <item x="154"/>
        <item x="140"/>
        <item x="551"/>
        <item x="403"/>
        <item x="722"/>
        <item x="285"/>
        <item x="605"/>
        <item x="336"/>
        <item x="145"/>
        <item x="19"/>
        <item x="290"/>
        <item x="695"/>
        <item x="76"/>
        <item x="420"/>
        <item x="503"/>
        <item x="437"/>
        <item x="395"/>
        <item x="66"/>
        <item x="319"/>
        <item x="252"/>
        <item x="617"/>
        <item x="71"/>
        <item x="373"/>
        <item x="377"/>
        <item x="226"/>
        <item x="472"/>
        <item x="394"/>
        <item x="191"/>
        <item x="355"/>
        <item x="323"/>
        <item x="133"/>
        <item x="459"/>
        <item x="769"/>
        <item x="642"/>
        <item x="670"/>
        <item x="292"/>
        <item x="597"/>
        <item x="785"/>
        <item x="88"/>
        <item x="604"/>
        <item x="795"/>
        <item x="639"/>
        <item x="592"/>
        <item x="40"/>
        <item x="514"/>
        <item x="566"/>
        <item x="57"/>
        <item x="536"/>
        <item x="485"/>
        <item x="479"/>
        <item x="742"/>
        <item x="298"/>
        <item x="655"/>
        <item x="794"/>
        <item x="463"/>
        <item x="533"/>
        <item x="240"/>
        <item x="535"/>
        <item x="562"/>
        <item x="367"/>
        <item x="577"/>
        <item x="96"/>
        <item x="486"/>
        <item x="46"/>
        <item x="75"/>
        <item x="193"/>
        <item x="628"/>
        <item x="704"/>
        <item x="31"/>
        <item x="330"/>
        <item x="196"/>
        <item x="678"/>
        <item x="767"/>
        <item x="171"/>
        <item x="793"/>
        <item x="217"/>
        <item x="507"/>
        <item x="752"/>
        <item x="708"/>
        <item x="756"/>
        <item x="368"/>
        <item x="49"/>
        <item x="701"/>
        <item x="456"/>
        <item x="99"/>
        <item x="391"/>
        <item x="189"/>
        <item x="157"/>
        <item x="428"/>
        <item t="default"/>
      </items>
    </pivotField>
    <pivotField showAll="0">
      <items count="8">
        <item x="0"/>
        <item x="3"/>
        <item x="5"/>
        <item x="1"/>
        <item x="4"/>
        <item x="2"/>
        <item x="6"/>
        <item t="default"/>
      </items>
    </pivotField>
    <pivotField showAll="0"/>
    <pivotField showAll="0"/>
    <pivotField axis="axisRow" showAll="0">
      <items count="5">
        <item x="3"/>
        <item x="1"/>
        <item x="0"/>
        <item x="2"/>
        <item t="default"/>
      </items>
    </pivotField>
    <pivotField showAll="0"/>
    <pivotField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s>
  <rowFields count="1">
    <field x="13"/>
  </rowFields>
  <rowItems count="5">
    <i>
      <x/>
    </i>
    <i>
      <x v="1"/>
    </i>
    <i>
      <x v="2"/>
    </i>
    <i>
      <x v="3"/>
    </i>
    <i t="grand">
      <x/>
    </i>
  </rowItems>
  <colItems count="1">
    <i/>
  </colItems>
  <dataFields count="1">
    <dataField name="Employee" fld="0" subtotal="count" baseField="13" baseItem="0"/>
  </dataFields>
  <chartFormats count="10">
    <chartFormat chart="0"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0" format="3">
      <pivotArea type="data" outline="0" fieldPosition="0">
        <references count="2">
          <reference field="4294967294" count="1" selected="0">
            <x v="0"/>
          </reference>
          <reference field="13" count="1" selected="0">
            <x v="2"/>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5" format="12">
      <pivotArea type="data" outline="0" fieldPosition="0">
        <references count="2">
          <reference field="4294967294" count="1" selected="0">
            <x v="0"/>
          </reference>
          <reference field="13" count="1" selected="0">
            <x v="0"/>
          </reference>
        </references>
      </pivotArea>
    </chartFormat>
    <chartFormat chart="5" format="13">
      <pivotArea type="data" outline="0" fieldPosition="0">
        <references count="2">
          <reference field="4294967294" count="1" selected="0">
            <x v="0"/>
          </reference>
          <reference field="13" count="1" selected="0">
            <x v="3"/>
          </reference>
        </references>
      </pivotArea>
    </chartFormat>
    <chartFormat chart="5" format="14">
      <pivotArea type="data" outline="0" fieldPosition="0">
        <references count="2">
          <reference field="4294967294" count="1" selected="0">
            <x v="0"/>
          </reference>
          <reference field="13" count="1" selected="0">
            <x v="2"/>
          </reference>
        </references>
      </pivotArea>
    </chartFormat>
    <chartFormat chart="5" format="15">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5C1D41-A6A0-4788-ADE1-C40A7E0CA813}" name="PivotTable8"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11" firstHeaderRow="1" firstDataRow="1" firstDataCol="1"/>
  <pivotFields count="18">
    <pivotField showAll="0"/>
    <pivotField showAll="0"/>
    <pivotField showAll="0"/>
    <pivotField showAll="0">
      <items count="3">
        <item x="0"/>
        <item x="1"/>
        <item t="default"/>
      </items>
    </pivotField>
    <pivotField showAll="0"/>
    <pivotField showAll="0"/>
    <pivotField showAll="0"/>
    <pivotField numFmtId="14" showAll="0"/>
    <pivotField numFmtId="14" showAll="0">
      <items count="814">
        <item x="779"/>
        <item x="432"/>
        <item x="355"/>
        <item x="649"/>
        <item x="275"/>
        <item x="477"/>
        <item x="767"/>
        <item x="353"/>
        <item x="318"/>
        <item x="429"/>
        <item x="661"/>
        <item x="593"/>
        <item x="399"/>
        <item x="576"/>
        <item x="315"/>
        <item x="710"/>
        <item x="768"/>
        <item x="340"/>
        <item x="180"/>
        <item x="755"/>
        <item x="492"/>
        <item x="51"/>
        <item x="615"/>
        <item x="624"/>
        <item x="259"/>
        <item x="601"/>
        <item x="183"/>
        <item x="603"/>
        <item x="712"/>
        <item x="592"/>
        <item x="274"/>
        <item x="738"/>
        <item x="769"/>
        <item x="525"/>
        <item x="41"/>
        <item x="606"/>
        <item x="507"/>
        <item x="706"/>
        <item x="605"/>
        <item x="317"/>
        <item x="126"/>
        <item x="788"/>
        <item x="758"/>
        <item x="201"/>
        <item x="2"/>
        <item x="3"/>
        <item x="473"/>
        <item x="474"/>
        <item x="742"/>
        <item x="728"/>
        <item x="776"/>
        <item x="71"/>
        <item x="80"/>
        <item x="226"/>
        <item x="783"/>
        <item x="202"/>
        <item x="212"/>
        <item x="448"/>
        <item x="0"/>
        <item x="17"/>
        <item x="198"/>
        <item x="772"/>
        <item x="707"/>
        <item x="267"/>
        <item x="604"/>
        <item x="291"/>
        <item x="756"/>
        <item x="717"/>
        <item x="335"/>
        <item x="344"/>
        <item x="726"/>
        <item x="731"/>
        <item x="735"/>
        <item x="171"/>
        <item x="208"/>
        <item x="28"/>
        <item x="551"/>
        <item x="235"/>
        <item x="307"/>
        <item x="460"/>
        <item x="393"/>
        <item x="407"/>
        <item x="631"/>
        <item x="466"/>
        <item x="304"/>
        <item x="495"/>
        <item x="296"/>
        <item x="384"/>
        <item x="343"/>
        <item x="660"/>
        <item x="329"/>
        <item x="385"/>
        <item x="765"/>
        <item x="747"/>
        <item x="229"/>
        <item x="44"/>
        <item x="463"/>
        <item x="727"/>
        <item x="741"/>
        <item x="802"/>
        <item x="324"/>
        <item x="330"/>
        <item x="611"/>
        <item x="154"/>
        <item x="37"/>
        <item x="413"/>
        <item x="527"/>
        <item x="20"/>
        <item x="450"/>
        <item x="453"/>
        <item x="635"/>
        <item x="68"/>
        <item x="1"/>
        <item x="197"/>
        <item x="724"/>
        <item x="617"/>
        <item x="430"/>
        <item x="721"/>
        <item x="572"/>
        <item x="795"/>
        <item x="156"/>
        <item x="85"/>
        <item x="70"/>
        <item x="284"/>
        <item x="682"/>
        <item x="599"/>
        <item x="583"/>
        <item x="586"/>
        <item x="187"/>
        <item x="405"/>
        <item x="762"/>
        <item x="696"/>
        <item x="193"/>
        <item x="271"/>
        <item x="521"/>
        <item x="303"/>
        <item x="19"/>
        <item x="395"/>
        <item x="102"/>
        <item x="248"/>
        <item x="565"/>
        <item x="646"/>
        <item x="349"/>
        <item x="419"/>
        <item x="524"/>
        <item x="538"/>
        <item x="634"/>
        <item x="668"/>
        <item x="382"/>
        <item x="7"/>
        <item x="794"/>
        <item x="365"/>
        <item x="517"/>
        <item x="312"/>
        <item x="743"/>
        <item x="775"/>
        <item x="750"/>
        <item x="153"/>
        <item x="272"/>
        <item x="619"/>
        <item x="799"/>
        <item x="273"/>
        <item x="764"/>
        <item x="570"/>
        <item x="52"/>
        <item x="674"/>
        <item x="472"/>
        <item x="548"/>
        <item x="216"/>
        <item x="810"/>
        <item x="478"/>
        <item x="298"/>
        <item x="32"/>
        <item x="134"/>
        <item x="61"/>
        <item x="534"/>
        <item x="537"/>
        <item x="531"/>
        <item x="412"/>
        <item x="541"/>
        <item x="11"/>
        <item x="257"/>
        <item x="739"/>
        <item x="377"/>
        <item x="701"/>
        <item x="23"/>
        <item x="49"/>
        <item x="81"/>
        <item x="427"/>
        <item x="89"/>
        <item x="98"/>
        <item x="143"/>
        <item x="396"/>
        <item x="245"/>
        <item x="277"/>
        <item x="486"/>
        <item x="746"/>
        <item x="280"/>
        <item x="699"/>
        <item x="561"/>
        <item x="323"/>
        <item x="364"/>
        <item x="138"/>
        <item x="181"/>
        <item x="55"/>
        <item x="637"/>
        <item x="129"/>
        <item x="454"/>
        <item x="749"/>
        <item x="806"/>
        <item x="79"/>
        <item x="398"/>
        <item x="309"/>
        <item x="690"/>
        <item x="415"/>
        <item x="375"/>
        <item x="569"/>
        <item x="281"/>
        <item x="402"/>
        <item x="585"/>
        <item x="21"/>
        <item x="228"/>
        <item x="244"/>
        <item x="29"/>
        <item x="178"/>
        <item x="93"/>
        <item x="42"/>
        <item x="566"/>
        <item x="461"/>
        <item x="380"/>
        <item x="459"/>
        <item x="582"/>
        <item x="78"/>
        <item x="122"/>
        <item x="242"/>
        <item x="326"/>
        <item x="597"/>
        <item x="791"/>
        <item x="503"/>
        <item x="386"/>
        <item x="612"/>
        <item x="573"/>
        <item x="105"/>
        <item x="203"/>
        <item x="812"/>
        <item x="73"/>
        <item x="703"/>
        <item x="86"/>
        <item x="800"/>
        <item x="362"/>
        <item x="26"/>
        <item x="100"/>
        <item x="110"/>
        <item x="87"/>
        <item x="177"/>
        <item x="60"/>
        <item x="252"/>
        <item x="438"/>
        <item x="264"/>
        <item x="45"/>
        <item x="480"/>
        <item x="287"/>
        <item x="397"/>
        <item x="373"/>
        <item x="233"/>
        <item x="206"/>
        <item x="670"/>
        <item x="620"/>
        <item x="299"/>
        <item x="423"/>
        <item x="519"/>
        <item x="629"/>
        <item x="667"/>
        <item x="571"/>
        <item x="708"/>
        <item x="722"/>
        <item x="246"/>
        <item x="470"/>
        <item x="149"/>
        <item x="559"/>
        <item x="327"/>
        <item x="250"/>
        <item x="560"/>
        <item x="410"/>
        <item x="48"/>
        <item x="82"/>
        <item x="191"/>
        <item x="632"/>
        <item x="514"/>
        <item x="630"/>
        <item x="142"/>
        <item x="322"/>
        <item x="374"/>
        <item x="627"/>
        <item x="391"/>
        <item x="109"/>
        <item x="483"/>
        <item x="433"/>
        <item x="678"/>
        <item x="190"/>
        <item x="336"/>
        <item x="426"/>
        <item x="27"/>
        <item x="370"/>
        <item x="43"/>
        <item x="520"/>
        <item x="491"/>
        <item x="36"/>
        <item x="488"/>
        <item x="588"/>
        <item x="676"/>
        <item x="241"/>
        <item x="388"/>
        <item x="389"/>
        <item x="400"/>
        <item x="175"/>
        <item x="289"/>
        <item x="247"/>
        <item x="358"/>
        <item x="378"/>
        <item x="379"/>
        <item x="515"/>
        <item x="529"/>
        <item x="346"/>
        <item x="446"/>
        <item x="533"/>
        <item x="92"/>
        <item x="192"/>
        <item x="251"/>
        <item x="657"/>
        <item x="595"/>
        <item x="328"/>
        <item x="136"/>
        <item x="751"/>
        <item x="170"/>
        <item x="276"/>
        <item x="196"/>
        <item x="675"/>
        <item x="442"/>
        <item x="754"/>
        <item x="332"/>
        <item x="673"/>
        <item x="387"/>
        <item x="411"/>
        <item x="8"/>
        <item x="536"/>
        <item x="286"/>
        <item x="715"/>
        <item x="420"/>
        <item x="115"/>
        <item x="64"/>
        <item x="579"/>
        <item x="221"/>
        <item x="204"/>
        <item x="146"/>
        <item x="732"/>
        <item x="793"/>
        <item x="124"/>
        <item x="422"/>
        <item x="434"/>
        <item x="440"/>
        <item x="394"/>
        <item x="207"/>
        <item x="16"/>
        <item x="644"/>
        <item x="285"/>
        <item x="96"/>
        <item x="155"/>
        <item x="449"/>
        <item x="672"/>
        <item x="444"/>
        <item x="753"/>
        <item x="120"/>
        <item x="642"/>
        <item x="135"/>
        <item x="622"/>
        <item x="681"/>
        <item x="261"/>
        <item x="763"/>
        <item x="123"/>
        <item x="409"/>
        <item x="57"/>
        <item x="238"/>
        <item x="403"/>
        <item x="357"/>
        <item x="65"/>
        <item x="766"/>
        <item x="345"/>
        <item x="487"/>
        <item x="112"/>
        <item x="186"/>
        <item x="53"/>
        <item x="62"/>
        <item x="639"/>
        <item x="91"/>
        <item x="647"/>
        <item x="22"/>
        <item x="481"/>
        <item x="796"/>
        <item x="485"/>
        <item x="199"/>
        <item x="306"/>
        <item x="554"/>
        <item x="141"/>
        <item x="225"/>
        <item x="359"/>
        <item x="445"/>
        <item x="451"/>
        <item x="497"/>
        <item x="390"/>
        <item x="455"/>
        <item x="493"/>
        <item x="35"/>
        <item x="709"/>
        <item x="416"/>
        <item x="733"/>
        <item x="265"/>
        <item x="255"/>
        <item x="319"/>
        <item x="467"/>
        <item x="501"/>
        <item x="780"/>
        <item x="166"/>
        <item x="300"/>
        <item x="232"/>
        <item x="547"/>
        <item x="360"/>
        <item x="564"/>
        <item x="771"/>
        <item x="778"/>
        <item x="730"/>
        <item x="431"/>
        <item x="316"/>
        <item x="687"/>
        <item x="269"/>
        <item x="626"/>
        <item x="352"/>
        <item x="499"/>
        <item x="653"/>
        <item x="464"/>
        <item x="577"/>
        <item x="371"/>
        <item x="383"/>
        <item x="254"/>
        <item x="504"/>
        <item x="553"/>
        <item x="210"/>
        <item x="421"/>
        <item x="535"/>
        <item x="666"/>
        <item x="656"/>
        <item x="545"/>
        <item x="482"/>
        <item x="325"/>
        <item x="688"/>
        <item x="759"/>
        <item x="435"/>
        <item x="659"/>
        <item x="511"/>
        <item x="74"/>
        <item x="490"/>
        <item x="725"/>
        <item x="111"/>
        <item x="132"/>
        <item x="84"/>
        <item x="550"/>
        <item x="439"/>
        <item x="25"/>
        <item x="308"/>
        <item x="95"/>
        <item x="12"/>
        <item x="376"/>
        <item x="782"/>
        <item x="609"/>
        <item x="266"/>
        <item x="237"/>
        <item x="790"/>
        <item x="356"/>
        <item x="621"/>
        <item x="568"/>
        <item x="239"/>
        <item x="462"/>
        <item x="108"/>
        <item x="581"/>
        <item x="119"/>
        <item x="218"/>
        <item x="654"/>
        <item x="321"/>
        <item x="10"/>
        <item x="784"/>
        <item x="658"/>
        <item x="555"/>
        <item x="509"/>
        <item x="414"/>
        <item x="268"/>
        <item x="685"/>
        <item x="354"/>
        <item x="785"/>
        <item x="292"/>
        <item x="469"/>
        <item x="711"/>
        <item x="596"/>
        <item x="75"/>
        <item x="663"/>
        <item x="167"/>
        <item x="723"/>
        <item x="151"/>
        <item x="636"/>
        <item x="677"/>
        <item x="50"/>
        <item x="219"/>
        <item x="684"/>
        <item x="748"/>
        <item x="539"/>
        <item x="372"/>
        <item x="616"/>
        <item x="693"/>
        <item x="361"/>
        <item x="600"/>
        <item x="214"/>
        <item x="223"/>
        <item x="30"/>
        <item x="5"/>
        <item x="542"/>
        <item x="650"/>
        <item x="94"/>
        <item x="745"/>
        <item x="625"/>
        <item x="452"/>
        <item x="692"/>
        <item x="770"/>
        <item x="465"/>
        <item x="683"/>
        <item x="54"/>
        <item x="757"/>
        <item x="510"/>
        <item x="589"/>
        <item x="671"/>
        <item x="496"/>
        <item x="610"/>
        <item x="787"/>
        <item x="664"/>
        <item x="24"/>
        <item x="331"/>
        <item x="437"/>
        <item x="760"/>
        <item x="789"/>
        <item x="125"/>
        <item x="574"/>
        <item x="189"/>
        <item x="165"/>
        <item x="669"/>
        <item x="808"/>
        <item x="339"/>
        <item x="213"/>
        <item x="38"/>
        <item x="179"/>
        <item x="347"/>
        <item x="72"/>
        <item x="502"/>
        <item x="130"/>
        <item x="700"/>
        <item x="258"/>
        <item x="350"/>
        <item x="641"/>
        <item x="479"/>
        <item x="719"/>
        <item x="9"/>
        <item x="302"/>
        <item x="546"/>
        <item x="665"/>
        <item x="15"/>
        <item x="127"/>
        <item x="811"/>
        <item x="205"/>
        <item x="369"/>
        <item x="418"/>
        <item x="163"/>
        <item x="807"/>
        <item x="220"/>
        <item x="441"/>
        <item x="443"/>
        <item x="575"/>
        <item x="428"/>
        <item x="532"/>
        <item x="652"/>
        <item x="160"/>
        <item x="116"/>
        <item x="137"/>
        <item x="736"/>
        <item x="781"/>
        <item x="121"/>
        <item x="526"/>
        <item x="209"/>
        <item x="476"/>
        <item x="363"/>
        <item x="705"/>
        <item x="288"/>
        <item x="651"/>
        <item x="484"/>
        <item x="752"/>
        <item x="88"/>
        <item x="236"/>
        <item x="513"/>
        <item x="425"/>
        <item x="447"/>
        <item x="567"/>
        <item x="695"/>
        <item x="234"/>
        <item x="801"/>
        <item x="500"/>
        <item x="655"/>
        <item x="194"/>
        <item x="557"/>
        <item x="18"/>
        <item x="498"/>
        <item x="263"/>
        <item x="643"/>
        <item x="718"/>
        <item x="293"/>
        <item x="152"/>
        <item x="809"/>
        <item x="645"/>
        <item x="457"/>
        <item x="117"/>
        <item x="489"/>
        <item x="283"/>
        <item x="720"/>
        <item x="262"/>
        <item x="168"/>
        <item x="128"/>
        <item x="147"/>
        <item x="140"/>
        <item x="240"/>
        <item x="366"/>
        <item x="544"/>
        <item x="224"/>
        <item x="47"/>
        <item x="518"/>
        <item x="243"/>
        <item x="558"/>
        <item x="76"/>
        <item x="563"/>
        <item x="549"/>
        <item x="278"/>
        <item x="282"/>
        <item x="556"/>
        <item x="97"/>
        <item x="161"/>
        <item x="249"/>
        <item x="157"/>
        <item x="150"/>
        <item x="587"/>
        <item x="404"/>
        <item x="686"/>
        <item x="351"/>
        <item x="83"/>
        <item x="162"/>
        <item x="56"/>
        <item x="270"/>
        <item x="680"/>
        <item x="698"/>
        <item x="184"/>
        <item x="734"/>
        <item x="578"/>
        <item x="424"/>
        <item x="714"/>
        <item x="13"/>
        <item x="348"/>
        <item x="39"/>
        <item x="185"/>
        <item x="543"/>
        <item x="139"/>
        <item x="260"/>
        <item x="114"/>
        <item x="174"/>
        <item x="256"/>
        <item x="4"/>
        <item x="59"/>
        <item x="740"/>
        <item x="598"/>
        <item x="594"/>
        <item x="133"/>
        <item x="211"/>
        <item x="368"/>
        <item x="623"/>
        <item x="6"/>
        <item x="227"/>
        <item x="737"/>
        <item x="662"/>
        <item x="494"/>
        <item x="34"/>
        <item x="69"/>
        <item x="118"/>
        <item x="106"/>
        <item x="144"/>
        <item x="613"/>
        <item x="417"/>
        <item x="158"/>
        <item x="33"/>
        <item x="337"/>
        <item x="188"/>
        <item x="63"/>
        <item x="628"/>
        <item x="505"/>
        <item x="523"/>
        <item x="279"/>
        <item x="584"/>
        <item x="614"/>
        <item x="694"/>
        <item x="215"/>
        <item x="408"/>
        <item x="602"/>
        <item x="633"/>
        <item x="338"/>
        <item x="697"/>
        <item x="169"/>
        <item x="508"/>
        <item x="805"/>
        <item x="101"/>
        <item x="516"/>
        <item x="689"/>
        <item x="301"/>
        <item x="182"/>
        <item x="314"/>
        <item x="131"/>
        <item x="773"/>
        <item x="506"/>
        <item x="14"/>
        <item x="103"/>
        <item x="761"/>
        <item x="590"/>
        <item x="90"/>
        <item x="342"/>
        <item x="512"/>
        <item x="608"/>
        <item x="392"/>
        <item x="458"/>
        <item x="320"/>
        <item x="552"/>
        <item x="311"/>
        <item x="333"/>
        <item x="148"/>
        <item x="456"/>
        <item x="176"/>
        <item x="231"/>
        <item x="113"/>
        <item x="294"/>
        <item x="436"/>
        <item x="638"/>
        <item x="530"/>
        <item x="313"/>
        <item x="172"/>
        <item x="66"/>
        <item x="786"/>
        <item x="406"/>
        <item x="702"/>
        <item x="691"/>
        <item x="679"/>
        <item x="164"/>
        <item x="104"/>
        <item x="797"/>
        <item x="305"/>
        <item x="310"/>
        <item x="107"/>
        <item x="716"/>
        <item x="290"/>
        <item x="295"/>
        <item x="704"/>
        <item x="77"/>
        <item x="562"/>
        <item x="67"/>
        <item x="253"/>
        <item x="798"/>
        <item x="230"/>
        <item x="195"/>
        <item x="367"/>
        <item x="334"/>
        <item x="471"/>
        <item x="777"/>
        <item x="297"/>
        <item x="40"/>
        <item x="792"/>
        <item x="618"/>
        <item x="648"/>
        <item x="607"/>
        <item x="145"/>
        <item x="522"/>
        <item x="580"/>
        <item x="58"/>
        <item x="744"/>
        <item x="804"/>
        <item x="475"/>
        <item x="540"/>
        <item x="591"/>
        <item x="99"/>
        <item x="46"/>
        <item x="217"/>
        <item x="640"/>
        <item x="713"/>
        <item x="31"/>
        <item x="341"/>
        <item x="200"/>
        <item x="774"/>
        <item x="173"/>
        <item x="803"/>
        <item x="222"/>
        <item x="729"/>
        <item x="381"/>
        <item x="468"/>
        <item x="401"/>
        <item x="159"/>
        <item x="528"/>
        <item t="default"/>
      </items>
    </pivotField>
    <pivotField numFmtId="14" showAll="0">
      <items count="806">
        <item x="771"/>
        <item x="421"/>
        <item x="610"/>
        <item x="418"/>
        <item x="498"/>
        <item x="309"/>
        <item x="461"/>
        <item x="78"/>
        <item x="198"/>
        <item x="70"/>
        <item x="724"/>
        <item x="204"/>
        <item x="737"/>
        <item x="762"/>
        <item x="718"/>
        <item x="738"/>
        <item x="713"/>
        <item x="787"/>
        <item x="757"/>
        <item x="729"/>
        <item x="460"/>
        <item x="540"/>
        <item x="212"/>
        <item x="466"/>
        <item x="293"/>
        <item x="32"/>
        <item x="270"/>
        <item x="530"/>
        <item x="736"/>
        <item x="524"/>
        <item x="11"/>
        <item x="37"/>
        <item x="734"/>
        <item x="364"/>
        <item x="692"/>
        <item x="714"/>
        <item x="48"/>
        <item x="23"/>
        <item x="86"/>
        <item x="668"/>
        <item x="95"/>
        <item x="384"/>
        <item x="243"/>
        <item x="419"/>
        <item x="475"/>
        <item x="276"/>
        <item x="690"/>
        <item x="698"/>
        <item x="136"/>
        <item x="635"/>
        <item x="54"/>
        <item x="797"/>
        <item x="386"/>
        <item x="363"/>
        <item x="277"/>
        <item x="392"/>
        <item x="21"/>
        <item x="224"/>
        <item x="242"/>
        <item x="390"/>
        <item x="175"/>
        <item x="119"/>
        <item x="315"/>
        <item x="69"/>
        <item x="632"/>
        <item x="751"/>
        <item x="776"/>
        <item x="454"/>
        <item x="102"/>
        <item x="383"/>
        <item x="600"/>
        <item x="72"/>
        <item x="241"/>
        <item x="791"/>
        <item x="349"/>
        <item x="26"/>
        <item x="97"/>
        <item x="633"/>
        <item x="59"/>
        <item x="324"/>
        <item x="426"/>
        <item x="262"/>
        <item x="740"/>
        <item x="282"/>
        <item x="361"/>
        <item x="132"/>
        <item x="202"/>
        <item x="615"/>
        <item x="449"/>
        <item x="735"/>
        <item x="657"/>
        <item x="559"/>
        <item x="699"/>
        <item x="177"/>
        <item x="720"/>
        <item x="558"/>
        <item x="147"/>
        <item x="638"/>
        <item x="316"/>
        <item x="352"/>
        <item x="588"/>
        <item x="534"/>
        <item x="249"/>
        <item x="369"/>
        <item x="780"/>
        <item x="3"/>
        <item x="379"/>
        <item x="601"/>
        <item x="187"/>
        <item x="280"/>
        <item x="42"/>
        <item x="45"/>
        <item x="473"/>
        <item x="143"/>
        <item x="199"/>
        <item x="569"/>
        <item x="422"/>
        <item x="387"/>
        <item x="304"/>
        <item x="416"/>
        <item x="27"/>
        <item x="358"/>
        <item x="43"/>
        <item x="512"/>
        <item x="333"/>
        <item x="481"/>
        <item x="36"/>
        <item x="477"/>
        <item x="465"/>
        <item x="194"/>
        <item x="777"/>
        <item x="666"/>
        <item x="238"/>
        <item x="376"/>
        <item x="388"/>
        <item x="239"/>
        <item x="173"/>
        <item x="284"/>
        <item x="246"/>
        <item x="345"/>
        <item x="366"/>
        <item x="522"/>
        <item x="531"/>
        <item x="335"/>
        <item x="435"/>
        <item x="526"/>
        <item x="782"/>
        <item x="694"/>
        <item x="188"/>
        <item x="250"/>
        <item x="648"/>
        <item x="578"/>
        <item x="580"/>
        <item x="317"/>
        <item x="134"/>
        <item x="748"/>
        <item x="273"/>
        <item x="192"/>
        <item x="674"/>
        <item x="321"/>
        <item x="374"/>
        <item x="572"/>
        <item x="590"/>
        <item x="281"/>
        <item x="411"/>
        <item x="63"/>
        <item x="565"/>
        <item x="216"/>
        <item x="200"/>
        <item x="144"/>
        <item x="725"/>
        <item x="786"/>
        <item x="589"/>
        <item x="244"/>
        <item x="381"/>
        <item x="203"/>
        <item x="623"/>
        <item x="636"/>
        <item x="44"/>
        <item x="107"/>
        <item x="1"/>
        <item x="634"/>
        <item x="662"/>
        <item x="404"/>
        <item x="433"/>
        <item x="750"/>
        <item x="117"/>
        <item x="630"/>
        <item x="269"/>
        <item x="608"/>
        <item x="672"/>
        <item x="758"/>
        <item x="120"/>
        <item x="89"/>
        <item x="746"/>
        <item x="585"/>
        <item x="344"/>
        <item x="476"/>
        <item x="307"/>
        <item x="109"/>
        <item x="591"/>
        <item x="182"/>
        <item x="52"/>
        <item x="61"/>
        <item x="575"/>
        <item x="22"/>
        <item x="469"/>
        <item x="427"/>
        <item x="225"/>
        <item x="297"/>
        <item x="519"/>
        <item x="220"/>
        <item x="346"/>
        <item x="434"/>
        <item x="444"/>
        <item x="483"/>
        <item x="700"/>
        <item x="676"/>
        <item x="407"/>
        <item x="443"/>
        <item x="16"/>
        <item x="790"/>
        <item x="263"/>
        <item x="311"/>
        <item x="773"/>
        <item x="726"/>
        <item x="294"/>
        <item x="228"/>
        <item x="186"/>
        <item x="555"/>
        <item x="247"/>
        <item x="754"/>
        <item x="393"/>
        <item x="760"/>
        <item x="770"/>
        <item x="372"/>
        <item x="741"/>
        <item x="417"/>
        <item x="79"/>
        <item x="80"/>
        <item x="267"/>
        <item x="612"/>
        <item x="761"/>
        <item x="265"/>
        <item x="618"/>
        <item x="643"/>
        <item x="359"/>
        <item x="253"/>
        <item x="340"/>
        <item x="663"/>
        <item x="682"/>
        <item x="521"/>
        <item x="207"/>
        <item x="412"/>
        <item x="296"/>
        <item x="353"/>
        <item x="656"/>
        <item x="646"/>
        <item x="537"/>
        <item x="680"/>
        <item x="506"/>
        <item x="410"/>
        <item x="650"/>
        <item x="613"/>
        <item x="706"/>
        <item x="179"/>
        <item x="513"/>
        <item x="504"/>
        <item x="73"/>
        <item x="715"/>
        <item x="108"/>
        <item x="129"/>
        <item x="620"/>
        <item x="542"/>
        <item x="92"/>
        <item x="12"/>
        <item x="594"/>
        <item x="264"/>
        <item x="619"/>
        <item x="783"/>
        <item x="527"/>
        <item x="343"/>
        <item x="607"/>
        <item x="139"/>
        <item x="474"/>
        <item x="236"/>
        <item x="450"/>
        <item x="105"/>
        <item x="116"/>
        <item x="647"/>
        <item x="681"/>
        <item x="584"/>
        <item x="644"/>
        <item x="658"/>
        <item x="313"/>
        <item x="778"/>
        <item x="649"/>
        <item x="231"/>
        <item x="603"/>
        <item x="397"/>
        <item x="406"/>
        <item x="501"/>
        <item x="712"/>
        <item x="287"/>
        <item x="457"/>
        <item x="581"/>
        <item x="624"/>
        <item x="74"/>
        <item x="653"/>
        <item x="660"/>
        <item x="165"/>
        <item x="400"/>
        <item x="149"/>
        <item x="723"/>
        <item x="301"/>
        <item x="399"/>
        <item x="550"/>
        <item x="385"/>
        <item x="487"/>
        <item x="489"/>
        <item x="370"/>
        <item x="360"/>
        <item x="350"/>
        <item x="482"/>
        <item x="616"/>
        <item x="598"/>
        <item x="685"/>
        <item x="90"/>
        <item x="218"/>
        <item x="83"/>
        <item x="5"/>
        <item x="560"/>
        <item x="91"/>
        <item x="495"/>
        <item x="64"/>
        <item x="2"/>
        <item x="743"/>
        <item x="611"/>
        <item x="257"/>
        <item x="675"/>
        <item x="753"/>
        <item x="502"/>
        <item x="661"/>
        <item x="518"/>
        <item x="25"/>
        <item x="232"/>
        <item x="462"/>
        <item x="654"/>
        <item x="342"/>
        <item x="251"/>
        <item x="254"/>
        <item x="93"/>
        <item x="557"/>
        <item x="35"/>
        <item x="442"/>
        <item x="440"/>
        <item x="28"/>
        <item x="169"/>
        <item x="122"/>
        <item x="60"/>
        <item x="185"/>
        <item x="163"/>
        <item x="153"/>
        <item x="800"/>
        <item x="711"/>
        <item x="328"/>
        <item x="703"/>
        <item x="176"/>
        <item x="221"/>
        <item x="213"/>
        <item x="325"/>
        <item x="779"/>
        <item x="622"/>
        <item x="733"/>
        <item x="539"/>
        <item x="453"/>
        <item x="626"/>
        <item x="491"/>
        <item x="744"/>
        <item x="0"/>
        <item x="508"/>
        <item x="732"/>
        <item x="127"/>
        <item x="691"/>
        <item x="256"/>
        <item x="380"/>
        <item x="532"/>
        <item x="702"/>
        <item x="375"/>
        <item x="629"/>
        <item x="458"/>
        <item x="802"/>
        <item x="467"/>
        <item x="710"/>
        <item x="9"/>
        <item x="168"/>
        <item x="759"/>
        <item x="665"/>
        <item x="625"/>
        <item x="448"/>
        <item x="552"/>
        <item x="112"/>
        <item x="206"/>
        <item x="494"/>
        <item x="574"/>
        <item x="788"/>
        <item x="235"/>
        <item x="651"/>
        <item x="470"/>
        <item x="214"/>
        <item x="538"/>
        <item x="152"/>
        <item x="291"/>
        <item x="15"/>
        <item x="492"/>
        <item x="763"/>
        <item x="271"/>
        <item x="582"/>
        <item x="640"/>
        <item x="123"/>
        <item x="24"/>
        <item x="599"/>
        <item x="547"/>
        <item x="798"/>
        <item x="314"/>
        <item x="201"/>
        <item x="7"/>
        <item x="29"/>
        <item x="131"/>
        <item x="563"/>
        <item x="586"/>
        <item x="423"/>
        <item x="409"/>
        <item x="775"/>
        <item x="38"/>
        <item x="245"/>
        <item x="151"/>
        <item x="669"/>
        <item x="161"/>
        <item x="413"/>
        <item x="772"/>
        <item x="439"/>
        <item x="799"/>
        <item x="493"/>
        <item x="51"/>
        <item x="546"/>
        <item x="215"/>
        <item x="430"/>
        <item x="677"/>
        <item x="803"/>
        <item x="341"/>
        <item x="664"/>
        <item x="121"/>
        <item x="525"/>
        <item x="158"/>
        <item x="113"/>
        <item x="432"/>
        <item x="135"/>
        <item x="300"/>
        <item x="684"/>
        <item x="268"/>
        <item x="730"/>
        <item x="195"/>
        <item x="8"/>
        <item x="774"/>
        <item x="510"/>
        <item x="106"/>
        <item x="118"/>
        <item x="286"/>
        <item x="124"/>
        <item x="452"/>
        <item x="520"/>
        <item x="528"/>
        <item x="205"/>
        <item x="464"/>
        <item x="362"/>
        <item x="402"/>
        <item x="696"/>
        <item x="164"/>
        <item x="529"/>
        <item x="320"/>
        <item x="568"/>
        <item x="299"/>
        <item x="283"/>
        <item x="641"/>
        <item x="471"/>
        <item x="749"/>
        <item x="389"/>
        <item x="85"/>
        <item x="233"/>
        <item x="259"/>
        <item x="210"/>
        <item x="209"/>
        <item x="425"/>
        <item x="415"/>
        <item x="82"/>
        <item x="429"/>
        <item x="436"/>
        <item x="20"/>
        <item x="687"/>
        <item x="792"/>
        <item x="490"/>
        <item x="645"/>
        <item x="190"/>
        <item x="382"/>
        <item x="549"/>
        <item x="18"/>
        <item x="53"/>
        <item x="488"/>
        <item x="261"/>
        <item x="631"/>
        <item x="709"/>
        <item x="288"/>
        <item x="150"/>
        <item x="334"/>
        <item x="801"/>
        <item x="637"/>
        <item x="446"/>
        <item x="84"/>
        <item x="114"/>
        <item x="478"/>
        <item x="279"/>
        <item x="337"/>
        <item x="401"/>
        <item x="308"/>
        <item x="405"/>
        <item x="260"/>
        <item x="166"/>
        <item x="125"/>
        <item x="365"/>
        <item x="138"/>
        <item x="237"/>
        <item x="556"/>
        <item x="354"/>
        <item x="141"/>
        <item x="371"/>
        <item x="219"/>
        <item x="30"/>
        <item x="511"/>
        <item x="673"/>
        <item x="764"/>
        <item x="554"/>
        <item x="274"/>
        <item x="278"/>
        <item x="548"/>
        <item x="667"/>
        <item x="56"/>
        <item x="553"/>
        <item x="94"/>
        <item x="159"/>
        <item x="248"/>
        <item x="155"/>
        <item x="784"/>
        <item x="148"/>
        <item x="573"/>
        <item x="679"/>
        <item x="338"/>
        <item x="81"/>
        <item x="160"/>
        <item x="804"/>
        <item x="55"/>
        <item x="697"/>
        <item x="781"/>
        <item x="716"/>
        <item x="17"/>
        <item x="671"/>
        <item x="689"/>
        <item x="180"/>
        <item x="564"/>
        <item x="414"/>
        <item x="705"/>
        <item x="517"/>
        <item x="13"/>
        <item x="739"/>
        <item x="39"/>
        <item x="181"/>
        <item x="310"/>
        <item x="41"/>
        <item x="137"/>
        <item x="659"/>
        <item x="351"/>
        <item x="111"/>
        <item x="172"/>
        <item x="255"/>
        <item x="4"/>
        <item x="58"/>
        <item x="480"/>
        <item x="500"/>
        <item x="583"/>
        <item x="579"/>
        <item x="130"/>
        <item x="208"/>
        <item x="544"/>
        <item x="356"/>
        <item x="6"/>
        <item x="223"/>
        <item x="731"/>
        <item x="652"/>
        <item x="484"/>
        <item x="348"/>
        <item x="68"/>
        <item x="561"/>
        <item x="115"/>
        <item x="103"/>
        <item x="142"/>
        <item x="595"/>
        <item x="606"/>
        <item x="408"/>
        <item x="156"/>
        <item x="33"/>
        <item x="768"/>
        <item x="326"/>
        <item x="451"/>
        <item x="184"/>
        <item x="62"/>
        <item x="614"/>
        <item x="496"/>
        <item x="516"/>
        <item x="468"/>
        <item x="275"/>
        <item x="222"/>
        <item x="596"/>
        <item x="258"/>
        <item x="234"/>
        <item x="266"/>
        <item x="211"/>
        <item x="545"/>
        <item x="398"/>
        <item x="587"/>
        <item x="570"/>
        <item x="621"/>
        <item x="327"/>
        <item x="688"/>
        <item x="167"/>
        <item x="499"/>
        <item x="796"/>
        <item x="98"/>
        <item x="509"/>
        <item x="230"/>
        <item x="67"/>
        <item x="178"/>
        <item x="306"/>
        <item x="128"/>
        <item x="766"/>
        <item x="497"/>
        <item x="515"/>
        <item x="14"/>
        <item x="100"/>
        <item x="755"/>
        <item x="576"/>
        <item x="87"/>
        <item x="331"/>
        <item x="505"/>
        <item x="745"/>
        <item x="593"/>
        <item x="378"/>
        <item x="447"/>
        <item x="197"/>
        <item x="312"/>
        <item x="602"/>
        <item x="727"/>
        <item x="543"/>
        <item x="303"/>
        <item x="322"/>
        <item x="146"/>
        <item x="445"/>
        <item x="174"/>
        <item x="47"/>
        <item x="227"/>
        <item x="110"/>
        <item x="318"/>
        <item x="295"/>
        <item x="289"/>
        <item x="424"/>
        <item x="627"/>
        <item x="523"/>
        <item x="765"/>
        <item x="305"/>
        <item x="170"/>
        <item x="357"/>
        <item x="65"/>
        <item x="183"/>
        <item x="396"/>
        <item x="693"/>
        <item x="609"/>
        <item x="50"/>
        <item x="683"/>
        <item x="162"/>
        <item x="329"/>
        <item x="101"/>
        <item x="789"/>
        <item x="272"/>
        <item x="571"/>
        <item x="10"/>
        <item x="455"/>
        <item x="77"/>
        <item x="721"/>
        <item x="332"/>
        <item x="34"/>
        <item x="747"/>
        <item x="567"/>
        <item x="339"/>
        <item x="347"/>
        <item x="438"/>
        <item x="441"/>
        <item x="302"/>
        <item x="541"/>
        <item x="126"/>
        <item x="717"/>
        <item x="686"/>
        <item x="431"/>
        <item x="104"/>
        <item x="229"/>
        <item x="707"/>
        <item x="728"/>
        <item x="719"/>
        <item x="154"/>
        <item x="140"/>
        <item x="551"/>
        <item x="403"/>
        <item x="722"/>
        <item x="285"/>
        <item x="605"/>
        <item x="336"/>
        <item x="145"/>
        <item x="19"/>
        <item x="290"/>
        <item x="695"/>
        <item x="76"/>
        <item x="420"/>
        <item x="503"/>
        <item x="437"/>
        <item x="395"/>
        <item x="66"/>
        <item x="319"/>
        <item x="252"/>
        <item x="617"/>
        <item x="71"/>
        <item x="373"/>
        <item x="377"/>
        <item x="226"/>
        <item x="472"/>
        <item x="394"/>
        <item x="191"/>
        <item x="355"/>
        <item x="323"/>
        <item x="133"/>
        <item x="459"/>
        <item x="769"/>
        <item x="642"/>
        <item x="670"/>
        <item x="292"/>
        <item x="597"/>
        <item x="785"/>
        <item x="88"/>
        <item x="604"/>
        <item x="795"/>
        <item x="639"/>
        <item x="592"/>
        <item x="40"/>
        <item x="514"/>
        <item x="566"/>
        <item x="57"/>
        <item x="536"/>
        <item x="485"/>
        <item x="479"/>
        <item x="742"/>
        <item x="298"/>
        <item x="655"/>
        <item x="794"/>
        <item x="463"/>
        <item x="533"/>
        <item x="240"/>
        <item x="535"/>
        <item x="562"/>
        <item x="367"/>
        <item x="577"/>
        <item x="96"/>
        <item x="486"/>
        <item x="46"/>
        <item x="75"/>
        <item x="193"/>
        <item x="628"/>
        <item x="704"/>
        <item x="31"/>
        <item x="330"/>
        <item x="196"/>
        <item x="678"/>
        <item x="767"/>
        <item x="171"/>
        <item x="793"/>
        <item x="217"/>
        <item x="507"/>
        <item x="752"/>
        <item x="708"/>
        <item x="756"/>
        <item x="368"/>
        <item x="49"/>
        <item x="701"/>
        <item x="456"/>
        <item x="99"/>
        <item x="391"/>
        <item x="189"/>
        <item x="157"/>
        <item x="428"/>
        <item t="default"/>
      </items>
    </pivotField>
    <pivotField axis="axisRow" showAll="0" sortType="ascending">
      <items count="8">
        <item x="0"/>
        <item x="3"/>
        <item x="5"/>
        <item x="1"/>
        <item x="4"/>
        <item x="2"/>
        <item x="6"/>
        <item t="default"/>
      </items>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pivotField showAll="0">
      <items count="13">
        <item x="0"/>
        <item x="1"/>
        <item x="2"/>
        <item x="3"/>
        <item x="4"/>
        <item x="5"/>
        <item x="6"/>
        <item x="7"/>
        <item x="8"/>
        <item x="9"/>
        <item x="10"/>
        <item x="11"/>
        <item t="default"/>
      </items>
    </pivotField>
  </pivotFields>
  <rowFields count="1">
    <field x="10"/>
  </rowFields>
  <rowItems count="8">
    <i>
      <x/>
    </i>
    <i>
      <x v="1"/>
    </i>
    <i>
      <x v="2"/>
    </i>
    <i>
      <x v="3"/>
    </i>
    <i>
      <x v="4"/>
    </i>
    <i>
      <x v="5"/>
    </i>
    <i>
      <x v="6"/>
    </i>
    <i t="grand">
      <x/>
    </i>
  </rowItems>
  <colItems count="1">
    <i/>
  </colItems>
  <dataFields count="1">
    <dataField name="Average of Salary" fld="12" subtotal="average" baseField="1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F3AA6CF-E8D7-42E0-B3A8-85DA698AAD15}" name="PivotTable11" cacheId="2"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B13" firstHeaderRow="1" firstDataRow="1" firstDataCol="1"/>
  <pivotFields count="18">
    <pivotField dataField="1" showAll="0"/>
    <pivotField showAll="0"/>
    <pivotField showAll="0"/>
    <pivotField showAll="0"/>
    <pivotField showAll="0"/>
    <pivotField showAll="0"/>
    <pivotField showAll="0"/>
    <pivotField numFmtId="14" showAll="0"/>
    <pivotField numFmtId="14" showAll="0"/>
    <pivotField numFmtId="14" showAll="0"/>
    <pivotField showAll="0">
      <items count="8">
        <item x="0"/>
        <item x="3"/>
        <item x="5"/>
        <item x="1"/>
        <item x="4"/>
        <item x="2"/>
        <item x="6"/>
        <item t="default"/>
      </items>
    </pivotField>
    <pivotField showAll="0"/>
    <pivotField showAll="0"/>
    <pivotField showAll="0"/>
    <pivotField showAll="0"/>
    <pivotField showAll="0"/>
    <pivotField axis="axisRow" showAll="0">
      <items count="12">
        <item x="0"/>
        <item x="1"/>
        <item x="2"/>
        <item x="3"/>
        <item x="4"/>
        <item x="5"/>
        <item x="6"/>
        <item x="7"/>
        <item x="8"/>
        <item x="9"/>
        <item x="10"/>
        <item t="default"/>
      </items>
    </pivotField>
    <pivotField showAll="0"/>
  </pivotFields>
  <rowFields count="1">
    <field x="16"/>
  </rowFields>
  <rowItems count="10">
    <i>
      <x v="1"/>
    </i>
    <i>
      <x v="2"/>
    </i>
    <i>
      <x v="3"/>
    </i>
    <i>
      <x v="4"/>
    </i>
    <i>
      <x v="5"/>
    </i>
    <i>
      <x v="6"/>
    </i>
    <i>
      <x v="7"/>
    </i>
    <i>
      <x v="8"/>
    </i>
    <i>
      <x v="9"/>
    </i>
    <i t="grand">
      <x/>
    </i>
  </rowItems>
  <colItems count="1">
    <i/>
  </colItems>
  <dataFields count="1">
    <dataField name="Employee" fld="0" subtotal="count" baseField="16" baseItem="1"/>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9BF9A3FF-4AE8-44E7-AB50-064F5A01CFDE}" autoFormatId="16" applyNumberFormats="0" applyBorderFormats="0" applyFontFormats="0" applyPatternFormats="0" applyAlignmentFormats="0" applyWidthHeightFormats="0">
  <queryTableRefresh nextId="15">
    <queryTableFields count="14">
      <queryTableField id="1" name="Employee_ID" tableColumnId="1"/>
      <queryTableField id="2" name="First Name" tableColumnId="2"/>
      <queryTableField id="3" name="Last Name" tableColumnId="3"/>
      <queryTableField id="4" name="Gender" tableColumnId="4"/>
      <queryTableField id="5" name="State" tableColumnId="5"/>
      <queryTableField id="6" name="City" tableColumnId="6"/>
      <queryTableField id="7" name="Education Level" tableColumnId="7"/>
      <queryTableField id="8" name="Birthdate" tableColumnId="8"/>
      <queryTableField id="9" name="Hiredate" tableColumnId="9"/>
      <queryTableField id="10" name="Termdate" tableColumnId="10"/>
      <queryTableField id="11" name="Department" tableColumnId="11"/>
      <queryTableField id="12" name="Job Title" tableColumnId="12"/>
      <queryTableField id="13" name="Salary" tableColumnId="13"/>
      <queryTableField id="14" name="Performance Rating"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DD6E396-340C-4F1C-80E3-6BB1E1032E9E}" sourceName="Gender">
  <pivotTables>
    <pivotTable tabId="13" name="PivotTable6"/>
    <pivotTable tabId="14" name="PivotTable8"/>
    <pivotTable tabId="8" name="PivotTable1"/>
    <pivotTable tabId="9" name="PivotTable2"/>
    <pivotTable tabId="10" name="PivotTable3"/>
    <pivotTable tabId="10" name="PivotTable4"/>
    <pivotTable tabId="12" name="PivotTable5"/>
  </pivotTables>
  <data>
    <tabular pivotCacheId="14394221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1" xr10:uid="{F8A55FB2-773A-40FF-95D9-F615D13E6709}" sourceName="Employment Status">
  <pivotTables>
    <pivotTable tabId="13" name="PivotTable7"/>
  </pivotTables>
  <data>
    <tabular pivotCacheId="142980233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6584CB8-DF1C-4723-9751-D05F21A711B3}" sourceName="Department">
  <pivotTables>
    <pivotTable tabId="13" name="PivotTable6"/>
    <pivotTable tabId="14" name="PivotTable8"/>
    <pivotTable tabId="8" name="PivotTable1"/>
    <pivotTable tabId="9" name="PivotTable2"/>
    <pivotTable tabId="10" name="PivotTable3"/>
    <pivotTable tabId="10" name="PivotTable4"/>
    <pivotTable tabId="12" name="PivotTable5"/>
  </pivotTables>
  <data>
    <tabular pivotCacheId="1439422149">
      <items count="7">
        <i x="0" s="1"/>
        <i x="3" s="1"/>
        <i x="5" s="1"/>
        <i x="1" s="1"/>
        <i x="4"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6C35D48E-C87A-4760-8ED5-3C49D3F90A13}" cache="Slicer_Gender" caption="Gender" rowHeight="234950"/>
  <slicer name="Employment Status" xr10:uid="{58B4A7A7-3FF3-446F-A8E3-82FE12EBF4D0}" cache="Slicer_Employment_Status1" caption="Employment Status" rowHeight="234950"/>
  <slicer name="Department" xr10:uid="{3D11C5CB-A3A8-4610-A775-1EE9EA30D050}" cache="Slicer_Department" caption="Depart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AFBC5E0-3F2E-411A-8197-0E98DE31A3A9}" cache="Slicer_Gender" caption="Gender" rowHeight="288000"/>
  <slicer name="Employment Status 2" xr10:uid="{80A995A3-3063-4B46-9492-40378168BA63}" cache="Slicer_Employment_Status1" caption="Employment Status" rowHeight="288000"/>
  <slicer name="Department 2" xr10:uid="{9E23CCD6-9D8C-49CB-89CB-E83C6D5A1BC6}" cache="Slicer_Department" caption="Department" columnCount="7"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EE0A4C-3EEA-4119-B4DD-7797D368A670}" name="Human_Resources_2015_2024_1" displayName="Human_Resources_2015_2024_1" ref="A1:N967" tableType="queryTable" totalsRowShown="0" headerRowDxfId="23" dataDxfId="22">
  <autoFilter ref="A1:N967" xr:uid="{7CEE0A4C-3EEA-4119-B4DD-7797D368A670}"/>
  <tableColumns count="14">
    <tableColumn id="1" xr3:uid="{AC84091B-4BFC-46C8-9448-A65D46172D01}" uniqueName="1" name="Employee_ID" queryTableFieldId="1" dataDxfId="21"/>
    <tableColumn id="2" xr3:uid="{96333973-9E5C-4DFC-A282-0F8001BC484F}" uniqueName="2" name="First Name" queryTableFieldId="2" dataDxfId="20"/>
    <tableColumn id="3" xr3:uid="{690BDE93-1ABF-424D-8856-D92CF8122D18}" uniqueName="3" name="Last Name" queryTableFieldId="3" dataDxfId="19"/>
    <tableColumn id="4" xr3:uid="{7394A74B-04E3-44BF-A55A-98A0295C875C}" uniqueName="4" name="Gender" queryTableFieldId="4" dataDxfId="18"/>
    <tableColumn id="5" xr3:uid="{DEF047F4-164E-4311-8C96-7C6AFB4D56D1}" uniqueName="5" name="State" queryTableFieldId="5" dataDxfId="17"/>
    <tableColumn id="6" xr3:uid="{34E2DCB6-6EF6-491B-822F-7B18D9181967}" uniqueName="6" name="City" queryTableFieldId="6" dataDxfId="16"/>
    <tableColumn id="7" xr3:uid="{60AC9CC0-9F5B-4E33-824B-E341857502A3}" uniqueName="7" name="Education Level" queryTableFieldId="7" dataDxfId="15"/>
    <tableColumn id="8" xr3:uid="{B90FF6D3-5BEE-4404-BC35-7DF3E9546285}" uniqueName="8" name="Birthdate" queryTableFieldId="8" dataDxfId="14"/>
    <tableColumn id="9" xr3:uid="{E4B58869-2F80-4329-895B-06BE15E29EC4}" uniqueName="9" name="Hiredate" queryTableFieldId="9" dataDxfId="13"/>
    <tableColumn id="10" xr3:uid="{6C755C29-ED84-4A36-8677-FA64DC7DDAB3}" uniqueName="10" name="Termdate" queryTableFieldId="10" dataDxfId="12"/>
    <tableColumn id="11" xr3:uid="{F776F342-CE86-4FF3-987C-EE8FE63A696B}" uniqueName="11" name="Department" queryTableFieldId="11" dataDxfId="11"/>
    <tableColumn id="12" xr3:uid="{B5EF4F92-BAF1-4AA4-89CD-26795BF44071}" uniqueName="12" name="Job Title" queryTableFieldId="12" dataDxfId="10"/>
    <tableColumn id="13" xr3:uid="{C8B88079-AB17-40F5-AF31-546A0D725352}" uniqueName="13" name="Salary" queryTableFieldId="13" dataDxfId="9"/>
    <tableColumn id="14" xr3:uid="{A31A1C06-0199-4A03-95FA-77EA9497CC2F}" uniqueName="14" name="Performance Rating" queryTableFieldId="14" dataDxf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125A9B-2329-41A8-A85D-83BB9F0FC355}" name="Table4" displayName="Table4" ref="O1:R8951" totalsRowShown="0" headerRowDxfId="7" dataDxfId="5" headerRowBorderDxfId="6" tableBorderDxfId="4" dataCellStyle="Normal">
  <autoFilter ref="O1:R8951" xr:uid="{65125A9B-2329-41A8-A85D-83BB9F0FC355}"/>
  <tableColumns count="4">
    <tableColumn id="2" xr3:uid="{C1EED1E9-5376-40E1-B02D-12ABC3CAD394}" name="Tenure (Years)" dataDxfId="3" dataCellStyle="Normal"/>
    <tableColumn id="3" xr3:uid="{01D77973-084F-4DD3-BCE9-0CFAEC5D40B3}" name="Employment Status" dataDxfId="2" dataCellStyle="Normal"/>
    <tableColumn id="4" xr3:uid="{B95F776B-9450-42A0-A6F0-19D2EBA5A4E3}" name="AGE" dataDxfId="1" dataCellStyle="Normal">
      <calculatedColumnFormula>DATEDIF(H2, TODAY(), "Y")</calculatedColumnFormula>
    </tableColumn>
    <tableColumn id="5" xr3:uid="{768EEF92-D01E-4A8A-85B8-20FBFBB04397}" name="Salary Distribution Level" dataDxfId="0" dataCellStyle="Normal">
      <calculatedColumnFormula>IF(M2:M20&gt;100000,"High",IF(M2:M25&gt;60000,"Medium","Low"))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7135-B7C2-4DA4-AAE4-206CA506C4BE}">
  <dimension ref="A3:B9"/>
  <sheetViews>
    <sheetView workbookViewId="0">
      <selection activeCell="B3" sqref="B3"/>
    </sheetView>
  </sheetViews>
  <sheetFormatPr defaultRowHeight="14.4" x14ac:dyDescent="0.3"/>
  <cols>
    <col min="1" max="1" width="15.21875" bestFit="1" customWidth="1"/>
    <col min="2" max="2" width="20.109375" bestFit="1" customWidth="1"/>
  </cols>
  <sheetData>
    <row r="3" spans="1:2" x14ac:dyDescent="0.3">
      <c r="A3" s="12" t="s">
        <v>1863</v>
      </c>
      <c r="B3" t="s">
        <v>1865</v>
      </c>
    </row>
    <row r="4" spans="1:2" x14ac:dyDescent="0.3">
      <c r="A4" s="13" t="s">
        <v>94</v>
      </c>
      <c r="B4">
        <v>201</v>
      </c>
    </row>
    <row r="5" spans="1:2" x14ac:dyDescent="0.3">
      <c r="A5" s="13" t="s">
        <v>37</v>
      </c>
      <c r="B5">
        <v>289</v>
      </c>
    </row>
    <row r="6" spans="1:2" x14ac:dyDescent="0.3">
      <c r="A6" s="13" t="s">
        <v>65</v>
      </c>
      <c r="B6">
        <v>70</v>
      </c>
    </row>
    <row r="7" spans="1:2" x14ac:dyDescent="0.3">
      <c r="A7" s="13" t="s">
        <v>31</v>
      </c>
      <c r="B7">
        <v>139</v>
      </c>
    </row>
    <row r="8" spans="1:2" x14ac:dyDescent="0.3">
      <c r="A8" s="13" t="s">
        <v>21</v>
      </c>
      <c r="B8">
        <v>184</v>
      </c>
    </row>
    <row r="9" spans="1:2" x14ac:dyDescent="0.3">
      <c r="A9" s="13" t="s">
        <v>1864</v>
      </c>
      <c r="B9">
        <v>883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57084-B993-4069-B172-C139B54D4AA4}">
  <dimension ref="A3:B6"/>
  <sheetViews>
    <sheetView workbookViewId="0">
      <selection activeCell="A5" sqref="A4:A5"/>
    </sheetView>
  </sheetViews>
  <sheetFormatPr defaultRowHeight="14.4" x14ac:dyDescent="0.3"/>
  <cols>
    <col min="1" max="1" width="12.5546875" bestFit="1" customWidth="1"/>
    <col min="2" max="2" width="9.33203125" bestFit="1" customWidth="1"/>
  </cols>
  <sheetData>
    <row r="3" spans="1:2" x14ac:dyDescent="0.3">
      <c r="A3" s="12" t="s">
        <v>1863</v>
      </c>
      <c r="B3" t="s">
        <v>1866</v>
      </c>
    </row>
    <row r="4" spans="1:2" x14ac:dyDescent="0.3">
      <c r="A4" s="13" t="s">
        <v>17</v>
      </c>
      <c r="B4">
        <v>456</v>
      </c>
    </row>
    <row r="5" spans="1:2" x14ac:dyDescent="0.3">
      <c r="A5" s="13" t="s">
        <v>27</v>
      </c>
      <c r="B5">
        <v>510</v>
      </c>
    </row>
    <row r="6" spans="1:2" x14ac:dyDescent="0.3">
      <c r="A6" s="13" t="s">
        <v>1864</v>
      </c>
      <c r="B6">
        <v>966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5DC04-2CFB-408A-A7E1-AE4881E7C419}">
  <dimension ref="A3:E14"/>
  <sheetViews>
    <sheetView workbookViewId="0">
      <selection activeCell="E3" sqref="E3"/>
    </sheetView>
  </sheetViews>
  <sheetFormatPr defaultRowHeight="14.4" x14ac:dyDescent="0.3"/>
  <cols>
    <col min="1" max="1" width="12.5546875" bestFit="1" customWidth="1"/>
    <col min="2" max="2" width="9.33203125" bestFit="1" customWidth="1"/>
    <col min="4" max="4" width="12.5546875" bestFit="1" customWidth="1"/>
    <col min="5" max="5" width="9.33203125" bestFit="1" customWidth="1"/>
  </cols>
  <sheetData>
    <row r="3" spans="1:5" x14ac:dyDescent="0.3">
      <c r="A3" s="12" t="s">
        <v>1863</v>
      </c>
      <c r="B3" t="s">
        <v>1866</v>
      </c>
      <c r="D3" s="12" t="s">
        <v>1863</v>
      </c>
      <c r="E3" t="s">
        <v>1866</v>
      </c>
    </row>
    <row r="4" spans="1:5" x14ac:dyDescent="0.3">
      <c r="A4" s="13" t="s">
        <v>1867</v>
      </c>
      <c r="B4">
        <v>42</v>
      </c>
      <c r="D4" s="13" t="s">
        <v>1867</v>
      </c>
      <c r="E4">
        <v>1</v>
      </c>
    </row>
    <row r="5" spans="1:5" x14ac:dyDescent="0.3">
      <c r="A5" s="13" t="s">
        <v>1868</v>
      </c>
      <c r="B5">
        <v>76</v>
      </c>
      <c r="D5" s="13" t="s">
        <v>1868</v>
      </c>
      <c r="E5">
        <v>11</v>
      </c>
    </row>
    <row r="6" spans="1:5" x14ac:dyDescent="0.3">
      <c r="A6" s="13" t="s">
        <v>1869</v>
      </c>
      <c r="B6">
        <v>205</v>
      </c>
      <c r="D6" s="13" t="s">
        <v>1869</v>
      </c>
      <c r="E6">
        <v>8</v>
      </c>
    </row>
    <row r="7" spans="1:5" x14ac:dyDescent="0.3">
      <c r="A7" s="13" t="s">
        <v>1870</v>
      </c>
      <c r="B7">
        <v>141</v>
      </c>
      <c r="D7" s="13" t="s">
        <v>1870</v>
      </c>
      <c r="E7">
        <v>120</v>
      </c>
    </row>
    <row r="8" spans="1:5" x14ac:dyDescent="0.3">
      <c r="A8" s="13" t="s">
        <v>1871</v>
      </c>
      <c r="B8">
        <v>98</v>
      </c>
      <c r="D8" s="13" t="s">
        <v>1871</v>
      </c>
      <c r="E8">
        <v>125</v>
      </c>
    </row>
    <row r="9" spans="1:5" x14ac:dyDescent="0.3">
      <c r="A9" s="13" t="s">
        <v>1872</v>
      </c>
      <c r="B9">
        <v>110</v>
      </c>
      <c r="D9" s="13" t="s">
        <v>1872</v>
      </c>
      <c r="E9">
        <v>98</v>
      </c>
    </row>
    <row r="10" spans="1:5" x14ac:dyDescent="0.3">
      <c r="A10" s="13" t="s">
        <v>1873</v>
      </c>
      <c r="B10">
        <v>40</v>
      </c>
      <c r="D10" s="13" t="s">
        <v>1873</v>
      </c>
      <c r="E10">
        <v>162</v>
      </c>
    </row>
    <row r="11" spans="1:5" x14ac:dyDescent="0.3">
      <c r="A11" s="13" t="s">
        <v>1874</v>
      </c>
      <c r="B11">
        <v>135</v>
      </c>
      <c r="D11" s="13" t="s">
        <v>1874</v>
      </c>
      <c r="E11">
        <v>125</v>
      </c>
    </row>
    <row r="12" spans="1:5" x14ac:dyDescent="0.3">
      <c r="A12" s="13" t="s">
        <v>1875</v>
      </c>
      <c r="B12">
        <v>67</v>
      </c>
      <c r="D12" s="13" t="s">
        <v>1875</v>
      </c>
      <c r="E12">
        <v>174</v>
      </c>
    </row>
    <row r="13" spans="1:5" x14ac:dyDescent="0.3">
      <c r="A13" s="13" t="s">
        <v>1876</v>
      </c>
      <c r="B13">
        <v>52</v>
      </c>
      <c r="D13" s="13" t="s">
        <v>1876</v>
      </c>
      <c r="E13">
        <v>142</v>
      </c>
    </row>
    <row r="14" spans="1:5" x14ac:dyDescent="0.3">
      <c r="A14" s="13" t="s">
        <v>1864</v>
      </c>
      <c r="B14">
        <v>966</v>
      </c>
      <c r="D14" s="13" t="s">
        <v>1864</v>
      </c>
      <c r="E14">
        <v>966</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2BF11-425F-4566-B23E-86F5B3DE3901}">
  <dimension ref="A3:B11"/>
  <sheetViews>
    <sheetView workbookViewId="0">
      <selection activeCell="A6" sqref="A4:A10"/>
      <pivotSelection pane="bottomRight" showHeader="1" axis="axisRow" activeRow="5" previousRow="5" click="1" r:id="rId1">
        <pivotArea dataOnly="0" labelOnly="1" fieldPosition="0">
          <references count="1">
            <reference field="10" count="0"/>
          </references>
        </pivotArea>
      </pivotSelection>
    </sheetView>
  </sheetViews>
  <sheetFormatPr defaultRowHeight="14.4" x14ac:dyDescent="0.3"/>
  <cols>
    <col min="1" max="1" width="15.21875" bestFit="1" customWidth="1"/>
    <col min="2" max="2" width="9" bestFit="1" customWidth="1"/>
  </cols>
  <sheetData>
    <row r="3" spans="1:2" x14ac:dyDescent="0.3">
      <c r="A3" s="12" t="s">
        <v>1863</v>
      </c>
      <c r="B3" t="s">
        <v>1877</v>
      </c>
    </row>
    <row r="4" spans="1:2" x14ac:dyDescent="0.3">
      <c r="A4" s="13" t="s">
        <v>21</v>
      </c>
      <c r="B4">
        <v>12108601</v>
      </c>
    </row>
    <row r="5" spans="1:2" x14ac:dyDescent="0.3">
      <c r="A5" s="13" t="s">
        <v>51</v>
      </c>
      <c r="B5">
        <v>4732280</v>
      </c>
    </row>
    <row r="6" spans="1:2" x14ac:dyDescent="0.3">
      <c r="A6" s="13" t="s">
        <v>70</v>
      </c>
      <c r="B6">
        <v>1268658</v>
      </c>
    </row>
    <row r="7" spans="1:2" x14ac:dyDescent="0.3">
      <c r="A7" s="13" t="s">
        <v>31</v>
      </c>
      <c r="B7">
        <v>11475257</v>
      </c>
    </row>
    <row r="8" spans="1:2" x14ac:dyDescent="0.3">
      <c r="A8" s="13" t="s">
        <v>65</v>
      </c>
      <c r="B8">
        <v>4887501</v>
      </c>
    </row>
    <row r="9" spans="1:2" x14ac:dyDescent="0.3">
      <c r="A9" s="13" t="s">
        <v>37</v>
      </c>
      <c r="B9">
        <v>18749191</v>
      </c>
    </row>
    <row r="10" spans="1:2" x14ac:dyDescent="0.3">
      <c r="A10" s="13" t="s">
        <v>94</v>
      </c>
      <c r="B10">
        <v>15436884</v>
      </c>
    </row>
    <row r="11" spans="1:2" x14ac:dyDescent="0.3">
      <c r="A11" s="13" t="s">
        <v>1864</v>
      </c>
      <c r="B11">
        <v>68658372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7ADF0-73E2-49FE-B6B8-68DA2C46F27A}">
  <dimension ref="A3:J24"/>
  <sheetViews>
    <sheetView workbookViewId="0">
      <selection activeCell="A5" sqref="A5"/>
    </sheetView>
  </sheetViews>
  <sheetFormatPr defaultRowHeight="14.4" x14ac:dyDescent="0.3"/>
  <cols>
    <col min="1" max="1" width="17.77734375" bestFit="1" customWidth="1"/>
    <col min="2" max="2" width="9.33203125" bestFit="1" customWidth="1"/>
  </cols>
  <sheetData>
    <row r="3" spans="1:10" x14ac:dyDescent="0.3">
      <c r="A3" s="12" t="s">
        <v>1863</v>
      </c>
      <c r="B3" t="s">
        <v>1866</v>
      </c>
    </row>
    <row r="4" spans="1:10" x14ac:dyDescent="0.3">
      <c r="A4" s="13" t="s">
        <v>96</v>
      </c>
      <c r="B4">
        <v>234</v>
      </c>
    </row>
    <row r="5" spans="1:10" x14ac:dyDescent="0.3">
      <c r="A5" s="13" t="s">
        <v>33</v>
      </c>
      <c r="B5">
        <v>362</v>
      </c>
    </row>
    <row r="6" spans="1:10" x14ac:dyDescent="0.3">
      <c r="A6" s="13" t="s">
        <v>23</v>
      </c>
      <c r="B6">
        <v>205</v>
      </c>
    </row>
    <row r="7" spans="1:10" x14ac:dyDescent="0.3">
      <c r="A7" s="13" t="s">
        <v>44</v>
      </c>
      <c r="B7">
        <v>165</v>
      </c>
      <c r="H7" s="3"/>
      <c r="I7" s="4"/>
      <c r="J7" s="5"/>
    </row>
    <row r="8" spans="1:10" x14ac:dyDescent="0.3">
      <c r="A8" s="13" t="s">
        <v>1864</v>
      </c>
      <c r="B8">
        <v>966</v>
      </c>
      <c r="H8" s="6"/>
      <c r="I8" s="7"/>
      <c r="J8" s="8"/>
    </row>
    <row r="9" spans="1:10" x14ac:dyDescent="0.3">
      <c r="H9" s="6"/>
      <c r="I9" s="7"/>
      <c r="J9" s="8"/>
    </row>
    <row r="10" spans="1:10" x14ac:dyDescent="0.3">
      <c r="H10" s="6"/>
      <c r="I10" s="7"/>
      <c r="J10" s="8"/>
    </row>
    <row r="11" spans="1:10" x14ac:dyDescent="0.3">
      <c r="H11" s="6"/>
      <c r="I11" s="7"/>
      <c r="J11" s="8"/>
    </row>
    <row r="12" spans="1:10" x14ac:dyDescent="0.3">
      <c r="H12" s="6"/>
      <c r="I12" s="7"/>
      <c r="J12" s="8"/>
    </row>
    <row r="13" spans="1:10" x14ac:dyDescent="0.3">
      <c r="H13" s="6"/>
      <c r="I13" s="7"/>
      <c r="J13" s="8"/>
    </row>
    <row r="14" spans="1:10" x14ac:dyDescent="0.3">
      <c r="H14" s="6"/>
      <c r="I14" s="7"/>
      <c r="J14" s="8"/>
    </row>
    <row r="15" spans="1:10" x14ac:dyDescent="0.3">
      <c r="H15" s="6"/>
      <c r="I15" s="7"/>
      <c r="J15" s="8"/>
    </row>
    <row r="16" spans="1:10" x14ac:dyDescent="0.3">
      <c r="H16" s="6"/>
      <c r="I16" s="7"/>
      <c r="J16" s="8"/>
    </row>
    <row r="17" spans="8:10" x14ac:dyDescent="0.3">
      <c r="H17" s="6"/>
      <c r="I17" s="7"/>
      <c r="J17" s="8"/>
    </row>
    <row r="18" spans="8:10" x14ac:dyDescent="0.3">
      <c r="H18" s="6"/>
      <c r="I18" s="7"/>
      <c r="J18" s="8"/>
    </row>
    <row r="19" spans="8:10" x14ac:dyDescent="0.3">
      <c r="H19" s="6"/>
      <c r="I19" s="7"/>
      <c r="J19" s="8"/>
    </row>
    <row r="20" spans="8:10" x14ac:dyDescent="0.3">
      <c r="H20" s="6"/>
      <c r="I20" s="7"/>
      <c r="J20" s="8"/>
    </row>
    <row r="21" spans="8:10" x14ac:dyDescent="0.3">
      <c r="H21" s="6"/>
      <c r="I21" s="7"/>
      <c r="J21" s="8"/>
    </row>
    <row r="22" spans="8:10" x14ac:dyDescent="0.3">
      <c r="H22" s="6"/>
      <c r="I22" s="7"/>
      <c r="J22" s="8"/>
    </row>
    <row r="23" spans="8:10" x14ac:dyDescent="0.3">
      <c r="H23" s="6"/>
      <c r="I23" s="7"/>
      <c r="J23" s="8"/>
    </row>
    <row r="24" spans="8:10" x14ac:dyDescent="0.3">
      <c r="H24" s="9"/>
      <c r="I24" s="10"/>
      <c r="J24" s="1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FA0AD-371F-4D43-B695-DA5DF7AFAE20}">
  <dimension ref="A3:B11"/>
  <sheetViews>
    <sheetView workbookViewId="0">
      <selection activeCell="F9" sqref="F9"/>
    </sheetView>
  </sheetViews>
  <sheetFormatPr defaultRowHeight="14.4" x14ac:dyDescent="0.3"/>
  <cols>
    <col min="1" max="1" width="15.21875" bestFit="1" customWidth="1"/>
    <col min="2" max="2" width="15.77734375" bestFit="1" customWidth="1"/>
  </cols>
  <sheetData>
    <row r="3" spans="1:2" x14ac:dyDescent="0.3">
      <c r="A3" s="12" t="s">
        <v>1863</v>
      </c>
      <c r="B3" t="s">
        <v>1886</v>
      </c>
    </row>
    <row r="4" spans="1:2" x14ac:dyDescent="0.3">
      <c r="A4" s="13" t="s">
        <v>21</v>
      </c>
      <c r="B4">
        <v>65807.614130434784</v>
      </c>
    </row>
    <row r="5" spans="1:2" x14ac:dyDescent="0.3">
      <c r="A5" s="13" t="s">
        <v>51</v>
      </c>
      <c r="B5">
        <v>75115.555555555562</v>
      </c>
    </row>
    <row r="6" spans="1:2" x14ac:dyDescent="0.3">
      <c r="A6" s="13" t="s">
        <v>70</v>
      </c>
      <c r="B6">
        <v>63432.9</v>
      </c>
    </row>
    <row r="7" spans="1:2" x14ac:dyDescent="0.3">
      <c r="A7" s="13" t="s">
        <v>31</v>
      </c>
      <c r="B7">
        <v>82555.80575539569</v>
      </c>
    </row>
    <row r="8" spans="1:2" x14ac:dyDescent="0.3">
      <c r="A8" s="13" t="s">
        <v>65</v>
      </c>
      <c r="B8">
        <v>69821.442857142858</v>
      </c>
    </row>
    <row r="9" spans="1:2" x14ac:dyDescent="0.3">
      <c r="A9" s="13" t="s">
        <v>37</v>
      </c>
      <c r="B9">
        <v>64876.093425605533</v>
      </c>
    </row>
    <row r="10" spans="1:2" x14ac:dyDescent="0.3">
      <c r="A10" s="13" t="s">
        <v>94</v>
      </c>
      <c r="B10">
        <v>76800.417910447766</v>
      </c>
    </row>
    <row r="11" spans="1:2" x14ac:dyDescent="0.3">
      <c r="A11" s="13" t="s">
        <v>1864</v>
      </c>
      <c r="B11">
        <v>71074.91925465838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55CD8-AF21-4A46-B8EB-7D7614DA015B}">
  <dimension ref="A3:B13"/>
  <sheetViews>
    <sheetView topLeftCell="A6" workbookViewId="0">
      <selection activeCell="O23" sqref="O23"/>
    </sheetView>
  </sheetViews>
  <sheetFormatPr defaultRowHeight="14.4" x14ac:dyDescent="0.3"/>
  <cols>
    <col min="1" max="1" width="12.5546875" bestFit="1" customWidth="1"/>
    <col min="2" max="2" width="9.33203125" bestFit="1" customWidth="1"/>
    <col min="3" max="14" width="4" bestFit="1" customWidth="1"/>
    <col min="15" max="15" width="5" bestFit="1" customWidth="1"/>
    <col min="16" max="17" width="4" bestFit="1" customWidth="1"/>
    <col min="18" max="18" width="5" bestFit="1" customWidth="1"/>
    <col min="19" max="19" width="4" bestFit="1" customWidth="1"/>
    <col min="20" max="21" width="5" bestFit="1" customWidth="1"/>
    <col min="22" max="22" width="4" bestFit="1" customWidth="1"/>
    <col min="23" max="27" width="5" bestFit="1" customWidth="1"/>
    <col min="28" max="28" width="4" bestFit="1" customWidth="1"/>
    <col min="29" max="29" width="5" bestFit="1" customWidth="1"/>
    <col min="30" max="30" width="4" bestFit="1" customWidth="1"/>
    <col min="31" max="31" width="5" bestFit="1" customWidth="1"/>
    <col min="32" max="32" width="4" bestFit="1" customWidth="1"/>
    <col min="33" max="37" width="5" bestFit="1" customWidth="1"/>
    <col min="38" max="38" width="3" bestFit="1" customWidth="1"/>
    <col min="39" max="47" width="4" bestFit="1" customWidth="1"/>
    <col min="48" max="48" width="10.77734375" bestFit="1" customWidth="1"/>
    <col min="49" max="78" width="9.44140625" bestFit="1" customWidth="1"/>
    <col min="79" max="79" width="12.109375" bestFit="1" customWidth="1"/>
    <col min="80" max="96" width="5.33203125" bestFit="1" customWidth="1"/>
    <col min="97" max="97" width="8" bestFit="1" customWidth="1"/>
    <col min="98" max="140" width="4.5546875" bestFit="1" customWidth="1"/>
    <col min="141" max="141" width="7.21875" bestFit="1" customWidth="1"/>
    <col min="142" max="174" width="11.6640625" bestFit="1" customWidth="1"/>
    <col min="175" max="175" width="14.44140625" bestFit="1" customWidth="1"/>
    <col min="176" max="219" width="12.21875" bestFit="1" customWidth="1"/>
    <col min="220" max="220" width="15" bestFit="1" customWidth="1"/>
    <col min="221" max="264" width="7.21875" bestFit="1" customWidth="1"/>
    <col min="265" max="265" width="9.88671875" bestFit="1" customWidth="1"/>
    <col min="266" max="266" width="10.77734375" bestFit="1" customWidth="1"/>
  </cols>
  <sheetData>
    <row r="3" spans="1:2" x14ac:dyDescent="0.3">
      <c r="A3" s="12" t="s">
        <v>1863</v>
      </c>
      <c r="B3" t="s">
        <v>1866</v>
      </c>
    </row>
    <row r="4" spans="1:2" x14ac:dyDescent="0.3">
      <c r="A4" s="13" t="s">
        <v>1890</v>
      </c>
      <c r="B4">
        <v>87</v>
      </c>
    </row>
    <row r="5" spans="1:2" x14ac:dyDescent="0.3">
      <c r="A5" s="13" t="s">
        <v>1891</v>
      </c>
      <c r="B5">
        <v>113</v>
      </c>
    </row>
    <row r="6" spans="1:2" x14ac:dyDescent="0.3">
      <c r="A6" s="13" t="s">
        <v>1892</v>
      </c>
      <c r="B6">
        <v>122</v>
      </c>
    </row>
    <row r="7" spans="1:2" x14ac:dyDescent="0.3">
      <c r="A7" s="13" t="s">
        <v>1893</v>
      </c>
      <c r="B7">
        <v>131</v>
      </c>
    </row>
    <row r="8" spans="1:2" x14ac:dyDescent="0.3">
      <c r="A8" s="13" t="s">
        <v>1894</v>
      </c>
      <c r="B8">
        <v>155</v>
      </c>
    </row>
    <row r="9" spans="1:2" x14ac:dyDescent="0.3">
      <c r="A9" s="13" t="s">
        <v>1895</v>
      </c>
      <c r="B9">
        <v>115</v>
      </c>
    </row>
    <row r="10" spans="1:2" x14ac:dyDescent="0.3">
      <c r="A10" s="13" t="s">
        <v>1896</v>
      </c>
      <c r="B10">
        <v>115</v>
      </c>
    </row>
    <row r="11" spans="1:2" x14ac:dyDescent="0.3">
      <c r="A11" s="13" t="s">
        <v>1897</v>
      </c>
      <c r="B11">
        <v>63</v>
      </c>
    </row>
    <row r="12" spans="1:2" x14ac:dyDescent="0.3">
      <c r="A12" s="13" t="s">
        <v>1898</v>
      </c>
      <c r="B12">
        <v>65</v>
      </c>
    </row>
    <row r="13" spans="1:2" x14ac:dyDescent="0.3">
      <c r="A13" s="13" t="s">
        <v>1864</v>
      </c>
      <c r="B13">
        <v>966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9E693-ABE3-4350-AB87-E3974EEBF74E}">
  <dimension ref="A1:Q290"/>
  <sheetViews>
    <sheetView workbookViewId="0">
      <selection activeCell="O17" sqref="O17"/>
    </sheetView>
  </sheetViews>
  <sheetFormatPr defaultRowHeight="14.4" x14ac:dyDescent="0.3"/>
  <cols>
    <col min="11" max="11" width="17.6640625" bestFit="1" customWidth="1"/>
    <col min="12" max="12" width="12" bestFit="1" customWidth="1"/>
    <col min="13" max="13" width="9" bestFit="1" customWidth="1"/>
    <col min="14" max="17" width="12" bestFit="1" customWidth="1"/>
  </cols>
  <sheetData>
    <row r="1" spans="1:17" x14ac:dyDescent="0.3">
      <c r="A1" s="25" t="s">
        <v>21</v>
      </c>
      <c r="B1" s="25" t="s">
        <v>51</v>
      </c>
      <c r="C1" s="25" t="s">
        <v>70</v>
      </c>
      <c r="D1" s="25" t="s">
        <v>31</v>
      </c>
      <c r="E1" s="25" t="s">
        <v>65</v>
      </c>
      <c r="F1" s="25" t="s">
        <v>37</v>
      </c>
      <c r="G1" s="25" t="s">
        <v>94</v>
      </c>
    </row>
    <row r="2" spans="1:17" x14ac:dyDescent="0.3">
      <c r="A2">
        <v>81552</v>
      </c>
      <c r="B2">
        <v>68181</v>
      </c>
      <c r="C2">
        <v>61651</v>
      </c>
      <c r="D2">
        <v>107520</v>
      </c>
      <c r="E2">
        <v>83262</v>
      </c>
      <c r="F2">
        <v>61104</v>
      </c>
      <c r="G2">
        <v>104162</v>
      </c>
      <c r="K2" t="s">
        <v>1926</v>
      </c>
    </row>
    <row r="3" spans="1:17" x14ac:dyDescent="0.3">
      <c r="A3">
        <v>67011</v>
      </c>
      <c r="B3">
        <v>54499</v>
      </c>
      <c r="C3">
        <v>63666</v>
      </c>
      <c r="D3">
        <v>60136</v>
      </c>
      <c r="E3">
        <v>78184</v>
      </c>
      <c r="F3">
        <v>73770</v>
      </c>
      <c r="G3">
        <v>84046</v>
      </c>
    </row>
    <row r="4" spans="1:17" ht="15" thickBot="1" x14ac:dyDescent="0.35">
      <c r="A4">
        <v>63873</v>
      </c>
      <c r="B4">
        <v>71339</v>
      </c>
      <c r="C4">
        <v>65797</v>
      </c>
      <c r="D4">
        <v>66250</v>
      </c>
      <c r="E4">
        <v>88887</v>
      </c>
      <c r="F4">
        <v>73800</v>
      </c>
      <c r="G4">
        <v>69318</v>
      </c>
      <c r="K4" t="s">
        <v>1927</v>
      </c>
    </row>
    <row r="5" spans="1:17" x14ac:dyDescent="0.3">
      <c r="A5">
        <v>61729</v>
      </c>
      <c r="B5">
        <v>71404</v>
      </c>
      <c r="C5">
        <v>58119</v>
      </c>
      <c r="D5">
        <v>84205</v>
      </c>
      <c r="E5">
        <v>52954</v>
      </c>
      <c r="F5">
        <v>57340</v>
      </c>
      <c r="G5">
        <v>99002</v>
      </c>
      <c r="K5" s="20" t="s">
        <v>1928</v>
      </c>
      <c r="L5" s="20" t="s">
        <v>1929</v>
      </c>
      <c r="M5" s="20" t="s">
        <v>1930</v>
      </c>
      <c r="N5" s="20" t="s">
        <v>1931</v>
      </c>
      <c r="O5" s="20" t="s">
        <v>1932</v>
      </c>
    </row>
    <row r="6" spans="1:17" x14ac:dyDescent="0.3">
      <c r="A6">
        <v>58697</v>
      </c>
      <c r="B6">
        <v>54093</v>
      </c>
      <c r="C6">
        <v>61927</v>
      </c>
      <c r="D6">
        <v>58445</v>
      </c>
      <c r="E6">
        <v>81253</v>
      </c>
      <c r="F6">
        <v>54065</v>
      </c>
      <c r="G6">
        <v>71110</v>
      </c>
      <c r="K6" t="s">
        <v>21</v>
      </c>
      <c r="L6">
        <v>184</v>
      </c>
      <c r="M6">
        <v>12108601</v>
      </c>
      <c r="N6">
        <v>65807.614130434784</v>
      </c>
      <c r="O6">
        <v>83801509.866684541</v>
      </c>
    </row>
    <row r="7" spans="1:17" x14ac:dyDescent="0.3">
      <c r="A7">
        <v>68635</v>
      </c>
      <c r="B7">
        <v>95124</v>
      </c>
      <c r="C7">
        <v>70789</v>
      </c>
      <c r="D7">
        <v>96947</v>
      </c>
      <c r="E7">
        <v>65108</v>
      </c>
      <c r="F7">
        <v>75509</v>
      </c>
      <c r="G7">
        <v>67953</v>
      </c>
      <c r="K7" t="s">
        <v>51</v>
      </c>
      <c r="L7">
        <v>63</v>
      </c>
      <c r="M7">
        <v>4732280</v>
      </c>
      <c r="N7">
        <v>75115.555555555562</v>
      </c>
      <c r="O7">
        <v>222855349.92831519</v>
      </c>
    </row>
    <row r="8" spans="1:17" x14ac:dyDescent="0.3">
      <c r="A8">
        <v>66218</v>
      </c>
      <c r="B8">
        <v>76564</v>
      </c>
      <c r="C8">
        <v>53320</v>
      </c>
      <c r="D8">
        <v>103756</v>
      </c>
      <c r="E8">
        <v>59137</v>
      </c>
      <c r="F8">
        <v>67552</v>
      </c>
      <c r="G8">
        <v>77156</v>
      </c>
      <c r="K8" t="s">
        <v>70</v>
      </c>
      <c r="L8">
        <v>20</v>
      </c>
      <c r="M8">
        <v>1268658</v>
      </c>
      <c r="N8">
        <v>63432.9</v>
      </c>
      <c r="O8">
        <v>42666386.831578948</v>
      </c>
    </row>
    <row r="9" spans="1:17" x14ac:dyDescent="0.3">
      <c r="A9">
        <v>90880</v>
      </c>
      <c r="B9">
        <v>63056</v>
      </c>
      <c r="C9">
        <v>73946</v>
      </c>
      <c r="D9">
        <v>91896</v>
      </c>
      <c r="E9">
        <v>65358</v>
      </c>
      <c r="F9">
        <v>59934</v>
      </c>
      <c r="G9">
        <v>81038</v>
      </c>
      <c r="K9" t="s">
        <v>31</v>
      </c>
      <c r="L9">
        <v>139</v>
      </c>
      <c r="M9">
        <v>11475257</v>
      </c>
      <c r="N9">
        <v>82555.80575539569</v>
      </c>
      <c r="O9">
        <v>297706436.70837224</v>
      </c>
    </row>
    <row r="10" spans="1:17" x14ac:dyDescent="0.3">
      <c r="A10">
        <v>61403</v>
      </c>
      <c r="B10">
        <v>78616</v>
      </c>
      <c r="C10">
        <v>60533</v>
      </c>
      <c r="D10">
        <v>58331</v>
      </c>
      <c r="E10">
        <v>74811</v>
      </c>
      <c r="F10">
        <v>69163</v>
      </c>
      <c r="G10">
        <v>116328</v>
      </c>
      <c r="K10" t="s">
        <v>65</v>
      </c>
      <c r="L10">
        <v>70</v>
      </c>
      <c r="M10">
        <v>4887501</v>
      </c>
      <c r="N10">
        <v>69821.442857142858</v>
      </c>
      <c r="O10">
        <v>153976990.25031048</v>
      </c>
    </row>
    <row r="11" spans="1:17" x14ac:dyDescent="0.3">
      <c r="A11">
        <v>59179</v>
      </c>
      <c r="B11">
        <v>85555</v>
      </c>
      <c r="C11">
        <v>64537</v>
      </c>
      <c r="D11">
        <v>89897</v>
      </c>
      <c r="E11">
        <v>62224</v>
      </c>
      <c r="F11">
        <v>65830</v>
      </c>
      <c r="G11">
        <v>61534</v>
      </c>
      <c r="K11" t="s">
        <v>37</v>
      </c>
      <c r="L11">
        <v>289</v>
      </c>
      <c r="M11">
        <v>18749191</v>
      </c>
      <c r="N11">
        <v>64876.093425605533</v>
      </c>
      <c r="O11">
        <v>94495453.953047007</v>
      </c>
    </row>
    <row r="12" spans="1:17" ht="15" thickBot="1" x14ac:dyDescent="0.35">
      <c r="A12">
        <v>56922</v>
      </c>
      <c r="B12">
        <v>93475</v>
      </c>
      <c r="C12">
        <v>65022</v>
      </c>
      <c r="D12">
        <v>80501</v>
      </c>
      <c r="E12">
        <v>52939</v>
      </c>
      <c r="F12">
        <v>81316</v>
      </c>
      <c r="G12">
        <v>71142</v>
      </c>
      <c r="K12" s="19" t="s">
        <v>94</v>
      </c>
      <c r="L12" s="19">
        <v>201</v>
      </c>
      <c r="M12" s="19">
        <v>15436884</v>
      </c>
      <c r="N12" s="19">
        <v>76800.417910447766</v>
      </c>
      <c r="O12" s="19">
        <v>194479348.30447754</v>
      </c>
    </row>
    <row r="13" spans="1:17" x14ac:dyDescent="0.3">
      <c r="A13">
        <v>55038</v>
      </c>
      <c r="B13">
        <v>86731</v>
      </c>
      <c r="C13">
        <v>73461</v>
      </c>
      <c r="D13">
        <v>77267</v>
      </c>
      <c r="E13">
        <v>67857</v>
      </c>
      <c r="F13">
        <v>67437</v>
      </c>
      <c r="G13">
        <v>72859</v>
      </c>
    </row>
    <row r="14" spans="1:17" x14ac:dyDescent="0.3">
      <c r="A14">
        <v>58264</v>
      </c>
      <c r="B14">
        <v>95235</v>
      </c>
      <c r="C14">
        <v>62596</v>
      </c>
      <c r="D14">
        <v>92780</v>
      </c>
      <c r="E14">
        <v>73844</v>
      </c>
      <c r="F14">
        <v>67630</v>
      </c>
      <c r="G14">
        <v>93238</v>
      </c>
    </row>
    <row r="15" spans="1:17" ht="15" thickBot="1" x14ac:dyDescent="0.35">
      <c r="A15">
        <v>82441</v>
      </c>
      <c r="B15">
        <v>66590</v>
      </c>
      <c r="C15">
        <v>55146</v>
      </c>
      <c r="D15">
        <v>98297</v>
      </c>
      <c r="E15">
        <v>81450</v>
      </c>
      <c r="F15">
        <v>53898</v>
      </c>
      <c r="G15">
        <v>68345</v>
      </c>
      <c r="K15" t="s">
        <v>1909</v>
      </c>
    </row>
    <row r="16" spans="1:17" x14ac:dyDescent="0.3">
      <c r="A16">
        <v>63278</v>
      </c>
      <c r="B16">
        <v>71374</v>
      </c>
      <c r="C16">
        <v>59234</v>
      </c>
      <c r="D16">
        <v>57924</v>
      </c>
      <c r="E16">
        <v>58407</v>
      </c>
      <c r="F16">
        <v>56559</v>
      </c>
      <c r="G16">
        <v>94930</v>
      </c>
      <c r="K16" s="20" t="s">
        <v>1933</v>
      </c>
      <c r="L16" s="20" t="s">
        <v>1915</v>
      </c>
      <c r="M16" s="20" t="s">
        <v>1914</v>
      </c>
      <c r="N16" s="20" t="s">
        <v>1916</v>
      </c>
      <c r="O16" s="20" t="s">
        <v>1917</v>
      </c>
      <c r="P16" s="20" t="s">
        <v>1921</v>
      </c>
      <c r="Q16" s="20" t="s">
        <v>1934</v>
      </c>
    </row>
    <row r="17" spans="1:17" x14ac:dyDescent="0.3">
      <c r="A17">
        <v>52588</v>
      </c>
      <c r="B17">
        <v>61703</v>
      </c>
      <c r="C17">
        <v>72109</v>
      </c>
      <c r="D17">
        <v>73488</v>
      </c>
      <c r="E17">
        <v>55734</v>
      </c>
      <c r="F17">
        <v>63169</v>
      </c>
      <c r="G17">
        <v>65128</v>
      </c>
      <c r="K17" t="s">
        <v>1935</v>
      </c>
      <c r="L17">
        <v>43427262580.342834</v>
      </c>
      <c r="M17">
        <v>6</v>
      </c>
      <c r="N17">
        <v>7237877096.7238054</v>
      </c>
      <c r="O17">
        <v>46.968724907730596</v>
      </c>
      <c r="P17">
        <v>1.3547601693740216E-50</v>
      </c>
      <c r="Q17">
        <v>2.1080182675216563</v>
      </c>
    </row>
    <row r="18" spans="1:17" x14ac:dyDescent="0.3">
      <c r="A18">
        <v>64313</v>
      </c>
      <c r="B18">
        <v>107609</v>
      </c>
      <c r="C18">
        <v>61697</v>
      </c>
      <c r="D18">
        <v>94594</v>
      </c>
      <c r="E18">
        <v>52863</v>
      </c>
      <c r="F18">
        <v>58830</v>
      </c>
      <c r="G18">
        <v>69316</v>
      </c>
      <c r="K18" t="s">
        <v>1936</v>
      </c>
      <c r="L18">
        <v>147781830343.3587</v>
      </c>
      <c r="M18">
        <v>959</v>
      </c>
      <c r="N18">
        <v>154099927.36533755</v>
      </c>
    </row>
    <row r="19" spans="1:17" x14ac:dyDescent="0.3">
      <c r="A19">
        <v>63557</v>
      </c>
      <c r="B19">
        <v>65623</v>
      </c>
      <c r="C19">
        <v>54114</v>
      </c>
      <c r="D19">
        <v>68297</v>
      </c>
      <c r="E19">
        <v>72436</v>
      </c>
      <c r="F19">
        <v>67630</v>
      </c>
      <c r="G19">
        <v>79043</v>
      </c>
    </row>
    <row r="20" spans="1:17" ht="15" thickBot="1" x14ac:dyDescent="0.35">
      <c r="A20">
        <v>54770</v>
      </c>
      <c r="B20">
        <v>87620</v>
      </c>
      <c r="C20">
        <v>73592</v>
      </c>
      <c r="D20">
        <v>96606</v>
      </c>
      <c r="E20">
        <v>53525</v>
      </c>
      <c r="F20">
        <v>61574</v>
      </c>
      <c r="G20">
        <v>64372</v>
      </c>
      <c r="K20" s="19" t="s">
        <v>1912</v>
      </c>
      <c r="L20" s="19">
        <v>191209092923.70154</v>
      </c>
      <c r="M20" s="19">
        <v>965</v>
      </c>
      <c r="N20" s="19"/>
      <c r="O20" s="19"/>
      <c r="P20" s="19"/>
      <c r="Q20" s="19"/>
    </row>
    <row r="21" spans="1:17" x14ac:dyDescent="0.3">
      <c r="A21">
        <v>64438</v>
      </c>
      <c r="B21">
        <v>63065</v>
      </c>
      <c r="C21">
        <v>57402</v>
      </c>
      <c r="D21">
        <v>68344</v>
      </c>
      <c r="E21">
        <v>73622</v>
      </c>
      <c r="F21">
        <v>63227</v>
      </c>
      <c r="G21">
        <v>51865</v>
      </c>
    </row>
    <row r="22" spans="1:17" x14ac:dyDescent="0.3">
      <c r="A22">
        <v>82922</v>
      </c>
      <c r="B22">
        <v>74745</v>
      </c>
      <c r="D22">
        <v>91360</v>
      </c>
      <c r="E22">
        <v>63342</v>
      </c>
      <c r="F22">
        <v>64475</v>
      </c>
      <c r="G22">
        <v>114050</v>
      </c>
    </row>
    <row r="23" spans="1:17" x14ac:dyDescent="0.3">
      <c r="A23">
        <v>59676</v>
      </c>
      <c r="B23">
        <v>70513</v>
      </c>
      <c r="D23">
        <v>95493</v>
      </c>
      <c r="E23">
        <v>77963</v>
      </c>
      <c r="F23">
        <v>58713</v>
      </c>
      <c r="G23">
        <v>77283</v>
      </c>
    </row>
    <row r="24" spans="1:17" x14ac:dyDescent="0.3">
      <c r="A24">
        <v>63830</v>
      </c>
      <c r="B24">
        <v>61505</v>
      </c>
      <c r="D24">
        <v>91983</v>
      </c>
      <c r="E24">
        <v>77791</v>
      </c>
      <c r="F24">
        <v>71608</v>
      </c>
      <c r="G24">
        <v>75850</v>
      </c>
    </row>
    <row r="25" spans="1:17" x14ac:dyDescent="0.3">
      <c r="A25">
        <v>82965</v>
      </c>
      <c r="B25">
        <v>92292</v>
      </c>
      <c r="D25">
        <v>58120</v>
      </c>
      <c r="E25">
        <v>94659</v>
      </c>
      <c r="F25">
        <v>59423</v>
      </c>
      <c r="G25">
        <v>80131</v>
      </c>
    </row>
    <row r="26" spans="1:17" x14ac:dyDescent="0.3">
      <c r="A26">
        <v>64159</v>
      </c>
      <c r="B26">
        <v>61904</v>
      </c>
      <c r="D26">
        <v>94979</v>
      </c>
      <c r="E26">
        <v>76873</v>
      </c>
      <c r="F26">
        <v>64183</v>
      </c>
      <c r="G26">
        <v>88444</v>
      </c>
    </row>
    <row r="27" spans="1:17" x14ac:dyDescent="0.3">
      <c r="A27">
        <v>54580</v>
      </c>
      <c r="B27">
        <v>84689</v>
      </c>
      <c r="D27">
        <v>72411</v>
      </c>
      <c r="E27">
        <v>61924</v>
      </c>
      <c r="F27">
        <v>76824</v>
      </c>
      <c r="G27">
        <v>75303</v>
      </c>
    </row>
    <row r="28" spans="1:17" x14ac:dyDescent="0.3">
      <c r="A28">
        <v>63590</v>
      </c>
      <c r="B28">
        <v>61471</v>
      </c>
      <c r="D28">
        <v>102531</v>
      </c>
      <c r="E28">
        <v>64316</v>
      </c>
      <c r="F28">
        <v>60320</v>
      </c>
      <c r="G28">
        <v>65506</v>
      </c>
    </row>
    <row r="29" spans="1:17" x14ac:dyDescent="0.3">
      <c r="A29">
        <v>63956</v>
      </c>
      <c r="B29">
        <v>58656</v>
      </c>
      <c r="D29">
        <v>89816</v>
      </c>
      <c r="E29">
        <v>62882</v>
      </c>
      <c r="F29">
        <v>55060</v>
      </c>
      <c r="G29">
        <v>78643</v>
      </c>
    </row>
    <row r="30" spans="1:17" x14ac:dyDescent="0.3">
      <c r="A30">
        <v>53458</v>
      </c>
      <c r="B30">
        <v>59789</v>
      </c>
      <c r="D30">
        <v>55096</v>
      </c>
      <c r="E30">
        <v>56797</v>
      </c>
      <c r="F30">
        <v>82834</v>
      </c>
      <c r="G30">
        <v>66358</v>
      </c>
    </row>
    <row r="31" spans="1:17" x14ac:dyDescent="0.3">
      <c r="A31">
        <v>67027</v>
      </c>
      <c r="B31">
        <v>71440</v>
      </c>
      <c r="D31">
        <v>102129</v>
      </c>
      <c r="E31">
        <v>72762</v>
      </c>
      <c r="F31">
        <v>61198</v>
      </c>
      <c r="G31">
        <v>62015</v>
      </c>
    </row>
    <row r="32" spans="1:17" x14ac:dyDescent="0.3">
      <c r="A32">
        <v>78079</v>
      </c>
      <c r="B32">
        <v>86323</v>
      </c>
      <c r="D32">
        <v>67886</v>
      </c>
      <c r="E32">
        <v>62257</v>
      </c>
      <c r="F32">
        <v>62398</v>
      </c>
      <c r="G32">
        <v>87980</v>
      </c>
    </row>
    <row r="33" spans="1:7" x14ac:dyDescent="0.3">
      <c r="A33">
        <v>60685</v>
      </c>
      <c r="B33">
        <v>74915</v>
      </c>
      <c r="D33">
        <v>95432</v>
      </c>
      <c r="E33">
        <v>68202</v>
      </c>
      <c r="F33">
        <v>74555</v>
      </c>
      <c r="G33">
        <v>68240</v>
      </c>
    </row>
    <row r="34" spans="1:7" x14ac:dyDescent="0.3">
      <c r="A34">
        <v>80107</v>
      </c>
      <c r="B34">
        <v>86643</v>
      </c>
      <c r="D34">
        <v>66001</v>
      </c>
      <c r="E34">
        <v>59360</v>
      </c>
      <c r="F34">
        <v>61958</v>
      </c>
      <c r="G34">
        <v>71634</v>
      </c>
    </row>
    <row r="35" spans="1:7" x14ac:dyDescent="0.3">
      <c r="A35">
        <v>68170</v>
      </c>
      <c r="B35">
        <v>58678</v>
      </c>
      <c r="D35">
        <v>96095</v>
      </c>
      <c r="E35">
        <v>66315</v>
      </c>
      <c r="F35">
        <v>56431</v>
      </c>
      <c r="G35">
        <v>62230</v>
      </c>
    </row>
    <row r="36" spans="1:7" x14ac:dyDescent="0.3">
      <c r="A36">
        <v>68030</v>
      </c>
      <c r="B36">
        <v>122140</v>
      </c>
      <c r="D36">
        <v>59936</v>
      </c>
      <c r="E36">
        <v>89319</v>
      </c>
      <c r="F36">
        <v>83772</v>
      </c>
      <c r="G36">
        <v>66258</v>
      </c>
    </row>
    <row r="37" spans="1:7" x14ac:dyDescent="0.3">
      <c r="A37">
        <v>59391</v>
      </c>
      <c r="B37">
        <v>77136</v>
      </c>
      <c r="D37">
        <v>89090</v>
      </c>
      <c r="E37">
        <v>64366</v>
      </c>
      <c r="F37">
        <v>55106</v>
      </c>
      <c r="G37">
        <v>64327</v>
      </c>
    </row>
    <row r="38" spans="1:7" x14ac:dyDescent="0.3">
      <c r="A38">
        <v>64737</v>
      </c>
      <c r="B38">
        <v>62508</v>
      </c>
      <c r="D38">
        <v>79711</v>
      </c>
      <c r="E38">
        <v>68068</v>
      </c>
      <c r="F38">
        <v>64186</v>
      </c>
      <c r="G38">
        <v>82548</v>
      </c>
    </row>
    <row r="39" spans="1:7" x14ac:dyDescent="0.3">
      <c r="A39">
        <v>57059</v>
      </c>
      <c r="B39">
        <v>69086</v>
      </c>
      <c r="D39">
        <v>92714</v>
      </c>
      <c r="E39">
        <v>65631</v>
      </c>
      <c r="F39">
        <v>61124</v>
      </c>
      <c r="G39">
        <v>81959</v>
      </c>
    </row>
    <row r="40" spans="1:7" x14ac:dyDescent="0.3">
      <c r="A40">
        <v>81281</v>
      </c>
      <c r="B40">
        <v>64667</v>
      </c>
      <c r="D40">
        <v>105074</v>
      </c>
      <c r="E40">
        <v>64441</v>
      </c>
      <c r="F40">
        <v>59128</v>
      </c>
      <c r="G40">
        <v>74105</v>
      </c>
    </row>
    <row r="41" spans="1:7" x14ac:dyDescent="0.3">
      <c r="A41">
        <v>69063</v>
      </c>
      <c r="B41">
        <v>82596</v>
      </c>
      <c r="D41">
        <v>78290</v>
      </c>
      <c r="E41">
        <v>60242</v>
      </c>
      <c r="F41">
        <v>68683</v>
      </c>
      <c r="G41">
        <v>96575</v>
      </c>
    </row>
    <row r="42" spans="1:7" x14ac:dyDescent="0.3">
      <c r="A42">
        <v>66381</v>
      </c>
      <c r="B42">
        <v>58786</v>
      </c>
      <c r="D42">
        <v>109652</v>
      </c>
      <c r="E42">
        <v>58810</v>
      </c>
      <c r="F42">
        <v>54011</v>
      </c>
      <c r="G42">
        <v>111822</v>
      </c>
    </row>
    <row r="43" spans="1:7" x14ac:dyDescent="0.3">
      <c r="A43">
        <v>62790</v>
      </c>
      <c r="B43">
        <v>81660</v>
      </c>
      <c r="D43">
        <v>78950</v>
      </c>
      <c r="E43">
        <v>98920</v>
      </c>
      <c r="F43">
        <v>55778</v>
      </c>
      <c r="G43">
        <v>74894</v>
      </c>
    </row>
    <row r="44" spans="1:7" x14ac:dyDescent="0.3">
      <c r="A44">
        <v>59713</v>
      </c>
      <c r="B44">
        <v>61465</v>
      </c>
      <c r="D44">
        <v>83600</v>
      </c>
      <c r="E44">
        <v>91080</v>
      </c>
      <c r="F44">
        <v>57185</v>
      </c>
      <c r="G44">
        <v>69351</v>
      </c>
    </row>
    <row r="45" spans="1:7" x14ac:dyDescent="0.3">
      <c r="A45">
        <v>78805</v>
      </c>
      <c r="B45">
        <v>78013</v>
      </c>
      <c r="D45">
        <v>67517</v>
      </c>
      <c r="E45">
        <v>60358</v>
      </c>
      <c r="F45">
        <v>57730</v>
      </c>
      <c r="G45">
        <v>65009</v>
      </c>
    </row>
    <row r="46" spans="1:7" x14ac:dyDescent="0.3">
      <c r="A46">
        <v>60280</v>
      </c>
      <c r="B46">
        <v>57963</v>
      </c>
      <c r="D46">
        <v>91226</v>
      </c>
      <c r="E46">
        <v>60380</v>
      </c>
      <c r="F46">
        <v>56753</v>
      </c>
      <c r="G46">
        <v>73797</v>
      </c>
    </row>
    <row r="47" spans="1:7" x14ac:dyDescent="0.3">
      <c r="A47">
        <v>64287</v>
      </c>
      <c r="B47">
        <v>53179</v>
      </c>
      <c r="D47">
        <v>60774</v>
      </c>
      <c r="E47">
        <v>58980</v>
      </c>
      <c r="F47">
        <v>82241</v>
      </c>
      <c r="G47">
        <v>95438</v>
      </c>
    </row>
    <row r="48" spans="1:7" x14ac:dyDescent="0.3">
      <c r="A48">
        <v>78546</v>
      </c>
      <c r="B48">
        <v>105567</v>
      </c>
      <c r="D48">
        <v>75569</v>
      </c>
      <c r="E48">
        <v>57604</v>
      </c>
      <c r="F48">
        <v>109148</v>
      </c>
      <c r="G48">
        <v>59645</v>
      </c>
    </row>
    <row r="49" spans="1:7" x14ac:dyDescent="0.3">
      <c r="A49">
        <v>72036</v>
      </c>
      <c r="B49">
        <v>98661</v>
      </c>
      <c r="D49">
        <v>79955</v>
      </c>
      <c r="E49">
        <v>52793</v>
      </c>
      <c r="F49">
        <v>61678</v>
      </c>
      <c r="G49">
        <v>92457</v>
      </c>
    </row>
    <row r="50" spans="1:7" x14ac:dyDescent="0.3">
      <c r="A50">
        <v>63344</v>
      </c>
      <c r="B50">
        <v>68701</v>
      </c>
      <c r="D50">
        <v>87013</v>
      </c>
      <c r="E50">
        <v>55055</v>
      </c>
      <c r="F50">
        <v>60859</v>
      </c>
      <c r="G50">
        <v>62740</v>
      </c>
    </row>
    <row r="51" spans="1:7" x14ac:dyDescent="0.3">
      <c r="A51">
        <v>67818</v>
      </c>
      <c r="B51">
        <v>80730</v>
      </c>
      <c r="D51">
        <v>103091</v>
      </c>
      <c r="E51">
        <v>55460</v>
      </c>
      <c r="F51">
        <v>55854</v>
      </c>
      <c r="G51">
        <v>77133</v>
      </c>
    </row>
    <row r="52" spans="1:7" x14ac:dyDescent="0.3">
      <c r="A52">
        <v>74416</v>
      </c>
      <c r="B52">
        <v>69230</v>
      </c>
      <c r="D52">
        <v>79321</v>
      </c>
      <c r="E52">
        <v>64090</v>
      </c>
      <c r="F52">
        <v>58131</v>
      </c>
      <c r="G52">
        <v>82595</v>
      </c>
    </row>
    <row r="53" spans="1:7" x14ac:dyDescent="0.3">
      <c r="A53">
        <v>59823</v>
      </c>
      <c r="B53">
        <v>79248</v>
      </c>
      <c r="D53">
        <v>64874</v>
      </c>
      <c r="E53">
        <v>61699</v>
      </c>
      <c r="F53">
        <v>64260</v>
      </c>
      <c r="G53">
        <v>60912</v>
      </c>
    </row>
    <row r="54" spans="1:7" x14ac:dyDescent="0.3">
      <c r="A54">
        <v>65571</v>
      </c>
      <c r="B54">
        <v>74163</v>
      </c>
      <c r="D54">
        <v>106998</v>
      </c>
      <c r="E54">
        <v>58058</v>
      </c>
      <c r="F54">
        <v>65413</v>
      </c>
      <c r="G54">
        <v>66781</v>
      </c>
    </row>
    <row r="55" spans="1:7" x14ac:dyDescent="0.3">
      <c r="A55">
        <v>58676</v>
      </c>
      <c r="B55">
        <v>91996</v>
      </c>
      <c r="D55">
        <v>52103</v>
      </c>
      <c r="E55">
        <v>63949</v>
      </c>
      <c r="F55">
        <v>68235</v>
      </c>
      <c r="G55">
        <v>84094</v>
      </c>
    </row>
    <row r="56" spans="1:7" x14ac:dyDescent="0.3">
      <c r="A56">
        <v>61836</v>
      </c>
      <c r="B56">
        <v>59461</v>
      </c>
      <c r="D56">
        <v>60942</v>
      </c>
      <c r="E56">
        <v>82068</v>
      </c>
      <c r="F56">
        <v>63090</v>
      </c>
      <c r="G56">
        <v>66981</v>
      </c>
    </row>
    <row r="57" spans="1:7" x14ac:dyDescent="0.3">
      <c r="A57">
        <v>67779</v>
      </c>
      <c r="B57">
        <v>54791</v>
      </c>
      <c r="D57">
        <v>88560</v>
      </c>
      <c r="E57">
        <v>74502</v>
      </c>
      <c r="F57">
        <v>63371</v>
      </c>
      <c r="G57">
        <v>80980</v>
      </c>
    </row>
    <row r="58" spans="1:7" x14ac:dyDescent="0.3">
      <c r="A58">
        <v>76637</v>
      </c>
      <c r="B58">
        <v>82977</v>
      </c>
      <c r="D58">
        <v>69688</v>
      </c>
      <c r="E58">
        <v>78014</v>
      </c>
      <c r="F58">
        <v>61038</v>
      </c>
      <c r="G58">
        <v>58242</v>
      </c>
    </row>
    <row r="59" spans="1:7" x14ac:dyDescent="0.3">
      <c r="A59">
        <v>62938</v>
      </c>
      <c r="B59">
        <v>65005</v>
      </c>
      <c r="D59">
        <v>103528</v>
      </c>
      <c r="E59">
        <v>67403</v>
      </c>
      <c r="F59">
        <v>59761</v>
      </c>
      <c r="G59">
        <v>69216</v>
      </c>
    </row>
    <row r="60" spans="1:7" x14ac:dyDescent="0.3">
      <c r="A60">
        <v>67455</v>
      </c>
      <c r="B60">
        <v>75078</v>
      </c>
      <c r="D60">
        <v>91567</v>
      </c>
      <c r="E60">
        <v>101400</v>
      </c>
      <c r="F60">
        <v>57499</v>
      </c>
      <c r="G60">
        <v>80089</v>
      </c>
    </row>
    <row r="61" spans="1:7" x14ac:dyDescent="0.3">
      <c r="A61">
        <v>70991</v>
      </c>
      <c r="B61">
        <v>80435</v>
      </c>
      <c r="D61">
        <v>85152</v>
      </c>
      <c r="E61">
        <v>88250</v>
      </c>
      <c r="F61">
        <v>56166</v>
      </c>
      <c r="G61">
        <v>94650</v>
      </c>
    </row>
    <row r="62" spans="1:7" x14ac:dyDescent="0.3">
      <c r="A62">
        <v>61258</v>
      </c>
      <c r="B62">
        <v>65736</v>
      </c>
      <c r="D62">
        <v>88518</v>
      </c>
      <c r="E62">
        <v>75502</v>
      </c>
      <c r="F62">
        <v>62555</v>
      </c>
      <c r="G62">
        <v>74777</v>
      </c>
    </row>
    <row r="63" spans="1:7" x14ac:dyDescent="0.3">
      <c r="A63">
        <v>67477</v>
      </c>
      <c r="B63">
        <v>103016</v>
      </c>
      <c r="D63">
        <v>74100</v>
      </c>
      <c r="E63">
        <v>69113</v>
      </c>
      <c r="F63">
        <v>65121</v>
      </c>
      <c r="G63">
        <v>87940</v>
      </c>
    </row>
    <row r="64" spans="1:7" x14ac:dyDescent="0.3">
      <c r="A64">
        <v>75839</v>
      </c>
      <c r="B64">
        <v>87267</v>
      </c>
      <c r="D64">
        <v>57147</v>
      </c>
      <c r="E64">
        <v>91548</v>
      </c>
      <c r="F64">
        <v>69793</v>
      </c>
      <c r="G64">
        <v>72320</v>
      </c>
    </row>
    <row r="65" spans="1:7" x14ac:dyDescent="0.3">
      <c r="A65">
        <v>69548</v>
      </c>
      <c r="D65">
        <v>91584</v>
      </c>
      <c r="E65">
        <v>72036</v>
      </c>
      <c r="F65">
        <v>71889</v>
      </c>
      <c r="G65">
        <v>67107</v>
      </c>
    </row>
    <row r="66" spans="1:7" x14ac:dyDescent="0.3">
      <c r="A66">
        <v>61136</v>
      </c>
      <c r="D66">
        <v>78187</v>
      </c>
      <c r="E66">
        <v>77675</v>
      </c>
      <c r="F66">
        <v>58167</v>
      </c>
      <c r="G66">
        <v>65222</v>
      </c>
    </row>
    <row r="67" spans="1:7" x14ac:dyDescent="0.3">
      <c r="A67">
        <v>61422</v>
      </c>
      <c r="D67">
        <v>94377</v>
      </c>
      <c r="E67">
        <v>74615</v>
      </c>
      <c r="F67">
        <v>63660</v>
      </c>
      <c r="G67">
        <v>68800</v>
      </c>
    </row>
    <row r="68" spans="1:7" x14ac:dyDescent="0.3">
      <c r="A68">
        <v>65592</v>
      </c>
      <c r="D68">
        <v>113040</v>
      </c>
      <c r="E68">
        <v>60027</v>
      </c>
      <c r="F68">
        <v>55713</v>
      </c>
      <c r="G68">
        <v>68009</v>
      </c>
    </row>
    <row r="69" spans="1:7" x14ac:dyDescent="0.3">
      <c r="A69">
        <v>63173</v>
      </c>
      <c r="D69">
        <v>58882</v>
      </c>
      <c r="E69">
        <v>77437</v>
      </c>
      <c r="F69">
        <v>66240</v>
      </c>
      <c r="G69">
        <v>68240</v>
      </c>
    </row>
    <row r="70" spans="1:7" x14ac:dyDescent="0.3">
      <c r="A70">
        <v>63879</v>
      </c>
      <c r="D70">
        <v>95974</v>
      </c>
      <c r="E70">
        <v>68828</v>
      </c>
      <c r="F70">
        <v>64019</v>
      </c>
      <c r="G70">
        <v>92568</v>
      </c>
    </row>
    <row r="71" spans="1:7" x14ac:dyDescent="0.3">
      <c r="A71">
        <v>59618</v>
      </c>
      <c r="D71">
        <v>63722</v>
      </c>
      <c r="E71">
        <v>100482</v>
      </c>
      <c r="F71">
        <v>58852</v>
      </c>
      <c r="G71">
        <v>57739</v>
      </c>
    </row>
    <row r="72" spans="1:7" x14ac:dyDescent="0.3">
      <c r="A72">
        <v>57737</v>
      </c>
      <c r="D72">
        <v>61437</v>
      </c>
      <c r="F72">
        <v>56099</v>
      </c>
      <c r="G72">
        <v>66482</v>
      </c>
    </row>
    <row r="73" spans="1:7" x14ac:dyDescent="0.3">
      <c r="A73">
        <v>72249</v>
      </c>
      <c r="D73">
        <v>56478</v>
      </c>
      <c r="F73">
        <v>54065</v>
      </c>
      <c r="G73">
        <v>86367</v>
      </c>
    </row>
    <row r="74" spans="1:7" x14ac:dyDescent="0.3">
      <c r="A74">
        <v>84336</v>
      </c>
      <c r="D74">
        <v>68864</v>
      </c>
      <c r="F74">
        <v>84470</v>
      </c>
      <c r="G74">
        <v>82504</v>
      </c>
    </row>
    <row r="75" spans="1:7" x14ac:dyDescent="0.3">
      <c r="A75">
        <v>67032</v>
      </c>
      <c r="D75">
        <v>52574</v>
      </c>
      <c r="F75">
        <v>55889</v>
      </c>
      <c r="G75">
        <v>76920</v>
      </c>
    </row>
    <row r="76" spans="1:7" x14ac:dyDescent="0.3">
      <c r="A76">
        <v>67650</v>
      </c>
      <c r="D76">
        <v>73800</v>
      </c>
      <c r="F76">
        <v>67280</v>
      </c>
      <c r="G76">
        <v>74982</v>
      </c>
    </row>
    <row r="77" spans="1:7" x14ac:dyDescent="0.3">
      <c r="A77">
        <v>63658</v>
      </c>
      <c r="D77">
        <v>84569</v>
      </c>
      <c r="F77">
        <v>58495</v>
      </c>
      <c r="G77">
        <v>64270</v>
      </c>
    </row>
    <row r="78" spans="1:7" x14ac:dyDescent="0.3">
      <c r="A78">
        <v>63466</v>
      </c>
      <c r="D78">
        <v>61217</v>
      </c>
      <c r="F78">
        <v>57243</v>
      </c>
      <c r="G78">
        <v>68757</v>
      </c>
    </row>
    <row r="79" spans="1:7" x14ac:dyDescent="0.3">
      <c r="A79">
        <v>56691</v>
      </c>
      <c r="D79">
        <v>64881</v>
      </c>
      <c r="F79">
        <v>67154</v>
      </c>
      <c r="G79">
        <v>87636</v>
      </c>
    </row>
    <row r="80" spans="1:7" x14ac:dyDescent="0.3">
      <c r="A80">
        <v>68102</v>
      </c>
      <c r="D80">
        <v>86075</v>
      </c>
      <c r="F80">
        <v>57452</v>
      </c>
      <c r="G80">
        <v>84521</v>
      </c>
    </row>
    <row r="81" spans="1:7" x14ac:dyDescent="0.3">
      <c r="A81">
        <v>88028</v>
      </c>
      <c r="D81">
        <v>110836</v>
      </c>
      <c r="F81">
        <v>79458</v>
      </c>
      <c r="G81">
        <v>75091</v>
      </c>
    </row>
    <row r="82" spans="1:7" x14ac:dyDescent="0.3">
      <c r="A82">
        <v>62902</v>
      </c>
      <c r="D82">
        <v>131494</v>
      </c>
      <c r="F82">
        <v>53471</v>
      </c>
      <c r="G82">
        <v>83010</v>
      </c>
    </row>
    <row r="83" spans="1:7" x14ac:dyDescent="0.3">
      <c r="A83">
        <v>55023</v>
      </c>
      <c r="D83">
        <v>87048</v>
      </c>
      <c r="F83">
        <v>63038</v>
      </c>
      <c r="G83">
        <v>65617</v>
      </c>
    </row>
    <row r="84" spans="1:7" x14ac:dyDescent="0.3">
      <c r="A84">
        <v>54169</v>
      </c>
      <c r="D84">
        <v>88001</v>
      </c>
      <c r="F84">
        <v>68256</v>
      </c>
      <c r="G84">
        <v>52981</v>
      </c>
    </row>
    <row r="85" spans="1:7" x14ac:dyDescent="0.3">
      <c r="A85">
        <v>59545</v>
      </c>
      <c r="D85">
        <v>75475</v>
      </c>
      <c r="F85">
        <v>66936</v>
      </c>
      <c r="G85">
        <v>73482</v>
      </c>
    </row>
    <row r="86" spans="1:7" x14ac:dyDescent="0.3">
      <c r="A86">
        <v>61048</v>
      </c>
      <c r="D86">
        <v>89837</v>
      </c>
      <c r="F86">
        <v>57549</v>
      </c>
      <c r="G86">
        <v>90215</v>
      </c>
    </row>
    <row r="87" spans="1:7" x14ac:dyDescent="0.3">
      <c r="A87">
        <v>60537</v>
      </c>
      <c r="D87">
        <v>69069</v>
      </c>
      <c r="F87">
        <v>67506</v>
      </c>
      <c r="G87">
        <v>62776</v>
      </c>
    </row>
    <row r="88" spans="1:7" x14ac:dyDescent="0.3">
      <c r="A88">
        <v>59603</v>
      </c>
      <c r="D88">
        <v>94413</v>
      </c>
      <c r="F88">
        <v>61624</v>
      </c>
      <c r="G88">
        <v>61839</v>
      </c>
    </row>
    <row r="89" spans="1:7" x14ac:dyDescent="0.3">
      <c r="A89">
        <v>62539</v>
      </c>
      <c r="D89">
        <v>67031</v>
      </c>
      <c r="F89">
        <v>58948</v>
      </c>
      <c r="G89">
        <v>97258</v>
      </c>
    </row>
    <row r="90" spans="1:7" x14ac:dyDescent="0.3">
      <c r="A90">
        <v>55930</v>
      </c>
      <c r="D90">
        <v>113135</v>
      </c>
      <c r="F90">
        <v>70332</v>
      </c>
      <c r="G90">
        <v>85948</v>
      </c>
    </row>
    <row r="91" spans="1:7" x14ac:dyDescent="0.3">
      <c r="A91">
        <v>74004</v>
      </c>
      <c r="D91">
        <v>70113</v>
      </c>
      <c r="F91">
        <v>67285</v>
      </c>
      <c r="G91">
        <v>90335</v>
      </c>
    </row>
    <row r="92" spans="1:7" x14ac:dyDescent="0.3">
      <c r="A92">
        <v>54570</v>
      </c>
      <c r="D92">
        <v>95371</v>
      </c>
      <c r="F92">
        <v>68848</v>
      </c>
      <c r="G92">
        <v>70819</v>
      </c>
    </row>
    <row r="93" spans="1:7" x14ac:dyDescent="0.3">
      <c r="A93">
        <v>56722</v>
      </c>
      <c r="D93">
        <v>61939</v>
      </c>
      <c r="F93">
        <v>68263</v>
      </c>
      <c r="G93">
        <v>88827</v>
      </c>
    </row>
    <row r="94" spans="1:7" x14ac:dyDescent="0.3">
      <c r="A94">
        <v>56998</v>
      </c>
      <c r="D94">
        <v>99379</v>
      </c>
      <c r="F94">
        <v>60526</v>
      </c>
      <c r="G94">
        <v>75714</v>
      </c>
    </row>
    <row r="95" spans="1:7" x14ac:dyDescent="0.3">
      <c r="A95">
        <v>71339</v>
      </c>
      <c r="D95">
        <v>87672</v>
      </c>
      <c r="F95">
        <v>72764</v>
      </c>
      <c r="G95">
        <v>88335</v>
      </c>
    </row>
    <row r="96" spans="1:7" x14ac:dyDescent="0.3">
      <c r="A96">
        <v>64203</v>
      </c>
      <c r="D96">
        <v>67673</v>
      </c>
      <c r="F96">
        <v>80418</v>
      </c>
      <c r="G96">
        <v>83745</v>
      </c>
    </row>
    <row r="97" spans="1:7" x14ac:dyDescent="0.3">
      <c r="A97">
        <v>61791</v>
      </c>
      <c r="D97">
        <v>93212</v>
      </c>
      <c r="F97">
        <v>60390</v>
      </c>
      <c r="G97">
        <v>79998</v>
      </c>
    </row>
    <row r="98" spans="1:7" x14ac:dyDescent="0.3">
      <c r="A98">
        <v>61555</v>
      </c>
      <c r="D98">
        <v>95680</v>
      </c>
      <c r="F98">
        <v>63500</v>
      </c>
      <c r="G98">
        <v>79402</v>
      </c>
    </row>
    <row r="99" spans="1:7" x14ac:dyDescent="0.3">
      <c r="A99">
        <v>61689</v>
      </c>
      <c r="D99">
        <v>89228</v>
      </c>
      <c r="F99">
        <v>106190</v>
      </c>
      <c r="G99">
        <v>64892</v>
      </c>
    </row>
    <row r="100" spans="1:7" x14ac:dyDescent="0.3">
      <c r="A100">
        <v>64487</v>
      </c>
      <c r="D100">
        <v>93626</v>
      </c>
      <c r="F100">
        <v>57162</v>
      </c>
      <c r="G100">
        <v>74235</v>
      </c>
    </row>
    <row r="101" spans="1:7" x14ac:dyDescent="0.3">
      <c r="A101">
        <v>62053</v>
      </c>
      <c r="D101">
        <v>100558</v>
      </c>
      <c r="F101">
        <v>73542</v>
      </c>
      <c r="G101">
        <v>70602</v>
      </c>
    </row>
    <row r="102" spans="1:7" x14ac:dyDescent="0.3">
      <c r="A102">
        <v>88167</v>
      </c>
      <c r="D102">
        <v>85918</v>
      </c>
      <c r="F102">
        <v>86465</v>
      </c>
      <c r="G102">
        <v>89439</v>
      </c>
    </row>
    <row r="103" spans="1:7" x14ac:dyDescent="0.3">
      <c r="A103">
        <v>73895</v>
      </c>
      <c r="D103">
        <v>109779</v>
      </c>
      <c r="F103">
        <v>70063</v>
      </c>
      <c r="G103">
        <v>81588</v>
      </c>
    </row>
    <row r="104" spans="1:7" x14ac:dyDescent="0.3">
      <c r="A104">
        <v>57871</v>
      </c>
      <c r="D104">
        <v>63808</v>
      </c>
      <c r="F104">
        <v>53673</v>
      </c>
      <c r="G104">
        <v>70593</v>
      </c>
    </row>
    <row r="105" spans="1:7" x14ac:dyDescent="0.3">
      <c r="A105">
        <v>96041</v>
      </c>
      <c r="D105">
        <v>109997</v>
      </c>
      <c r="F105">
        <v>82682</v>
      </c>
      <c r="G105">
        <v>74000</v>
      </c>
    </row>
    <row r="106" spans="1:7" x14ac:dyDescent="0.3">
      <c r="A106">
        <v>63925</v>
      </c>
      <c r="D106">
        <v>100742</v>
      </c>
      <c r="F106">
        <v>57980</v>
      </c>
      <c r="G106">
        <v>67201</v>
      </c>
    </row>
    <row r="107" spans="1:7" x14ac:dyDescent="0.3">
      <c r="A107">
        <v>59444</v>
      </c>
      <c r="D107">
        <v>65937</v>
      </c>
      <c r="F107">
        <v>53099</v>
      </c>
      <c r="G107">
        <v>60073</v>
      </c>
    </row>
    <row r="108" spans="1:7" x14ac:dyDescent="0.3">
      <c r="A108">
        <v>61119</v>
      </c>
      <c r="D108">
        <v>78924</v>
      </c>
      <c r="F108">
        <v>82312</v>
      </c>
      <c r="G108">
        <v>85655</v>
      </c>
    </row>
    <row r="109" spans="1:7" x14ac:dyDescent="0.3">
      <c r="A109">
        <v>61190</v>
      </c>
      <c r="D109">
        <v>64357</v>
      </c>
      <c r="F109">
        <v>69131</v>
      </c>
      <c r="G109">
        <v>60945</v>
      </c>
    </row>
    <row r="110" spans="1:7" x14ac:dyDescent="0.3">
      <c r="A110">
        <v>64626</v>
      </c>
      <c r="D110">
        <v>104238</v>
      </c>
      <c r="F110">
        <v>65842</v>
      </c>
      <c r="G110">
        <v>67369</v>
      </c>
    </row>
    <row r="111" spans="1:7" x14ac:dyDescent="0.3">
      <c r="A111">
        <v>54961</v>
      </c>
      <c r="D111">
        <v>76103</v>
      </c>
      <c r="F111">
        <v>67507</v>
      </c>
      <c r="G111">
        <v>58400</v>
      </c>
    </row>
    <row r="112" spans="1:7" x14ac:dyDescent="0.3">
      <c r="A112">
        <v>87620</v>
      </c>
      <c r="D112">
        <v>101429</v>
      </c>
      <c r="F112">
        <v>54343</v>
      </c>
      <c r="G112">
        <v>103249</v>
      </c>
    </row>
    <row r="113" spans="1:7" x14ac:dyDescent="0.3">
      <c r="A113">
        <v>65530</v>
      </c>
      <c r="D113">
        <v>94657</v>
      </c>
      <c r="F113">
        <v>61715</v>
      </c>
      <c r="G113">
        <v>79231</v>
      </c>
    </row>
    <row r="114" spans="1:7" x14ac:dyDescent="0.3">
      <c r="A114">
        <v>66282</v>
      </c>
      <c r="D114">
        <v>84331</v>
      </c>
      <c r="F114">
        <v>67086</v>
      </c>
      <c r="G114">
        <v>77094</v>
      </c>
    </row>
    <row r="115" spans="1:7" x14ac:dyDescent="0.3">
      <c r="A115">
        <v>58585</v>
      </c>
      <c r="D115">
        <v>96108</v>
      </c>
      <c r="F115">
        <v>57264</v>
      </c>
      <c r="G115">
        <v>70989</v>
      </c>
    </row>
    <row r="116" spans="1:7" x14ac:dyDescent="0.3">
      <c r="A116">
        <v>58190</v>
      </c>
      <c r="D116">
        <v>94473</v>
      </c>
      <c r="F116">
        <v>61601</v>
      </c>
      <c r="G116">
        <v>65299</v>
      </c>
    </row>
    <row r="117" spans="1:7" x14ac:dyDescent="0.3">
      <c r="A117">
        <v>83942</v>
      </c>
      <c r="D117">
        <v>86973</v>
      </c>
      <c r="F117">
        <v>60781</v>
      </c>
      <c r="G117">
        <v>95022</v>
      </c>
    </row>
    <row r="118" spans="1:7" x14ac:dyDescent="0.3">
      <c r="A118">
        <v>59488</v>
      </c>
      <c r="D118">
        <v>108825</v>
      </c>
      <c r="F118">
        <v>54814</v>
      </c>
      <c r="G118">
        <v>63268</v>
      </c>
    </row>
    <row r="119" spans="1:7" x14ac:dyDescent="0.3">
      <c r="A119">
        <v>59823</v>
      </c>
      <c r="D119">
        <v>58080</v>
      </c>
      <c r="F119">
        <v>58847</v>
      </c>
      <c r="G119">
        <v>60800</v>
      </c>
    </row>
    <row r="120" spans="1:7" x14ac:dyDescent="0.3">
      <c r="A120">
        <v>64904</v>
      </c>
      <c r="D120">
        <v>97728</v>
      </c>
      <c r="F120">
        <v>57135</v>
      </c>
      <c r="G120">
        <v>73247</v>
      </c>
    </row>
    <row r="121" spans="1:7" x14ac:dyDescent="0.3">
      <c r="A121">
        <v>63124</v>
      </c>
      <c r="D121">
        <v>59095</v>
      </c>
      <c r="F121">
        <v>63169</v>
      </c>
      <c r="G121">
        <v>75269</v>
      </c>
    </row>
    <row r="122" spans="1:7" x14ac:dyDescent="0.3">
      <c r="A122">
        <v>84792</v>
      </c>
      <c r="D122">
        <v>62995</v>
      </c>
      <c r="F122">
        <v>78171</v>
      </c>
      <c r="G122">
        <v>93364</v>
      </c>
    </row>
    <row r="123" spans="1:7" x14ac:dyDescent="0.3">
      <c r="A123">
        <v>54612</v>
      </c>
      <c r="D123">
        <v>94458</v>
      </c>
      <c r="F123">
        <v>56282</v>
      </c>
      <c r="G123">
        <v>59327</v>
      </c>
    </row>
    <row r="124" spans="1:7" x14ac:dyDescent="0.3">
      <c r="A124">
        <v>58407</v>
      </c>
      <c r="D124">
        <v>59579</v>
      </c>
      <c r="F124">
        <v>61488</v>
      </c>
      <c r="G124">
        <v>64194</v>
      </c>
    </row>
    <row r="125" spans="1:7" x14ac:dyDescent="0.3">
      <c r="A125">
        <v>65191</v>
      </c>
      <c r="D125">
        <v>60402</v>
      </c>
      <c r="F125">
        <v>63760</v>
      </c>
      <c r="G125">
        <v>55533</v>
      </c>
    </row>
    <row r="126" spans="1:7" x14ac:dyDescent="0.3">
      <c r="A126">
        <v>53419</v>
      </c>
      <c r="D126">
        <v>55994</v>
      </c>
      <c r="F126">
        <v>55752</v>
      </c>
      <c r="G126">
        <v>71220</v>
      </c>
    </row>
    <row r="127" spans="1:7" x14ac:dyDescent="0.3">
      <c r="A127">
        <v>60496</v>
      </c>
      <c r="D127">
        <v>73871</v>
      </c>
      <c r="F127">
        <v>68058</v>
      </c>
      <c r="G127">
        <v>76043</v>
      </c>
    </row>
    <row r="128" spans="1:7" x14ac:dyDescent="0.3">
      <c r="A128">
        <v>59013</v>
      </c>
      <c r="D128">
        <v>61785</v>
      </c>
      <c r="F128">
        <v>68805</v>
      </c>
      <c r="G128">
        <v>57475</v>
      </c>
    </row>
    <row r="129" spans="1:7" x14ac:dyDescent="0.3">
      <c r="A129">
        <v>63118</v>
      </c>
      <c r="D129">
        <v>94351</v>
      </c>
      <c r="F129">
        <v>57414</v>
      </c>
      <c r="G129">
        <v>117180</v>
      </c>
    </row>
    <row r="130" spans="1:7" x14ac:dyDescent="0.3">
      <c r="A130">
        <v>58081</v>
      </c>
      <c r="D130">
        <v>120635</v>
      </c>
      <c r="F130">
        <v>73999</v>
      </c>
      <c r="G130">
        <v>58073</v>
      </c>
    </row>
    <row r="131" spans="1:7" x14ac:dyDescent="0.3">
      <c r="A131">
        <v>59674</v>
      </c>
      <c r="D131">
        <v>88303</v>
      </c>
      <c r="F131">
        <v>67909</v>
      </c>
      <c r="G131">
        <v>90504</v>
      </c>
    </row>
    <row r="132" spans="1:7" x14ac:dyDescent="0.3">
      <c r="A132">
        <v>88835</v>
      </c>
      <c r="D132">
        <v>60654</v>
      </c>
      <c r="F132">
        <v>54812</v>
      </c>
      <c r="G132">
        <v>79304</v>
      </c>
    </row>
    <row r="133" spans="1:7" x14ac:dyDescent="0.3">
      <c r="A133">
        <v>54788</v>
      </c>
      <c r="D133">
        <v>56337</v>
      </c>
      <c r="F133">
        <v>54046</v>
      </c>
      <c r="G133">
        <v>76023</v>
      </c>
    </row>
    <row r="134" spans="1:7" x14ac:dyDescent="0.3">
      <c r="A134">
        <v>58562</v>
      </c>
      <c r="D134">
        <v>68661</v>
      </c>
      <c r="F134">
        <v>61906</v>
      </c>
      <c r="G134">
        <v>79328</v>
      </c>
    </row>
    <row r="135" spans="1:7" x14ac:dyDescent="0.3">
      <c r="A135">
        <v>70388</v>
      </c>
      <c r="D135">
        <v>96890</v>
      </c>
      <c r="F135">
        <v>57243</v>
      </c>
      <c r="G135">
        <v>56716</v>
      </c>
    </row>
    <row r="136" spans="1:7" x14ac:dyDescent="0.3">
      <c r="A136">
        <v>77002</v>
      </c>
      <c r="D136">
        <v>94069</v>
      </c>
      <c r="F136">
        <v>63732</v>
      </c>
      <c r="G136">
        <v>67869</v>
      </c>
    </row>
    <row r="137" spans="1:7" x14ac:dyDescent="0.3">
      <c r="A137">
        <v>74179</v>
      </c>
      <c r="D137">
        <v>83279</v>
      </c>
      <c r="F137">
        <v>62658</v>
      </c>
      <c r="G137">
        <v>96838</v>
      </c>
    </row>
    <row r="138" spans="1:7" x14ac:dyDescent="0.3">
      <c r="A138">
        <v>65427</v>
      </c>
      <c r="D138">
        <v>65899</v>
      </c>
      <c r="F138">
        <v>59333</v>
      </c>
      <c r="G138">
        <v>94222</v>
      </c>
    </row>
    <row r="139" spans="1:7" x14ac:dyDescent="0.3">
      <c r="A139">
        <v>56682</v>
      </c>
      <c r="D139">
        <v>102891</v>
      </c>
      <c r="F139">
        <v>61008</v>
      </c>
      <c r="G139">
        <v>75082</v>
      </c>
    </row>
    <row r="140" spans="1:7" x14ac:dyDescent="0.3">
      <c r="A140">
        <v>58722</v>
      </c>
      <c r="D140">
        <v>76778</v>
      </c>
      <c r="F140">
        <v>58815</v>
      </c>
      <c r="G140">
        <v>62944</v>
      </c>
    </row>
    <row r="141" spans="1:7" x14ac:dyDescent="0.3">
      <c r="A141">
        <v>55001</v>
      </c>
      <c r="F141">
        <v>62697</v>
      </c>
      <c r="G141">
        <v>61011</v>
      </c>
    </row>
    <row r="142" spans="1:7" x14ac:dyDescent="0.3">
      <c r="A142">
        <v>62598</v>
      </c>
      <c r="F142">
        <v>64015</v>
      </c>
      <c r="G142">
        <v>89227</v>
      </c>
    </row>
    <row r="143" spans="1:7" x14ac:dyDescent="0.3">
      <c r="A143">
        <v>94356</v>
      </c>
      <c r="F143">
        <v>95684</v>
      </c>
      <c r="G143">
        <v>105185</v>
      </c>
    </row>
    <row r="144" spans="1:7" x14ac:dyDescent="0.3">
      <c r="A144">
        <v>53603</v>
      </c>
      <c r="F144">
        <v>92796</v>
      </c>
      <c r="G144">
        <v>76460</v>
      </c>
    </row>
    <row r="145" spans="1:7" x14ac:dyDescent="0.3">
      <c r="A145">
        <v>79326</v>
      </c>
      <c r="F145">
        <v>58835</v>
      </c>
      <c r="G145">
        <v>69336</v>
      </c>
    </row>
    <row r="146" spans="1:7" x14ac:dyDescent="0.3">
      <c r="A146">
        <v>66937</v>
      </c>
      <c r="F146">
        <v>61847</v>
      </c>
      <c r="G146">
        <v>55995</v>
      </c>
    </row>
    <row r="147" spans="1:7" x14ac:dyDescent="0.3">
      <c r="A147">
        <v>64799</v>
      </c>
      <c r="F147">
        <v>68092</v>
      </c>
      <c r="G147">
        <v>81468</v>
      </c>
    </row>
    <row r="148" spans="1:7" x14ac:dyDescent="0.3">
      <c r="A148">
        <v>64678</v>
      </c>
      <c r="F148">
        <v>67357</v>
      </c>
      <c r="G148">
        <v>124824</v>
      </c>
    </row>
    <row r="149" spans="1:7" x14ac:dyDescent="0.3">
      <c r="A149">
        <v>65819</v>
      </c>
      <c r="F149">
        <v>65346</v>
      </c>
      <c r="G149">
        <v>79202</v>
      </c>
    </row>
    <row r="150" spans="1:7" x14ac:dyDescent="0.3">
      <c r="A150">
        <v>66508</v>
      </c>
      <c r="F150">
        <v>62945</v>
      </c>
      <c r="G150">
        <v>63501</v>
      </c>
    </row>
    <row r="151" spans="1:7" x14ac:dyDescent="0.3">
      <c r="A151">
        <v>69977</v>
      </c>
      <c r="F151">
        <v>69470</v>
      </c>
      <c r="G151">
        <v>64099</v>
      </c>
    </row>
    <row r="152" spans="1:7" x14ac:dyDescent="0.3">
      <c r="A152">
        <v>62225</v>
      </c>
      <c r="F152">
        <v>67166</v>
      </c>
      <c r="G152">
        <v>57557</v>
      </c>
    </row>
    <row r="153" spans="1:7" x14ac:dyDescent="0.3">
      <c r="A153">
        <v>63449</v>
      </c>
      <c r="F153">
        <v>58084</v>
      </c>
      <c r="G153">
        <v>83008</v>
      </c>
    </row>
    <row r="154" spans="1:7" x14ac:dyDescent="0.3">
      <c r="A154">
        <v>72620</v>
      </c>
      <c r="F154">
        <v>107787</v>
      </c>
      <c r="G154">
        <v>65945</v>
      </c>
    </row>
    <row r="155" spans="1:7" x14ac:dyDescent="0.3">
      <c r="A155">
        <v>65399</v>
      </c>
      <c r="F155">
        <v>58463</v>
      </c>
      <c r="G155">
        <v>83005</v>
      </c>
    </row>
    <row r="156" spans="1:7" x14ac:dyDescent="0.3">
      <c r="A156">
        <v>63385</v>
      </c>
      <c r="F156">
        <v>62992</v>
      </c>
      <c r="G156">
        <v>66164</v>
      </c>
    </row>
    <row r="157" spans="1:7" x14ac:dyDescent="0.3">
      <c r="A157">
        <v>62527</v>
      </c>
      <c r="F157">
        <v>61175</v>
      </c>
      <c r="G157">
        <v>61237</v>
      </c>
    </row>
    <row r="158" spans="1:7" x14ac:dyDescent="0.3">
      <c r="A158">
        <v>64142</v>
      </c>
      <c r="F158">
        <v>64342</v>
      </c>
      <c r="G158">
        <v>68752</v>
      </c>
    </row>
    <row r="159" spans="1:7" x14ac:dyDescent="0.3">
      <c r="A159">
        <v>58313</v>
      </c>
      <c r="F159">
        <v>63645</v>
      </c>
      <c r="G159">
        <v>71298</v>
      </c>
    </row>
    <row r="160" spans="1:7" x14ac:dyDescent="0.3">
      <c r="A160">
        <v>73163</v>
      </c>
      <c r="F160">
        <v>64251</v>
      </c>
      <c r="G160">
        <v>74548</v>
      </c>
    </row>
    <row r="161" spans="1:7" x14ac:dyDescent="0.3">
      <c r="A161">
        <v>90756</v>
      </c>
      <c r="F161">
        <v>61212</v>
      </c>
      <c r="G161">
        <v>80099</v>
      </c>
    </row>
    <row r="162" spans="1:7" x14ac:dyDescent="0.3">
      <c r="A162">
        <v>61368</v>
      </c>
      <c r="F162">
        <v>64649</v>
      </c>
      <c r="G162">
        <v>67970</v>
      </c>
    </row>
    <row r="163" spans="1:7" x14ac:dyDescent="0.3">
      <c r="A163">
        <v>57504</v>
      </c>
      <c r="F163">
        <v>81221</v>
      </c>
      <c r="G163">
        <v>92906</v>
      </c>
    </row>
    <row r="164" spans="1:7" x14ac:dyDescent="0.3">
      <c r="A164">
        <v>63322</v>
      </c>
      <c r="F164">
        <v>67293</v>
      </c>
      <c r="G164">
        <v>112880</v>
      </c>
    </row>
    <row r="165" spans="1:7" x14ac:dyDescent="0.3">
      <c r="A165">
        <v>67049</v>
      </c>
      <c r="F165">
        <v>59592</v>
      </c>
      <c r="G165">
        <v>92805</v>
      </c>
    </row>
    <row r="166" spans="1:7" x14ac:dyDescent="0.3">
      <c r="A166">
        <v>68751</v>
      </c>
      <c r="F166">
        <v>61015</v>
      </c>
      <c r="G166">
        <v>78078</v>
      </c>
    </row>
    <row r="167" spans="1:7" x14ac:dyDescent="0.3">
      <c r="A167">
        <v>76265</v>
      </c>
      <c r="F167">
        <v>69136</v>
      </c>
      <c r="G167">
        <v>100507</v>
      </c>
    </row>
    <row r="168" spans="1:7" x14ac:dyDescent="0.3">
      <c r="A168">
        <v>62667</v>
      </c>
      <c r="F168">
        <v>62641</v>
      </c>
      <c r="G168">
        <v>59038</v>
      </c>
    </row>
    <row r="169" spans="1:7" x14ac:dyDescent="0.3">
      <c r="A169">
        <v>66529</v>
      </c>
      <c r="F169">
        <v>63096</v>
      </c>
      <c r="G169">
        <v>77284</v>
      </c>
    </row>
    <row r="170" spans="1:7" x14ac:dyDescent="0.3">
      <c r="A170">
        <v>57457</v>
      </c>
      <c r="F170">
        <v>63880</v>
      </c>
      <c r="G170">
        <v>83782</v>
      </c>
    </row>
    <row r="171" spans="1:7" x14ac:dyDescent="0.3">
      <c r="A171">
        <v>54248</v>
      </c>
      <c r="F171">
        <v>65703</v>
      </c>
      <c r="G171">
        <v>78790</v>
      </c>
    </row>
    <row r="172" spans="1:7" x14ac:dyDescent="0.3">
      <c r="A172">
        <v>56546</v>
      </c>
      <c r="F172">
        <v>87933</v>
      </c>
      <c r="G172">
        <v>67947</v>
      </c>
    </row>
    <row r="173" spans="1:7" x14ac:dyDescent="0.3">
      <c r="A173">
        <v>67268</v>
      </c>
      <c r="F173">
        <v>68032</v>
      </c>
      <c r="G173">
        <v>74475</v>
      </c>
    </row>
    <row r="174" spans="1:7" x14ac:dyDescent="0.3">
      <c r="A174">
        <v>58869</v>
      </c>
      <c r="F174">
        <v>63082</v>
      </c>
      <c r="G174">
        <v>65014</v>
      </c>
    </row>
    <row r="175" spans="1:7" x14ac:dyDescent="0.3">
      <c r="A175">
        <v>76724</v>
      </c>
      <c r="F175">
        <v>58453</v>
      </c>
      <c r="G175">
        <v>58102</v>
      </c>
    </row>
    <row r="176" spans="1:7" x14ac:dyDescent="0.3">
      <c r="A176">
        <v>64668</v>
      </c>
      <c r="F176">
        <v>56679</v>
      </c>
      <c r="G176">
        <v>83426</v>
      </c>
    </row>
    <row r="177" spans="1:7" x14ac:dyDescent="0.3">
      <c r="A177">
        <v>59413</v>
      </c>
      <c r="F177">
        <v>62547</v>
      </c>
      <c r="G177">
        <v>68928</v>
      </c>
    </row>
    <row r="178" spans="1:7" x14ac:dyDescent="0.3">
      <c r="A178">
        <v>60177</v>
      </c>
      <c r="F178">
        <v>57030</v>
      </c>
      <c r="G178">
        <v>76384</v>
      </c>
    </row>
    <row r="179" spans="1:7" x14ac:dyDescent="0.3">
      <c r="A179">
        <v>92489</v>
      </c>
      <c r="F179">
        <v>87587</v>
      </c>
      <c r="G179">
        <v>76734</v>
      </c>
    </row>
    <row r="180" spans="1:7" x14ac:dyDescent="0.3">
      <c r="A180">
        <v>79702</v>
      </c>
      <c r="F180">
        <v>64190</v>
      </c>
      <c r="G180">
        <v>77985</v>
      </c>
    </row>
    <row r="181" spans="1:7" x14ac:dyDescent="0.3">
      <c r="A181">
        <v>66112</v>
      </c>
      <c r="F181">
        <v>54923</v>
      </c>
      <c r="G181">
        <v>67819</v>
      </c>
    </row>
    <row r="182" spans="1:7" x14ac:dyDescent="0.3">
      <c r="A182">
        <v>56201</v>
      </c>
      <c r="F182">
        <v>57130</v>
      </c>
      <c r="G182">
        <v>76777</v>
      </c>
    </row>
    <row r="183" spans="1:7" x14ac:dyDescent="0.3">
      <c r="A183">
        <v>58887</v>
      </c>
      <c r="F183">
        <v>61782</v>
      </c>
      <c r="G183">
        <v>66450</v>
      </c>
    </row>
    <row r="184" spans="1:7" x14ac:dyDescent="0.3">
      <c r="A184">
        <v>77004</v>
      </c>
      <c r="F184">
        <v>82239</v>
      </c>
      <c r="G184">
        <v>84520</v>
      </c>
    </row>
    <row r="185" spans="1:7" x14ac:dyDescent="0.3">
      <c r="A185">
        <v>73414</v>
      </c>
      <c r="F185">
        <v>63634</v>
      </c>
      <c r="G185">
        <v>85379</v>
      </c>
    </row>
    <row r="186" spans="1:7" x14ac:dyDescent="0.3">
      <c r="F186">
        <v>70361</v>
      </c>
      <c r="G186">
        <v>107510</v>
      </c>
    </row>
    <row r="187" spans="1:7" x14ac:dyDescent="0.3">
      <c r="F187">
        <v>66072</v>
      </c>
      <c r="G187">
        <v>89077</v>
      </c>
    </row>
    <row r="188" spans="1:7" x14ac:dyDescent="0.3">
      <c r="F188">
        <v>58529</v>
      </c>
      <c r="G188">
        <v>64736</v>
      </c>
    </row>
    <row r="189" spans="1:7" x14ac:dyDescent="0.3">
      <c r="F189">
        <v>59202</v>
      </c>
      <c r="G189">
        <v>84224</v>
      </c>
    </row>
    <row r="190" spans="1:7" x14ac:dyDescent="0.3">
      <c r="F190">
        <v>55963</v>
      </c>
      <c r="G190">
        <v>64491</v>
      </c>
    </row>
    <row r="191" spans="1:7" x14ac:dyDescent="0.3">
      <c r="F191">
        <v>63362</v>
      </c>
      <c r="G191">
        <v>72745</v>
      </c>
    </row>
    <row r="192" spans="1:7" x14ac:dyDescent="0.3">
      <c r="F192">
        <v>64384</v>
      </c>
      <c r="G192">
        <v>61665</v>
      </c>
    </row>
    <row r="193" spans="6:7" x14ac:dyDescent="0.3">
      <c r="F193">
        <v>68912</v>
      </c>
      <c r="G193">
        <v>84676</v>
      </c>
    </row>
    <row r="194" spans="6:7" x14ac:dyDescent="0.3">
      <c r="F194">
        <v>61186</v>
      </c>
      <c r="G194">
        <v>68840</v>
      </c>
    </row>
    <row r="195" spans="6:7" x14ac:dyDescent="0.3">
      <c r="F195">
        <v>57702</v>
      </c>
      <c r="G195">
        <v>67955</v>
      </c>
    </row>
    <row r="196" spans="6:7" x14ac:dyDescent="0.3">
      <c r="F196">
        <v>56487</v>
      </c>
      <c r="G196">
        <v>81762</v>
      </c>
    </row>
    <row r="197" spans="6:7" x14ac:dyDescent="0.3">
      <c r="F197">
        <v>91666</v>
      </c>
      <c r="G197">
        <v>89912</v>
      </c>
    </row>
    <row r="198" spans="6:7" x14ac:dyDescent="0.3">
      <c r="F198">
        <v>88719</v>
      </c>
      <c r="G198">
        <v>76899</v>
      </c>
    </row>
    <row r="199" spans="6:7" x14ac:dyDescent="0.3">
      <c r="F199">
        <v>57527</v>
      </c>
      <c r="G199">
        <v>115420</v>
      </c>
    </row>
    <row r="200" spans="6:7" x14ac:dyDescent="0.3">
      <c r="F200">
        <v>55990</v>
      </c>
      <c r="G200">
        <v>104096</v>
      </c>
    </row>
    <row r="201" spans="6:7" x14ac:dyDescent="0.3">
      <c r="F201">
        <v>63989</v>
      </c>
      <c r="G201">
        <v>104919</v>
      </c>
    </row>
    <row r="202" spans="6:7" x14ac:dyDescent="0.3">
      <c r="F202">
        <v>73636</v>
      </c>
      <c r="G202">
        <v>73654</v>
      </c>
    </row>
    <row r="203" spans="6:7" x14ac:dyDescent="0.3">
      <c r="F203">
        <v>55550</v>
      </c>
    </row>
    <row r="204" spans="6:7" x14ac:dyDescent="0.3">
      <c r="F204">
        <v>58307</v>
      </c>
    </row>
    <row r="205" spans="6:7" x14ac:dyDescent="0.3">
      <c r="F205">
        <v>67180</v>
      </c>
    </row>
    <row r="206" spans="6:7" x14ac:dyDescent="0.3">
      <c r="F206">
        <v>65261</v>
      </c>
    </row>
    <row r="207" spans="6:7" x14ac:dyDescent="0.3">
      <c r="F207">
        <v>59575</v>
      </c>
    </row>
    <row r="208" spans="6:7" x14ac:dyDescent="0.3">
      <c r="F208">
        <v>58903</v>
      </c>
    </row>
    <row r="209" spans="6:6" x14ac:dyDescent="0.3">
      <c r="F209">
        <v>66482</v>
      </c>
    </row>
    <row r="210" spans="6:6" x14ac:dyDescent="0.3">
      <c r="F210">
        <v>56196</v>
      </c>
    </row>
    <row r="211" spans="6:6" x14ac:dyDescent="0.3">
      <c r="F211">
        <v>54990</v>
      </c>
    </row>
    <row r="212" spans="6:6" x14ac:dyDescent="0.3">
      <c r="F212">
        <v>61461</v>
      </c>
    </row>
    <row r="213" spans="6:6" x14ac:dyDescent="0.3">
      <c r="F213">
        <v>60507</v>
      </c>
    </row>
    <row r="214" spans="6:6" x14ac:dyDescent="0.3">
      <c r="F214">
        <v>57996</v>
      </c>
    </row>
    <row r="215" spans="6:6" x14ac:dyDescent="0.3">
      <c r="F215">
        <v>59746</v>
      </c>
    </row>
    <row r="216" spans="6:6" x14ac:dyDescent="0.3">
      <c r="F216">
        <v>60965</v>
      </c>
    </row>
    <row r="217" spans="6:6" x14ac:dyDescent="0.3">
      <c r="F217">
        <v>64103</v>
      </c>
    </row>
    <row r="218" spans="6:6" x14ac:dyDescent="0.3">
      <c r="F218">
        <v>64145</v>
      </c>
    </row>
    <row r="219" spans="6:6" x14ac:dyDescent="0.3">
      <c r="F219">
        <v>62526</v>
      </c>
    </row>
    <row r="220" spans="6:6" x14ac:dyDescent="0.3">
      <c r="F220">
        <v>53687</v>
      </c>
    </row>
    <row r="221" spans="6:6" x14ac:dyDescent="0.3">
      <c r="F221">
        <v>64605</v>
      </c>
    </row>
    <row r="222" spans="6:6" x14ac:dyDescent="0.3">
      <c r="F222">
        <v>64169</v>
      </c>
    </row>
    <row r="223" spans="6:6" x14ac:dyDescent="0.3">
      <c r="F223">
        <v>70469</v>
      </c>
    </row>
    <row r="224" spans="6:6" x14ac:dyDescent="0.3">
      <c r="F224">
        <v>56781</v>
      </c>
    </row>
    <row r="225" spans="6:6" x14ac:dyDescent="0.3">
      <c r="F225">
        <v>63688</v>
      </c>
    </row>
    <row r="226" spans="6:6" x14ac:dyDescent="0.3">
      <c r="F226">
        <v>63561</v>
      </c>
    </row>
    <row r="227" spans="6:6" x14ac:dyDescent="0.3">
      <c r="F227">
        <v>65761</v>
      </c>
    </row>
    <row r="228" spans="6:6" x14ac:dyDescent="0.3">
      <c r="F228">
        <v>62465</v>
      </c>
    </row>
    <row r="229" spans="6:6" x14ac:dyDescent="0.3">
      <c r="F229">
        <v>57789</v>
      </c>
    </row>
    <row r="230" spans="6:6" x14ac:dyDescent="0.3">
      <c r="F230">
        <v>83222</v>
      </c>
    </row>
    <row r="231" spans="6:6" x14ac:dyDescent="0.3">
      <c r="F231">
        <v>57215</v>
      </c>
    </row>
    <row r="232" spans="6:6" x14ac:dyDescent="0.3">
      <c r="F232">
        <v>59469</v>
      </c>
    </row>
    <row r="233" spans="6:6" x14ac:dyDescent="0.3">
      <c r="F233">
        <v>55791</v>
      </c>
    </row>
    <row r="234" spans="6:6" x14ac:dyDescent="0.3">
      <c r="F234">
        <v>59258</v>
      </c>
    </row>
    <row r="235" spans="6:6" x14ac:dyDescent="0.3">
      <c r="F235">
        <v>58109</v>
      </c>
    </row>
    <row r="236" spans="6:6" x14ac:dyDescent="0.3">
      <c r="F236">
        <v>64308</v>
      </c>
    </row>
    <row r="237" spans="6:6" x14ac:dyDescent="0.3">
      <c r="F237">
        <v>64044</v>
      </c>
    </row>
    <row r="238" spans="6:6" x14ac:dyDescent="0.3">
      <c r="F238">
        <v>61578</v>
      </c>
    </row>
    <row r="239" spans="6:6" x14ac:dyDescent="0.3">
      <c r="F239">
        <v>60551</v>
      </c>
    </row>
    <row r="240" spans="6:6" x14ac:dyDescent="0.3">
      <c r="F240">
        <v>61458</v>
      </c>
    </row>
    <row r="241" spans="6:6" x14ac:dyDescent="0.3">
      <c r="F241">
        <v>74903</v>
      </c>
    </row>
    <row r="242" spans="6:6" x14ac:dyDescent="0.3">
      <c r="F242">
        <v>55177</v>
      </c>
    </row>
    <row r="243" spans="6:6" x14ac:dyDescent="0.3">
      <c r="F243">
        <v>58264</v>
      </c>
    </row>
    <row r="244" spans="6:6" x14ac:dyDescent="0.3">
      <c r="F244">
        <v>59625</v>
      </c>
    </row>
    <row r="245" spans="6:6" x14ac:dyDescent="0.3">
      <c r="F245">
        <v>56923</v>
      </c>
    </row>
    <row r="246" spans="6:6" x14ac:dyDescent="0.3">
      <c r="F246">
        <v>55231</v>
      </c>
    </row>
    <row r="247" spans="6:6" x14ac:dyDescent="0.3">
      <c r="F247">
        <v>67786</v>
      </c>
    </row>
    <row r="248" spans="6:6" x14ac:dyDescent="0.3">
      <c r="F248">
        <v>68156</v>
      </c>
    </row>
    <row r="249" spans="6:6" x14ac:dyDescent="0.3">
      <c r="F249">
        <v>68783</v>
      </c>
    </row>
    <row r="250" spans="6:6" x14ac:dyDescent="0.3">
      <c r="F250">
        <v>63585</v>
      </c>
    </row>
    <row r="251" spans="6:6" x14ac:dyDescent="0.3">
      <c r="F251">
        <v>54994</v>
      </c>
    </row>
    <row r="252" spans="6:6" x14ac:dyDescent="0.3">
      <c r="F252">
        <v>68994</v>
      </c>
    </row>
    <row r="253" spans="6:6" x14ac:dyDescent="0.3">
      <c r="F253">
        <v>62922</v>
      </c>
    </row>
    <row r="254" spans="6:6" x14ac:dyDescent="0.3">
      <c r="F254">
        <v>61322</v>
      </c>
    </row>
    <row r="255" spans="6:6" x14ac:dyDescent="0.3">
      <c r="F255">
        <v>59023</v>
      </c>
    </row>
    <row r="256" spans="6:6" x14ac:dyDescent="0.3">
      <c r="F256">
        <v>60768</v>
      </c>
    </row>
    <row r="257" spans="6:6" x14ac:dyDescent="0.3">
      <c r="F257">
        <v>59658</v>
      </c>
    </row>
    <row r="258" spans="6:6" x14ac:dyDescent="0.3">
      <c r="F258">
        <v>72364</v>
      </c>
    </row>
    <row r="259" spans="6:6" x14ac:dyDescent="0.3">
      <c r="F259">
        <v>61056</v>
      </c>
    </row>
    <row r="260" spans="6:6" x14ac:dyDescent="0.3">
      <c r="F260">
        <v>74120</v>
      </c>
    </row>
    <row r="261" spans="6:6" x14ac:dyDescent="0.3">
      <c r="F261">
        <v>59142</v>
      </c>
    </row>
    <row r="262" spans="6:6" x14ac:dyDescent="0.3">
      <c r="F262">
        <v>67180</v>
      </c>
    </row>
    <row r="263" spans="6:6" x14ac:dyDescent="0.3">
      <c r="F263">
        <v>81510</v>
      </c>
    </row>
    <row r="264" spans="6:6" x14ac:dyDescent="0.3">
      <c r="F264">
        <v>83267</v>
      </c>
    </row>
    <row r="265" spans="6:6" x14ac:dyDescent="0.3">
      <c r="F265">
        <v>61566</v>
      </c>
    </row>
    <row r="266" spans="6:6" x14ac:dyDescent="0.3">
      <c r="F266">
        <v>85260</v>
      </c>
    </row>
    <row r="267" spans="6:6" x14ac:dyDescent="0.3">
      <c r="F267">
        <v>86995</v>
      </c>
    </row>
    <row r="268" spans="6:6" x14ac:dyDescent="0.3">
      <c r="F268">
        <v>59458</v>
      </c>
    </row>
    <row r="269" spans="6:6" x14ac:dyDescent="0.3">
      <c r="F269">
        <v>53029</v>
      </c>
    </row>
    <row r="270" spans="6:6" x14ac:dyDescent="0.3">
      <c r="F270">
        <v>59856</v>
      </c>
    </row>
    <row r="271" spans="6:6" x14ac:dyDescent="0.3">
      <c r="F271">
        <v>65428</v>
      </c>
    </row>
    <row r="272" spans="6:6" x14ac:dyDescent="0.3">
      <c r="F272">
        <v>70711</v>
      </c>
    </row>
    <row r="273" spans="6:6" x14ac:dyDescent="0.3">
      <c r="F273">
        <v>54544</v>
      </c>
    </row>
    <row r="274" spans="6:6" x14ac:dyDescent="0.3">
      <c r="F274">
        <v>60276</v>
      </c>
    </row>
    <row r="275" spans="6:6" x14ac:dyDescent="0.3">
      <c r="F275">
        <v>61107</v>
      </c>
    </row>
    <row r="276" spans="6:6" x14ac:dyDescent="0.3">
      <c r="F276">
        <v>59494</v>
      </c>
    </row>
    <row r="277" spans="6:6" x14ac:dyDescent="0.3">
      <c r="F277">
        <v>59952</v>
      </c>
    </row>
    <row r="278" spans="6:6" x14ac:dyDescent="0.3">
      <c r="F278">
        <v>73237</v>
      </c>
    </row>
    <row r="279" spans="6:6" x14ac:dyDescent="0.3">
      <c r="F279">
        <v>72188</v>
      </c>
    </row>
    <row r="280" spans="6:6" x14ac:dyDescent="0.3">
      <c r="F280">
        <v>62997</v>
      </c>
    </row>
    <row r="281" spans="6:6" x14ac:dyDescent="0.3">
      <c r="F281">
        <v>67818</v>
      </c>
    </row>
    <row r="282" spans="6:6" x14ac:dyDescent="0.3">
      <c r="F282">
        <v>61341</v>
      </c>
    </row>
    <row r="283" spans="6:6" x14ac:dyDescent="0.3">
      <c r="F283">
        <v>62479</v>
      </c>
    </row>
    <row r="284" spans="6:6" x14ac:dyDescent="0.3">
      <c r="F284">
        <v>71839</v>
      </c>
    </row>
    <row r="285" spans="6:6" x14ac:dyDescent="0.3">
      <c r="F285">
        <v>59751</v>
      </c>
    </row>
    <row r="286" spans="6:6" x14ac:dyDescent="0.3">
      <c r="F286">
        <v>61581</v>
      </c>
    </row>
    <row r="287" spans="6:6" x14ac:dyDescent="0.3">
      <c r="F287">
        <v>97119</v>
      </c>
    </row>
    <row r="288" spans="6:6" x14ac:dyDescent="0.3">
      <c r="F288">
        <v>108780</v>
      </c>
    </row>
    <row r="289" spans="6:6" x14ac:dyDescent="0.3">
      <c r="F289">
        <v>66416</v>
      </c>
    </row>
    <row r="290" spans="6:6" x14ac:dyDescent="0.3">
      <c r="F290">
        <v>53611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817E-25A8-4984-9CA4-4A2DEDD4333A}">
  <dimension ref="A1:P8951"/>
  <sheetViews>
    <sheetView workbookViewId="0">
      <selection activeCell="H22" sqref="H22"/>
    </sheetView>
  </sheetViews>
  <sheetFormatPr defaultRowHeight="14.4" x14ac:dyDescent="0.3"/>
  <cols>
    <col min="1" max="1" width="8.33203125" style="15" bestFit="1" customWidth="1"/>
    <col min="2" max="2" width="9.33203125" style="15" bestFit="1" customWidth="1"/>
    <col min="4" max="4" width="16.5546875" style="15" bestFit="1" customWidth="1"/>
    <col min="5" max="5" width="14" customWidth="1"/>
    <col min="6" max="6" width="15" customWidth="1"/>
    <col min="8" max="8" width="17.44140625" bestFit="1" customWidth="1"/>
    <col min="9" max="9" width="12" bestFit="1" customWidth="1"/>
    <col min="10" max="10" width="13.44140625" bestFit="1" customWidth="1"/>
    <col min="11" max="11" width="12.6640625" bestFit="1" customWidth="1"/>
    <col min="12" max="12" width="12" bestFit="1" customWidth="1"/>
    <col min="13" max="13" width="12.6640625" bestFit="1" customWidth="1"/>
    <col min="14" max="14" width="12" bestFit="1" customWidth="1"/>
    <col min="15" max="15" width="12.6640625" bestFit="1" customWidth="1"/>
    <col min="16" max="16" width="12.109375" bestFit="1" customWidth="1"/>
  </cols>
  <sheetData>
    <row r="1" spans="1:13" x14ac:dyDescent="0.3">
      <c r="A1" s="15" t="s">
        <v>12</v>
      </c>
      <c r="B1" s="15" t="s">
        <v>3</v>
      </c>
      <c r="C1" s="15" t="s">
        <v>3</v>
      </c>
      <c r="D1" s="15" t="s">
        <v>6</v>
      </c>
      <c r="E1" s="15" t="s">
        <v>6</v>
      </c>
      <c r="F1" s="17" t="s">
        <v>1878</v>
      </c>
    </row>
    <row r="2" spans="1:13" x14ac:dyDescent="0.3">
      <c r="A2" s="15">
        <v>81552</v>
      </c>
      <c r="B2" s="15" t="s">
        <v>17</v>
      </c>
      <c r="C2">
        <f>IF(B2="Male", 1, 0)</f>
        <v>0</v>
      </c>
      <c r="D2" s="15" t="s">
        <v>20</v>
      </c>
      <c r="E2">
        <f>IF(D2="High School",1,IF(D2="Bachelor",2,IF(D2="Master",3,IF(D2="PhD",4,""))))</f>
        <v>1</v>
      </c>
      <c r="F2" s="15">
        <v>5.2219178082191782</v>
      </c>
      <c r="H2" t="s">
        <v>1902</v>
      </c>
    </row>
    <row r="3" spans="1:13" ht="15" thickBot="1" x14ac:dyDescent="0.35">
      <c r="A3" s="15">
        <v>107520</v>
      </c>
      <c r="B3" s="15" t="s">
        <v>27</v>
      </c>
      <c r="C3">
        <f t="shared" ref="C3:C66" si="0">IF(B3="Male", 1, 0)</f>
        <v>1</v>
      </c>
      <c r="D3" s="15" t="s">
        <v>30</v>
      </c>
      <c r="E3">
        <f t="shared" ref="E3:E66" si="1">IF(D3="High School",1,IF(D3="Bachelor",2,IF(D3="Master",3,IF(D3="PhD",4,""))))</f>
        <v>2</v>
      </c>
      <c r="F3" s="15">
        <v>2.342465753424658</v>
      </c>
    </row>
    <row r="4" spans="1:13" x14ac:dyDescent="0.3">
      <c r="A4" s="15">
        <v>61104</v>
      </c>
      <c r="B4" s="15" t="s">
        <v>27</v>
      </c>
      <c r="C4">
        <f t="shared" si="0"/>
        <v>1</v>
      </c>
      <c r="D4" s="15" t="s">
        <v>30</v>
      </c>
      <c r="E4">
        <f t="shared" si="1"/>
        <v>2</v>
      </c>
      <c r="F4" s="15">
        <v>5.0904109589041093</v>
      </c>
      <c r="H4" s="21" t="s">
        <v>1903</v>
      </c>
      <c r="I4" s="21"/>
    </row>
    <row r="5" spans="1:13" x14ac:dyDescent="0.3">
      <c r="A5" s="15">
        <v>73770</v>
      </c>
      <c r="B5" s="15" t="s">
        <v>27</v>
      </c>
      <c r="C5">
        <f t="shared" si="0"/>
        <v>1</v>
      </c>
      <c r="D5" s="15" t="s">
        <v>30</v>
      </c>
      <c r="E5">
        <f t="shared" si="1"/>
        <v>2</v>
      </c>
      <c r="F5" s="15">
        <v>2.7506849315068491</v>
      </c>
      <c r="H5" t="s">
        <v>1904</v>
      </c>
      <c r="I5">
        <v>0.47184690979710048</v>
      </c>
    </row>
    <row r="6" spans="1:13" x14ac:dyDescent="0.3">
      <c r="A6" s="15">
        <v>73800</v>
      </c>
      <c r="B6" s="15" t="s">
        <v>17</v>
      </c>
      <c r="C6">
        <f t="shared" si="0"/>
        <v>0</v>
      </c>
      <c r="D6" s="15" t="s">
        <v>30</v>
      </c>
      <c r="E6">
        <f t="shared" si="1"/>
        <v>2</v>
      </c>
      <c r="F6" s="15">
        <v>10.24931506849315</v>
      </c>
      <c r="H6" t="s">
        <v>1905</v>
      </c>
      <c r="I6">
        <v>0.22263950628507306</v>
      </c>
    </row>
    <row r="7" spans="1:13" x14ac:dyDescent="0.3">
      <c r="A7" s="15">
        <v>68181</v>
      </c>
      <c r="B7" s="15" t="s">
        <v>27</v>
      </c>
      <c r="C7">
        <f t="shared" si="0"/>
        <v>1</v>
      </c>
      <c r="D7" s="15" t="s">
        <v>30</v>
      </c>
      <c r="E7">
        <f t="shared" si="1"/>
        <v>2</v>
      </c>
      <c r="F7" s="15">
        <v>0.49315068493150682</v>
      </c>
      <c r="H7" t="s">
        <v>1906</v>
      </c>
      <c r="I7">
        <v>0.22102505043104415</v>
      </c>
    </row>
    <row r="8" spans="1:13" x14ac:dyDescent="0.3">
      <c r="A8" s="15">
        <v>54499</v>
      </c>
      <c r="B8" s="15" t="s">
        <v>17</v>
      </c>
      <c r="C8">
        <f t="shared" si="0"/>
        <v>0</v>
      </c>
      <c r="D8" s="15" t="s">
        <v>30</v>
      </c>
      <c r="E8">
        <f t="shared" si="1"/>
        <v>2</v>
      </c>
      <c r="F8" s="15">
        <v>0.49315068493150682</v>
      </c>
      <c r="H8" t="s">
        <v>1907</v>
      </c>
      <c r="I8">
        <v>12423.740165792078</v>
      </c>
    </row>
    <row r="9" spans="1:13" ht="15" thickBot="1" x14ac:dyDescent="0.35">
      <c r="A9" s="15">
        <v>57340</v>
      </c>
      <c r="B9" s="15" t="s">
        <v>27</v>
      </c>
      <c r="C9">
        <f t="shared" si="0"/>
        <v>1</v>
      </c>
      <c r="D9" s="15" t="s">
        <v>20</v>
      </c>
      <c r="E9">
        <f t="shared" si="1"/>
        <v>1</v>
      </c>
      <c r="F9" s="15">
        <v>0.49315068493150682</v>
      </c>
      <c r="H9" s="19" t="s">
        <v>1908</v>
      </c>
      <c r="I9" s="19">
        <v>966</v>
      </c>
    </row>
    <row r="10" spans="1:13" x14ac:dyDescent="0.3">
      <c r="A10" s="15">
        <v>54065</v>
      </c>
      <c r="B10" s="15" t="s">
        <v>17</v>
      </c>
      <c r="C10">
        <f t="shared" si="0"/>
        <v>0</v>
      </c>
      <c r="D10" s="15" t="s">
        <v>30</v>
      </c>
      <c r="E10">
        <f t="shared" si="1"/>
        <v>2</v>
      </c>
      <c r="F10" s="15">
        <v>4.5123287671232877</v>
      </c>
    </row>
    <row r="11" spans="1:13" ht="15" thickBot="1" x14ac:dyDescent="0.35">
      <c r="A11" s="15">
        <v>83262</v>
      </c>
      <c r="B11" s="15" t="s">
        <v>17</v>
      </c>
      <c r="C11">
        <f t="shared" si="0"/>
        <v>0</v>
      </c>
      <c r="D11" s="15" t="s">
        <v>20</v>
      </c>
      <c r="E11">
        <f t="shared" si="1"/>
        <v>1</v>
      </c>
      <c r="F11" s="15">
        <v>3.4328767123287669</v>
      </c>
      <c r="H11" t="s">
        <v>1909</v>
      </c>
    </row>
    <row r="12" spans="1:13" x14ac:dyDescent="0.3">
      <c r="A12" s="15">
        <v>61651</v>
      </c>
      <c r="B12" s="15" t="s">
        <v>17</v>
      </c>
      <c r="C12">
        <f t="shared" si="0"/>
        <v>0</v>
      </c>
      <c r="D12" s="15" t="s">
        <v>20</v>
      </c>
      <c r="E12">
        <f t="shared" si="1"/>
        <v>1</v>
      </c>
      <c r="F12" s="15">
        <v>0.49315068493150682</v>
      </c>
      <c r="H12" s="20"/>
      <c r="I12" s="20" t="s">
        <v>1914</v>
      </c>
      <c r="J12" s="20" t="s">
        <v>1915</v>
      </c>
      <c r="K12" s="20" t="s">
        <v>1916</v>
      </c>
      <c r="L12" s="20" t="s">
        <v>1917</v>
      </c>
      <c r="M12" s="20" t="s">
        <v>1918</v>
      </c>
    </row>
    <row r="13" spans="1:13" x14ac:dyDescent="0.3">
      <c r="A13" s="15">
        <v>75509</v>
      </c>
      <c r="B13" s="15" t="s">
        <v>27</v>
      </c>
      <c r="C13">
        <f t="shared" si="0"/>
        <v>1</v>
      </c>
      <c r="D13" s="15" t="s">
        <v>30</v>
      </c>
      <c r="E13">
        <f t="shared" si="1"/>
        <v>2</v>
      </c>
      <c r="F13" s="15">
        <v>3.7972602739726029</v>
      </c>
      <c r="H13" t="s">
        <v>1910</v>
      </c>
      <c r="I13">
        <v>2</v>
      </c>
      <c r="J13">
        <v>42570698045.749603</v>
      </c>
      <c r="K13">
        <v>21285349022.874802</v>
      </c>
      <c r="L13">
        <v>137.90374368519855</v>
      </c>
      <c r="M13">
        <v>2.1613104942474355E-53</v>
      </c>
    </row>
    <row r="14" spans="1:13" x14ac:dyDescent="0.3">
      <c r="A14" s="15">
        <v>67011</v>
      </c>
      <c r="B14" s="15" t="s">
        <v>17</v>
      </c>
      <c r="C14">
        <f t="shared" si="0"/>
        <v>0</v>
      </c>
      <c r="D14" s="15" t="s">
        <v>20</v>
      </c>
      <c r="E14">
        <f t="shared" si="1"/>
        <v>1</v>
      </c>
      <c r="F14" s="15">
        <v>0.49315068493150682</v>
      </c>
      <c r="H14" t="s">
        <v>1911</v>
      </c>
      <c r="I14">
        <v>963</v>
      </c>
      <c r="J14">
        <v>148638394877.95209</v>
      </c>
      <c r="K14">
        <v>154349319.70711535</v>
      </c>
    </row>
    <row r="15" spans="1:13" ht="15" thickBot="1" x14ac:dyDescent="0.35">
      <c r="A15" s="15">
        <v>60136</v>
      </c>
      <c r="B15" s="15" t="s">
        <v>27</v>
      </c>
      <c r="C15">
        <f t="shared" si="0"/>
        <v>1</v>
      </c>
      <c r="D15" s="15" t="s">
        <v>30</v>
      </c>
      <c r="E15">
        <f t="shared" si="1"/>
        <v>2</v>
      </c>
      <c r="F15" s="15">
        <v>0.49315068493150682</v>
      </c>
      <c r="H15" s="19" t="s">
        <v>1912</v>
      </c>
      <c r="I15" s="19">
        <v>965</v>
      </c>
      <c r="J15" s="19">
        <v>191209092923.70169</v>
      </c>
      <c r="K15" s="19"/>
      <c r="L15" s="19"/>
      <c r="M15" s="19"/>
    </row>
    <row r="16" spans="1:13" ht="15" thickBot="1" x14ac:dyDescent="0.35">
      <c r="A16" s="15">
        <v>67552</v>
      </c>
      <c r="B16" s="15" t="s">
        <v>27</v>
      </c>
      <c r="C16">
        <f t="shared" si="0"/>
        <v>1</v>
      </c>
      <c r="D16" s="15" t="s">
        <v>30</v>
      </c>
      <c r="E16">
        <f t="shared" si="1"/>
        <v>2</v>
      </c>
      <c r="F16" s="15">
        <v>0.49315068493150682</v>
      </c>
    </row>
    <row r="17" spans="1:16" x14ac:dyDescent="0.3">
      <c r="A17" s="15">
        <v>59934</v>
      </c>
      <c r="B17" s="15" t="s">
        <v>27</v>
      </c>
      <c r="C17">
        <f t="shared" si="0"/>
        <v>1</v>
      </c>
      <c r="D17" s="15" t="s">
        <v>30</v>
      </c>
      <c r="E17">
        <f t="shared" si="1"/>
        <v>2</v>
      </c>
      <c r="F17" s="15">
        <v>0.49315068493150682</v>
      </c>
      <c r="H17" s="20"/>
      <c r="I17" s="20" t="s">
        <v>1919</v>
      </c>
      <c r="J17" s="20" t="s">
        <v>1907</v>
      </c>
      <c r="K17" s="20" t="s">
        <v>1920</v>
      </c>
      <c r="L17" s="20" t="s">
        <v>1921</v>
      </c>
      <c r="M17" s="20" t="s">
        <v>1922</v>
      </c>
      <c r="N17" s="20" t="s">
        <v>1923</v>
      </c>
      <c r="O17" s="20" t="s">
        <v>1924</v>
      </c>
      <c r="P17" s="20" t="s">
        <v>1925</v>
      </c>
    </row>
    <row r="18" spans="1:16" x14ac:dyDescent="0.3">
      <c r="A18" s="15">
        <v>104162</v>
      </c>
      <c r="B18" s="15" t="s">
        <v>17</v>
      </c>
      <c r="C18">
        <f t="shared" si="0"/>
        <v>0</v>
      </c>
      <c r="D18" s="15" t="s">
        <v>93</v>
      </c>
      <c r="E18">
        <f t="shared" si="1"/>
        <v>4</v>
      </c>
      <c r="F18" s="15">
        <v>0.49315068493150682</v>
      </c>
      <c r="H18" t="s">
        <v>1913</v>
      </c>
      <c r="I18">
        <v>52297.266765835651</v>
      </c>
      <c r="J18">
        <v>1256.1491060703463</v>
      </c>
      <c r="K18">
        <v>41.633008783040857</v>
      </c>
      <c r="L18">
        <v>1.6080487915337616E-217</v>
      </c>
      <c r="M18">
        <v>49832.161512046892</v>
      </c>
      <c r="N18">
        <v>54762.37201962441</v>
      </c>
      <c r="O18">
        <v>49832.161512046892</v>
      </c>
      <c r="P18">
        <v>54762.37201962441</v>
      </c>
    </row>
    <row r="19" spans="1:16" x14ac:dyDescent="0.3">
      <c r="A19" s="15">
        <v>63873</v>
      </c>
      <c r="B19" s="15" t="s">
        <v>27</v>
      </c>
      <c r="C19">
        <f t="shared" si="0"/>
        <v>1</v>
      </c>
      <c r="D19" s="15" t="s">
        <v>30</v>
      </c>
      <c r="E19">
        <f t="shared" si="1"/>
        <v>2</v>
      </c>
      <c r="F19" s="15">
        <v>1.0246575342465749</v>
      </c>
      <c r="H19" t="s">
        <v>6</v>
      </c>
      <c r="I19">
        <v>9292.0985298728228</v>
      </c>
      <c r="J19">
        <v>559.57644505961116</v>
      </c>
      <c r="K19">
        <v>16.605592697675014</v>
      </c>
      <c r="L19">
        <v>1.2018183659493518E-54</v>
      </c>
      <c r="M19">
        <v>8193.9686757441559</v>
      </c>
      <c r="N19">
        <v>10390.22838400149</v>
      </c>
      <c r="O19">
        <v>8193.9686757441559</v>
      </c>
      <c r="P19">
        <v>10390.22838400149</v>
      </c>
    </row>
    <row r="20" spans="1:16" ht="15" thickBot="1" x14ac:dyDescent="0.35">
      <c r="A20" s="15">
        <v>66250</v>
      </c>
      <c r="B20" s="15" t="s">
        <v>27</v>
      </c>
      <c r="C20">
        <f t="shared" si="0"/>
        <v>1</v>
      </c>
      <c r="D20" s="15" t="s">
        <v>30</v>
      </c>
      <c r="E20">
        <f t="shared" si="1"/>
        <v>2</v>
      </c>
      <c r="F20" s="15">
        <v>6.7890410958904113</v>
      </c>
      <c r="H20" s="19" t="s">
        <v>1878</v>
      </c>
      <c r="I20" s="19">
        <v>-53.294748398530409</v>
      </c>
      <c r="J20" s="19">
        <v>166.28376663847945</v>
      </c>
      <c r="K20" s="19">
        <v>-0.32050481821475385</v>
      </c>
      <c r="L20" s="19">
        <v>0.7486552109232254</v>
      </c>
      <c r="M20" s="19">
        <v>-379.61507516501274</v>
      </c>
      <c r="N20" s="19">
        <v>273.02557836795188</v>
      </c>
      <c r="O20" s="19">
        <v>-379.61507516501274</v>
      </c>
      <c r="P20" s="19">
        <v>273.02557836795188</v>
      </c>
    </row>
    <row r="21" spans="1:16" x14ac:dyDescent="0.3">
      <c r="A21" s="15">
        <v>61729</v>
      </c>
      <c r="B21" s="15" t="s">
        <v>27</v>
      </c>
      <c r="C21">
        <f t="shared" si="0"/>
        <v>1</v>
      </c>
      <c r="D21" s="15" t="s">
        <v>30</v>
      </c>
      <c r="E21">
        <f t="shared" si="1"/>
        <v>2</v>
      </c>
      <c r="F21" s="15">
        <v>0.49315068493150682</v>
      </c>
    </row>
    <row r="22" spans="1:16" x14ac:dyDescent="0.3">
      <c r="A22" s="15">
        <v>84046</v>
      </c>
      <c r="B22" s="15" t="s">
        <v>17</v>
      </c>
      <c r="C22">
        <f t="shared" si="0"/>
        <v>0</v>
      </c>
      <c r="D22" s="15" t="s">
        <v>112</v>
      </c>
      <c r="E22">
        <f t="shared" si="1"/>
        <v>3</v>
      </c>
      <c r="F22" s="15">
        <v>7.1780821917808222</v>
      </c>
    </row>
    <row r="23" spans="1:16" x14ac:dyDescent="0.3">
      <c r="A23" s="15">
        <v>69318</v>
      </c>
      <c r="B23" s="15" t="s">
        <v>27</v>
      </c>
      <c r="C23">
        <f t="shared" si="0"/>
        <v>1</v>
      </c>
      <c r="D23" s="15" t="s">
        <v>93</v>
      </c>
      <c r="E23">
        <f t="shared" si="1"/>
        <v>4</v>
      </c>
      <c r="F23" s="15">
        <v>5.5232876712328771</v>
      </c>
    </row>
    <row r="24" spans="1:16" x14ac:dyDescent="0.3">
      <c r="A24" s="15">
        <v>99002</v>
      </c>
      <c r="B24" s="15" t="s">
        <v>27</v>
      </c>
      <c r="C24">
        <f t="shared" si="0"/>
        <v>1</v>
      </c>
      <c r="D24" s="15" t="s">
        <v>30</v>
      </c>
      <c r="E24">
        <f t="shared" si="1"/>
        <v>2</v>
      </c>
      <c r="F24" s="15">
        <v>0.49315068493150682</v>
      </c>
    </row>
    <row r="25" spans="1:16" x14ac:dyDescent="0.3">
      <c r="A25" s="15">
        <v>69163</v>
      </c>
      <c r="B25" s="15" t="s">
        <v>27</v>
      </c>
      <c r="C25">
        <f t="shared" si="0"/>
        <v>1</v>
      </c>
      <c r="D25" s="15" t="s">
        <v>30</v>
      </c>
      <c r="E25">
        <f t="shared" si="1"/>
        <v>2</v>
      </c>
      <c r="F25" s="15">
        <v>0.49315068493150682</v>
      </c>
    </row>
    <row r="26" spans="1:16" x14ac:dyDescent="0.3">
      <c r="A26" s="15">
        <v>65830</v>
      </c>
      <c r="B26" s="15" t="s">
        <v>27</v>
      </c>
      <c r="C26">
        <f t="shared" si="0"/>
        <v>1</v>
      </c>
      <c r="D26" s="15" t="s">
        <v>30</v>
      </c>
      <c r="E26">
        <f t="shared" si="1"/>
        <v>2</v>
      </c>
      <c r="F26" s="15">
        <v>0.50684931506849318</v>
      </c>
    </row>
    <row r="27" spans="1:16" x14ac:dyDescent="0.3">
      <c r="A27" s="15">
        <v>71110</v>
      </c>
      <c r="B27" s="15" t="s">
        <v>27</v>
      </c>
      <c r="C27">
        <f t="shared" si="0"/>
        <v>1</v>
      </c>
      <c r="D27" s="15" t="s">
        <v>30</v>
      </c>
      <c r="E27">
        <f t="shared" si="1"/>
        <v>2</v>
      </c>
      <c r="F27" s="15">
        <v>1.0054794520547941</v>
      </c>
    </row>
    <row r="28" spans="1:16" x14ac:dyDescent="0.3">
      <c r="A28" s="15">
        <v>84205</v>
      </c>
      <c r="B28" s="15" t="s">
        <v>27</v>
      </c>
      <c r="C28">
        <f t="shared" si="0"/>
        <v>1</v>
      </c>
      <c r="D28" s="15" t="s">
        <v>30</v>
      </c>
      <c r="E28">
        <f t="shared" si="1"/>
        <v>2</v>
      </c>
      <c r="F28" s="15">
        <v>8.2410958904109588</v>
      </c>
    </row>
    <row r="29" spans="1:16" x14ac:dyDescent="0.3">
      <c r="A29" s="15">
        <v>67953</v>
      </c>
      <c r="B29" s="15" t="s">
        <v>27</v>
      </c>
      <c r="C29">
        <f t="shared" si="0"/>
        <v>1</v>
      </c>
      <c r="D29" s="15" t="s">
        <v>112</v>
      </c>
      <c r="E29">
        <f t="shared" si="1"/>
        <v>3</v>
      </c>
      <c r="F29" s="15">
        <v>1.2027397260273971</v>
      </c>
    </row>
    <row r="30" spans="1:16" x14ac:dyDescent="0.3">
      <c r="A30" s="15">
        <v>58445</v>
      </c>
      <c r="B30" s="15" t="s">
        <v>27</v>
      </c>
      <c r="C30">
        <f t="shared" si="0"/>
        <v>1</v>
      </c>
      <c r="D30" s="15" t="s">
        <v>20</v>
      </c>
      <c r="E30">
        <f t="shared" si="1"/>
        <v>1</v>
      </c>
      <c r="F30" s="15">
        <v>0.49041095890410957</v>
      </c>
    </row>
    <row r="31" spans="1:16" x14ac:dyDescent="0.3">
      <c r="A31" s="15">
        <v>58697</v>
      </c>
      <c r="B31" s="15" t="s">
        <v>17</v>
      </c>
      <c r="C31">
        <f t="shared" si="0"/>
        <v>0</v>
      </c>
      <c r="D31" s="15" t="s">
        <v>30</v>
      </c>
      <c r="E31">
        <f t="shared" si="1"/>
        <v>2</v>
      </c>
      <c r="F31" s="15">
        <v>0.49315068493150682</v>
      </c>
    </row>
    <row r="32" spans="1:16" x14ac:dyDescent="0.3">
      <c r="A32" s="15">
        <v>77156</v>
      </c>
      <c r="B32" s="15" t="s">
        <v>27</v>
      </c>
      <c r="C32">
        <f t="shared" si="0"/>
        <v>1</v>
      </c>
      <c r="D32" s="15" t="s">
        <v>93</v>
      </c>
      <c r="E32">
        <f t="shared" si="1"/>
        <v>4</v>
      </c>
      <c r="F32" s="15">
        <v>4.8712328767123294</v>
      </c>
    </row>
    <row r="33" spans="1:6" x14ac:dyDescent="0.3">
      <c r="A33" s="15">
        <v>81038</v>
      </c>
      <c r="B33" s="15" t="s">
        <v>17</v>
      </c>
      <c r="C33">
        <f t="shared" si="0"/>
        <v>0</v>
      </c>
      <c r="D33" s="15" t="s">
        <v>30</v>
      </c>
      <c r="E33">
        <f t="shared" si="1"/>
        <v>2</v>
      </c>
      <c r="F33" s="15">
        <v>4.0849315068493146</v>
      </c>
    </row>
    <row r="34" spans="1:6" x14ac:dyDescent="0.3">
      <c r="A34" s="15">
        <v>71339</v>
      </c>
      <c r="B34" s="15" t="s">
        <v>27</v>
      </c>
      <c r="C34">
        <f t="shared" si="0"/>
        <v>1</v>
      </c>
      <c r="D34" s="15" t="s">
        <v>30</v>
      </c>
      <c r="E34">
        <f t="shared" si="1"/>
        <v>2</v>
      </c>
      <c r="F34" s="15">
        <v>2.257534246575343</v>
      </c>
    </row>
    <row r="35" spans="1:6" x14ac:dyDescent="0.3">
      <c r="A35" s="15">
        <v>81316</v>
      </c>
      <c r="B35" s="15" t="s">
        <v>27</v>
      </c>
      <c r="C35">
        <f t="shared" si="0"/>
        <v>1</v>
      </c>
      <c r="D35" s="15" t="s">
        <v>112</v>
      </c>
      <c r="E35">
        <f t="shared" si="1"/>
        <v>3</v>
      </c>
      <c r="F35" s="15">
        <v>0.49315068493150682</v>
      </c>
    </row>
    <row r="36" spans="1:6" x14ac:dyDescent="0.3">
      <c r="A36" s="15">
        <v>96947</v>
      </c>
      <c r="B36" s="15" t="s">
        <v>17</v>
      </c>
      <c r="C36">
        <f t="shared" si="0"/>
        <v>0</v>
      </c>
      <c r="D36" s="15" t="s">
        <v>30</v>
      </c>
      <c r="E36">
        <f t="shared" si="1"/>
        <v>2</v>
      </c>
      <c r="F36" s="15">
        <v>0.49315068493150682</v>
      </c>
    </row>
    <row r="37" spans="1:6" x14ac:dyDescent="0.3">
      <c r="A37" s="15">
        <v>67437</v>
      </c>
      <c r="B37" s="15" t="s">
        <v>27</v>
      </c>
      <c r="C37">
        <f t="shared" si="0"/>
        <v>1</v>
      </c>
      <c r="D37" s="15" t="s">
        <v>30</v>
      </c>
      <c r="E37">
        <f t="shared" si="1"/>
        <v>2</v>
      </c>
      <c r="F37" s="15">
        <v>0.49315068493150682</v>
      </c>
    </row>
    <row r="38" spans="1:6" x14ac:dyDescent="0.3">
      <c r="A38" s="15">
        <v>116328</v>
      </c>
      <c r="B38" s="15" t="s">
        <v>17</v>
      </c>
      <c r="C38">
        <f t="shared" si="0"/>
        <v>0</v>
      </c>
      <c r="D38" s="15" t="s">
        <v>93</v>
      </c>
      <c r="E38">
        <f t="shared" si="1"/>
        <v>4</v>
      </c>
      <c r="F38" s="15">
        <v>1.279452054794521</v>
      </c>
    </row>
    <row r="39" spans="1:6" x14ac:dyDescent="0.3">
      <c r="A39" s="15">
        <v>67630</v>
      </c>
      <c r="B39" s="15" t="s">
        <v>27</v>
      </c>
      <c r="C39">
        <f t="shared" si="0"/>
        <v>1</v>
      </c>
      <c r="D39" s="15" t="s">
        <v>30</v>
      </c>
      <c r="E39">
        <f t="shared" si="1"/>
        <v>2</v>
      </c>
      <c r="F39" s="15">
        <v>1.9178082191780821</v>
      </c>
    </row>
    <row r="40" spans="1:6" x14ac:dyDescent="0.3">
      <c r="A40" s="15">
        <v>53898</v>
      </c>
      <c r="B40" s="15" t="s">
        <v>17</v>
      </c>
      <c r="C40">
        <f t="shared" si="0"/>
        <v>0</v>
      </c>
      <c r="D40" s="15" t="s">
        <v>30</v>
      </c>
      <c r="E40">
        <f t="shared" si="1"/>
        <v>2</v>
      </c>
      <c r="F40" s="15">
        <v>0.49315068493150682</v>
      </c>
    </row>
    <row r="41" spans="1:6" x14ac:dyDescent="0.3">
      <c r="A41" s="15">
        <v>61534</v>
      </c>
      <c r="B41" s="15" t="s">
        <v>17</v>
      </c>
      <c r="C41">
        <f t="shared" si="0"/>
        <v>0</v>
      </c>
      <c r="D41" s="15" t="s">
        <v>30</v>
      </c>
      <c r="E41">
        <f t="shared" si="1"/>
        <v>2</v>
      </c>
      <c r="F41" s="15">
        <v>1.054794520547945</v>
      </c>
    </row>
    <row r="42" spans="1:6" x14ac:dyDescent="0.3">
      <c r="A42" s="15">
        <v>78184</v>
      </c>
      <c r="B42" s="15" t="s">
        <v>27</v>
      </c>
      <c r="C42">
        <f t="shared" si="0"/>
        <v>1</v>
      </c>
      <c r="D42" s="15" t="s">
        <v>20</v>
      </c>
      <c r="E42">
        <f t="shared" si="1"/>
        <v>1</v>
      </c>
      <c r="F42" s="15">
        <v>1.0054794520547941</v>
      </c>
    </row>
    <row r="43" spans="1:6" x14ac:dyDescent="0.3">
      <c r="A43" s="15">
        <v>56559</v>
      </c>
      <c r="B43" s="15" t="s">
        <v>17</v>
      </c>
      <c r="C43">
        <f t="shared" si="0"/>
        <v>0</v>
      </c>
      <c r="D43" s="15" t="s">
        <v>30</v>
      </c>
      <c r="E43">
        <f t="shared" si="1"/>
        <v>2</v>
      </c>
      <c r="F43" s="15">
        <v>0.49315068493150682</v>
      </c>
    </row>
    <row r="44" spans="1:6" x14ac:dyDescent="0.3">
      <c r="A44" s="15">
        <v>68635</v>
      </c>
      <c r="B44" s="15" t="s">
        <v>27</v>
      </c>
      <c r="C44">
        <f t="shared" si="0"/>
        <v>1</v>
      </c>
      <c r="D44" s="15" t="s">
        <v>30</v>
      </c>
      <c r="E44">
        <f t="shared" si="1"/>
        <v>2</v>
      </c>
      <c r="F44" s="15">
        <v>0.55068493150684927</v>
      </c>
    </row>
    <row r="45" spans="1:6" x14ac:dyDescent="0.3">
      <c r="A45" s="15">
        <v>63169</v>
      </c>
      <c r="B45" s="15" t="s">
        <v>17</v>
      </c>
      <c r="C45">
        <f t="shared" si="0"/>
        <v>0</v>
      </c>
      <c r="D45" s="15" t="s">
        <v>30</v>
      </c>
      <c r="E45">
        <f t="shared" si="1"/>
        <v>2</v>
      </c>
      <c r="F45" s="15">
        <v>7.2684931506849324</v>
      </c>
    </row>
    <row r="46" spans="1:6" x14ac:dyDescent="0.3">
      <c r="A46" s="15">
        <v>71142</v>
      </c>
      <c r="B46" s="15" t="s">
        <v>17</v>
      </c>
      <c r="C46">
        <f t="shared" si="0"/>
        <v>0</v>
      </c>
      <c r="D46" s="15" t="s">
        <v>112</v>
      </c>
      <c r="E46">
        <f t="shared" si="1"/>
        <v>3</v>
      </c>
      <c r="F46" s="15">
        <v>1.10958904109589</v>
      </c>
    </row>
    <row r="47" spans="1:6" x14ac:dyDescent="0.3">
      <c r="A47" s="15">
        <v>58830</v>
      </c>
      <c r="B47" s="15" t="s">
        <v>27</v>
      </c>
      <c r="C47">
        <f t="shared" si="0"/>
        <v>1</v>
      </c>
      <c r="D47" s="15" t="s">
        <v>20</v>
      </c>
      <c r="E47">
        <f t="shared" si="1"/>
        <v>1</v>
      </c>
      <c r="F47" s="15">
        <v>8.3506849315068497</v>
      </c>
    </row>
    <row r="48" spans="1:6" x14ac:dyDescent="0.3">
      <c r="A48" s="15">
        <v>66218</v>
      </c>
      <c r="B48" s="15" t="s">
        <v>17</v>
      </c>
      <c r="C48">
        <f t="shared" si="0"/>
        <v>0</v>
      </c>
      <c r="D48" s="15" t="s">
        <v>30</v>
      </c>
      <c r="E48">
        <f t="shared" si="1"/>
        <v>2</v>
      </c>
      <c r="F48" s="15">
        <v>0.49315068493150682</v>
      </c>
    </row>
    <row r="49" spans="1:6" x14ac:dyDescent="0.3">
      <c r="A49" s="15">
        <v>88887</v>
      </c>
      <c r="B49" s="15" t="s">
        <v>17</v>
      </c>
      <c r="C49">
        <f t="shared" si="0"/>
        <v>0</v>
      </c>
      <c r="D49" s="15" t="s">
        <v>20</v>
      </c>
      <c r="E49">
        <f t="shared" si="1"/>
        <v>1</v>
      </c>
      <c r="F49" s="15">
        <v>2.6164383561643829</v>
      </c>
    </row>
    <row r="50" spans="1:6" x14ac:dyDescent="0.3">
      <c r="A50" s="15">
        <v>72859</v>
      </c>
      <c r="B50" s="15" t="s">
        <v>27</v>
      </c>
      <c r="C50">
        <f t="shared" si="0"/>
        <v>1</v>
      </c>
      <c r="D50" s="15" t="s">
        <v>93</v>
      </c>
      <c r="E50">
        <f t="shared" si="1"/>
        <v>4</v>
      </c>
      <c r="F50" s="15">
        <v>0.9506849315068493</v>
      </c>
    </row>
    <row r="51" spans="1:6" x14ac:dyDescent="0.3">
      <c r="A51" s="15">
        <v>67630</v>
      </c>
      <c r="B51" s="15" t="s">
        <v>27</v>
      </c>
      <c r="C51">
        <f t="shared" si="0"/>
        <v>1</v>
      </c>
      <c r="D51" s="15" t="s">
        <v>30</v>
      </c>
      <c r="E51">
        <f t="shared" si="1"/>
        <v>2</v>
      </c>
      <c r="F51" s="15">
        <v>0.49315068493150682</v>
      </c>
    </row>
    <row r="52" spans="1:6" x14ac:dyDescent="0.3">
      <c r="A52" s="15">
        <v>61574</v>
      </c>
      <c r="B52" s="15" t="s">
        <v>27</v>
      </c>
      <c r="C52">
        <f t="shared" si="0"/>
        <v>1</v>
      </c>
      <c r="D52" s="15" t="s">
        <v>30</v>
      </c>
      <c r="E52">
        <f t="shared" si="1"/>
        <v>2</v>
      </c>
      <c r="F52" s="15">
        <v>0.49315068493150682</v>
      </c>
    </row>
    <row r="53" spans="1:6" x14ac:dyDescent="0.3">
      <c r="A53" s="15">
        <v>103756</v>
      </c>
      <c r="B53" s="15" t="s">
        <v>27</v>
      </c>
      <c r="C53">
        <f t="shared" si="0"/>
        <v>1</v>
      </c>
      <c r="D53" s="15" t="s">
        <v>112</v>
      </c>
      <c r="E53">
        <f t="shared" si="1"/>
        <v>3</v>
      </c>
      <c r="F53" s="15">
        <v>5.5506849315068489</v>
      </c>
    </row>
    <row r="54" spans="1:6" x14ac:dyDescent="0.3">
      <c r="A54" s="15">
        <v>63227</v>
      </c>
      <c r="B54" s="15" t="s">
        <v>27</v>
      </c>
      <c r="C54">
        <f t="shared" si="0"/>
        <v>1</v>
      </c>
      <c r="D54" s="15" t="s">
        <v>30</v>
      </c>
      <c r="E54">
        <f t="shared" si="1"/>
        <v>2</v>
      </c>
      <c r="F54" s="15">
        <v>0.49315068493150682</v>
      </c>
    </row>
    <row r="55" spans="1:6" x14ac:dyDescent="0.3">
      <c r="A55" s="15">
        <v>90880</v>
      </c>
      <c r="B55" s="15" t="s">
        <v>17</v>
      </c>
      <c r="C55">
        <f t="shared" si="0"/>
        <v>0</v>
      </c>
      <c r="D55" s="15" t="s">
        <v>30</v>
      </c>
      <c r="E55">
        <f t="shared" si="1"/>
        <v>2</v>
      </c>
      <c r="F55" s="15">
        <v>4.441095890410959</v>
      </c>
    </row>
    <row r="56" spans="1:6" x14ac:dyDescent="0.3">
      <c r="A56" s="15">
        <v>52954</v>
      </c>
      <c r="B56" s="15" t="s">
        <v>17</v>
      </c>
      <c r="C56">
        <f t="shared" si="0"/>
        <v>0</v>
      </c>
      <c r="D56" s="15" t="s">
        <v>20</v>
      </c>
      <c r="E56">
        <f t="shared" si="1"/>
        <v>1</v>
      </c>
      <c r="F56" s="15">
        <v>8.4027397260273968</v>
      </c>
    </row>
    <row r="57" spans="1:6" x14ac:dyDescent="0.3">
      <c r="A57" s="15">
        <v>64475</v>
      </c>
      <c r="B57" s="15" t="s">
        <v>17</v>
      </c>
      <c r="C57">
        <f t="shared" si="0"/>
        <v>0</v>
      </c>
      <c r="D57" s="15" t="s">
        <v>30</v>
      </c>
      <c r="E57">
        <f t="shared" si="1"/>
        <v>2</v>
      </c>
      <c r="F57" s="15">
        <v>4.4904109589041097</v>
      </c>
    </row>
    <row r="58" spans="1:6" x14ac:dyDescent="0.3">
      <c r="A58" s="15">
        <v>93238</v>
      </c>
      <c r="B58" s="15" t="s">
        <v>17</v>
      </c>
      <c r="C58">
        <f t="shared" si="0"/>
        <v>0</v>
      </c>
      <c r="D58" s="15" t="s">
        <v>93</v>
      </c>
      <c r="E58">
        <f t="shared" si="1"/>
        <v>4</v>
      </c>
      <c r="F58" s="15">
        <v>8.7178082191780817</v>
      </c>
    </row>
    <row r="59" spans="1:6" x14ac:dyDescent="0.3">
      <c r="A59" s="15">
        <v>58713</v>
      </c>
      <c r="B59" s="15" t="s">
        <v>17</v>
      </c>
      <c r="C59">
        <f t="shared" si="0"/>
        <v>0</v>
      </c>
      <c r="D59" s="15" t="s">
        <v>20</v>
      </c>
      <c r="E59">
        <f t="shared" si="1"/>
        <v>1</v>
      </c>
      <c r="F59" s="15">
        <v>0.49315068493150682</v>
      </c>
    </row>
    <row r="60" spans="1:6" x14ac:dyDescent="0.3">
      <c r="A60" s="15">
        <v>91896</v>
      </c>
      <c r="B60" s="15" t="s">
        <v>17</v>
      </c>
      <c r="C60">
        <f t="shared" si="0"/>
        <v>0</v>
      </c>
      <c r="D60" s="15" t="s">
        <v>30</v>
      </c>
      <c r="E60">
        <f t="shared" si="1"/>
        <v>2</v>
      </c>
      <c r="F60" s="15">
        <v>1.9397260273972601</v>
      </c>
    </row>
    <row r="61" spans="1:6" x14ac:dyDescent="0.3">
      <c r="A61" s="15">
        <v>71608</v>
      </c>
      <c r="B61" s="15" t="s">
        <v>27</v>
      </c>
      <c r="C61">
        <f t="shared" si="0"/>
        <v>1</v>
      </c>
      <c r="D61" s="15" t="s">
        <v>30</v>
      </c>
      <c r="E61">
        <f t="shared" si="1"/>
        <v>2</v>
      </c>
      <c r="F61" s="15">
        <v>0.49041095890410957</v>
      </c>
    </row>
    <row r="62" spans="1:6" x14ac:dyDescent="0.3">
      <c r="A62" s="15">
        <v>71404</v>
      </c>
      <c r="B62" s="15" t="s">
        <v>17</v>
      </c>
      <c r="C62">
        <f t="shared" si="0"/>
        <v>0</v>
      </c>
      <c r="D62" s="15" t="s">
        <v>30</v>
      </c>
      <c r="E62">
        <f t="shared" si="1"/>
        <v>2</v>
      </c>
      <c r="F62" s="15">
        <v>0.49315068493150682</v>
      </c>
    </row>
    <row r="63" spans="1:6" x14ac:dyDescent="0.3">
      <c r="A63" s="15">
        <v>59423</v>
      </c>
      <c r="B63" s="15" t="s">
        <v>27</v>
      </c>
      <c r="C63">
        <f t="shared" si="0"/>
        <v>1</v>
      </c>
      <c r="D63" s="15" t="s">
        <v>30</v>
      </c>
      <c r="E63">
        <f t="shared" si="1"/>
        <v>2</v>
      </c>
      <c r="F63" s="15">
        <v>3.882191780821918</v>
      </c>
    </row>
    <row r="64" spans="1:6" x14ac:dyDescent="0.3">
      <c r="A64" s="15">
        <v>64183</v>
      </c>
      <c r="B64" s="15" t="s">
        <v>17</v>
      </c>
      <c r="C64">
        <f t="shared" si="0"/>
        <v>0</v>
      </c>
      <c r="D64" s="15" t="s">
        <v>30</v>
      </c>
      <c r="E64">
        <f t="shared" si="1"/>
        <v>2</v>
      </c>
      <c r="F64" s="15">
        <v>0.49315068493150682</v>
      </c>
    </row>
    <row r="65" spans="1:6" x14ac:dyDescent="0.3">
      <c r="A65" s="15">
        <v>76824</v>
      </c>
      <c r="B65" s="15" t="s">
        <v>27</v>
      </c>
      <c r="C65">
        <f t="shared" si="0"/>
        <v>1</v>
      </c>
      <c r="D65" s="15" t="s">
        <v>112</v>
      </c>
      <c r="E65">
        <f t="shared" si="1"/>
        <v>3</v>
      </c>
      <c r="F65" s="15">
        <v>0.49315068493150682</v>
      </c>
    </row>
    <row r="66" spans="1:6" x14ac:dyDescent="0.3">
      <c r="A66" s="15">
        <v>54093</v>
      </c>
      <c r="B66" s="15" t="s">
        <v>17</v>
      </c>
      <c r="C66">
        <f t="shared" si="0"/>
        <v>0</v>
      </c>
      <c r="D66" s="15" t="s">
        <v>30</v>
      </c>
      <c r="E66">
        <f t="shared" si="1"/>
        <v>2</v>
      </c>
      <c r="F66" s="15">
        <v>0.49315068493150682</v>
      </c>
    </row>
    <row r="67" spans="1:6" x14ac:dyDescent="0.3">
      <c r="A67" s="15">
        <v>95124</v>
      </c>
      <c r="B67" s="15" t="s">
        <v>27</v>
      </c>
      <c r="C67">
        <f t="shared" ref="C67:C130" si="2">IF(B67="Male", 1, 0)</f>
        <v>1</v>
      </c>
      <c r="D67" s="15" t="s">
        <v>30</v>
      </c>
      <c r="E67">
        <f t="shared" ref="E67:E130" si="3">IF(D67="High School",1,IF(D67="Bachelor",2,IF(D67="Master",3,IF(D67="PhD",4,""))))</f>
        <v>2</v>
      </c>
      <c r="F67" s="15">
        <v>3.827397260273973</v>
      </c>
    </row>
    <row r="68" spans="1:6" x14ac:dyDescent="0.3">
      <c r="A68" s="15">
        <v>68345</v>
      </c>
      <c r="B68" s="15" t="s">
        <v>17</v>
      </c>
      <c r="C68">
        <f t="shared" si="2"/>
        <v>0</v>
      </c>
      <c r="D68" s="15" t="s">
        <v>112</v>
      </c>
      <c r="E68">
        <f t="shared" si="3"/>
        <v>3</v>
      </c>
      <c r="F68" s="15">
        <v>0.49315068493150682</v>
      </c>
    </row>
    <row r="69" spans="1:6" x14ac:dyDescent="0.3">
      <c r="A69" s="15">
        <v>61403</v>
      </c>
      <c r="B69" s="15" t="s">
        <v>17</v>
      </c>
      <c r="C69">
        <f t="shared" si="2"/>
        <v>0</v>
      </c>
      <c r="D69" s="15" t="s">
        <v>30</v>
      </c>
      <c r="E69">
        <f t="shared" si="3"/>
        <v>2</v>
      </c>
      <c r="F69" s="15">
        <v>0.49315068493150682</v>
      </c>
    </row>
    <row r="70" spans="1:6" x14ac:dyDescent="0.3">
      <c r="A70" s="15">
        <v>60320</v>
      </c>
      <c r="B70" s="15" t="s">
        <v>27</v>
      </c>
      <c r="C70">
        <f t="shared" si="2"/>
        <v>1</v>
      </c>
      <c r="D70" s="15" t="s">
        <v>30</v>
      </c>
      <c r="E70">
        <f t="shared" si="3"/>
        <v>2</v>
      </c>
      <c r="F70" s="15">
        <v>0.49315068493150682</v>
      </c>
    </row>
    <row r="71" spans="1:6" x14ac:dyDescent="0.3">
      <c r="A71" s="15">
        <v>55060</v>
      </c>
      <c r="B71" s="15" t="s">
        <v>17</v>
      </c>
      <c r="C71">
        <f t="shared" si="2"/>
        <v>0</v>
      </c>
      <c r="D71" s="15" t="s">
        <v>20</v>
      </c>
      <c r="E71">
        <f t="shared" si="3"/>
        <v>1</v>
      </c>
      <c r="F71" s="15">
        <v>2.076712328767123</v>
      </c>
    </row>
    <row r="72" spans="1:6" x14ac:dyDescent="0.3">
      <c r="A72" s="15">
        <v>82834</v>
      </c>
      <c r="B72" s="15" t="s">
        <v>27</v>
      </c>
      <c r="C72">
        <f t="shared" si="2"/>
        <v>1</v>
      </c>
      <c r="D72" s="15" t="s">
        <v>112</v>
      </c>
      <c r="E72">
        <f t="shared" si="3"/>
        <v>3</v>
      </c>
      <c r="F72" s="15">
        <v>0.49315068493150682</v>
      </c>
    </row>
    <row r="73" spans="1:6" x14ac:dyDescent="0.3">
      <c r="A73" s="15">
        <v>76564</v>
      </c>
      <c r="B73" s="15" t="s">
        <v>17</v>
      </c>
      <c r="C73">
        <f t="shared" si="2"/>
        <v>0</v>
      </c>
      <c r="D73" s="15" t="s">
        <v>93</v>
      </c>
      <c r="E73">
        <f t="shared" si="3"/>
        <v>4</v>
      </c>
      <c r="F73" s="15">
        <v>0.49315068493150682</v>
      </c>
    </row>
    <row r="74" spans="1:6" x14ac:dyDescent="0.3">
      <c r="A74" s="15">
        <v>63056</v>
      </c>
      <c r="B74" s="15" t="s">
        <v>27</v>
      </c>
      <c r="C74">
        <f t="shared" si="2"/>
        <v>1</v>
      </c>
      <c r="D74" s="15" t="s">
        <v>30</v>
      </c>
      <c r="E74">
        <f t="shared" si="3"/>
        <v>2</v>
      </c>
      <c r="F74" s="15">
        <v>6.5506849315068489</v>
      </c>
    </row>
    <row r="75" spans="1:6" x14ac:dyDescent="0.3">
      <c r="A75" s="15">
        <v>78616</v>
      </c>
      <c r="B75" s="15" t="s">
        <v>27</v>
      </c>
      <c r="C75">
        <f t="shared" si="2"/>
        <v>1</v>
      </c>
      <c r="D75" s="15" t="s">
        <v>30</v>
      </c>
      <c r="E75">
        <f t="shared" si="3"/>
        <v>2</v>
      </c>
      <c r="F75" s="15">
        <v>0.49315068493150682</v>
      </c>
    </row>
    <row r="76" spans="1:6" x14ac:dyDescent="0.3">
      <c r="A76" s="15">
        <v>61198</v>
      </c>
      <c r="B76" s="15" t="s">
        <v>17</v>
      </c>
      <c r="C76">
        <f t="shared" si="2"/>
        <v>0</v>
      </c>
      <c r="D76" s="15" t="s">
        <v>30</v>
      </c>
      <c r="E76">
        <f t="shared" si="3"/>
        <v>2</v>
      </c>
      <c r="F76" s="15">
        <v>1.1424657534246581</v>
      </c>
    </row>
    <row r="77" spans="1:6" x14ac:dyDescent="0.3">
      <c r="A77" s="15">
        <v>58331</v>
      </c>
      <c r="B77" s="15" t="s">
        <v>27</v>
      </c>
      <c r="C77">
        <f t="shared" si="2"/>
        <v>1</v>
      </c>
      <c r="D77" s="15" t="s">
        <v>30</v>
      </c>
      <c r="E77">
        <f t="shared" si="3"/>
        <v>2</v>
      </c>
      <c r="F77" s="15">
        <v>0.68493150684931503</v>
      </c>
    </row>
    <row r="78" spans="1:6" x14ac:dyDescent="0.3">
      <c r="A78" s="15">
        <v>62398</v>
      </c>
      <c r="B78" s="15" t="s">
        <v>17</v>
      </c>
      <c r="C78">
        <f t="shared" si="2"/>
        <v>0</v>
      </c>
      <c r="D78" s="15" t="s">
        <v>30</v>
      </c>
      <c r="E78">
        <f t="shared" si="3"/>
        <v>2</v>
      </c>
      <c r="F78" s="15">
        <v>3.6</v>
      </c>
    </row>
    <row r="79" spans="1:6" x14ac:dyDescent="0.3">
      <c r="A79" s="15">
        <v>94930</v>
      </c>
      <c r="B79" s="15" t="s">
        <v>27</v>
      </c>
      <c r="C79">
        <f t="shared" si="2"/>
        <v>1</v>
      </c>
      <c r="D79" s="15" t="s">
        <v>30</v>
      </c>
      <c r="E79">
        <f t="shared" si="3"/>
        <v>2</v>
      </c>
      <c r="F79" s="15">
        <v>0.49315068493150682</v>
      </c>
    </row>
    <row r="80" spans="1:6" x14ac:dyDescent="0.3">
      <c r="A80" s="15">
        <v>59179</v>
      </c>
      <c r="B80" s="15" t="s">
        <v>17</v>
      </c>
      <c r="C80">
        <f t="shared" si="2"/>
        <v>0</v>
      </c>
      <c r="D80" s="15" t="s">
        <v>30</v>
      </c>
      <c r="E80">
        <f t="shared" si="3"/>
        <v>2</v>
      </c>
      <c r="F80" s="15">
        <v>8.7041095890410958</v>
      </c>
    </row>
    <row r="81" spans="1:6" x14ac:dyDescent="0.3">
      <c r="A81" s="15">
        <v>74555</v>
      </c>
      <c r="B81" s="15" t="s">
        <v>27</v>
      </c>
      <c r="C81">
        <f t="shared" si="2"/>
        <v>1</v>
      </c>
      <c r="D81" s="15" t="s">
        <v>30</v>
      </c>
      <c r="E81">
        <f t="shared" si="3"/>
        <v>2</v>
      </c>
      <c r="F81" s="15">
        <v>0.49315068493150682</v>
      </c>
    </row>
    <row r="82" spans="1:6" x14ac:dyDescent="0.3">
      <c r="A82" s="15">
        <v>81253</v>
      </c>
      <c r="B82" s="15" t="s">
        <v>17</v>
      </c>
      <c r="C82">
        <f t="shared" si="2"/>
        <v>0</v>
      </c>
      <c r="D82" s="15" t="s">
        <v>30</v>
      </c>
      <c r="E82">
        <f t="shared" si="3"/>
        <v>2</v>
      </c>
      <c r="F82" s="15">
        <v>0.49315068493150682</v>
      </c>
    </row>
    <row r="83" spans="1:6" x14ac:dyDescent="0.3">
      <c r="A83" s="15">
        <v>56922</v>
      </c>
      <c r="B83" s="15" t="s">
        <v>17</v>
      </c>
      <c r="C83">
        <f t="shared" si="2"/>
        <v>0</v>
      </c>
      <c r="D83" s="15" t="s">
        <v>20</v>
      </c>
      <c r="E83">
        <f t="shared" si="3"/>
        <v>1</v>
      </c>
      <c r="F83" s="15">
        <v>2.4246575342465748</v>
      </c>
    </row>
    <row r="84" spans="1:6" x14ac:dyDescent="0.3">
      <c r="A84" s="15">
        <v>65108</v>
      </c>
      <c r="B84" s="15" t="s">
        <v>17</v>
      </c>
      <c r="C84">
        <f t="shared" si="2"/>
        <v>0</v>
      </c>
      <c r="D84" s="15" t="s">
        <v>30</v>
      </c>
      <c r="E84">
        <f t="shared" si="3"/>
        <v>2</v>
      </c>
      <c r="F84" s="15">
        <v>0.49315068493150682</v>
      </c>
    </row>
    <row r="85" spans="1:6" x14ac:dyDescent="0.3">
      <c r="A85" s="15">
        <v>61958</v>
      </c>
      <c r="B85" s="15" t="s">
        <v>17</v>
      </c>
      <c r="C85">
        <f t="shared" si="2"/>
        <v>0</v>
      </c>
      <c r="D85" s="15" t="s">
        <v>30</v>
      </c>
      <c r="E85">
        <f t="shared" si="3"/>
        <v>2</v>
      </c>
      <c r="F85" s="15">
        <v>3.3452054794520549</v>
      </c>
    </row>
    <row r="86" spans="1:6" x14ac:dyDescent="0.3">
      <c r="A86" s="15">
        <v>55038</v>
      </c>
      <c r="B86" s="15" t="s">
        <v>17</v>
      </c>
      <c r="C86">
        <f t="shared" si="2"/>
        <v>0</v>
      </c>
      <c r="D86" s="15" t="s">
        <v>30</v>
      </c>
      <c r="E86">
        <f t="shared" si="3"/>
        <v>2</v>
      </c>
      <c r="F86" s="15">
        <v>6.3616438356164382</v>
      </c>
    </row>
    <row r="87" spans="1:6" x14ac:dyDescent="0.3">
      <c r="A87" s="15">
        <v>63666</v>
      </c>
      <c r="B87" s="15" t="s">
        <v>17</v>
      </c>
      <c r="C87">
        <f t="shared" si="2"/>
        <v>0</v>
      </c>
      <c r="D87" s="15" t="s">
        <v>112</v>
      </c>
      <c r="E87">
        <f t="shared" si="3"/>
        <v>3</v>
      </c>
      <c r="F87" s="15">
        <v>9.6876712328767116</v>
      </c>
    </row>
    <row r="88" spans="1:6" x14ac:dyDescent="0.3">
      <c r="A88" s="15">
        <v>58264</v>
      </c>
      <c r="B88" s="15" t="s">
        <v>17</v>
      </c>
      <c r="C88">
        <f t="shared" si="2"/>
        <v>0</v>
      </c>
      <c r="D88" s="15" t="s">
        <v>20</v>
      </c>
      <c r="E88">
        <f t="shared" si="3"/>
        <v>1</v>
      </c>
      <c r="F88" s="15">
        <v>0.49315068493150682</v>
      </c>
    </row>
    <row r="89" spans="1:6" x14ac:dyDescent="0.3">
      <c r="A89" s="15">
        <v>65128</v>
      </c>
      <c r="B89" s="15" t="s">
        <v>27</v>
      </c>
      <c r="C89">
        <f t="shared" si="2"/>
        <v>1</v>
      </c>
      <c r="D89" s="15" t="s">
        <v>30</v>
      </c>
      <c r="E89">
        <f t="shared" si="3"/>
        <v>2</v>
      </c>
      <c r="F89" s="15">
        <v>2.5753424657534252</v>
      </c>
    </row>
    <row r="90" spans="1:6" x14ac:dyDescent="0.3">
      <c r="A90" s="15">
        <v>69316</v>
      </c>
      <c r="B90" s="15" t="s">
        <v>27</v>
      </c>
      <c r="C90">
        <f t="shared" si="2"/>
        <v>1</v>
      </c>
      <c r="D90" s="15" t="s">
        <v>112</v>
      </c>
      <c r="E90">
        <f t="shared" si="3"/>
        <v>3</v>
      </c>
      <c r="F90" s="15">
        <v>1.8630136986301371</v>
      </c>
    </row>
    <row r="91" spans="1:6" x14ac:dyDescent="0.3">
      <c r="A91" s="15">
        <v>56431</v>
      </c>
      <c r="B91" s="15" t="s">
        <v>27</v>
      </c>
      <c r="C91">
        <f t="shared" si="2"/>
        <v>1</v>
      </c>
      <c r="D91" s="15" t="s">
        <v>20</v>
      </c>
      <c r="E91">
        <f t="shared" si="3"/>
        <v>1</v>
      </c>
      <c r="F91" s="15">
        <v>0.49315068493150682</v>
      </c>
    </row>
    <row r="92" spans="1:6" x14ac:dyDescent="0.3">
      <c r="A92" s="15">
        <v>79043</v>
      </c>
      <c r="B92" s="15" t="s">
        <v>27</v>
      </c>
      <c r="C92">
        <f t="shared" si="2"/>
        <v>1</v>
      </c>
      <c r="D92" s="15" t="s">
        <v>30</v>
      </c>
      <c r="E92">
        <f t="shared" si="3"/>
        <v>2</v>
      </c>
      <c r="F92" s="15">
        <v>2.517808219178082</v>
      </c>
    </row>
    <row r="93" spans="1:6" x14ac:dyDescent="0.3">
      <c r="A93" s="15">
        <v>59137</v>
      </c>
      <c r="B93" s="15" t="s">
        <v>17</v>
      </c>
      <c r="C93">
        <f t="shared" si="2"/>
        <v>0</v>
      </c>
      <c r="D93" s="15" t="s">
        <v>30</v>
      </c>
      <c r="E93">
        <f t="shared" si="3"/>
        <v>2</v>
      </c>
      <c r="F93" s="15">
        <v>6.1041095890410961</v>
      </c>
    </row>
    <row r="94" spans="1:6" x14ac:dyDescent="0.3">
      <c r="A94" s="15">
        <v>89897</v>
      </c>
      <c r="B94" s="15" t="s">
        <v>27</v>
      </c>
      <c r="C94">
        <f t="shared" si="2"/>
        <v>1</v>
      </c>
      <c r="D94" s="15" t="s">
        <v>30</v>
      </c>
      <c r="E94">
        <f t="shared" si="3"/>
        <v>2</v>
      </c>
      <c r="F94" s="15">
        <v>3.2</v>
      </c>
    </row>
    <row r="95" spans="1:6" x14ac:dyDescent="0.3">
      <c r="A95" s="15">
        <v>80501</v>
      </c>
      <c r="B95" s="15" t="s">
        <v>17</v>
      </c>
      <c r="C95">
        <f t="shared" si="2"/>
        <v>0</v>
      </c>
      <c r="D95" s="15" t="s">
        <v>30</v>
      </c>
      <c r="E95">
        <f t="shared" si="3"/>
        <v>2</v>
      </c>
      <c r="F95" s="15">
        <v>4.7945205479452051</v>
      </c>
    </row>
    <row r="96" spans="1:6" x14ac:dyDescent="0.3">
      <c r="A96" s="15">
        <v>83772</v>
      </c>
      <c r="B96" s="15" t="s">
        <v>27</v>
      </c>
      <c r="C96">
        <f t="shared" si="2"/>
        <v>1</v>
      </c>
      <c r="D96" s="15" t="s">
        <v>112</v>
      </c>
      <c r="E96">
        <f t="shared" si="3"/>
        <v>3</v>
      </c>
      <c r="F96" s="15">
        <v>0.49315068493150682</v>
      </c>
    </row>
    <row r="97" spans="1:6" x14ac:dyDescent="0.3">
      <c r="A97" s="15">
        <v>55106</v>
      </c>
      <c r="B97" s="15" t="s">
        <v>27</v>
      </c>
      <c r="C97">
        <f t="shared" si="2"/>
        <v>1</v>
      </c>
      <c r="D97" s="15" t="s">
        <v>112</v>
      </c>
      <c r="E97">
        <f t="shared" si="3"/>
        <v>3</v>
      </c>
      <c r="F97" s="15">
        <v>0.49315068493150682</v>
      </c>
    </row>
    <row r="98" spans="1:6" x14ac:dyDescent="0.3">
      <c r="A98" s="15">
        <v>82441</v>
      </c>
      <c r="B98" s="15" t="s">
        <v>27</v>
      </c>
      <c r="C98">
        <f t="shared" si="2"/>
        <v>1</v>
      </c>
      <c r="D98" s="15" t="s">
        <v>20</v>
      </c>
      <c r="E98">
        <f t="shared" si="3"/>
        <v>1</v>
      </c>
      <c r="F98" s="15">
        <v>0.49315068493150682</v>
      </c>
    </row>
    <row r="99" spans="1:6" x14ac:dyDescent="0.3">
      <c r="A99" s="15">
        <v>85555</v>
      </c>
      <c r="B99" s="15" t="s">
        <v>27</v>
      </c>
      <c r="C99">
        <f t="shared" si="2"/>
        <v>1</v>
      </c>
      <c r="D99" s="15" t="s">
        <v>30</v>
      </c>
      <c r="E99">
        <f t="shared" si="3"/>
        <v>2</v>
      </c>
      <c r="F99" s="15">
        <v>5.4246575342465757</v>
      </c>
    </row>
    <row r="100" spans="1:6" x14ac:dyDescent="0.3">
      <c r="A100" s="15">
        <v>64372</v>
      </c>
      <c r="B100" s="15" t="s">
        <v>17</v>
      </c>
      <c r="C100">
        <f t="shared" si="2"/>
        <v>0</v>
      </c>
      <c r="D100" s="15" t="s">
        <v>30</v>
      </c>
      <c r="E100">
        <f t="shared" si="3"/>
        <v>2</v>
      </c>
      <c r="F100" s="15">
        <v>0.852054794520548</v>
      </c>
    </row>
    <row r="101" spans="1:6" x14ac:dyDescent="0.3">
      <c r="A101" s="15">
        <v>63278</v>
      </c>
      <c r="B101" s="15" t="s">
        <v>17</v>
      </c>
      <c r="C101">
        <f t="shared" si="2"/>
        <v>0</v>
      </c>
      <c r="D101" s="15" t="s">
        <v>30</v>
      </c>
      <c r="E101">
        <f t="shared" si="3"/>
        <v>2</v>
      </c>
      <c r="F101" s="15">
        <v>3.2931506849315069</v>
      </c>
    </row>
    <row r="102" spans="1:6" x14ac:dyDescent="0.3">
      <c r="A102" s="15">
        <v>65358</v>
      </c>
      <c r="B102" s="15" t="s">
        <v>27</v>
      </c>
      <c r="C102">
        <f t="shared" si="2"/>
        <v>1</v>
      </c>
      <c r="D102" s="15" t="s">
        <v>30</v>
      </c>
      <c r="E102">
        <f t="shared" si="3"/>
        <v>2</v>
      </c>
      <c r="F102" s="15">
        <v>0.49315068493150682</v>
      </c>
    </row>
    <row r="103" spans="1:6" x14ac:dyDescent="0.3">
      <c r="A103" s="15">
        <v>77267</v>
      </c>
      <c r="B103" s="15" t="s">
        <v>27</v>
      </c>
      <c r="C103">
        <f t="shared" si="2"/>
        <v>1</v>
      </c>
      <c r="D103" s="15" t="s">
        <v>30</v>
      </c>
      <c r="E103">
        <f t="shared" si="3"/>
        <v>2</v>
      </c>
      <c r="F103" s="15">
        <v>0.49315068493150682</v>
      </c>
    </row>
    <row r="104" spans="1:6" x14ac:dyDescent="0.3">
      <c r="A104" s="15">
        <v>51865</v>
      </c>
      <c r="B104" s="15" t="s">
        <v>17</v>
      </c>
      <c r="C104">
        <f t="shared" si="2"/>
        <v>0</v>
      </c>
      <c r="D104" s="15" t="s">
        <v>30</v>
      </c>
      <c r="E104">
        <f t="shared" si="3"/>
        <v>2</v>
      </c>
      <c r="F104" s="15">
        <v>8.1342465753424662</v>
      </c>
    </row>
    <row r="105" spans="1:6" x14ac:dyDescent="0.3">
      <c r="A105" s="15">
        <v>92780</v>
      </c>
      <c r="B105" s="15" t="s">
        <v>27</v>
      </c>
      <c r="C105">
        <f t="shared" si="2"/>
        <v>1</v>
      </c>
      <c r="D105" s="15" t="s">
        <v>112</v>
      </c>
      <c r="E105">
        <f t="shared" si="3"/>
        <v>3</v>
      </c>
      <c r="F105" s="15">
        <v>2.3808219178082188</v>
      </c>
    </row>
    <row r="106" spans="1:6" x14ac:dyDescent="0.3">
      <c r="A106" s="15">
        <v>52588</v>
      </c>
      <c r="B106" s="15" t="s">
        <v>17</v>
      </c>
      <c r="C106">
        <f t="shared" si="2"/>
        <v>0</v>
      </c>
      <c r="D106" s="15" t="s">
        <v>30</v>
      </c>
      <c r="E106">
        <f t="shared" si="3"/>
        <v>2</v>
      </c>
      <c r="F106" s="15">
        <v>0.49315068493150682</v>
      </c>
    </row>
    <row r="107" spans="1:6" x14ac:dyDescent="0.3">
      <c r="A107" s="15">
        <v>64186</v>
      </c>
      <c r="B107" s="15" t="s">
        <v>17</v>
      </c>
      <c r="C107">
        <f t="shared" si="2"/>
        <v>0</v>
      </c>
      <c r="D107" s="15" t="s">
        <v>30</v>
      </c>
      <c r="E107">
        <f t="shared" si="3"/>
        <v>2</v>
      </c>
      <c r="F107" s="15">
        <v>0.49315068493150682</v>
      </c>
    </row>
    <row r="108" spans="1:6" x14ac:dyDescent="0.3">
      <c r="A108" s="15">
        <v>61124</v>
      </c>
      <c r="B108" s="15" t="s">
        <v>27</v>
      </c>
      <c r="C108">
        <f t="shared" si="2"/>
        <v>1</v>
      </c>
      <c r="D108" s="15" t="s">
        <v>20</v>
      </c>
      <c r="E108">
        <f t="shared" si="3"/>
        <v>1</v>
      </c>
      <c r="F108" s="15">
        <v>0.49315068493150682</v>
      </c>
    </row>
    <row r="109" spans="1:6" x14ac:dyDescent="0.3">
      <c r="A109" s="15">
        <v>65797</v>
      </c>
      <c r="B109" s="15" t="s">
        <v>17</v>
      </c>
      <c r="C109">
        <f t="shared" si="2"/>
        <v>0</v>
      </c>
      <c r="D109" s="15" t="s">
        <v>20</v>
      </c>
      <c r="E109">
        <f t="shared" si="3"/>
        <v>1</v>
      </c>
      <c r="F109" s="15">
        <v>0.49315068493150682</v>
      </c>
    </row>
    <row r="110" spans="1:6" x14ac:dyDescent="0.3">
      <c r="A110" s="15">
        <v>114050</v>
      </c>
      <c r="B110" s="15" t="s">
        <v>17</v>
      </c>
      <c r="C110">
        <f t="shared" si="2"/>
        <v>0</v>
      </c>
      <c r="D110" s="15" t="s">
        <v>112</v>
      </c>
      <c r="E110">
        <f t="shared" si="3"/>
        <v>3</v>
      </c>
      <c r="F110" s="15">
        <v>0.49315068493150682</v>
      </c>
    </row>
    <row r="111" spans="1:6" x14ac:dyDescent="0.3">
      <c r="A111" s="15">
        <v>64313</v>
      </c>
      <c r="B111" s="15" t="s">
        <v>17</v>
      </c>
      <c r="C111">
        <f t="shared" si="2"/>
        <v>0</v>
      </c>
      <c r="D111" s="15" t="s">
        <v>20</v>
      </c>
      <c r="E111">
        <f t="shared" si="3"/>
        <v>1</v>
      </c>
      <c r="F111" s="15">
        <v>0.49315068493150682</v>
      </c>
    </row>
    <row r="112" spans="1:6" x14ac:dyDescent="0.3">
      <c r="A112" s="15">
        <v>63557</v>
      </c>
      <c r="B112" s="15" t="s">
        <v>27</v>
      </c>
      <c r="C112">
        <f t="shared" si="2"/>
        <v>1</v>
      </c>
      <c r="D112" s="15" t="s">
        <v>30</v>
      </c>
      <c r="E112">
        <f t="shared" si="3"/>
        <v>2</v>
      </c>
      <c r="F112" s="15">
        <v>7.6712328767123283</v>
      </c>
    </row>
    <row r="113" spans="1:6" x14ac:dyDescent="0.3">
      <c r="A113" s="15">
        <v>59128</v>
      </c>
      <c r="B113" s="15" t="s">
        <v>27</v>
      </c>
      <c r="C113">
        <f t="shared" si="2"/>
        <v>1</v>
      </c>
      <c r="D113" s="15" t="s">
        <v>20</v>
      </c>
      <c r="E113">
        <f t="shared" si="3"/>
        <v>1</v>
      </c>
      <c r="F113" s="15">
        <v>0.49315068493150682</v>
      </c>
    </row>
    <row r="114" spans="1:6" x14ac:dyDescent="0.3">
      <c r="A114" s="15">
        <v>54770</v>
      </c>
      <c r="B114" s="15" t="s">
        <v>17</v>
      </c>
      <c r="C114">
        <f t="shared" si="2"/>
        <v>0</v>
      </c>
      <c r="D114" s="15" t="s">
        <v>20</v>
      </c>
      <c r="E114">
        <f t="shared" si="3"/>
        <v>1</v>
      </c>
      <c r="F114" s="15">
        <v>0.49315068493150682</v>
      </c>
    </row>
    <row r="115" spans="1:6" x14ac:dyDescent="0.3">
      <c r="A115" s="15">
        <v>64438</v>
      </c>
      <c r="B115" s="15" t="s">
        <v>27</v>
      </c>
      <c r="C115">
        <f t="shared" si="2"/>
        <v>1</v>
      </c>
      <c r="D115" s="15" t="s">
        <v>30</v>
      </c>
      <c r="E115">
        <f t="shared" si="3"/>
        <v>2</v>
      </c>
      <c r="F115" s="15">
        <v>0.49041095890410957</v>
      </c>
    </row>
    <row r="116" spans="1:6" x14ac:dyDescent="0.3">
      <c r="A116" s="15">
        <v>58119</v>
      </c>
      <c r="B116" s="15" t="s">
        <v>17</v>
      </c>
      <c r="C116">
        <f t="shared" si="2"/>
        <v>0</v>
      </c>
      <c r="D116" s="15" t="s">
        <v>20</v>
      </c>
      <c r="E116">
        <f t="shared" si="3"/>
        <v>1</v>
      </c>
      <c r="F116" s="15">
        <v>0.49315068493150682</v>
      </c>
    </row>
    <row r="117" spans="1:6" x14ac:dyDescent="0.3">
      <c r="A117" s="15">
        <v>82922</v>
      </c>
      <c r="B117" s="15" t="s">
        <v>17</v>
      </c>
      <c r="C117">
        <f t="shared" si="2"/>
        <v>0</v>
      </c>
      <c r="D117" s="15" t="s">
        <v>20</v>
      </c>
      <c r="E117">
        <f t="shared" si="3"/>
        <v>1</v>
      </c>
      <c r="F117" s="15">
        <v>0.49315068493150682</v>
      </c>
    </row>
    <row r="118" spans="1:6" x14ac:dyDescent="0.3">
      <c r="A118" s="15">
        <v>74811</v>
      </c>
      <c r="B118" s="15" t="s">
        <v>17</v>
      </c>
      <c r="C118">
        <f t="shared" si="2"/>
        <v>0</v>
      </c>
      <c r="D118" s="15" t="s">
        <v>30</v>
      </c>
      <c r="E118">
        <f t="shared" si="3"/>
        <v>2</v>
      </c>
      <c r="F118" s="15">
        <v>0.49315068493150682</v>
      </c>
    </row>
    <row r="119" spans="1:6" x14ac:dyDescent="0.3">
      <c r="A119" s="15">
        <v>93475</v>
      </c>
      <c r="B119" s="15" t="s">
        <v>27</v>
      </c>
      <c r="C119">
        <f t="shared" si="2"/>
        <v>1</v>
      </c>
      <c r="D119" s="15" t="s">
        <v>93</v>
      </c>
      <c r="E119">
        <f t="shared" si="3"/>
        <v>4</v>
      </c>
      <c r="F119" s="15">
        <v>3.8109589041095888</v>
      </c>
    </row>
    <row r="120" spans="1:6" x14ac:dyDescent="0.3">
      <c r="A120" s="15">
        <v>59676</v>
      </c>
      <c r="B120" s="15" t="s">
        <v>27</v>
      </c>
      <c r="C120">
        <f t="shared" si="2"/>
        <v>1</v>
      </c>
      <c r="D120" s="15" t="s">
        <v>20</v>
      </c>
      <c r="E120">
        <f t="shared" si="3"/>
        <v>1</v>
      </c>
      <c r="F120" s="15">
        <v>1.506849315068493</v>
      </c>
    </row>
    <row r="121" spans="1:6" x14ac:dyDescent="0.3">
      <c r="A121" s="15">
        <v>77283</v>
      </c>
      <c r="B121" s="15" t="s">
        <v>27</v>
      </c>
      <c r="C121">
        <f t="shared" si="2"/>
        <v>1</v>
      </c>
      <c r="D121" s="15" t="s">
        <v>30</v>
      </c>
      <c r="E121">
        <f t="shared" si="3"/>
        <v>2</v>
      </c>
      <c r="F121" s="15">
        <v>0.49315068493150682</v>
      </c>
    </row>
    <row r="122" spans="1:6" x14ac:dyDescent="0.3">
      <c r="A122" s="15">
        <v>62224</v>
      </c>
      <c r="B122" s="15" t="s">
        <v>27</v>
      </c>
      <c r="C122">
        <f t="shared" si="2"/>
        <v>1</v>
      </c>
      <c r="D122" s="15" t="s">
        <v>30</v>
      </c>
      <c r="E122">
        <f t="shared" si="3"/>
        <v>2</v>
      </c>
      <c r="F122" s="15">
        <v>0.49315068493150682</v>
      </c>
    </row>
    <row r="123" spans="1:6" x14ac:dyDescent="0.3">
      <c r="A123" s="15">
        <v>68683</v>
      </c>
      <c r="B123" s="15" t="s">
        <v>27</v>
      </c>
      <c r="C123">
        <f t="shared" si="2"/>
        <v>1</v>
      </c>
      <c r="D123" s="15" t="s">
        <v>30</v>
      </c>
      <c r="E123">
        <f t="shared" si="3"/>
        <v>2</v>
      </c>
      <c r="F123" s="15">
        <v>0.49315068493150682</v>
      </c>
    </row>
    <row r="124" spans="1:6" x14ac:dyDescent="0.3">
      <c r="A124" s="15">
        <v>63830</v>
      </c>
      <c r="B124" s="15" t="s">
        <v>17</v>
      </c>
      <c r="C124">
        <f t="shared" si="2"/>
        <v>0</v>
      </c>
      <c r="D124" s="15" t="s">
        <v>20</v>
      </c>
      <c r="E124">
        <f t="shared" si="3"/>
        <v>1</v>
      </c>
      <c r="F124" s="15">
        <v>0.49315068493150682</v>
      </c>
    </row>
    <row r="125" spans="1:6" x14ac:dyDescent="0.3">
      <c r="A125" s="15">
        <v>75850</v>
      </c>
      <c r="B125" s="15" t="s">
        <v>27</v>
      </c>
      <c r="C125">
        <f t="shared" si="2"/>
        <v>1</v>
      </c>
      <c r="D125" s="15" t="s">
        <v>112</v>
      </c>
      <c r="E125">
        <f t="shared" si="3"/>
        <v>3</v>
      </c>
      <c r="F125" s="15">
        <v>0.49315068493150682</v>
      </c>
    </row>
    <row r="126" spans="1:6" x14ac:dyDescent="0.3">
      <c r="A126" s="15">
        <v>82965</v>
      </c>
      <c r="B126" s="15" t="s">
        <v>27</v>
      </c>
      <c r="C126">
        <f t="shared" si="2"/>
        <v>1</v>
      </c>
      <c r="D126" s="15" t="s">
        <v>20</v>
      </c>
      <c r="E126">
        <f t="shared" si="3"/>
        <v>1</v>
      </c>
      <c r="F126" s="15">
        <v>2.8219178082191778</v>
      </c>
    </row>
    <row r="127" spans="1:6" x14ac:dyDescent="0.3">
      <c r="A127" s="15">
        <v>54011</v>
      </c>
      <c r="B127" s="15" t="s">
        <v>17</v>
      </c>
      <c r="C127">
        <f t="shared" si="2"/>
        <v>0</v>
      </c>
      <c r="D127" s="15" t="s">
        <v>30</v>
      </c>
      <c r="E127">
        <f t="shared" si="3"/>
        <v>2</v>
      </c>
      <c r="F127" s="15">
        <v>0.49315068493150682</v>
      </c>
    </row>
    <row r="128" spans="1:6" x14ac:dyDescent="0.3">
      <c r="A128" s="15">
        <v>80131</v>
      </c>
      <c r="B128" s="15" t="s">
        <v>27</v>
      </c>
      <c r="C128">
        <f t="shared" si="2"/>
        <v>1</v>
      </c>
      <c r="D128" s="15" t="s">
        <v>30</v>
      </c>
      <c r="E128">
        <f t="shared" si="3"/>
        <v>2</v>
      </c>
      <c r="F128" s="15">
        <v>0.49315068493150682</v>
      </c>
    </row>
    <row r="129" spans="1:6" x14ac:dyDescent="0.3">
      <c r="A129" s="15">
        <v>55778</v>
      </c>
      <c r="B129" s="15" t="s">
        <v>17</v>
      </c>
      <c r="C129">
        <f t="shared" si="2"/>
        <v>0</v>
      </c>
      <c r="D129" s="15" t="s">
        <v>30</v>
      </c>
      <c r="E129">
        <f t="shared" si="3"/>
        <v>2</v>
      </c>
      <c r="F129" s="15">
        <v>0.49315068493150682</v>
      </c>
    </row>
    <row r="130" spans="1:6" x14ac:dyDescent="0.3">
      <c r="A130" s="15">
        <v>88444</v>
      </c>
      <c r="B130" s="15" t="s">
        <v>27</v>
      </c>
      <c r="C130">
        <f t="shared" si="2"/>
        <v>1</v>
      </c>
      <c r="D130" s="15" t="s">
        <v>93</v>
      </c>
      <c r="E130">
        <f t="shared" si="3"/>
        <v>4</v>
      </c>
      <c r="F130" s="15">
        <v>0.49315068493150682</v>
      </c>
    </row>
    <row r="131" spans="1:6" x14ac:dyDescent="0.3">
      <c r="A131" s="15">
        <v>75303</v>
      </c>
      <c r="B131" s="15" t="s">
        <v>17</v>
      </c>
      <c r="C131">
        <f t="shared" ref="C131:C194" si="4">IF(B131="Male", 1, 0)</f>
        <v>0</v>
      </c>
      <c r="D131" s="15" t="s">
        <v>30</v>
      </c>
      <c r="E131">
        <f t="shared" ref="E131:E194" si="5">IF(D131="High School",1,IF(D131="Bachelor",2,IF(D131="Master",3,IF(D131="PhD",4,""))))</f>
        <v>2</v>
      </c>
      <c r="F131" s="15">
        <v>0.49315068493150682</v>
      </c>
    </row>
    <row r="132" spans="1:6" x14ac:dyDescent="0.3">
      <c r="A132" s="15">
        <v>98297</v>
      </c>
      <c r="B132" s="15" t="s">
        <v>17</v>
      </c>
      <c r="C132">
        <f t="shared" si="4"/>
        <v>0</v>
      </c>
      <c r="D132" s="15" t="s">
        <v>112</v>
      </c>
      <c r="E132">
        <f t="shared" si="5"/>
        <v>3</v>
      </c>
      <c r="F132" s="15">
        <v>0.49315068493150682</v>
      </c>
    </row>
    <row r="133" spans="1:6" x14ac:dyDescent="0.3">
      <c r="A133" s="15">
        <v>65506</v>
      </c>
      <c r="B133" s="15" t="s">
        <v>27</v>
      </c>
      <c r="C133">
        <f t="shared" si="4"/>
        <v>1</v>
      </c>
      <c r="D133" s="15" t="s">
        <v>30</v>
      </c>
      <c r="E133">
        <f t="shared" si="5"/>
        <v>2</v>
      </c>
      <c r="F133" s="15">
        <v>0.49041095890410957</v>
      </c>
    </row>
    <row r="134" spans="1:6" x14ac:dyDescent="0.3">
      <c r="A134" s="15">
        <v>86731</v>
      </c>
      <c r="B134" s="15" t="s">
        <v>27</v>
      </c>
      <c r="C134">
        <f t="shared" si="4"/>
        <v>1</v>
      </c>
      <c r="D134" s="15" t="s">
        <v>93</v>
      </c>
      <c r="E134">
        <f t="shared" si="5"/>
        <v>4</v>
      </c>
      <c r="F134" s="15">
        <v>0.49315068493150682</v>
      </c>
    </row>
    <row r="135" spans="1:6" x14ac:dyDescent="0.3">
      <c r="A135" s="15">
        <v>78643</v>
      </c>
      <c r="B135" s="15" t="s">
        <v>27</v>
      </c>
      <c r="C135">
        <f t="shared" si="4"/>
        <v>1</v>
      </c>
      <c r="D135" s="15" t="s">
        <v>30</v>
      </c>
      <c r="E135">
        <f t="shared" si="5"/>
        <v>2</v>
      </c>
      <c r="F135" s="15">
        <v>3.227397260273972</v>
      </c>
    </row>
    <row r="136" spans="1:6" x14ac:dyDescent="0.3">
      <c r="A136" s="15">
        <v>64159</v>
      </c>
      <c r="B136" s="15" t="s">
        <v>17</v>
      </c>
      <c r="C136">
        <f t="shared" si="4"/>
        <v>0</v>
      </c>
      <c r="D136" s="15" t="s">
        <v>30</v>
      </c>
      <c r="E136">
        <f t="shared" si="5"/>
        <v>2</v>
      </c>
      <c r="F136" s="15">
        <v>0.49315068493150682</v>
      </c>
    </row>
    <row r="137" spans="1:6" x14ac:dyDescent="0.3">
      <c r="A137" s="15">
        <v>66358</v>
      </c>
      <c r="B137" s="15" t="s">
        <v>27</v>
      </c>
      <c r="C137">
        <f t="shared" si="4"/>
        <v>1</v>
      </c>
      <c r="D137" s="15" t="s">
        <v>30</v>
      </c>
      <c r="E137">
        <f t="shared" si="5"/>
        <v>2</v>
      </c>
      <c r="F137" s="15">
        <v>5.7808219178082192</v>
      </c>
    </row>
    <row r="138" spans="1:6" x14ac:dyDescent="0.3">
      <c r="A138" s="15">
        <v>57185</v>
      </c>
      <c r="B138" s="15" t="s">
        <v>17</v>
      </c>
      <c r="C138">
        <f t="shared" si="4"/>
        <v>0</v>
      </c>
      <c r="D138" s="15" t="s">
        <v>30</v>
      </c>
      <c r="E138">
        <f t="shared" si="5"/>
        <v>2</v>
      </c>
      <c r="F138" s="15">
        <v>1.021917808219178</v>
      </c>
    </row>
    <row r="139" spans="1:6" x14ac:dyDescent="0.3">
      <c r="A139" s="15">
        <v>57924</v>
      </c>
      <c r="B139" s="15" t="s">
        <v>17</v>
      </c>
      <c r="C139">
        <f t="shared" si="4"/>
        <v>0</v>
      </c>
      <c r="D139" s="15" t="s">
        <v>30</v>
      </c>
      <c r="E139">
        <f t="shared" si="5"/>
        <v>2</v>
      </c>
      <c r="F139" s="15">
        <v>0.49315068493150682</v>
      </c>
    </row>
    <row r="140" spans="1:6" x14ac:dyDescent="0.3">
      <c r="A140" s="15">
        <v>57730</v>
      </c>
      <c r="B140" s="15" t="s">
        <v>17</v>
      </c>
      <c r="C140">
        <f t="shared" si="4"/>
        <v>0</v>
      </c>
      <c r="D140" s="15" t="s">
        <v>30</v>
      </c>
      <c r="E140">
        <f t="shared" si="5"/>
        <v>2</v>
      </c>
      <c r="F140" s="15">
        <v>6.5315068493150683</v>
      </c>
    </row>
    <row r="141" spans="1:6" x14ac:dyDescent="0.3">
      <c r="A141" s="15">
        <v>56753</v>
      </c>
      <c r="B141" s="15" t="s">
        <v>17</v>
      </c>
      <c r="C141">
        <f t="shared" si="4"/>
        <v>0</v>
      </c>
      <c r="D141" s="15" t="s">
        <v>20</v>
      </c>
      <c r="E141">
        <f t="shared" si="5"/>
        <v>1</v>
      </c>
      <c r="F141" s="15">
        <v>0.49315068493150682</v>
      </c>
    </row>
    <row r="142" spans="1:6" x14ac:dyDescent="0.3">
      <c r="A142" s="15">
        <v>62015</v>
      </c>
      <c r="B142" s="15" t="s">
        <v>27</v>
      </c>
      <c r="C142">
        <f t="shared" si="4"/>
        <v>1</v>
      </c>
      <c r="D142" s="15" t="s">
        <v>30</v>
      </c>
      <c r="E142">
        <f t="shared" si="5"/>
        <v>2</v>
      </c>
      <c r="F142" s="15">
        <v>0.49315068493150682</v>
      </c>
    </row>
    <row r="143" spans="1:6" x14ac:dyDescent="0.3">
      <c r="A143" s="15">
        <v>82241</v>
      </c>
      <c r="B143" s="15" t="s">
        <v>27</v>
      </c>
      <c r="C143">
        <f t="shared" si="4"/>
        <v>1</v>
      </c>
      <c r="D143" s="15" t="s">
        <v>30</v>
      </c>
      <c r="E143">
        <f t="shared" si="5"/>
        <v>2</v>
      </c>
      <c r="F143" s="15">
        <v>0.49315068493150682</v>
      </c>
    </row>
    <row r="144" spans="1:6" x14ac:dyDescent="0.3">
      <c r="A144" s="15">
        <v>87980</v>
      </c>
      <c r="B144" s="15" t="s">
        <v>17</v>
      </c>
      <c r="C144">
        <f t="shared" si="4"/>
        <v>0</v>
      </c>
      <c r="D144" s="15" t="s">
        <v>93</v>
      </c>
      <c r="E144">
        <f t="shared" si="5"/>
        <v>4</v>
      </c>
      <c r="F144" s="15">
        <v>0.49315068493150682</v>
      </c>
    </row>
    <row r="145" spans="1:6" x14ac:dyDescent="0.3">
      <c r="A145" s="15">
        <v>68240</v>
      </c>
      <c r="B145" s="15" t="s">
        <v>17</v>
      </c>
      <c r="C145">
        <f t="shared" si="4"/>
        <v>0</v>
      </c>
      <c r="D145" s="15" t="s">
        <v>30</v>
      </c>
      <c r="E145">
        <f t="shared" si="5"/>
        <v>2</v>
      </c>
      <c r="F145" s="15">
        <v>4.3506849315068497</v>
      </c>
    </row>
    <row r="146" spans="1:6" x14ac:dyDescent="0.3">
      <c r="A146" s="15">
        <v>109148</v>
      </c>
      <c r="B146" s="15" t="s">
        <v>27</v>
      </c>
      <c r="C146">
        <f t="shared" si="4"/>
        <v>1</v>
      </c>
      <c r="D146" s="15" t="s">
        <v>30</v>
      </c>
      <c r="E146">
        <f t="shared" si="5"/>
        <v>2</v>
      </c>
      <c r="F146" s="15">
        <v>2.364383561643836</v>
      </c>
    </row>
    <row r="147" spans="1:6" x14ac:dyDescent="0.3">
      <c r="A147" s="15">
        <v>71634</v>
      </c>
      <c r="B147" s="15" t="s">
        <v>27</v>
      </c>
      <c r="C147">
        <f t="shared" si="4"/>
        <v>1</v>
      </c>
      <c r="D147" s="15" t="s">
        <v>30</v>
      </c>
      <c r="E147">
        <f t="shared" si="5"/>
        <v>2</v>
      </c>
      <c r="F147" s="15">
        <v>5.6383561643835618</v>
      </c>
    </row>
    <row r="148" spans="1:6" x14ac:dyDescent="0.3">
      <c r="A148" s="15">
        <v>73488</v>
      </c>
      <c r="B148" s="15" t="s">
        <v>27</v>
      </c>
      <c r="C148">
        <f t="shared" si="4"/>
        <v>1</v>
      </c>
      <c r="D148" s="15" t="s">
        <v>30</v>
      </c>
      <c r="E148">
        <f t="shared" si="5"/>
        <v>2</v>
      </c>
      <c r="F148" s="15">
        <v>0.49315068493150682</v>
      </c>
    </row>
    <row r="149" spans="1:6" x14ac:dyDescent="0.3">
      <c r="A149" s="15">
        <v>61678</v>
      </c>
      <c r="B149" s="15" t="s">
        <v>27</v>
      </c>
      <c r="C149">
        <f t="shared" si="4"/>
        <v>1</v>
      </c>
      <c r="D149" s="15" t="s">
        <v>20</v>
      </c>
      <c r="E149">
        <f t="shared" si="5"/>
        <v>1</v>
      </c>
      <c r="F149" s="15">
        <v>0.49315068493150682</v>
      </c>
    </row>
    <row r="150" spans="1:6" x14ac:dyDescent="0.3">
      <c r="A150" s="15">
        <v>94594</v>
      </c>
      <c r="B150" s="15" t="s">
        <v>17</v>
      </c>
      <c r="C150">
        <f t="shared" si="4"/>
        <v>0</v>
      </c>
      <c r="D150" s="15" t="s">
        <v>30</v>
      </c>
      <c r="E150">
        <f t="shared" si="5"/>
        <v>2</v>
      </c>
      <c r="F150" s="15">
        <v>0.49041095890410957</v>
      </c>
    </row>
    <row r="151" spans="1:6" x14ac:dyDescent="0.3">
      <c r="A151" s="15">
        <v>60859</v>
      </c>
      <c r="B151" s="15" t="s">
        <v>17</v>
      </c>
      <c r="C151">
        <f t="shared" si="4"/>
        <v>0</v>
      </c>
      <c r="D151" s="15" t="s">
        <v>30</v>
      </c>
      <c r="E151">
        <f t="shared" si="5"/>
        <v>2</v>
      </c>
      <c r="F151" s="15">
        <v>0.49315068493150682</v>
      </c>
    </row>
    <row r="152" spans="1:6" x14ac:dyDescent="0.3">
      <c r="A152" s="15">
        <v>52939</v>
      </c>
      <c r="B152" s="15" t="s">
        <v>17</v>
      </c>
      <c r="C152">
        <f t="shared" si="4"/>
        <v>0</v>
      </c>
      <c r="D152" s="15" t="s">
        <v>20</v>
      </c>
      <c r="E152">
        <f t="shared" si="5"/>
        <v>1</v>
      </c>
      <c r="F152" s="15">
        <v>0.49315068493150682</v>
      </c>
    </row>
    <row r="153" spans="1:6" x14ac:dyDescent="0.3">
      <c r="A153" s="15">
        <v>62230</v>
      </c>
      <c r="B153" s="15" t="s">
        <v>27</v>
      </c>
      <c r="C153">
        <f t="shared" si="4"/>
        <v>1</v>
      </c>
      <c r="D153" s="15" t="s">
        <v>93</v>
      </c>
      <c r="E153">
        <f t="shared" si="5"/>
        <v>4</v>
      </c>
      <c r="F153" s="15">
        <v>1.3013698630136989</v>
      </c>
    </row>
    <row r="154" spans="1:6" x14ac:dyDescent="0.3">
      <c r="A154" s="15">
        <v>68297</v>
      </c>
      <c r="B154" s="15" t="s">
        <v>27</v>
      </c>
      <c r="C154">
        <f t="shared" si="4"/>
        <v>1</v>
      </c>
      <c r="D154" s="15" t="s">
        <v>30</v>
      </c>
      <c r="E154">
        <f t="shared" si="5"/>
        <v>2</v>
      </c>
      <c r="F154" s="15">
        <v>9.1424657534246574</v>
      </c>
    </row>
    <row r="155" spans="1:6" x14ac:dyDescent="0.3">
      <c r="A155" s="15">
        <v>96606</v>
      </c>
      <c r="B155" s="15" t="s">
        <v>17</v>
      </c>
      <c r="C155">
        <f t="shared" si="4"/>
        <v>0</v>
      </c>
      <c r="D155" s="15" t="s">
        <v>112</v>
      </c>
      <c r="E155">
        <f t="shared" si="5"/>
        <v>3</v>
      </c>
      <c r="F155" s="15">
        <v>5.9643835616438352</v>
      </c>
    </row>
    <row r="156" spans="1:6" x14ac:dyDescent="0.3">
      <c r="A156" s="15">
        <v>55854</v>
      </c>
      <c r="B156" s="15" t="s">
        <v>27</v>
      </c>
      <c r="C156">
        <f t="shared" si="4"/>
        <v>1</v>
      </c>
      <c r="D156" s="15" t="s">
        <v>20</v>
      </c>
      <c r="E156">
        <f t="shared" si="5"/>
        <v>1</v>
      </c>
      <c r="F156" s="15">
        <v>5.1945205479452046</v>
      </c>
    </row>
    <row r="157" spans="1:6" x14ac:dyDescent="0.3">
      <c r="A157" s="15">
        <v>54580</v>
      </c>
      <c r="B157" s="15" t="s">
        <v>17</v>
      </c>
      <c r="C157">
        <f t="shared" si="4"/>
        <v>0</v>
      </c>
      <c r="D157" s="15" t="s">
        <v>30</v>
      </c>
      <c r="E157">
        <f t="shared" si="5"/>
        <v>2</v>
      </c>
      <c r="F157" s="15">
        <v>0.49315068493150682</v>
      </c>
    </row>
    <row r="158" spans="1:6" x14ac:dyDescent="0.3">
      <c r="A158" s="15">
        <v>58131</v>
      </c>
      <c r="B158" s="15" t="s">
        <v>17</v>
      </c>
      <c r="C158">
        <f t="shared" si="4"/>
        <v>0</v>
      </c>
      <c r="D158" s="15" t="s">
        <v>30</v>
      </c>
      <c r="E158">
        <f t="shared" si="5"/>
        <v>2</v>
      </c>
      <c r="F158" s="15">
        <v>0.49315068493150682</v>
      </c>
    </row>
    <row r="159" spans="1:6" x14ac:dyDescent="0.3">
      <c r="A159" s="15">
        <v>64260</v>
      </c>
      <c r="B159" s="15" t="s">
        <v>17</v>
      </c>
      <c r="C159">
        <f t="shared" si="4"/>
        <v>0</v>
      </c>
      <c r="D159" s="15" t="s">
        <v>30</v>
      </c>
      <c r="E159">
        <f t="shared" si="5"/>
        <v>2</v>
      </c>
      <c r="F159" s="15">
        <v>7.9315068493150687</v>
      </c>
    </row>
    <row r="160" spans="1:6" x14ac:dyDescent="0.3">
      <c r="A160" s="15">
        <v>63590</v>
      </c>
      <c r="B160" s="15" t="s">
        <v>17</v>
      </c>
      <c r="C160">
        <f t="shared" si="4"/>
        <v>0</v>
      </c>
      <c r="D160" s="15" t="s">
        <v>20</v>
      </c>
      <c r="E160">
        <f t="shared" si="5"/>
        <v>1</v>
      </c>
      <c r="F160" s="15">
        <v>0.49315068493150682</v>
      </c>
    </row>
    <row r="161" spans="1:6" x14ac:dyDescent="0.3">
      <c r="A161" s="15">
        <v>63956</v>
      </c>
      <c r="B161" s="15" t="s">
        <v>17</v>
      </c>
      <c r="C161">
        <f t="shared" si="4"/>
        <v>0</v>
      </c>
      <c r="D161" s="15" t="s">
        <v>20</v>
      </c>
      <c r="E161">
        <f t="shared" si="5"/>
        <v>1</v>
      </c>
      <c r="F161" s="15">
        <v>0.49315068493150682</v>
      </c>
    </row>
    <row r="162" spans="1:6" x14ac:dyDescent="0.3">
      <c r="A162" s="15">
        <v>67857</v>
      </c>
      <c r="B162" s="15" t="s">
        <v>27</v>
      </c>
      <c r="C162">
        <f t="shared" si="4"/>
        <v>1</v>
      </c>
      <c r="D162" s="15" t="s">
        <v>30</v>
      </c>
      <c r="E162">
        <f t="shared" si="5"/>
        <v>2</v>
      </c>
      <c r="F162" s="15">
        <v>2.1369863013698631</v>
      </c>
    </row>
    <row r="163" spans="1:6" x14ac:dyDescent="0.3">
      <c r="A163" s="15">
        <v>53458</v>
      </c>
      <c r="B163" s="15" t="s">
        <v>17</v>
      </c>
      <c r="C163">
        <f t="shared" si="4"/>
        <v>0</v>
      </c>
      <c r="D163" s="15" t="s">
        <v>30</v>
      </c>
      <c r="E163">
        <f t="shared" si="5"/>
        <v>2</v>
      </c>
      <c r="F163" s="15">
        <v>0.49315068493150682</v>
      </c>
    </row>
    <row r="164" spans="1:6" x14ac:dyDescent="0.3">
      <c r="A164" s="15">
        <v>68344</v>
      </c>
      <c r="B164" s="15" t="s">
        <v>27</v>
      </c>
      <c r="C164">
        <f t="shared" si="4"/>
        <v>1</v>
      </c>
      <c r="D164" s="15" t="s">
        <v>112</v>
      </c>
      <c r="E164">
        <f t="shared" si="5"/>
        <v>3</v>
      </c>
      <c r="F164" s="15">
        <v>8.0246575342465754</v>
      </c>
    </row>
    <row r="165" spans="1:6" x14ac:dyDescent="0.3">
      <c r="A165" s="15">
        <v>67027</v>
      </c>
      <c r="B165" s="15" t="s">
        <v>17</v>
      </c>
      <c r="C165">
        <f t="shared" si="4"/>
        <v>0</v>
      </c>
      <c r="D165" s="15" t="s">
        <v>30</v>
      </c>
      <c r="E165">
        <f t="shared" si="5"/>
        <v>2</v>
      </c>
      <c r="F165" s="15">
        <v>0.49315068493150682</v>
      </c>
    </row>
    <row r="166" spans="1:6" x14ac:dyDescent="0.3">
      <c r="A166" s="15">
        <v>66258</v>
      </c>
      <c r="B166" s="15" t="s">
        <v>17</v>
      </c>
      <c r="C166">
        <f t="shared" si="4"/>
        <v>0</v>
      </c>
      <c r="D166" s="15" t="s">
        <v>30</v>
      </c>
      <c r="E166">
        <f t="shared" si="5"/>
        <v>2</v>
      </c>
      <c r="F166" s="15">
        <v>0.49315068493150682</v>
      </c>
    </row>
    <row r="167" spans="1:6" x14ac:dyDescent="0.3">
      <c r="A167" s="15">
        <v>64327</v>
      </c>
      <c r="B167" s="15" t="s">
        <v>27</v>
      </c>
      <c r="C167">
        <f t="shared" si="4"/>
        <v>1</v>
      </c>
      <c r="D167" s="15" t="s">
        <v>30</v>
      </c>
      <c r="E167">
        <f t="shared" si="5"/>
        <v>2</v>
      </c>
      <c r="F167" s="15">
        <v>0.49315068493150682</v>
      </c>
    </row>
    <row r="168" spans="1:6" x14ac:dyDescent="0.3">
      <c r="A168" s="15">
        <v>91360</v>
      </c>
      <c r="B168" s="15" t="s">
        <v>27</v>
      </c>
      <c r="C168">
        <f t="shared" si="4"/>
        <v>1</v>
      </c>
      <c r="D168" s="15" t="s">
        <v>30</v>
      </c>
      <c r="E168">
        <f t="shared" si="5"/>
        <v>2</v>
      </c>
      <c r="F168" s="15">
        <v>0.49315068493150682</v>
      </c>
    </row>
    <row r="169" spans="1:6" x14ac:dyDescent="0.3">
      <c r="A169" s="15">
        <v>73844</v>
      </c>
      <c r="B169" s="15" t="s">
        <v>27</v>
      </c>
      <c r="C169">
        <f t="shared" si="4"/>
        <v>1</v>
      </c>
      <c r="D169" s="15" t="s">
        <v>30</v>
      </c>
      <c r="E169">
        <f t="shared" si="5"/>
        <v>2</v>
      </c>
      <c r="F169" s="15">
        <v>4.536986301369863</v>
      </c>
    </row>
    <row r="170" spans="1:6" x14ac:dyDescent="0.3">
      <c r="A170" s="15">
        <v>65413</v>
      </c>
      <c r="B170" s="15" t="s">
        <v>27</v>
      </c>
      <c r="C170">
        <f t="shared" si="4"/>
        <v>1</v>
      </c>
      <c r="D170" s="15" t="s">
        <v>30</v>
      </c>
      <c r="E170">
        <f t="shared" si="5"/>
        <v>2</v>
      </c>
      <c r="F170" s="15">
        <v>4.7260273972602738</v>
      </c>
    </row>
    <row r="171" spans="1:6" x14ac:dyDescent="0.3">
      <c r="A171" s="15">
        <v>95493</v>
      </c>
      <c r="B171" s="15" t="s">
        <v>27</v>
      </c>
      <c r="C171">
        <f t="shared" si="4"/>
        <v>1</v>
      </c>
      <c r="D171" s="15" t="s">
        <v>30</v>
      </c>
      <c r="E171">
        <f t="shared" si="5"/>
        <v>2</v>
      </c>
      <c r="F171" s="15">
        <v>2.452054794520548</v>
      </c>
    </row>
    <row r="172" spans="1:6" x14ac:dyDescent="0.3">
      <c r="A172" s="15">
        <v>82548</v>
      </c>
      <c r="B172" s="15" t="s">
        <v>27</v>
      </c>
      <c r="C172">
        <f t="shared" si="4"/>
        <v>1</v>
      </c>
      <c r="D172" s="15" t="s">
        <v>30</v>
      </c>
      <c r="E172">
        <f t="shared" si="5"/>
        <v>2</v>
      </c>
      <c r="F172" s="15">
        <v>7.1643835616438354</v>
      </c>
    </row>
    <row r="173" spans="1:6" x14ac:dyDescent="0.3">
      <c r="A173" s="15">
        <v>95235</v>
      </c>
      <c r="B173" s="15" t="s">
        <v>17</v>
      </c>
      <c r="C173">
        <f t="shared" si="4"/>
        <v>0</v>
      </c>
      <c r="D173" s="15" t="s">
        <v>30</v>
      </c>
      <c r="E173">
        <f t="shared" si="5"/>
        <v>2</v>
      </c>
      <c r="F173" s="15">
        <v>0.49315068493150682</v>
      </c>
    </row>
    <row r="174" spans="1:6" x14ac:dyDescent="0.3">
      <c r="A174" s="15">
        <v>81450</v>
      </c>
      <c r="B174" s="15" t="s">
        <v>17</v>
      </c>
      <c r="C174">
        <f t="shared" si="4"/>
        <v>0</v>
      </c>
      <c r="D174" s="15" t="s">
        <v>30</v>
      </c>
      <c r="E174">
        <f t="shared" si="5"/>
        <v>2</v>
      </c>
      <c r="F174" s="15">
        <v>0.49315068493150682</v>
      </c>
    </row>
    <row r="175" spans="1:6" x14ac:dyDescent="0.3">
      <c r="A175" s="15">
        <v>58407</v>
      </c>
      <c r="B175" s="15" t="s">
        <v>17</v>
      </c>
      <c r="C175">
        <f t="shared" si="4"/>
        <v>0</v>
      </c>
      <c r="D175" s="15" t="s">
        <v>30</v>
      </c>
      <c r="E175">
        <f t="shared" si="5"/>
        <v>2</v>
      </c>
      <c r="F175" s="15">
        <v>0.49315068493150682</v>
      </c>
    </row>
    <row r="176" spans="1:6" x14ac:dyDescent="0.3">
      <c r="A176" s="15">
        <v>81959</v>
      </c>
      <c r="B176" s="15" t="s">
        <v>27</v>
      </c>
      <c r="C176">
        <f t="shared" si="4"/>
        <v>1</v>
      </c>
      <c r="D176" s="15" t="s">
        <v>30</v>
      </c>
      <c r="E176">
        <f t="shared" si="5"/>
        <v>2</v>
      </c>
      <c r="F176" s="15">
        <v>0.49315068493150682</v>
      </c>
    </row>
    <row r="177" spans="1:6" x14ac:dyDescent="0.3">
      <c r="A177" s="15">
        <v>74105</v>
      </c>
      <c r="B177" s="15" t="s">
        <v>27</v>
      </c>
      <c r="C177">
        <f t="shared" si="4"/>
        <v>1</v>
      </c>
      <c r="D177" s="15" t="s">
        <v>93</v>
      </c>
      <c r="E177">
        <f t="shared" si="5"/>
        <v>4</v>
      </c>
      <c r="F177" s="15">
        <v>0.49315068493150682</v>
      </c>
    </row>
    <row r="178" spans="1:6" x14ac:dyDescent="0.3">
      <c r="A178" s="15">
        <v>78079</v>
      </c>
      <c r="B178" s="15" t="s">
        <v>27</v>
      </c>
      <c r="C178">
        <f t="shared" si="4"/>
        <v>1</v>
      </c>
      <c r="D178" s="15" t="s">
        <v>30</v>
      </c>
      <c r="E178">
        <f t="shared" si="5"/>
        <v>2</v>
      </c>
      <c r="F178" s="15">
        <v>0.49315068493150682</v>
      </c>
    </row>
    <row r="179" spans="1:6" x14ac:dyDescent="0.3">
      <c r="A179" s="15">
        <v>60685</v>
      </c>
      <c r="B179" s="15" t="s">
        <v>27</v>
      </c>
      <c r="C179">
        <f t="shared" si="4"/>
        <v>1</v>
      </c>
      <c r="D179" s="15" t="s">
        <v>20</v>
      </c>
      <c r="E179">
        <f t="shared" si="5"/>
        <v>1</v>
      </c>
      <c r="F179" s="15">
        <v>0.49315068493150682</v>
      </c>
    </row>
    <row r="180" spans="1:6" x14ac:dyDescent="0.3">
      <c r="A180" s="15">
        <v>91983</v>
      </c>
      <c r="B180" s="15" t="s">
        <v>27</v>
      </c>
      <c r="C180">
        <f t="shared" si="4"/>
        <v>1</v>
      </c>
      <c r="D180" s="15" t="s">
        <v>112</v>
      </c>
      <c r="E180">
        <f t="shared" si="5"/>
        <v>3</v>
      </c>
      <c r="F180" s="15">
        <v>0.49315068493150682</v>
      </c>
    </row>
    <row r="181" spans="1:6" x14ac:dyDescent="0.3">
      <c r="A181" s="15">
        <v>68235</v>
      </c>
      <c r="B181" s="15" t="s">
        <v>27</v>
      </c>
      <c r="C181">
        <f t="shared" si="4"/>
        <v>1</v>
      </c>
      <c r="D181" s="15" t="s">
        <v>30</v>
      </c>
      <c r="E181">
        <f t="shared" si="5"/>
        <v>2</v>
      </c>
      <c r="F181" s="15">
        <v>0.49315068493150682</v>
      </c>
    </row>
    <row r="182" spans="1:6" x14ac:dyDescent="0.3">
      <c r="A182" s="15">
        <v>96575</v>
      </c>
      <c r="B182" s="15" t="s">
        <v>17</v>
      </c>
      <c r="C182">
        <f t="shared" si="4"/>
        <v>0</v>
      </c>
      <c r="D182" s="15" t="s">
        <v>112</v>
      </c>
      <c r="E182">
        <f t="shared" si="5"/>
        <v>3</v>
      </c>
      <c r="F182" s="15">
        <v>2.882191780821918</v>
      </c>
    </row>
    <row r="183" spans="1:6" x14ac:dyDescent="0.3">
      <c r="A183" s="15">
        <v>80107</v>
      </c>
      <c r="B183" s="15" t="s">
        <v>17</v>
      </c>
      <c r="C183">
        <f t="shared" si="4"/>
        <v>0</v>
      </c>
      <c r="D183" s="15" t="s">
        <v>20</v>
      </c>
      <c r="E183">
        <f t="shared" si="5"/>
        <v>1</v>
      </c>
      <c r="F183" s="15">
        <v>0.49315068493150682</v>
      </c>
    </row>
    <row r="184" spans="1:6" x14ac:dyDescent="0.3">
      <c r="A184" s="15">
        <v>111822</v>
      </c>
      <c r="B184" s="15" t="s">
        <v>27</v>
      </c>
      <c r="C184">
        <f t="shared" si="4"/>
        <v>1</v>
      </c>
      <c r="D184" s="15" t="s">
        <v>112</v>
      </c>
      <c r="E184">
        <f t="shared" si="5"/>
        <v>3</v>
      </c>
      <c r="F184" s="15">
        <v>0.49315068493150682</v>
      </c>
    </row>
    <row r="185" spans="1:6" x14ac:dyDescent="0.3">
      <c r="A185" s="15">
        <v>74894</v>
      </c>
      <c r="B185" s="15" t="s">
        <v>17</v>
      </c>
      <c r="C185">
        <f t="shared" si="4"/>
        <v>0</v>
      </c>
      <c r="D185" s="15" t="s">
        <v>30</v>
      </c>
      <c r="E185">
        <f t="shared" si="5"/>
        <v>2</v>
      </c>
      <c r="F185" s="15">
        <v>0.49315068493150682</v>
      </c>
    </row>
    <row r="186" spans="1:6" x14ac:dyDescent="0.3">
      <c r="A186" s="15">
        <v>68170</v>
      </c>
      <c r="B186" s="15" t="s">
        <v>27</v>
      </c>
      <c r="C186">
        <f t="shared" si="4"/>
        <v>1</v>
      </c>
      <c r="D186" s="15" t="s">
        <v>30</v>
      </c>
      <c r="E186">
        <f t="shared" si="5"/>
        <v>2</v>
      </c>
      <c r="F186" s="15">
        <v>2.8630136986301369</v>
      </c>
    </row>
    <row r="187" spans="1:6" x14ac:dyDescent="0.3">
      <c r="A187" s="15">
        <v>58120</v>
      </c>
      <c r="B187" s="15" t="s">
        <v>27</v>
      </c>
      <c r="C187">
        <f t="shared" si="4"/>
        <v>1</v>
      </c>
      <c r="D187" s="15" t="s">
        <v>20</v>
      </c>
      <c r="E187">
        <f t="shared" si="5"/>
        <v>1</v>
      </c>
      <c r="F187" s="15">
        <v>4.9232876712328766</v>
      </c>
    </row>
    <row r="188" spans="1:6" x14ac:dyDescent="0.3">
      <c r="A188" s="15">
        <v>69351</v>
      </c>
      <c r="B188" s="15" t="s">
        <v>27</v>
      </c>
      <c r="C188">
        <f t="shared" si="4"/>
        <v>1</v>
      </c>
      <c r="D188" s="15" t="s">
        <v>112</v>
      </c>
      <c r="E188">
        <f t="shared" si="5"/>
        <v>3</v>
      </c>
      <c r="F188" s="15">
        <v>0.49315068493150682</v>
      </c>
    </row>
    <row r="189" spans="1:6" x14ac:dyDescent="0.3">
      <c r="A189" s="15">
        <v>63090</v>
      </c>
      <c r="B189" s="15" t="s">
        <v>17</v>
      </c>
      <c r="C189">
        <f t="shared" si="4"/>
        <v>0</v>
      </c>
      <c r="D189" s="15" t="s">
        <v>30</v>
      </c>
      <c r="E189">
        <f t="shared" si="5"/>
        <v>2</v>
      </c>
      <c r="F189" s="15">
        <v>0.49315068493150682</v>
      </c>
    </row>
    <row r="190" spans="1:6" x14ac:dyDescent="0.3">
      <c r="A190" s="15">
        <v>66590</v>
      </c>
      <c r="B190" s="15" t="s">
        <v>17</v>
      </c>
      <c r="C190">
        <f t="shared" si="4"/>
        <v>0</v>
      </c>
      <c r="D190" s="15" t="s">
        <v>30</v>
      </c>
      <c r="E190">
        <f t="shared" si="5"/>
        <v>2</v>
      </c>
      <c r="F190" s="15">
        <v>0.49315068493150682</v>
      </c>
    </row>
    <row r="191" spans="1:6" x14ac:dyDescent="0.3">
      <c r="A191" s="15">
        <v>94979</v>
      </c>
      <c r="B191" s="15" t="s">
        <v>27</v>
      </c>
      <c r="C191">
        <f t="shared" si="4"/>
        <v>1</v>
      </c>
      <c r="D191" s="15" t="s">
        <v>30</v>
      </c>
      <c r="E191">
        <f t="shared" si="5"/>
        <v>2</v>
      </c>
      <c r="F191" s="15">
        <v>0.49315068493150682</v>
      </c>
    </row>
    <row r="192" spans="1:6" x14ac:dyDescent="0.3">
      <c r="A192" s="15">
        <v>68030</v>
      </c>
      <c r="B192" s="15" t="s">
        <v>17</v>
      </c>
      <c r="C192">
        <f t="shared" si="4"/>
        <v>0</v>
      </c>
      <c r="D192" s="15" t="s">
        <v>30</v>
      </c>
      <c r="E192">
        <f t="shared" si="5"/>
        <v>2</v>
      </c>
      <c r="F192" s="15">
        <v>0.49315068493150682</v>
      </c>
    </row>
    <row r="193" spans="1:6" x14ac:dyDescent="0.3">
      <c r="A193" s="15">
        <v>55734</v>
      </c>
      <c r="B193" s="15" t="s">
        <v>17</v>
      </c>
      <c r="C193">
        <f t="shared" si="4"/>
        <v>0</v>
      </c>
      <c r="D193" s="15" t="s">
        <v>30</v>
      </c>
      <c r="E193">
        <f t="shared" si="5"/>
        <v>2</v>
      </c>
      <c r="F193" s="15">
        <v>1.5013698630136989</v>
      </c>
    </row>
    <row r="194" spans="1:6" x14ac:dyDescent="0.3">
      <c r="A194" s="15">
        <v>65009</v>
      </c>
      <c r="B194" s="15" t="s">
        <v>17</v>
      </c>
      <c r="C194">
        <f t="shared" si="4"/>
        <v>0</v>
      </c>
      <c r="D194" s="15" t="s">
        <v>30</v>
      </c>
      <c r="E194">
        <f t="shared" si="5"/>
        <v>2</v>
      </c>
      <c r="F194" s="15">
        <v>0.49315068493150682</v>
      </c>
    </row>
    <row r="195" spans="1:6" x14ac:dyDescent="0.3">
      <c r="A195" s="15">
        <v>73797</v>
      </c>
      <c r="B195" s="15" t="s">
        <v>17</v>
      </c>
      <c r="C195">
        <f t="shared" ref="C195:C258" si="6">IF(B195="Male", 1, 0)</f>
        <v>0</v>
      </c>
      <c r="D195" s="15" t="s">
        <v>93</v>
      </c>
      <c r="E195">
        <f t="shared" ref="E195:E258" si="7">IF(D195="High School",1,IF(D195="Bachelor",2,IF(D195="Master",3,IF(D195="PhD",4,""))))</f>
        <v>4</v>
      </c>
      <c r="F195" s="15">
        <v>0.49315068493150682</v>
      </c>
    </row>
    <row r="196" spans="1:6" x14ac:dyDescent="0.3">
      <c r="A196" s="15">
        <v>59391</v>
      </c>
      <c r="B196" s="15" t="s">
        <v>17</v>
      </c>
      <c r="C196">
        <f t="shared" si="6"/>
        <v>0</v>
      </c>
      <c r="D196" s="15" t="s">
        <v>30</v>
      </c>
      <c r="E196">
        <f t="shared" si="7"/>
        <v>2</v>
      </c>
      <c r="F196" s="15">
        <v>3.2109589041095892</v>
      </c>
    </row>
    <row r="197" spans="1:6" x14ac:dyDescent="0.3">
      <c r="A197" s="15">
        <v>95438</v>
      </c>
      <c r="B197" s="15" t="s">
        <v>27</v>
      </c>
      <c r="C197">
        <f t="shared" si="6"/>
        <v>1</v>
      </c>
      <c r="D197" s="15" t="s">
        <v>30</v>
      </c>
      <c r="E197">
        <f t="shared" si="7"/>
        <v>2</v>
      </c>
      <c r="F197" s="15">
        <v>0.49315068493150682</v>
      </c>
    </row>
    <row r="198" spans="1:6" x14ac:dyDescent="0.3">
      <c r="A198" s="15">
        <v>52863</v>
      </c>
      <c r="B198" s="15" t="s">
        <v>17</v>
      </c>
      <c r="C198">
        <f t="shared" si="6"/>
        <v>0</v>
      </c>
      <c r="D198" s="15" t="s">
        <v>30</v>
      </c>
      <c r="E198">
        <f t="shared" si="7"/>
        <v>2</v>
      </c>
      <c r="F198" s="15">
        <v>0.49315068493150682</v>
      </c>
    </row>
    <row r="199" spans="1:6" x14ac:dyDescent="0.3">
      <c r="A199" s="15">
        <v>59645</v>
      </c>
      <c r="B199" s="15" t="s">
        <v>17</v>
      </c>
      <c r="C199">
        <f t="shared" si="6"/>
        <v>0</v>
      </c>
      <c r="D199" s="15" t="s">
        <v>30</v>
      </c>
      <c r="E199">
        <f t="shared" si="7"/>
        <v>2</v>
      </c>
      <c r="F199" s="15">
        <v>4.7863013698630139</v>
      </c>
    </row>
    <row r="200" spans="1:6" x14ac:dyDescent="0.3">
      <c r="A200" s="15">
        <v>72411</v>
      </c>
      <c r="B200" s="15" t="s">
        <v>17</v>
      </c>
      <c r="C200">
        <f t="shared" si="6"/>
        <v>0</v>
      </c>
      <c r="D200" s="15" t="s">
        <v>112</v>
      </c>
      <c r="E200">
        <f t="shared" si="7"/>
        <v>3</v>
      </c>
      <c r="F200" s="15">
        <v>0.49315068493150682</v>
      </c>
    </row>
    <row r="201" spans="1:6" x14ac:dyDescent="0.3">
      <c r="A201" s="15">
        <v>92457</v>
      </c>
      <c r="B201" s="15" t="s">
        <v>17</v>
      </c>
      <c r="C201">
        <f t="shared" si="6"/>
        <v>0</v>
      </c>
      <c r="D201" s="15" t="s">
        <v>112</v>
      </c>
      <c r="E201">
        <f t="shared" si="7"/>
        <v>3</v>
      </c>
      <c r="F201" s="15">
        <v>0.49315068493150682</v>
      </c>
    </row>
    <row r="202" spans="1:6" x14ac:dyDescent="0.3">
      <c r="A202" s="15">
        <v>64737</v>
      </c>
      <c r="B202" s="15" t="s">
        <v>17</v>
      </c>
      <c r="C202">
        <f t="shared" si="6"/>
        <v>0</v>
      </c>
      <c r="D202" s="15" t="s">
        <v>30</v>
      </c>
      <c r="E202">
        <f t="shared" si="7"/>
        <v>2</v>
      </c>
      <c r="F202" s="15">
        <v>0.49315068493150682</v>
      </c>
    </row>
    <row r="203" spans="1:6" x14ac:dyDescent="0.3">
      <c r="A203" s="15">
        <v>63371</v>
      </c>
      <c r="B203" s="15" t="s">
        <v>27</v>
      </c>
      <c r="C203">
        <f t="shared" si="6"/>
        <v>1</v>
      </c>
      <c r="D203" s="15" t="s">
        <v>30</v>
      </c>
      <c r="E203">
        <f t="shared" si="7"/>
        <v>2</v>
      </c>
      <c r="F203" s="15">
        <v>6.7232876712328764</v>
      </c>
    </row>
    <row r="204" spans="1:6" x14ac:dyDescent="0.3">
      <c r="A204" s="15">
        <v>61038</v>
      </c>
      <c r="B204" s="15" t="s">
        <v>17</v>
      </c>
      <c r="C204">
        <f t="shared" si="6"/>
        <v>0</v>
      </c>
      <c r="D204" s="15" t="s">
        <v>20</v>
      </c>
      <c r="E204">
        <f t="shared" si="7"/>
        <v>1</v>
      </c>
      <c r="F204" s="15">
        <v>0.49315068493150682</v>
      </c>
    </row>
    <row r="205" spans="1:6" x14ac:dyDescent="0.3">
      <c r="A205" s="15">
        <v>102531</v>
      </c>
      <c r="B205" s="15" t="s">
        <v>27</v>
      </c>
      <c r="C205">
        <f t="shared" si="6"/>
        <v>1</v>
      </c>
      <c r="D205" s="15" t="s">
        <v>112</v>
      </c>
      <c r="E205">
        <f t="shared" si="7"/>
        <v>3</v>
      </c>
      <c r="F205" s="15">
        <v>0.49315068493150682</v>
      </c>
    </row>
    <row r="206" spans="1:6" x14ac:dyDescent="0.3">
      <c r="A206" s="15">
        <v>72436</v>
      </c>
      <c r="B206" s="15" t="s">
        <v>27</v>
      </c>
      <c r="C206">
        <f t="shared" si="6"/>
        <v>1</v>
      </c>
      <c r="D206" s="15" t="s">
        <v>30</v>
      </c>
      <c r="E206">
        <f t="shared" si="7"/>
        <v>2</v>
      </c>
      <c r="F206" s="15">
        <v>1.5780821917808221</v>
      </c>
    </row>
    <row r="207" spans="1:6" x14ac:dyDescent="0.3">
      <c r="A207" s="15">
        <v>62740</v>
      </c>
      <c r="B207" s="15" t="s">
        <v>27</v>
      </c>
      <c r="C207">
        <f t="shared" si="6"/>
        <v>1</v>
      </c>
      <c r="D207" s="15" t="s">
        <v>30</v>
      </c>
      <c r="E207">
        <f t="shared" si="7"/>
        <v>2</v>
      </c>
      <c r="F207" s="15">
        <v>0.49315068493150682</v>
      </c>
    </row>
    <row r="208" spans="1:6" x14ac:dyDescent="0.3">
      <c r="A208" s="15">
        <v>71374</v>
      </c>
      <c r="B208" s="15" t="s">
        <v>27</v>
      </c>
      <c r="C208">
        <f t="shared" si="6"/>
        <v>1</v>
      </c>
      <c r="D208" s="15" t="s">
        <v>30</v>
      </c>
      <c r="E208">
        <f t="shared" si="7"/>
        <v>2</v>
      </c>
      <c r="F208" s="15">
        <v>0.49315068493150682</v>
      </c>
    </row>
    <row r="209" spans="1:6" x14ac:dyDescent="0.3">
      <c r="A209" s="15">
        <v>53525</v>
      </c>
      <c r="B209" s="15" t="s">
        <v>17</v>
      </c>
      <c r="C209">
        <f t="shared" si="6"/>
        <v>0</v>
      </c>
      <c r="D209" s="15" t="s">
        <v>20</v>
      </c>
      <c r="E209">
        <f t="shared" si="7"/>
        <v>1</v>
      </c>
      <c r="F209" s="15">
        <v>7.7178082191780826</v>
      </c>
    </row>
    <row r="210" spans="1:6" x14ac:dyDescent="0.3">
      <c r="A210" s="15">
        <v>57059</v>
      </c>
      <c r="B210" s="15" t="s">
        <v>17</v>
      </c>
      <c r="C210">
        <f t="shared" si="6"/>
        <v>0</v>
      </c>
      <c r="D210" s="15" t="s">
        <v>30</v>
      </c>
      <c r="E210">
        <f t="shared" si="7"/>
        <v>2</v>
      </c>
      <c r="F210" s="15">
        <v>0.49315068493150682</v>
      </c>
    </row>
    <row r="211" spans="1:6" x14ac:dyDescent="0.3">
      <c r="A211" s="15">
        <v>81281</v>
      </c>
      <c r="B211" s="15" t="s">
        <v>17</v>
      </c>
      <c r="C211">
        <f t="shared" si="6"/>
        <v>0</v>
      </c>
      <c r="D211" s="15" t="s">
        <v>20</v>
      </c>
      <c r="E211">
        <f t="shared" si="7"/>
        <v>1</v>
      </c>
      <c r="F211" s="15">
        <v>0.49315068493150682</v>
      </c>
    </row>
    <row r="212" spans="1:6" x14ac:dyDescent="0.3">
      <c r="A212" s="15">
        <v>77133</v>
      </c>
      <c r="B212" s="15" t="s">
        <v>27</v>
      </c>
      <c r="C212">
        <f t="shared" si="6"/>
        <v>1</v>
      </c>
      <c r="D212" s="15" t="s">
        <v>30</v>
      </c>
      <c r="E212">
        <f t="shared" si="7"/>
        <v>2</v>
      </c>
      <c r="F212" s="15">
        <v>0.49315068493150682</v>
      </c>
    </row>
    <row r="213" spans="1:6" x14ac:dyDescent="0.3">
      <c r="A213" s="15">
        <v>59761</v>
      </c>
      <c r="B213" s="15" t="s">
        <v>27</v>
      </c>
      <c r="C213">
        <f t="shared" si="6"/>
        <v>1</v>
      </c>
      <c r="D213" s="15" t="s">
        <v>30</v>
      </c>
      <c r="E213">
        <f t="shared" si="7"/>
        <v>2</v>
      </c>
      <c r="F213" s="15">
        <v>8.632876712328768</v>
      </c>
    </row>
    <row r="214" spans="1:6" x14ac:dyDescent="0.3">
      <c r="A214" s="15">
        <v>69063</v>
      </c>
      <c r="B214" s="15" t="s">
        <v>27</v>
      </c>
      <c r="C214">
        <f t="shared" si="6"/>
        <v>1</v>
      </c>
      <c r="D214" s="15" t="s">
        <v>20</v>
      </c>
      <c r="E214">
        <f t="shared" si="7"/>
        <v>1</v>
      </c>
      <c r="F214" s="15">
        <v>7.7369863013698632</v>
      </c>
    </row>
    <row r="215" spans="1:6" x14ac:dyDescent="0.3">
      <c r="A215" s="15">
        <v>89816</v>
      </c>
      <c r="B215" s="15" t="s">
        <v>27</v>
      </c>
      <c r="C215">
        <f t="shared" si="6"/>
        <v>1</v>
      </c>
      <c r="D215" s="15" t="s">
        <v>112</v>
      </c>
      <c r="E215">
        <f t="shared" si="7"/>
        <v>3</v>
      </c>
      <c r="F215" s="15">
        <v>2.7452054794520548</v>
      </c>
    </row>
    <row r="216" spans="1:6" x14ac:dyDescent="0.3">
      <c r="A216" s="15">
        <v>61703</v>
      </c>
      <c r="B216" s="15" t="s">
        <v>27</v>
      </c>
      <c r="C216">
        <f t="shared" si="6"/>
        <v>1</v>
      </c>
      <c r="D216" s="15" t="s">
        <v>30</v>
      </c>
      <c r="E216">
        <f t="shared" si="7"/>
        <v>2</v>
      </c>
      <c r="F216" s="15">
        <v>2.9095890410958898</v>
      </c>
    </row>
    <row r="217" spans="1:6" x14ac:dyDescent="0.3">
      <c r="A217" s="15">
        <v>66381</v>
      </c>
      <c r="B217" s="15" t="s">
        <v>27</v>
      </c>
      <c r="C217">
        <f t="shared" si="6"/>
        <v>1</v>
      </c>
      <c r="D217" s="15" t="s">
        <v>30</v>
      </c>
      <c r="E217">
        <f t="shared" si="7"/>
        <v>2</v>
      </c>
      <c r="F217" s="15">
        <v>0.49315068493150682</v>
      </c>
    </row>
    <row r="218" spans="1:6" x14ac:dyDescent="0.3">
      <c r="A218" s="15">
        <v>57499</v>
      </c>
      <c r="B218" s="15" t="s">
        <v>17</v>
      </c>
      <c r="C218">
        <f t="shared" si="6"/>
        <v>0</v>
      </c>
      <c r="D218" s="15" t="s">
        <v>20</v>
      </c>
      <c r="E218">
        <f t="shared" si="7"/>
        <v>1</v>
      </c>
      <c r="F218" s="15">
        <v>7.7342465753424658</v>
      </c>
    </row>
    <row r="219" spans="1:6" x14ac:dyDescent="0.3">
      <c r="A219" s="15">
        <v>56166</v>
      </c>
      <c r="B219" s="15" t="s">
        <v>17</v>
      </c>
      <c r="C219">
        <f t="shared" si="6"/>
        <v>0</v>
      </c>
      <c r="D219" s="15" t="s">
        <v>30</v>
      </c>
      <c r="E219">
        <f t="shared" si="7"/>
        <v>2</v>
      </c>
      <c r="F219" s="15">
        <v>0.49315068493150682</v>
      </c>
    </row>
    <row r="220" spans="1:6" x14ac:dyDescent="0.3">
      <c r="A220" s="15">
        <v>82595</v>
      </c>
      <c r="B220" s="15" t="s">
        <v>27</v>
      </c>
      <c r="C220">
        <f t="shared" si="6"/>
        <v>1</v>
      </c>
      <c r="D220" s="15" t="s">
        <v>30</v>
      </c>
      <c r="E220">
        <f t="shared" si="7"/>
        <v>2</v>
      </c>
      <c r="F220" s="15">
        <v>1.0602739726027399</v>
      </c>
    </row>
    <row r="221" spans="1:6" x14ac:dyDescent="0.3">
      <c r="A221" s="15">
        <v>62555</v>
      </c>
      <c r="B221" s="15" t="s">
        <v>27</v>
      </c>
      <c r="C221">
        <f t="shared" si="6"/>
        <v>1</v>
      </c>
      <c r="D221" s="15" t="s">
        <v>20</v>
      </c>
      <c r="E221">
        <f t="shared" si="7"/>
        <v>1</v>
      </c>
      <c r="F221" s="15">
        <v>0.49315068493150682</v>
      </c>
    </row>
    <row r="222" spans="1:6" x14ac:dyDescent="0.3">
      <c r="A222" s="15">
        <v>65121</v>
      </c>
      <c r="B222" s="15" t="s">
        <v>17</v>
      </c>
      <c r="C222">
        <f t="shared" si="6"/>
        <v>0</v>
      </c>
      <c r="D222" s="15" t="s">
        <v>30</v>
      </c>
      <c r="E222">
        <f t="shared" si="7"/>
        <v>2</v>
      </c>
      <c r="F222" s="15">
        <v>0.49315068493150682</v>
      </c>
    </row>
    <row r="223" spans="1:6" x14ac:dyDescent="0.3">
      <c r="A223" s="15">
        <v>73622</v>
      </c>
      <c r="B223" s="15" t="s">
        <v>27</v>
      </c>
      <c r="C223">
        <f t="shared" si="6"/>
        <v>1</v>
      </c>
      <c r="D223" s="15" t="s">
        <v>30</v>
      </c>
      <c r="E223">
        <f t="shared" si="7"/>
        <v>2</v>
      </c>
      <c r="F223" s="15">
        <v>0.49315068493150682</v>
      </c>
    </row>
    <row r="224" spans="1:6" x14ac:dyDescent="0.3">
      <c r="A224" s="15">
        <v>107609</v>
      </c>
      <c r="B224" s="15" t="s">
        <v>17</v>
      </c>
      <c r="C224">
        <f t="shared" si="6"/>
        <v>0</v>
      </c>
      <c r="D224" s="15" t="s">
        <v>93</v>
      </c>
      <c r="E224">
        <f t="shared" si="7"/>
        <v>4</v>
      </c>
      <c r="F224" s="15">
        <v>0.49315068493150682</v>
      </c>
    </row>
    <row r="225" spans="1:6" x14ac:dyDescent="0.3">
      <c r="A225" s="15">
        <v>55096</v>
      </c>
      <c r="B225" s="15" t="s">
        <v>17</v>
      </c>
      <c r="C225">
        <f t="shared" si="6"/>
        <v>0</v>
      </c>
      <c r="D225" s="15" t="s">
        <v>20</v>
      </c>
      <c r="E225">
        <f t="shared" si="7"/>
        <v>1</v>
      </c>
      <c r="F225" s="15">
        <v>0.49315068493150682</v>
      </c>
    </row>
    <row r="226" spans="1:6" x14ac:dyDescent="0.3">
      <c r="A226" s="15">
        <v>69793</v>
      </c>
      <c r="B226" s="15" t="s">
        <v>17</v>
      </c>
      <c r="C226">
        <f t="shared" si="6"/>
        <v>0</v>
      </c>
      <c r="D226" s="15" t="s">
        <v>30</v>
      </c>
      <c r="E226">
        <f t="shared" si="7"/>
        <v>2</v>
      </c>
      <c r="F226" s="15">
        <v>0.49315068493150682</v>
      </c>
    </row>
    <row r="227" spans="1:6" x14ac:dyDescent="0.3">
      <c r="A227" s="15">
        <v>102129</v>
      </c>
      <c r="B227" s="15" t="s">
        <v>17</v>
      </c>
      <c r="C227">
        <f t="shared" si="6"/>
        <v>0</v>
      </c>
      <c r="D227" s="15" t="s">
        <v>30</v>
      </c>
      <c r="E227">
        <f t="shared" si="7"/>
        <v>2</v>
      </c>
      <c r="F227" s="15">
        <v>4.4712328767123291</v>
      </c>
    </row>
    <row r="228" spans="1:6" x14ac:dyDescent="0.3">
      <c r="A228" s="15">
        <v>67886</v>
      </c>
      <c r="B228" s="15" t="s">
        <v>27</v>
      </c>
      <c r="C228">
        <f t="shared" si="6"/>
        <v>1</v>
      </c>
      <c r="D228" s="15" t="s">
        <v>112</v>
      </c>
      <c r="E228">
        <f t="shared" si="7"/>
        <v>3</v>
      </c>
      <c r="F228" s="15">
        <v>7.9890410958904106</v>
      </c>
    </row>
    <row r="229" spans="1:6" x14ac:dyDescent="0.3">
      <c r="A229" s="15">
        <v>71889</v>
      </c>
      <c r="B229" s="15" t="s">
        <v>17</v>
      </c>
      <c r="C229">
        <f t="shared" si="6"/>
        <v>0</v>
      </c>
      <c r="D229" s="15" t="s">
        <v>30</v>
      </c>
      <c r="E229">
        <f t="shared" si="7"/>
        <v>2</v>
      </c>
      <c r="F229" s="15">
        <v>0.49315068493150682</v>
      </c>
    </row>
    <row r="230" spans="1:6" x14ac:dyDescent="0.3">
      <c r="A230" s="15">
        <v>62790</v>
      </c>
      <c r="B230" s="15" t="s">
        <v>17</v>
      </c>
      <c r="C230">
        <f t="shared" si="6"/>
        <v>0</v>
      </c>
      <c r="D230" s="15" t="s">
        <v>20</v>
      </c>
      <c r="E230">
        <f t="shared" si="7"/>
        <v>1</v>
      </c>
      <c r="F230" s="15">
        <v>0.49315068493150682</v>
      </c>
    </row>
    <row r="231" spans="1:6" x14ac:dyDescent="0.3">
      <c r="A231" s="15">
        <v>58167</v>
      </c>
      <c r="B231" s="15" t="s">
        <v>17</v>
      </c>
      <c r="C231">
        <f t="shared" si="6"/>
        <v>0</v>
      </c>
      <c r="D231" s="15" t="s">
        <v>30</v>
      </c>
      <c r="E231">
        <f t="shared" si="7"/>
        <v>2</v>
      </c>
      <c r="F231" s="15">
        <v>7.9945205479452053</v>
      </c>
    </row>
    <row r="232" spans="1:6" x14ac:dyDescent="0.3">
      <c r="A232" s="15">
        <v>59713</v>
      </c>
      <c r="B232" s="15" t="s">
        <v>17</v>
      </c>
      <c r="C232">
        <f t="shared" si="6"/>
        <v>0</v>
      </c>
      <c r="D232" s="15" t="s">
        <v>20</v>
      </c>
      <c r="E232">
        <f t="shared" si="7"/>
        <v>1</v>
      </c>
      <c r="F232" s="15">
        <v>1.6219178082191781</v>
      </c>
    </row>
    <row r="233" spans="1:6" x14ac:dyDescent="0.3">
      <c r="A233" s="15">
        <v>63660</v>
      </c>
      <c r="B233" s="15" t="s">
        <v>27</v>
      </c>
      <c r="C233">
        <f t="shared" si="6"/>
        <v>1</v>
      </c>
      <c r="D233" s="15" t="s">
        <v>30</v>
      </c>
      <c r="E233">
        <f t="shared" si="7"/>
        <v>2</v>
      </c>
      <c r="F233" s="15">
        <v>1.9506849315068491</v>
      </c>
    </row>
    <row r="234" spans="1:6" x14ac:dyDescent="0.3">
      <c r="A234" s="15">
        <v>55713</v>
      </c>
      <c r="B234" s="15" t="s">
        <v>17</v>
      </c>
      <c r="C234">
        <f t="shared" si="6"/>
        <v>0</v>
      </c>
      <c r="D234" s="15" t="s">
        <v>30</v>
      </c>
      <c r="E234">
        <f t="shared" si="7"/>
        <v>2</v>
      </c>
      <c r="F234" s="15">
        <v>0.49315068493150682</v>
      </c>
    </row>
    <row r="235" spans="1:6" x14ac:dyDescent="0.3">
      <c r="A235" s="15">
        <v>78805</v>
      </c>
      <c r="B235" s="15" t="s">
        <v>27</v>
      </c>
      <c r="C235">
        <f t="shared" si="6"/>
        <v>1</v>
      </c>
      <c r="D235" s="15" t="s">
        <v>30</v>
      </c>
      <c r="E235">
        <f t="shared" si="7"/>
        <v>2</v>
      </c>
      <c r="F235" s="15">
        <v>0.49315068493150682</v>
      </c>
    </row>
    <row r="236" spans="1:6" x14ac:dyDescent="0.3">
      <c r="A236" s="15">
        <v>60912</v>
      </c>
      <c r="B236" s="15" t="s">
        <v>17</v>
      </c>
      <c r="C236">
        <f t="shared" si="6"/>
        <v>0</v>
      </c>
      <c r="D236" s="15" t="s">
        <v>30</v>
      </c>
      <c r="E236">
        <f t="shared" si="7"/>
        <v>2</v>
      </c>
      <c r="F236" s="15">
        <v>0.49315068493150682</v>
      </c>
    </row>
    <row r="237" spans="1:6" x14ac:dyDescent="0.3">
      <c r="A237" s="15">
        <v>66240</v>
      </c>
      <c r="B237" s="15" t="s">
        <v>27</v>
      </c>
      <c r="C237">
        <f t="shared" si="6"/>
        <v>1</v>
      </c>
      <c r="D237" s="15" t="s">
        <v>20</v>
      </c>
      <c r="E237">
        <f t="shared" si="7"/>
        <v>1</v>
      </c>
      <c r="F237" s="15">
        <v>0.49315068493150682</v>
      </c>
    </row>
    <row r="238" spans="1:6" x14ac:dyDescent="0.3">
      <c r="A238" s="15">
        <v>60280</v>
      </c>
      <c r="B238" s="15" t="s">
        <v>27</v>
      </c>
      <c r="C238">
        <f t="shared" si="6"/>
        <v>1</v>
      </c>
      <c r="D238" s="15" t="s">
        <v>20</v>
      </c>
      <c r="E238">
        <f t="shared" si="7"/>
        <v>1</v>
      </c>
      <c r="F238" s="15">
        <v>1.252054794520548</v>
      </c>
    </row>
    <row r="239" spans="1:6" x14ac:dyDescent="0.3">
      <c r="A239" s="15">
        <v>64287</v>
      </c>
      <c r="B239" s="15" t="s">
        <v>27</v>
      </c>
      <c r="C239">
        <f t="shared" si="6"/>
        <v>1</v>
      </c>
      <c r="D239" s="15" t="s">
        <v>30</v>
      </c>
      <c r="E239">
        <f t="shared" si="7"/>
        <v>2</v>
      </c>
      <c r="F239" s="15">
        <v>1.197260273972603</v>
      </c>
    </row>
    <row r="240" spans="1:6" x14ac:dyDescent="0.3">
      <c r="A240" s="15">
        <v>66781</v>
      </c>
      <c r="B240" s="15" t="s">
        <v>27</v>
      </c>
      <c r="C240">
        <f t="shared" si="6"/>
        <v>1</v>
      </c>
      <c r="D240" s="15" t="s">
        <v>112</v>
      </c>
      <c r="E240">
        <f t="shared" si="7"/>
        <v>3</v>
      </c>
      <c r="F240" s="15">
        <v>0.49315068493150682</v>
      </c>
    </row>
    <row r="241" spans="1:6" x14ac:dyDescent="0.3">
      <c r="A241" s="15">
        <v>84094</v>
      </c>
      <c r="B241" s="15" t="s">
        <v>27</v>
      </c>
      <c r="C241">
        <f t="shared" si="6"/>
        <v>1</v>
      </c>
      <c r="D241" s="15" t="s">
        <v>30</v>
      </c>
      <c r="E241">
        <f t="shared" si="7"/>
        <v>2</v>
      </c>
      <c r="F241" s="15">
        <v>0.49315068493150682</v>
      </c>
    </row>
    <row r="242" spans="1:6" x14ac:dyDescent="0.3">
      <c r="A242" s="15">
        <v>66981</v>
      </c>
      <c r="B242" s="15" t="s">
        <v>17</v>
      </c>
      <c r="C242">
        <f t="shared" si="6"/>
        <v>0</v>
      </c>
      <c r="D242" s="15" t="s">
        <v>30</v>
      </c>
      <c r="E242">
        <f t="shared" si="7"/>
        <v>2</v>
      </c>
      <c r="F242" s="15">
        <v>0.49315068493150682</v>
      </c>
    </row>
    <row r="243" spans="1:6" x14ac:dyDescent="0.3">
      <c r="A243" s="15">
        <v>78546</v>
      </c>
      <c r="B243" s="15" t="s">
        <v>17</v>
      </c>
      <c r="C243">
        <f t="shared" si="6"/>
        <v>0</v>
      </c>
      <c r="D243" s="15" t="s">
        <v>30</v>
      </c>
      <c r="E243">
        <f t="shared" si="7"/>
        <v>2</v>
      </c>
      <c r="F243" s="15">
        <v>0.49315068493150682</v>
      </c>
    </row>
    <row r="244" spans="1:6" x14ac:dyDescent="0.3">
      <c r="A244" s="15">
        <v>64019</v>
      </c>
      <c r="B244" s="15" t="s">
        <v>27</v>
      </c>
      <c r="C244">
        <f t="shared" si="6"/>
        <v>1</v>
      </c>
      <c r="D244" s="15" t="s">
        <v>30</v>
      </c>
      <c r="E244">
        <f t="shared" si="7"/>
        <v>2</v>
      </c>
      <c r="F244" s="15">
        <v>0.49315068493150682</v>
      </c>
    </row>
    <row r="245" spans="1:6" x14ac:dyDescent="0.3">
      <c r="A245" s="15">
        <v>80980</v>
      </c>
      <c r="B245" s="15" t="s">
        <v>27</v>
      </c>
      <c r="C245">
        <f t="shared" si="6"/>
        <v>1</v>
      </c>
      <c r="D245" s="15" t="s">
        <v>30</v>
      </c>
      <c r="E245">
        <f t="shared" si="7"/>
        <v>2</v>
      </c>
      <c r="F245" s="15">
        <v>0.49315068493150682</v>
      </c>
    </row>
    <row r="246" spans="1:6" x14ac:dyDescent="0.3">
      <c r="A246" s="15">
        <v>58242</v>
      </c>
      <c r="B246" s="15" t="s">
        <v>17</v>
      </c>
      <c r="C246">
        <f t="shared" si="6"/>
        <v>0</v>
      </c>
      <c r="D246" s="15" t="s">
        <v>30</v>
      </c>
      <c r="E246">
        <f t="shared" si="7"/>
        <v>2</v>
      </c>
      <c r="F246" s="15">
        <v>3.1232876712328772</v>
      </c>
    </row>
    <row r="247" spans="1:6" x14ac:dyDescent="0.3">
      <c r="A247" s="15">
        <v>95432</v>
      </c>
      <c r="B247" s="15" t="s">
        <v>17</v>
      </c>
      <c r="C247">
        <f t="shared" si="6"/>
        <v>0</v>
      </c>
      <c r="D247" s="15" t="s">
        <v>112</v>
      </c>
      <c r="E247">
        <f t="shared" si="7"/>
        <v>3</v>
      </c>
      <c r="F247" s="15">
        <v>7.2849315068493148</v>
      </c>
    </row>
    <row r="248" spans="1:6" x14ac:dyDescent="0.3">
      <c r="A248" s="15">
        <v>72036</v>
      </c>
      <c r="B248" s="15" t="s">
        <v>27</v>
      </c>
      <c r="C248">
        <f t="shared" si="6"/>
        <v>1</v>
      </c>
      <c r="D248" s="15" t="s">
        <v>30</v>
      </c>
      <c r="E248">
        <f t="shared" si="7"/>
        <v>2</v>
      </c>
      <c r="F248" s="15">
        <v>0.49315068493150682</v>
      </c>
    </row>
    <row r="249" spans="1:6" x14ac:dyDescent="0.3">
      <c r="A249" s="15">
        <v>69216</v>
      </c>
      <c r="B249" s="15" t="s">
        <v>17</v>
      </c>
      <c r="C249">
        <f t="shared" si="6"/>
        <v>0</v>
      </c>
      <c r="D249" s="15" t="s">
        <v>30</v>
      </c>
      <c r="E249">
        <f t="shared" si="7"/>
        <v>2</v>
      </c>
      <c r="F249" s="15">
        <v>0.49041095890410957</v>
      </c>
    </row>
    <row r="250" spans="1:6" x14ac:dyDescent="0.3">
      <c r="A250" s="15">
        <v>63344</v>
      </c>
      <c r="B250" s="15" t="s">
        <v>27</v>
      </c>
      <c r="C250">
        <f t="shared" si="6"/>
        <v>1</v>
      </c>
      <c r="D250" s="15" t="s">
        <v>30</v>
      </c>
      <c r="E250">
        <f t="shared" si="7"/>
        <v>2</v>
      </c>
      <c r="F250" s="15">
        <v>3.0191780821917811</v>
      </c>
    </row>
    <row r="251" spans="1:6" x14ac:dyDescent="0.3">
      <c r="A251" s="15">
        <v>63342</v>
      </c>
      <c r="B251" s="15" t="s">
        <v>27</v>
      </c>
      <c r="C251">
        <f t="shared" si="6"/>
        <v>1</v>
      </c>
      <c r="D251" s="15" t="s">
        <v>30</v>
      </c>
      <c r="E251">
        <f t="shared" si="7"/>
        <v>2</v>
      </c>
      <c r="F251" s="15">
        <v>0.49315068493150682</v>
      </c>
    </row>
    <row r="252" spans="1:6" x14ac:dyDescent="0.3">
      <c r="A252" s="15">
        <v>67818</v>
      </c>
      <c r="B252" s="15" t="s">
        <v>27</v>
      </c>
      <c r="C252">
        <f t="shared" si="6"/>
        <v>1</v>
      </c>
      <c r="D252" s="15" t="s">
        <v>30</v>
      </c>
      <c r="E252">
        <f t="shared" si="7"/>
        <v>2</v>
      </c>
      <c r="F252" s="15">
        <v>0.49315068493150682</v>
      </c>
    </row>
    <row r="253" spans="1:6" x14ac:dyDescent="0.3">
      <c r="A253" s="15">
        <v>74416</v>
      </c>
      <c r="B253" s="15" t="s">
        <v>27</v>
      </c>
      <c r="C253">
        <f t="shared" si="6"/>
        <v>1</v>
      </c>
      <c r="D253" s="15" t="s">
        <v>30</v>
      </c>
      <c r="E253">
        <f t="shared" si="7"/>
        <v>2</v>
      </c>
      <c r="F253" s="15">
        <v>0.49315068493150682</v>
      </c>
    </row>
    <row r="254" spans="1:6" x14ac:dyDescent="0.3">
      <c r="A254" s="15">
        <v>59823</v>
      </c>
      <c r="B254" s="15" t="s">
        <v>17</v>
      </c>
      <c r="C254">
        <f t="shared" si="6"/>
        <v>0</v>
      </c>
      <c r="D254" s="15" t="s">
        <v>20</v>
      </c>
      <c r="E254">
        <f t="shared" si="7"/>
        <v>1</v>
      </c>
      <c r="F254" s="15">
        <v>6.2630136986301368</v>
      </c>
    </row>
    <row r="255" spans="1:6" x14ac:dyDescent="0.3">
      <c r="A255" s="15">
        <v>77963</v>
      </c>
      <c r="B255" s="15" t="s">
        <v>27</v>
      </c>
      <c r="C255">
        <f t="shared" si="6"/>
        <v>1</v>
      </c>
      <c r="D255" s="15" t="s">
        <v>30</v>
      </c>
      <c r="E255">
        <f t="shared" si="7"/>
        <v>2</v>
      </c>
      <c r="F255" s="15">
        <v>1.504109589041096</v>
      </c>
    </row>
    <row r="256" spans="1:6" x14ac:dyDescent="0.3">
      <c r="A256" s="15">
        <v>58852</v>
      </c>
      <c r="B256" s="15" t="s">
        <v>27</v>
      </c>
      <c r="C256">
        <f t="shared" si="6"/>
        <v>1</v>
      </c>
      <c r="D256" s="15" t="s">
        <v>20</v>
      </c>
      <c r="E256">
        <f t="shared" si="7"/>
        <v>1</v>
      </c>
      <c r="F256" s="15">
        <v>3.6931506849315072</v>
      </c>
    </row>
    <row r="257" spans="1:6" x14ac:dyDescent="0.3">
      <c r="A257" s="15">
        <v>56099</v>
      </c>
      <c r="B257" s="15" t="s">
        <v>17</v>
      </c>
      <c r="C257">
        <f t="shared" si="6"/>
        <v>0</v>
      </c>
      <c r="D257" s="15" t="s">
        <v>30</v>
      </c>
      <c r="E257">
        <f t="shared" si="7"/>
        <v>2</v>
      </c>
      <c r="F257" s="15">
        <v>4.7808219178082192</v>
      </c>
    </row>
    <row r="258" spans="1:6" x14ac:dyDescent="0.3">
      <c r="A258" s="15">
        <v>80089</v>
      </c>
      <c r="B258" s="15" t="s">
        <v>27</v>
      </c>
      <c r="C258">
        <f t="shared" si="6"/>
        <v>1</v>
      </c>
      <c r="D258" s="15" t="s">
        <v>30</v>
      </c>
      <c r="E258">
        <f t="shared" si="7"/>
        <v>2</v>
      </c>
      <c r="F258" s="15">
        <v>0.49315068493150682</v>
      </c>
    </row>
    <row r="259" spans="1:6" x14ac:dyDescent="0.3">
      <c r="A259" s="15">
        <v>54065</v>
      </c>
      <c r="B259" s="15" t="s">
        <v>17</v>
      </c>
      <c r="C259">
        <f t="shared" ref="C259:C322" si="8">IF(B259="Male", 1, 0)</f>
        <v>0</v>
      </c>
      <c r="D259" s="15" t="s">
        <v>30</v>
      </c>
      <c r="E259">
        <f t="shared" ref="E259:E322" si="9">IF(D259="High School",1,IF(D259="Bachelor",2,IF(D259="Master",3,IF(D259="PhD",4,""))))</f>
        <v>2</v>
      </c>
      <c r="F259" s="15">
        <v>3.3835616438356171</v>
      </c>
    </row>
    <row r="260" spans="1:6" x14ac:dyDescent="0.3">
      <c r="A260" s="15">
        <v>65623</v>
      </c>
      <c r="B260" s="15" t="s">
        <v>17</v>
      </c>
      <c r="C260">
        <f t="shared" si="8"/>
        <v>0</v>
      </c>
      <c r="D260" s="15" t="s">
        <v>30</v>
      </c>
      <c r="E260">
        <f t="shared" si="9"/>
        <v>2</v>
      </c>
      <c r="F260" s="15">
        <v>2.6109589041095891</v>
      </c>
    </row>
    <row r="261" spans="1:6" x14ac:dyDescent="0.3">
      <c r="A261" s="15">
        <v>65571</v>
      </c>
      <c r="B261" s="15" t="s">
        <v>27</v>
      </c>
      <c r="C261">
        <f t="shared" si="8"/>
        <v>1</v>
      </c>
      <c r="D261" s="15" t="s">
        <v>30</v>
      </c>
      <c r="E261">
        <f t="shared" si="9"/>
        <v>2</v>
      </c>
      <c r="F261" s="15">
        <v>0.49315068493150682</v>
      </c>
    </row>
    <row r="262" spans="1:6" x14ac:dyDescent="0.3">
      <c r="A262" s="15">
        <v>94650</v>
      </c>
      <c r="B262" s="15" t="s">
        <v>17</v>
      </c>
      <c r="C262">
        <f t="shared" si="8"/>
        <v>0</v>
      </c>
      <c r="D262" s="15" t="s">
        <v>93</v>
      </c>
      <c r="E262">
        <f t="shared" si="9"/>
        <v>4</v>
      </c>
      <c r="F262" s="15">
        <v>0.49315068493150682</v>
      </c>
    </row>
    <row r="263" spans="1:6" x14ac:dyDescent="0.3">
      <c r="A263" s="15">
        <v>87620</v>
      </c>
      <c r="B263" s="15" t="s">
        <v>17</v>
      </c>
      <c r="C263">
        <f t="shared" si="8"/>
        <v>0</v>
      </c>
      <c r="D263" s="15" t="s">
        <v>30</v>
      </c>
      <c r="E263">
        <f t="shared" si="9"/>
        <v>2</v>
      </c>
      <c r="F263" s="15">
        <v>0.49315068493150682</v>
      </c>
    </row>
    <row r="264" spans="1:6" x14ac:dyDescent="0.3">
      <c r="A264" s="15">
        <v>84470</v>
      </c>
      <c r="B264" s="15" t="s">
        <v>17</v>
      </c>
      <c r="C264">
        <f t="shared" si="8"/>
        <v>0</v>
      </c>
      <c r="D264" s="15" t="s">
        <v>112</v>
      </c>
      <c r="E264">
        <f t="shared" si="9"/>
        <v>3</v>
      </c>
      <c r="F264" s="15">
        <v>1.252054794520548</v>
      </c>
    </row>
    <row r="265" spans="1:6" x14ac:dyDescent="0.3">
      <c r="A265" s="15">
        <v>74777</v>
      </c>
      <c r="B265" s="15" t="s">
        <v>27</v>
      </c>
      <c r="C265">
        <f t="shared" si="8"/>
        <v>1</v>
      </c>
      <c r="D265" s="15" t="s">
        <v>30</v>
      </c>
      <c r="E265">
        <f t="shared" si="9"/>
        <v>2</v>
      </c>
      <c r="F265" s="15">
        <v>2.386301369863014</v>
      </c>
    </row>
    <row r="266" spans="1:6" x14ac:dyDescent="0.3">
      <c r="A266" s="15">
        <v>55889</v>
      </c>
      <c r="B266" s="15" t="s">
        <v>17</v>
      </c>
      <c r="C266">
        <f t="shared" si="8"/>
        <v>0</v>
      </c>
      <c r="D266" s="15" t="s">
        <v>30</v>
      </c>
      <c r="E266">
        <f t="shared" si="9"/>
        <v>2</v>
      </c>
      <c r="F266" s="15">
        <v>0.49315068493150682</v>
      </c>
    </row>
    <row r="267" spans="1:6" x14ac:dyDescent="0.3">
      <c r="A267" s="15">
        <v>67280</v>
      </c>
      <c r="B267" s="15" t="s">
        <v>27</v>
      </c>
      <c r="C267">
        <f t="shared" si="8"/>
        <v>1</v>
      </c>
      <c r="D267" s="15" t="s">
        <v>30</v>
      </c>
      <c r="E267">
        <f t="shared" si="9"/>
        <v>2</v>
      </c>
      <c r="F267" s="15">
        <v>0.49315068493150682</v>
      </c>
    </row>
    <row r="268" spans="1:6" x14ac:dyDescent="0.3">
      <c r="A268" s="15">
        <v>87940</v>
      </c>
      <c r="B268" s="15" t="s">
        <v>17</v>
      </c>
      <c r="C268">
        <f t="shared" si="8"/>
        <v>0</v>
      </c>
      <c r="D268" s="15" t="s">
        <v>112</v>
      </c>
      <c r="E268">
        <f t="shared" si="9"/>
        <v>3</v>
      </c>
      <c r="F268" s="15">
        <v>0.49041095890410957</v>
      </c>
    </row>
    <row r="269" spans="1:6" x14ac:dyDescent="0.3">
      <c r="A269" s="15">
        <v>58676</v>
      </c>
      <c r="B269" s="15" t="s">
        <v>17</v>
      </c>
      <c r="C269">
        <f t="shared" si="8"/>
        <v>0</v>
      </c>
      <c r="D269" s="15" t="s">
        <v>20</v>
      </c>
      <c r="E269">
        <f t="shared" si="9"/>
        <v>1</v>
      </c>
      <c r="F269" s="15">
        <v>0.49315068493150682</v>
      </c>
    </row>
    <row r="270" spans="1:6" x14ac:dyDescent="0.3">
      <c r="A270" s="15">
        <v>66001</v>
      </c>
      <c r="B270" s="15" t="s">
        <v>27</v>
      </c>
      <c r="C270">
        <f t="shared" si="8"/>
        <v>1</v>
      </c>
      <c r="D270" s="15" t="s">
        <v>20</v>
      </c>
      <c r="E270">
        <f t="shared" si="9"/>
        <v>1</v>
      </c>
      <c r="F270" s="15">
        <v>1.210958904109589</v>
      </c>
    </row>
    <row r="271" spans="1:6" x14ac:dyDescent="0.3">
      <c r="A271" s="15">
        <v>61836</v>
      </c>
      <c r="B271" s="15" t="s">
        <v>27</v>
      </c>
      <c r="C271">
        <f t="shared" si="8"/>
        <v>1</v>
      </c>
      <c r="D271" s="15" t="s">
        <v>20</v>
      </c>
      <c r="E271">
        <f t="shared" si="9"/>
        <v>1</v>
      </c>
      <c r="F271" s="15">
        <v>3.794520547945206</v>
      </c>
    </row>
    <row r="272" spans="1:6" x14ac:dyDescent="0.3">
      <c r="A272" s="15">
        <v>72320</v>
      </c>
      <c r="B272" s="15" t="s">
        <v>17</v>
      </c>
      <c r="C272">
        <f t="shared" si="8"/>
        <v>0</v>
      </c>
      <c r="D272" s="15" t="s">
        <v>30</v>
      </c>
      <c r="E272">
        <f t="shared" si="9"/>
        <v>2</v>
      </c>
      <c r="F272" s="15">
        <v>0.49315068493150682</v>
      </c>
    </row>
    <row r="273" spans="1:6" x14ac:dyDescent="0.3">
      <c r="A273" s="15">
        <v>67779</v>
      </c>
      <c r="B273" s="15" t="s">
        <v>17</v>
      </c>
      <c r="C273">
        <f t="shared" si="8"/>
        <v>0</v>
      </c>
      <c r="D273" s="15" t="s">
        <v>30</v>
      </c>
      <c r="E273">
        <f t="shared" si="9"/>
        <v>2</v>
      </c>
      <c r="F273" s="15">
        <v>2.7972602739726029</v>
      </c>
    </row>
    <row r="274" spans="1:6" x14ac:dyDescent="0.3">
      <c r="A274" s="15">
        <v>76637</v>
      </c>
      <c r="B274" s="15" t="s">
        <v>17</v>
      </c>
      <c r="C274">
        <f t="shared" si="8"/>
        <v>0</v>
      </c>
      <c r="D274" s="15" t="s">
        <v>30</v>
      </c>
      <c r="E274">
        <f t="shared" si="9"/>
        <v>2</v>
      </c>
      <c r="F274" s="15">
        <v>0.49315068493150682</v>
      </c>
    </row>
    <row r="275" spans="1:6" x14ac:dyDescent="0.3">
      <c r="A275" s="15">
        <v>58495</v>
      </c>
      <c r="B275" s="15" t="s">
        <v>27</v>
      </c>
      <c r="C275">
        <f t="shared" si="8"/>
        <v>1</v>
      </c>
      <c r="D275" s="15" t="s">
        <v>30</v>
      </c>
      <c r="E275">
        <f t="shared" si="9"/>
        <v>2</v>
      </c>
      <c r="F275" s="15">
        <v>0.49315068493150682</v>
      </c>
    </row>
    <row r="276" spans="1:6" x14ac:dyDescent="0.3">
      <c r="A276" s="15">
        <v>62938</v>
      </c>
      <c r="B276" s="15" t="s">
        <v>17</v>
      </c>
      <c r="C276">
        <f t="shared" si="8"/>
        <v>0</v>
      </c>
      <c r="D276" s="15" t="s">
        <v>30</v>
      </c>
      <c r="E276">
        <f t="shared" si="9"/>
        <v>2</v>
      </c>
      <c r="F276" s="15">
        <v>0.49315068493150682</v>
      </c>
    </row>
    <row r="277" spans="1:6" x14ac:dyDescent="0.3">
      <c r="A277" s="15">
        <v>67455</v>
      </c>
      <c r="B277" s="15" t="s">
        <v>27</v>
      </c>
      <c r="C277">
        <f t="shared" si="8"/>
        <v>1</v>
      </c>
      <c r="D277" s="15" t="s">
        <v>20</v>
      </c>
      <c r="E277">
        <f t="shared" si="9"/>
        <v>1</v>
      </c>
      <c r="F277" s="15">
        <v>1.183561643835616</v>
      </c>
    </row>
    <row r="278" spans="1:6" x14ac:dyDescent="0.3">
      <c r="A278" s="15">
        <v>57243</v>
      </c>
      <c r="B278" s="15" t="s">
        <v>17</v>
      </c>
      <c r="C278">
        <f t="shared" si="8"/>
        <v>0</v>
      </c>
      <c r="D278" s="15" t="s">
        <v>30</v>
      </c>
      <c r="E278">
        <f t="shared" si="9"/>
        <v>2</v>
      </c>
      <c r="F278" s="15">
        <v>0.49041095890410957</v>
      </c>
    </row>
    <row r="279" spans="1:6" x14ac:dyDescent="0.3">
      <c r="A279" s="15">
        <v>77791</v>
      </c>
      <c r="B279" s="15" t="s">
        <v>27</v>
      </c>
      <c r="C279">
        <f t="shared" si="8"/>
        <v>1</v>
      </c>
      <c r="D279" s="15" t="s">
        <v>30</v>
      </c>
      <c r="E279">
        <f t="shared" si="9"/>
        <v>2</v>
      </c>
      <c r="F279" s="15">
        <v>0.49315068493150682</v>
      </c>
    </row>
    <row r="280" spans="1:6" x14ac:dyDescent="0.3">
      <c r="A280" s="15">
        <v>94659</v>
      </c>
      <c r="B280" s="15" t="s">
        <v>27</v>
      </c>
      <c r="C280">
        <f t="shared" si="8"/>
        <v>1</v>
      </c>
      <c r="D280" s="15" t="s">
        <v>112</v>
      </c>
      <c r="E280">
        <f t="shared" si="9"/>
        <v>3</v>
      </c>
      <c r="F280" s="15">
        <v>0.49315068493150682</v>
      </c>
    </row>
    <row r="281" spans="1:6" x14ac:dyDescent="0.3">
      <c r="A281" s="15">
        <v>70991</v>
      </c>
      <c r="B281" s="15" t="s">
        <v>27</v>
      </c>
      <c r="C281">
        <f t="shared" si="8"/>
        <v>1</v>
      </c>
      <c r="D281" s="15" t="s">
        <v>30</v>
      </c>
      <c r="E281">
        <f t="shared" si="9"/>
        <v>2</v>
      </c>
      <c r="F281" s="15">
        <v>1.8410958904109589</v>
      </c>
    </row>
    <row r="282" spans="1:6" x14ac:dyDescent="0.3">
      <c r="A282" s="15">
        <v>67107</v>
      </c>
      <c r="B282" s="15" t="s">
        <v>17</v>
      </c>
      <c r="C282">
        <f t="shared" si="8"/>
        <v>0</v>
      </c>
      <c r="D282" s="15" t="s">
        <v>30</v>
      </c>
      <c r="E282">
        <f t="shared" si="9"/>
        <v>2</v>
      </c>
      <c r="F282" s="15">
        <v>0.49315068493150682</v>
      </c>
    </row>
    <row r="283" spans="1:6" x14ac:dyDescent="0.3">
      <c r="A283" s="15">
        <v>67154</v>
      </c>
      <c r="B283" s="15" t="s">
        <v>27</v>
      </c>
      <c r="C283">
        <f t="shared" si="8"/>
        <v>1</v>
      </c>
      <c r="D283" s="15" t="s">
        <v>30</v>
      </c>
      <c r="E283">
        <f t="shared" si="9"/>
        <v>2</v>
      </c>
      <c r="F283" s="15">
        <v>0.49315068493150682</v>
      </c>
    </row>
    <row r="284" spans="1:6" x14ac:dyDescent="0.3">
      <c r="A284" s="15">
        <v>57452</v>
      </c>
      <c r="B284" s="15" t="s">
        <v>17</v>
      </c>
      <c r="C284">
        <f t="shared" si="8"/>
        <v>0</v>
      </c>
      <c r="D284" s="15" t="s">
        <v>30</v>
      </c>
      <c r="E284">
        <f t="shared" si="9"/>
        <v>2</v>
      </c>
      <c r="F284" s="15">
        <v>0.49315068493150682</v>
      </c>
    </row>
    <row r="285" spans="1:6" x14ac:dyDescent="0.3">
      <c r="A285" s="15">
        <v>61258</v>
      </c>
      <c r="B285" s="15" t="s">
        <v>27</v>
      </c>
      <c r="C285">
        <f t="shared" si="8"/>
        <v>1</v>
      </c>
      <c r="D285" s="15" t="s">
        <v>20</v>
      </c>
      <c r="E285">
        <f t="shared" si="9"/>
        <v>1</v>
      </c>
      <c r="F285" s="15">
        <v>5.5698630136986296</v>
      </c>
    </row>
    <row r="286" spans="1:6" x14ac:dyDescent="0.3">
      <c r="A286" s="15">
        <v>65222</v>
      </c>
      <c r="B286" s="15" t="s">
        <v>17</v>
      </c>
      <c r="C286">
        <f t="shared" si="8"/>
        <v>0</v>
      </c>
      <c r="D286" s="15" t="s">
        <v>30</v>
      </c>
      <c r="E286">
        <f t="shared" si="9"/>
        <v>2</v>
      </c>
      <c r="F286" s="15">
        <v>0.78082191780821919</v>
      </c>
    </row>
    <row r="287" spans="1:6" x14ac:dyDescent="0.3">
      <c r="A287" s="15">
        <v>76873</v>
      </c>
      <c r="B287" s="15" t="s">
        <v>17</v>
      </c>
      <c r="C287">
        <f t="shared" si="8"/>
        <v>0</v>
      </c>
      <c r="D287" s="15" t="s">
        <v>20</v>
      </c>
      <c r="E287">
        <f t="shared" si="9"/>
        <v>1</v>
      </c>
      <c r="F287" s="15">
        <v>3.5315068493150679</v>
      </c>
    </row>
    <row r="288" spans="1:6" x14ac:dyDescent="0.3">
      <c r="A288" s="15">
        <v>68800</v>
      </c>
      <c r="B288" s="15" t="s">
        <v>17</v>
      </c>
      <c r="C288">
        <f t="shared" si="8"/>
        <v>0</v>
      </c>
      <c r="D288" s="15" t="s">
        <v>30</v>
      </c>
      <c r="E288">
        <f t="shared" si="9"/>
        <v>2</v>
      </c>
      <c r="F288" s="15">
        <v>0.49315068493150682</v>
      </c>
    </row>
    <row r="289" spans="1:6" x14ac:dyDescent="0.3">
      <c r="A289" s="15">
        <v>79458</v>
      </c>
      <c r="B289" s="15" t="s">
        <v>27</v>
      </c>
      <c r="C289">
        <f t="shared" si="8"/>
        <v>1</v>
      </c>
      <c r="D289" s="15" t="s">
        <v>30</v>
      </c>
      <c r="E289">
        <f t="shared" si="9"/>
        <v>2</v>
      </c>
      <c r="F289" s="15">
        <v>0.49315068493150682</v>
      </c>
    </row>
    <row r="290" spans="1:6" x14ac:dyDescent="0.3">
      <c r="A290" s="15">
        <v>53471</v>
      </c>
      <c r="B290" s="15" t="s">
        <v>17</v>
      </c>
      <c r="C290">
        <f t="shared" si="8"/>
        <v>0</v>
      </c>
      <c r="D290" s="15" t="s">
        <v>30</v>
      </c>
      <c r="E290">
        <f t="shared" si="9"/>
        <v>2</v>
      </c>
      <c r="F290" s="15">
        <v>0.49041095890410957</v>
      </c>
    </row>
    <row r="291" spans="1:6" x14ac:dyDescent="0.3">
      <c r="A291" s="15">
        <v>68009</v>
      </c>
      <c r="B291" s="15" t="s">
        <v>27</v>
      </c>
      <c r="C291">
        <f t="shared" si="8"/>
        <v>1</v>
      </c>
      <c r="D291" s="15" t="s">
        <v>30</v>
      </c>
      <c r="E291">
        <f t="shared" si="9"/>
        <v>2</v>
      </c>
      <c r="F291" s="15">
        <v>0.49315068493150682</v>
      </c>
    </row>
    <row r="292" spans="1:6" x14ac:dyDescent="0.3">
      <c r="A292" s="15">
        <v>68240</v>
      </c>
      <c r="B292" s="15" t="s">
        <v>17</v>
      </c>
      <c r="C292">
        <f t="shared" si="8"/>
        <v>0</v>
      </c>
      <c r="D292" s="15" t="s">
        <v>30</v>
      </c>
      <c r="E292">
        <f t="shared" si="9"/>
        <v>2</v>
      </c>
      <c r="F292" s="15">
        <v>0.49315068493150682</v>
      </c>
    </row>
    <row r="293" spans="1:6" x14ac:dyDescent="0.3">
      <c r="A293" s="15">
        <v>96095</v>
      </c>
      <c r="B293" s="15" t="s">
        <v>27</v>
      </c>
      <c r="C293">
        <f t="shared" si="8"/>
        <v>1</v>
      </c>
      <c r="D293" s="15" t="s">
        <v>112</v>
      </c>
      <c r="E293">
        <f t="shared" si="9"/>
        <v>3</v>
      </c>
      <c r="F293" s="15">
        <v>3.8876712328767118</v>
      </c>
    </row>
    <row r="294" spans="1:6" x14ac:dyDescent="0.3">
      <c r="A294" s="15">
        <v>92568</v>
      </c>
      <c r="B294" s="15" t="s">
        <v>27</v>
      </c>
      <c r="C294">
        <f t="shared" si="8"/>
        <v>1</v>
      </c>
      <c r="D294" s="15" t="s">
        <v>112</v>
      </c>
      <c r="E294">
        <f t="shared" si="9"/>
        <v>3</v>
      </c>
      <c r="F294" s="15">
        <v>3.161643835616438</v>
      </c>
    </row>
    <row r="295" spans="1:6" x14ac:dyDescent="0.3">
      <c r="A295" s="15">
        <v>63038</v>
      </c>
      <c r="B295" s="15" t="s">
        <v>27</v>
      </c>
      <c r="C295">
        <f t="shared" si="8"/>
        <v>1</v>
      </c>
      <c r="D295" s="15" t="s">
        <v>30</v>
      </c>
      <c r="E295">
        <f t="shared" si="9"/>
        <v>2</v>
      </c>
      <c r="F295" s="15">
        <v>0.49315068493150682</v>
      </c>
    </row>
    <row r="296" spans="1:6" x14ac:dyDescent="0.3">
      <c r="A296" s="15">
        <v>68256</v>
      </c>
      <c r="B296" s="15" t="s">
        <v>27</v>
      </c>
      <c r="C296">
        <f t="shared" si="8"/>
        <v>1</v>
      </c>
      <c r="D296" s="15" t="s">
        <v>30</v>
      </c>
      <c r="E296">
        <f t="shared" si="9"/>
        <v>2</v>
      </c>
      <c r="F296" s="15">
        <v>0.8246575342465754</v>
      </c>
    </row>
    <row r="297" spans="1:6" x14ac:dyDescent="0.3">
      <c r="A297" s="15">
        <v>66936</v>
      </c>
      <c r="B297" s="15" t="s">
        <v>27</v>
      </c>
      <c r="C297">
        <f t="shared" si="8"/>
        <v>1</v>
      </c>
      <c r="D297" s="15" t="s">
        <v>30</v>
      </c>
      <c r="E297">
        <f t="shared" si="9"/>
        <v>2</v>
      </c>
      <c r="F297" s="15">
        <v>4.9589041095890414</v>
      </c>
    </row>
    <row r="298" spans="1:6" x14ac:dyDescent="0.3">
      <c r="A298" s="15">
        <v>57549</v>
      </c>
      <c r="B298" s="15" t="s">
        <v>17</v>
      </c>
      <c r="C298">
        <f t="shared" si="8"/>
        <v>0</v>
      </c>
      <c r="D298" s="15" t="s">
        <v>30</v>
      </c>
      <c r="E298">
        <f t="shared" si="9"/>
        <v>2</v>
      </c>
      <c r="F298" s="15">
        <v>2.86027397260274</v>
      </c>
    </row>
    <row r="299" spans="1:6" x14ac:dyDescent="0.3">
      <c r="A299" s="15">
        <v>67506</v>
      </c>
      <c r="B299" s="15" t="s">
        <v>27</v>
      </c>
      <c r="C299">
        <f t="shared" si="8"/>
        <v>1</v>
      </c>
      <c r="D299" s="15" t="s">
        <v>30</v>
      </c>
      <c r="E299">
        <f t="shared" si="9"/>
        <v>2</v>
      </c>
      <c r="F299" s="15">
        <v>0.49315068493150682</v>
      </c>
    </row>
    <row r="300" spans="1:6" x14ac:dyDescent="0.3">
      <c r="A300" s="15">
        <v>57739</v>
      </c>
      <c r="B300" s="15" t="s">
        <v>27</v>
      </c>
      <c r="C300">
        <f t="shared" si="8"/>
        <v>1</v>
      </c>
      <c r="D300" s="15" t="s">
        <v>112</v>
      </c>
      <c r="E300">
        <f t="shared" si="9"/>
        <v>3</v>
      </c>
      <c r="F300" s="15">
        <v>0.60273972602739723</v>
      </c>
    </row>
    <row r="301" spans="1:6" x14ac:dyDescent="0.3">
      <c r="A301" s="15">
        <v>61624</v>
      </c>
      <c r="B301" s="15" t="s">
        <v>17</v>
      </c>
      <c r="C301">
        <f t="shared" si="8"/>
        <v>0</v>
      </c>
      <c r="D301" s="15" t="s">
        <v>30</v>
      </c>
      <c r="E301">
        <f t="shared" si="9"/>
        <v>2</v>
      </c>
      <c r="F301" s="15">
        <v>0.49315068493150682</v>
      </c>
    </row>
    <row r="302" spans="1:6" x14ac:dyDescent="0.3">
      <c r="A302" s="15">
        <v>67477</v>
      </c>
      <c r="B302" s="15" t="s">
        <v>27</v>
      </c>
      <c r="C302">
        <f t="shared" si="8"/>
        <v>1</v>
      </c>
      <c r="D302" s="15" t="s">
        <v>30</v>
      </c>
      <c r="E302">
        <f t="shared" si="9"/>
        <v>2</v>
      </c>
      <c r="F302" s="15">
        <v>5.9589041095890414</v>
      </c>
    </row>
    <row r="303" spans="1:6" x14ac:dyDescent="0.3">
      <c r="A303" s="15">
        <v>58948</v>
      </c>
      <c r="B303" s="15" t="s">
        <v>17</v>
      </c>
      <c r="C303">
        <f t="shared" si="8"/>
        <v>0</v>
      </c>
      <c r="D303" s="15" t="s">
        <v>20</v>
      </c>
      <c r="E303">
        <f t="shared" si="9"/>
        <v>1</v>
      </c>
      <c r="F303" s="15">
        <v>8.9260273972602739</v>
      </c>
    </row>
    <row r="304" spans="1:6" x14ac:dyDescent="0.3">
      <c r="A304" s="15">
        <v>75839</v>
      </c>
      <c r="B304" s="15" t="s">
        <v>17</v>
      </c>
      <c r="C304">
        <f t="shared" si="8"/>
        <v>0</v>
      </c>
      <c r="D304" s="15" t="s">
        <v>20</v>
      </c>
      <c r="E304">
        <f t="shared" si="9"/>
        <v>1</v>
      </c>
      <c r="F304" s="15">
        <v>0.49315068493150682</v>
      </c>
    </row>
    <row r="305" spans="1:6" x14ac:dyDescent="0.3">
      <c r="A305" s="15">
        <v>70332</v>
      </c>
      <c r="B305" s="15" t="s">
        <v>27</v>
      </c>
      <c r="C305">
        <f t="shared" si="8"/>
        <v>1</v>
      </c>
      <c r="D305" s="15" t="s">
        <v>30</v>
      </c>
      <c r="E305">
        <f t="shared" si="9"/>
        <v>2</v>
      </c>
      <c r="F305" s="15">
        <v>0.48767123287671232</v>
      </c>
    </row>
    <row r="306" spans="1:6" x14ac:dyDescent="0.3">
      <c r="A306" s="15">
        <v>67285</v>
      </c>
      <c r="B306" s="15" t="s">
        <v>27</v>
      </c>
      <c r="C306">
        <f t="shared" si="8"/>
        <v>1</v>
      </c>
      <c r="D306" s="15" t="s">
        <v>112</v>
      </c>
      <c r="E306">
        <f t="shared" si="9"/>
        <v>3</v>
      </c>
      <c r="F306" s="15">
        <v>8.1068493150684926</v>
      </c>
    </row>
    <row r="307" spans="1:6" x14ac:dyDescent="0.3">
      <c r="A307" s="15">
        <v>59936</v>
      </c>
      <c r="B307" s="15" t="s">
        <v>17</v>
      </c>
      <c r="C307">
        <f t="shared" si="8"/>
        <v>0</v>
      </c>
      <c r="D307" s="15" t="s">
        <v>30</v>
      </c>
      <c r="E307">
        <f t="shared" si="9"/>
        <v>2</v>
      </c>
      <c r="F307" s="15">
        <v>0.49315068493150682</v>
      </c>
    </row>
    <row r="308" spans="1:6" x14ac:dyDescent="0.3">
      <c r="A308" s="15">
        <v>68848</v>
      </c>
      <c r="B308" s="15" t="s">
        <v>27</v>
      </c>
      <c r="C308">
        <f t="shared" si="8"/>
        <v>1</v>
      </c>
      <c r="D308" s="15" t="s">
        <v>30</v>
      </c>
      <c r="E308">
        <f t="shared" si="9"/>
        <v>2</v>
      </c>
      <c r="F308" s="15">
        <v>0.49315068493150682</v>
      </c>
    </row>
    <row r="309" spans="1:6" x14ac:dyDescent="0.3">
      <c r="A309" s="15">
        <v>66482</v>
      </c>
      <c r="B309" s="15" t="s">
        <v>17</v>
      </c>
      <c r="C309">
        <f t="shared" si="8"/>
        <v>0</v>
      </c>
      <c r="D309" s="15" t="s">
        <v>30</v>
      </c>
      <c r="E309">
        <f t="shared" si="9"/>
        <v>2</v>
      </c>
      <c r="F309" s="15">
        <v>0.49041095890410957</v>
      </c>
    </row>
    <row r="310" spans="1:6" x14ac:dyDescent="0.3">
      <c r="A310" s="15">
        <v>69548</v>
      </c>
      <c r="B310" s="15" t="s">
        <v>17</v>
      </c>
      <c r="C310">
        <f t="shared" si="8"/>
        <v>0</v>
      </c>
      <c r="D310" s="15" t="s">
        <v>112</v>
      </c>
      <c r="E310">
        <f t="shared" si="9"/>
        <v>3</v>
      </c>
      <c r="F310" s="15">
        <v>0.49041095890410957</v>
      </c>
    </row>
    <row r="311" spans="1:6" x14ac:dyDescent="0.3">
      <c r="A311" s="15">
        <v>89090</v>
      </c>
      <c r="B311" s="15" t="s">
        <v>27</v>
      </c>
      <c r="C311">
        <f t="shared" si="8"/>
        <v>1</v>
      </c>
      <c r="D311" s="15" t="s">
        <v>112</v>
      </c>
      <c r="E311">
        <f t="shared" si="9"/>
        <v>3</v>
      </c>
      <c r="F311" s="15">
        <v>0.49315068493150682</v>
      </c>
    </row>
    <row r="312" spans="1:6" x14ac:dyDescent="0.3">
      <c r="A312" s="15">
        <v>61136</v>
      </c>
      <c r="B312" s="15" t="s">
        <v>27</v>
      </c>
      <c r="C312">
        <f t="shared" si="8"/>
        <v>1</v>
      </c>
      <c r="D312" s="15" t="s">
        <v>30</v>
      </c>
      <c r="E312">
        <f t="shared" si="9"/>
        <v>2</v>
      </c>
      <c r="F312" s="15">
        <v>0.49315068493150682</v>
      </c>
    </row>
    <row r="313" spans="1:6" x14ac:dyDescent="0.3">
      <c r="A313" s="15">
        <v>86367</v>
      </c>
      <c r="B313" s="15" t="s">
        <v>17</v>
      </c>
      <c r="C313">
        <f t="shared" si="8"/>
        <v>0</v>
      </c>
      <c r="D313" s="15" t="s">
        <v>112</v>
      </c>
      <c r="E313">
        <f t="shared" si="9"/>
        <v>3</v>
      </c>
      <c r="F313" s="15">
        <v>1.6739726027397259</v>
      </c>
    </row>
    <row r="314" spans="1:6" x14ac:dyDescent="0.3">
      <c r="A314" s="15">
        <v>79711</v>
      </c>
      <c r="B314" s="15" t="s">
        <v>17</v>
      </c>
      <c r="C314">
        <f t="shared" si="8"/>
        <v>0</v>
      </c>
      <c r="D314" s="15" t="s">
        <v>30</v>
      </c>
      <c r="E314">
        <f t="shared" si="9"/>
        <v>2</v>
      </c>
      <c r="F314" s="15">
        <v>0.49315068493150682</v>
      </c>
    </row>
    <row r="315" spans="1:6" x14ac:dyDescent="0.3">
      <c r="A315" s="15">
        <v>63065</v>
      </c>
      <c r="B315" s="15" t="s">
        <v>27</v>
      </c>
      <c r="C315">
        <f t="shared" si="8"/>
        <v>1</v>
      </c>
      <c r="D315" s="15" t="s">
        <v>30</v>
      </c>
      <c r="E315">
        <f t="shared" si="9"/>
        <v>2</v>
      </c>
      <c r="F315" s="15">
        <v>0.49315068493150682</v>
      </c>
    </row>
    <row r="316" spans="1:6" x14ac:dyDescent="0.3">
      <c r="A316" s="15">
        <v>82504</v>
      </c>
      <c r="B316" s="15" t="s">
        <v>27</v>
      </c>
      <c r="C316">
        <f t="shared" si="8"/>
        <v>1</v>
      </c>
      <c r="D316" s="15" t="s">
        <v>30</v>
      </c>
      <c r="E316">
        <f t="shared" si="9"/>
        <v>2</v>
      </c>
      <c r="F316" s="15">
        <v>0.49041095890410957</v>
      </c>
    </row>
    <row r="317" spans="1:6" x14ac:dyDescent="0.3">
      <c r="A317" s="15">
        <v>61422</v>
      </c>
      <c r="B317" s="15" t="s">
        <v>27</v>
      </c>
      <c r="C317">
        <f t="shared" si="8"/>
        <v>1</v>
      </c>
      <c r="D317" s="15" t="s">
        <v>20</v>
      </c>
      <c r="E317">
        <f t="shared" si="9"/>
        <v>1</v>
      </c>
      <c r="F317" s="15">
        <v>0.49315068493150682</v>
      </c>
    </row>
    <row r="318" spans="1:6" x14ac:dyDescent="0.3">
      <c r="A318" s="15">
        <v>74745</v>
      </c>
      <c r="B318" s="15" t="s">
        <v>17</v>
      </c>
      <c r="C318">
        <f t="shared" si="8"/>
        <v>0</v>
      </c>
      <c r="D318" s="15" t="s">
        <v>30</v>
      </c>
      <c r="E318">
        <f t="shared" si="9"/>
        <v>2</v>
      </c>
      <c r="F318" s="15">
        <v>0.49315068493150682</v>
      </c>
    </row>
    <row r="319" spans="1:6" x14ac:dyDescent="0.3">
      <c r="A319" s="15">
        <v>65592</v>
      </c>
      <c r="B319" s="15" t="s">
        <v>17</v>
      </c>
      <c r="C319">
        <f t="shared" si="8"/>
        <v>0</v>
      </c>
      <c r="D319" s="15" t="s">
        <v>20</v>
      </c>
      <c r="E319">
        <f t="shared" si="9"/>
        <v>1</v>
      </c>
      <c r="F319" s="15">
        <v>0.49315068493150682</v>
      </c>
    </row>
    <row r="320" spans="1:6" x14ac:dyDescent="0.3">
      <c r="A320" s="15">
        <v>68263</v>
      </c>
      <c r="B320" s="15" t="s">
        <v>27</v>
      </c>
      <c r="C320">
        <f t="shared" si="8"/>
        <v>1</v>
      </c>
      <c r="D320" s="15" t="s">
        <v>30</v>
      </c>
      <c r="E320">
        <f t="shared" si="9"/>
        <v>2</v>
      </c>
      <c r="F320" s="15">
        <v>5.9506849315068493</v>
      </c>
    </row>
    <row r="321" spans="1:6" x14ac:dyDescent="0.3">
      <c r="A321" s="15">
        <v>63173</v>
      </c>
      <c r="B321" s="15" t="s">
        <v>17</v>
      </c>
      <c r="C321">
        <f t="shared" si="8"/>
        <v>0</v>
      </c>
      <c r="D321" s="15" t="s">
        <v>20</v>
      </c>
      <c r="E321">
        <f t="shared" si="9"/>
        <v>1</v>
      </c>
      <c r="F321" s="15">
        <v>0.49315068493150682</v>
      </c>
    </row>
    <row r="322" spans="1:6" x14ac:dyDescent="0.3">
      <c r="A322" s="15">
        <v>61924</v>
      </c>
      <c r="B322" s="15" t="s">
        <v>17</v>
      </c>
      <c r="C322">
        <f t="shared" si="8"/>
        <v>0</v>
      </c>
      <c r="D322" s="15" t="s">
        <v>30</v>
      </c>
      <c r="E322">
        <f t="shared" si="9"/>
        <v>2</v>
      </c>
      <c r="F322" s="15">
        <v>0.49315068493150682</v>
      </c>
    </row>
    <row r="323" spans="1:6" x14ac:dyDescent="0.3">
      <c r="A323" s="15">
        <v>92714</v>
      </c>
      <c r="B323" s="15" t="s">
        <v>27</v>
      </c>
      <c r="C323">
        <f t="shared" ref="C323:C386" si="10">IF(B323="Male", 1, 0)</f>
        <v>1</v>
      </c>
      <c r="D323" s="15" t="s">
        <v>30</v>
      </c>
      <c r="E323">
        <f t="shared" ref="E323:E386" si="11">IF(D323="High School",1,IF(D323="Bachelor",2,IF(D323="Master",3,IF(D323="PhD",4,""))))</f>
        <v>2</v>
      </c>
      <c r="F323" s="15">
        <v>0.49315068493150682</v>
      </c>
    </row>
    <row r="324" spans="1:6" x14ac:dyDescent="0.3">
      <c r="A324" s="15">
        <v>76920</v>
      </c>
      <c r="B324" s="15" t="s">
        <v>17</v>
      </c>
      <c r="C324">
        <f t="shared" si="10"/>
        <v>0</v>
      </c>
      <c r="D324" s="15" t="s">
        <v>30</v>
      </c>
      <c r="E324">
        <f t="shared" si="11"/>
        <v>2</v>
      </c>
      <c r="F324" s="15">
        <v>8.2301369863013694</v>
      </c>
    </row>
    <row r="325" spans="1:6" x14ac:dyDescent="0.3">
      <c r="A325" s="15">
        <v>64316</v>
      </c>
      <c r="B325" s="15" t="s">
        <v>17</v>
      </c>
      <c r="C325">
        <f t="shared" si="10"/>
        <v>0</v>
      </c>
      <c r="D325" s="15" t="s">
        <v>30</v>
      </c>
      <c r="E325">
        <f t="shared" si="11"/>
        <v>2</v>
      </c>
      <c r="F325" s="15">
        <v>0.49315068493150682</v>
      </c>
    </row>
    <row r="326" spans="1:6" x14ac:dyDescent="0.3">
      <c r="A326" s="15">
        <v>60526</v>
      </c>
      <c r="B326" s="15" t="s">
        <v>27</v>
      </c>
      <c r="C326">
        <f t="shared" si="10"/>
        <v>1</v>
      </c>
      <c r="D326" s="15" t="s">
        <v>20</v>
      </c>
      <c r="E326">
        <f t="shared" si="11"/>
        <v>1</v>
      </c>
      <c r="F326" s="15">
        <v>5.0328767123287674</v>
      </c>
    </row>
    <row r="327" spans="1:6" x14ac:dyDescent="0.3">
      <c r="A327" s="15">
        <v>70513</v>
      </c>
      <c r="B327" s="15" t="s">
        <v>17</v>
      </c>
      <c r="C327">
        <f t="shared" si="10"/>
        <v>0</v>
      </c>
      <c r="D327" s="15" t="s">
        <v>30</v>
      </c>
      <c r="E327">
        <f t="shared" si="11"/>
        <v>2</v>
      </c>
      <c r="F327" s="15">
        <v>0.49315068493150682</v>
      </c>
    </row>
    <row r="328" spans="1:6" x14ac:dyDescent="0.3">
      <c r="A328" s="15">
        <v>74982</v>
      </c>
      <c r="B328" s="15" t="s">
        <v>27</v>
      </c>
      <c r="C328">
        <f t="shared" si="10"/>
        <v>1</v>
      </c>
      <c r="D328" s="15" t="s">
        <v>30</v>
      </c>
      <c r="E328">
        <f t="shared" si="11"/>
        <v>2</v>
      </c>
      <c r="F328" s="15">
        <v>0.49315068493150682</v>
      </c>
    </row>
    <row r="329" spans="1:6" x14ac:dyDescent="0.3">
      <c r="A329" s="15">
        <v>62882</v>
      </c>
      <c r="B329" s="15" t="s">
        <v>27</v>
      </c>
      <c r="C329">
        <f t="shared" si="10"/>
        <v>1</v>
      </c>
      <c r="D329" s="15" t="s">
        <v>20</v>
      </c>
      <c r="E329">
        <f t="shared" si="11"/>
        <v>1</v>
      </c>
      <c r="F329" s="15">
        <v>3.0136986301369859</v>
      </c>
    </row>
    <row r="330" spans="1:6" x14ac:dyDescent="0.3">
      <c r="A330" s="15">
        <v>72764</v>
      </c>
      <c r="B330" s="15" t="s">
        <v>27</v>
      </c>
      <c r="C330">
        <f t="shared" si="10"/>
        <v>1</v>
      </c>
      <c r="D330" s="15" t="s">
        <v>112</v>
      </c>
      <c r="E330">
        <f t="shared" si="11"/>
        <v>3</v>
      </c>
      <c r="F330" s="15">
        <v>0.49315068493150682</v>
      </c>
    </row>
    <row r="331" spans="1:6" x14ac:dyDescent="0.3">
      <c r="A331" s="15">
        <v>80418</v>
      </c>
      <c r="B331" s="15" t="s">
        <v>17</v>
      </c>
      <c r="C331">
        <f t="shared" si="10"/>
        <v>0</v>
      </c>
      <c r="D331" s="15" t="s">
        <v>30</v>
      </c>
      <c r="E331">
        <f t="shared" si="11"/>
        <v>2</v>
      </c>
      <c r="F331" s="15">
        <v>0.73972602739726023</v>
      </c>
    </row>
    <row r="332" spans="1:6" x14ac:dyDescent="0.3">
      <c r="A332" s="15">
        <v>60390</v>
      </c>
      <c r="B332" s="15" t="s">
        <v>17</v>
      </c>
      <c r="C332">
        <f t="shared" si="10"/>
        <v>0</v>
      </c>
      <c r="D332" s="15" t="s">
        <v>30</v>
      </c>
      <c r="E332">
        <f t="shared" si="11"/>
        <v>2</v>
      </c>
      <c r="F332" s="15">
        <v>0.49315068493150682</v>
      </c>
    </row>
    <row r="333" spans="1:6" x14ac:dyDescent="0.3">
      <c r="A333" s="15">
        <v>63500</v>
      </c>
      <c r="B333" s="15" t="s">
        <v>27</v>
      </c>
      <c r="C333">
        <f t="shared" si="10"/>
        <v>1</v>
      </c>
      <c r="D333" s="15" t="s">
        <v>30</v>
      </c>
      <c r="E333">
        <f t="shared" si="11"/>
        <v>2</v>
      </c>
      <c r="F333" s="15">
        <v>3.0410958904109591</v>
      </c>
    </row>
    <row r="334" spans="1:6" x14ac:dyDescent="0.3">
      <c r="A334" s="15">
        <v>63879</v>
      </c>
      <c r="B334" s="15" t="s">
        <v>27</v>
      </c>
      <c r="C334">
        <f t="shared" si="10"/>
        <v>1</v>
      </c>
      <c r="D334" s="15" t="s">
        <v>30</v>
      </c>
      <c r="E334">
        <f t="shared" si="11"/>
        <v>2</v>
      </c>
      <c r="F334" s="15">
        <v>4.912328767123288</v>
      </c>
    </row>
    <row r="335" spans="1:6" x14ac:dyDescent="0.3">
      <c r="A335" s="15">
        <v>61505</v>
      </c>
      <c r="B335" s="15" t="s">
        <v>27</v>
      </c>
      <c r="C335">
        <f t="shared" si="10"/>
        <v>1</v>
      </c>
      <c r="D335" s="15" t="s">
        <v>30</v>
      </c>
      <c r="E335">
        <f t="shared" si="11"/>
        <v>2</v>
      </c>
      <c r="F335" s="15">
        <v>0.77808219178082194</v>
      </c>
    </row>
    <row r="336" spans="1:6" x14ac:dyDescent="0.3">
      <c r="A336" s="15">
        <v>59618</v>
      </c>
      <c r="B336" s="15" t="s">
        <v>27</v>
      </c>
      <c r="C336">
        <f t="shared" si="10"/>
        <v>1</v>
      </c>
      <c r="D336" s="15" t="s">
        <v>20</v>
      </c>
      <c r="E336">
        <f t="shared" si="11"/>
        <v>1</v>
      </c>
      <c r="F336" s="15">
        <v>0.49315068493150682</v>
      </c>
    </row>
    <row r="337" spans="1:6" x14ac:dyDescent="0.3">
      <c r="A337" s="15">
        <v>106190</v>
      </c>
      <c r="B337" s="15" t="s">
        <v>27</v>
      </c>
      <c r="C337">
        <f t="shared" si="10"/>
        <v>1</v>
      </c>
      <c r="D337" s="15" t="s">
        <v>30</v>
      </c>
      <c r="E337">
        <f t="shared" si="11"/>
        <v>2</v>
      </c>
      <c r="F337" s="15">
        <v>8.24931506849315</v>
      </c>
    </row>
    <row r="338" spans="1:6" x14ac:dyDescent="0.3">
      <c r="A338" s="15">
        <v>57162</v>
      </c>
      <c r="B338" s="15" t="s">
        <v>17</v>
      </c>
      <c r="C338">
        <f t="shared" si="10"/>
        <v>0</v>
      </c>
      <c r="D338" s="15" t="s">
        <v>30</v>
      </c>
      <c r="E338">
        <f t="shared" si="11"/>
        <v>2</v>
      </c>
      <c r="F338" s="15">
        <v>2.419178082191781</v>
      </c>
    </row>
    <row r="339" spans="1:6" x14ac:dyDescent="0.3">
      <c r="A339" s="15">
        <v>105074</v>
      </c>
      <c r="B339" s="15" t="s">
        <v>27</v>
      </c>
      <c r="C339">
        <f t="shared" si="10"/>
        <v>1</v>
      </c>
      <c r="D339" s="15" t="s">
        <v>30</v>
      </c>
      <c r="E339">
        <f t="shared" si="11"/>
        <v>2</v>
      </c>
      <c r="F339" s="15">
        <v>4.9068493150684933</v>
      </c>
    </row>
    <row r="340" spans="1:6" x14ac:dyDescent="0.3">
      <c r="A340" s="15">
        <v>73542</v>
      </c>
      <c r="B340" s="15" t="s">
        <v>27</v>
      </c>
      <c r="C340">
        <f t="shared" si="10"/>
        <v>1</v>
      </c>
      <c r="D340" s="15" t="s">
        <v>30</v>
      </c>
      <c r="E340">
        <f t="shared" si="11"/>
        <v>2</v>
      </c>
      <c r="F340" s="15">
        <v>7.8136986301369866</v>
      </c>
    </row>
    <row r="341" spans="1:6" x14ac:dyDescent="0.3">
      <c r="A341" s="15">
        <v>86465</v>
      </c>
      <c r="B341" s="15" t="s">
        <v>17</v>
      </c>
      <c r="C341">
        <f t="shared" si="10"/>
        <v>0</v>
      </c>
      <c r="D341" s="15" t="s">
        <v>112</v>
      </c>
      <c r="E341">
        <f t="shared" si="11"/>
        <v>3</v>
      </c>
      <c r="F341" s="15">
        <v>3.257534246575343</v>
      </c>
    </row>
    <row r="342" spans="1:6" x14ac:dyDescent="0.3">
      <c r="A342" s="15">
        <v>57737</v>
      </c>
      <c r="B342" s="15" t="s">
        <v>17</v>
      </c>
      <c r="C342">
        <f t="shared" si="10"/>
        <v>0</v>
      </c>
      <c r="D342" s="15" t="s">
        <v>20</v>
      </c>
      <c r="E342">
        <f t="shared" si="11"/>
        <v>1</v>
      </c>
      <c r="F342" s="15">
        <v>0.49315068493150682</v>
      </c>
    </row>
    <row r="343" spans="1:6" x14ac:dyDescent="0.3">
      <c r="A343" s="15">
        <v>72249</v>
      </c>
      <c r="B343" s="15" t="s">
        <v>17</v>
      </c>
      <c r="C343">
        <f t="shared" si="10"/>
        <v>0</v>
      </c>
      <c r="D343" s="15" t="s">
        <v>30</v>
      </c>
      <c r="E343">
        <f t="shared" si="11"/>
        <v>2</v>
      </c>
      <c r="F343" s="15">
        <v>0.49315068493150682</v>
      </c>
    </row>
    <row r="344" spans="1:6" x14ac:dyDescent="0.3">
      <c r="A344" s="15">
        <v>64270</v>
      </c>
      <c r="B344" s="15" t="s">
        <v>17</v>
      </c>
      <c r="C344">
        <f t="shared" si="10"/>
        <v>0</v>
      </c>
      <c r="D344" s="15" t="s">
        <v>30</v>
      </c>
      <c r="E344">
        <f t="shared" si="11"/>
        <v>2</v>
      </c>
      <c r="F344" s="15">
        <v>1.6109589041095891</v>
      </c>
    </row>
    <row r="345" spans="1:6" x14ac:dyDescent="0.3">
      <c r="A345" s="15">
        <v>78290</v>
      </c>
      <c r="B345" s="15" t="s">
        <v>17</v>
      </c>
      <c r="C345">
        <f t="shared" si="10"/>
        <v>0</v>
      </c>
      <c r="D345" s="15" t="s">
        <v>112</v>
      </c>
      <c r="E345">
        <f t="shared" si="11"/>
        <v>3</v>
      </c>
      <c r="F345" s="15">
        <v>0.49315068493150682</v>
      </c>
    </row>
    <row r="346" spans="1:6" x14ac:dyDescent="0.3">
      <c r="A346" s="15">
        <v>84336</v>
      </c>
      <c r="B346" s="15" t="s">
        <v>27</v>
      </c>
      <c r="C346">
        <f t="shared" si="10"/>
        <v>1</v>
      </c>
      <c r="D346" s="15" t="s">
        <v>20</v>
      </c>
      <c r="E346">
        <f t="shared" si="11"/>
        <v>1</v>
      </c>
      <c r="F346" s="15">
        <v>0.49315068493150682</v>
      </c>
    </row>
    <row r="347" spans="1:6" x14ac:dyDescent="0.3">
      <c r="A347" s="15">
        <v>70063</v>
      </c>
      <c r="B347" s="15" t="s">
        <v>27</v>
      </c>
      <c r="C347">
        <f t="shared" si="10"/>
        <v>1</v>
      </c>
      <c r="D347" s="15" t="s">
        <v>30</v>
      </c>
      <c r="E347">
        <f t="shared" si="11"/>
        <v>2</v>
      </c>
      <c r="F347" s="15">
        <v>4.2246575342465764</v>
      </c>
    </row>
    <row r="348" spans="1:6" x14ac:dyDescent="0.3">
      <c r="A348" s="15">
        <v>109652</v>
      </c>
      <c r="B348" s="15" t="s">
        <v>17</v>
      </c>
      <c r="C348">
        <f t="shared" si="10"/>
        <v>0</v>
      </c>
      <c r="D348" s="15" t="s">
        <v>112</v>
      </c>
      <c r="E348">
        <f t="shared" si="11"/>
        <v>3</v>
      </c>
      <c r="F348" s="15">
        <v>0.49315068493150682</v>
      </c>
    </row>
    <row r="349" spans="1:6" x14ac:dyDescent="0.3">
      <c r="A349" s="15">
        <v>53673</v>
      </c>
      <c r="B349" s="15" t="s">
        <v>17</v>
      </c>
      <c r="C349">
        <f t="shared" si="10"/>
        <v>0</v>
      </c>
      <c r="D349" s="15" t="s">
        <v>20</v>
      </c>
      <c r="E349">
        <f t="shared" si="11"/>
        <v>1</v>
      </c>
      <c r="F349" s="15">
        <v>3.095890410958904</v>
      </c>
    </row>
    <row r="350" spans="1:6" x14ac:dyDescent="0.3">
      <c r="A350" s="15">
        <v>78950</v>
      </c>
      <c r="B350" s="15" t="s">
        <v>27</v>
      </c>
      <c r="C350">
        <f t="shared" si="10"/>
        <v>1</v>
      </c>
      <c r="D350" s="15" t="s">
        <v>112</v>
      </c>
      <c r="E350">
        <f t="shared" si="11"/>
        <v>3</v>
      </c>
      <c r="F350" s="15">
        <v>0.49315068493150682</v>
      </c>
    </row>
    <row r="351" spans="1:6" x14ac:dyDescent="0.3">
      <c r="A351" s="15">
        <v>92292</v>
      </c>
      <c r="B351" s="15" t="s">
        <v>27</v>
      </c>
      <c r="C351">
        <f t="shared" si="10"/>
        <v>1</v>
      </c>
      <c r="D351" s="15" t="s">
        <v>30</v>
      </c>
      <c r="E351">
        <f t="shared" si="11"/>
        <v>2</v>
      </c>
      <c r="F351" s="15">
        <v>7.8931506849315074</v>
      </c>
    </row>
    <row r="352" spans="1:6" x14ac:dyDescent="0.3">
      <c r="A352" s="15">
        <v>83600</v>
      </c>
      <c r="B352" s="15" t="s">
        <v>27</v>
      </c>
      <c r="C352">
        <f t="shared" si="10"/>
        <v>1</v>
      </c>
      <c r="D352" s="15" t="s">
        <v>30</v>
      </c>
      <c r="E352">
        <f t="shared" si="11"/>
        <v>2</v>
      </c>
      <c r="F352" s="15">
        <v>0.49315068493150682</v>
      </c>
    </row>
    <row r="353" spans="1:6" x14ac:dyDescent="0.3">
      <c r="A353" s="15">
        <v>67517</v>
      </c>
      <c r="B353" s="15" t="s">
        <v>27</v>
      </c>
      <c r="C353">
        <f t="shared" si="10"/>
        <v>1</v>
      </c>
      <c r="D353" s="15" t="s">
        <v>30</v>
      </c>
      <c r="E353">
        <f t="shared" si="11"/>
        <v>2</v>
      </c>
      <c r="F353" s="15">
        <v>0.49315068493150682</v>
      </c>
    </row>
    <row r="354" spans="1:6" x14ac:dyDescent="0.3">
      <c r="A354" s="15">
        <v>91226</v>
      </c>
      <c r="B354" s="15" t="s">
        <v>17</v>
      </c>
      <c r="C354">
        <f t="shared" si="10"/>
        <v>0</v>
      </c>
      <c r="D354" s="15" t="s">
        <v>112</v>
      </c>
      <c r="E354">
        <f t="shared" si="11"/>
        <v>3</v>
      </c>
      <c r="F354" s="15">
        <v>0.49315068493150682</v>
      </c>
    </row>
    <row r="355" spans="1:6" x14ac:dyDescent="0.3">
      <c r="A355" s="15">
        <v>61904</v>
      </c>
      <c r="B355" s="15" t="s">
        <v>27</v>
      </c>
      <c r="C355">
        <f t="shared" si="10"/>
        <v>1</v>
      </c>
      <c r="D355" s="15" t="s">
        <v>30</v>
      </c>
      <c r="E355">
        <f t="shared" si="11"/>
        <v>2</v>
      </c>
      <c r="F355" s="15">
        <v>5.536986301369863</v>
      </c>
    </row>
    <row r="356" spans="1:6" x14ac:dyDescent="0.3">
      <c r="A356" s="15">
        <v>84689</v>
      </c>
      <c r="B356" s="15" t="s">
        <v>27</v>
      </c>
      <c r="C356">
        <f t="shared" si="10"/>
        <v>1</v>
      </c>
      <c r="D356" s="15" t="s">
        <v>30</v>
      </c>
      <c r="E356">
        <f t="shared" si="11"/>
        <v>2</v>
      </c>
      <c r="F356" s="15">
        <v>7.8684931506849312</v>
      </c>
    </row>
    <row r="357" spans="1:6" x14ac:dyDescent="0.3">
      <c r="A357" s="15">
        <v>82682</v>
      </c>
      <c r="B357" s="15" t="s">
        <v>27</v>
      </c>
      <c r="C357">
        <f t="shared" si="10"/>
        <v>1</v>
      </c>
      <c r="D357" s="15" t="s">
        <v>30</v>
      </c>
      <c r="E357">
        <f t="shared" si="11"/>
        <v>2</v>
      </c>
      <c r="F357" s="15">
        <v>0.49315068493150682</v>
      </c>
    </row>
    <row r="358" spans="1:6" x14ac:dyDescent="0.3">
      <c r="A358" s="15">
        <v>67032</v>
      </c>
      <c r="B358" s="15" t="s">
        <v>17</v>
      </c>
      <c r="C358">
        <f t="shared" si="10"/>
        <v>0</v>
      </c>
      <c r="D358" s="15" t="s">
        <v>20</v>
      </c>
      <c r="E358">
        <f t="shared" si="11"/>
        <v>1</v>
      </c>
      <c r="F358" s="15">
        <v>4.2602739726027394</v>
      </c>
    </row>
    <row r="359" spans="1:6" x14ac:dyDescent="0.3">
      <c r="A359" s="15">
        <v>56797</v>
      </c>
      <c r="B359" s="15" t="s">
        <v>17</v>
      </c>
      <c r="C359">
        <f t="shared" si="10"/>
        <v>0</v>
      </c>
      <c r="D359" s="15" t="s">
        <v>30</v>
      </c>
      <c r="E359">
        <f t="shared" si="11"/>
        <v>2</v>
      </c>
      <c r="F359" s="15">
        <v>3.309589041095891</v>
      </c>
    </row>
    <row r="360" spans="1:6" x14ac:dyDescent="0.3">
      <c r="A360" s="15">
        <v>67650</v>
      </c>
      <c r="B360" s="15" t="s">
        <v>17</v>
      </c>
      <c r="C360">
        <f t="shared" si="10"/>
        <v>0</v>
      </c>
      <c r="D360" s="15" t="s">
        <v>30</v>
      </c>
      <c r="E360">
        <f t="shared" si="11"/>
        <v>2</v>
      </c>
      <c r="F360" s="15">
        <v>0.49315068493150682</v>
      </c>
    </row>
    <row r="361" spans="1:6" x14ac:dyDescent="0.3">
      <c r="A361" s="15">
        <v>68757</v>
      </c>
      <c r="B361" s="15" t="s">
        <v>17</v>
      </c>
      <c r="C361">
        <f t="shared" si="10"/>
        <v>0</v>
      </c>
      <c r="D361" s="15" t="s">
        <v>30</v>
      </c>
      <c r="E361">
        <f t="shared" si="11"/>
        <v>2</v>
      </c>
      <c r="F361" s="15">
        <v>1.9753424657534251</v>
      </c>
    </row>
    <row r="362" spans="1:6" x14ac:dyDescent="0.3">
      <c r="A362" s="15">
        <v>60774</v>
      </c>
      <c r="B362" s="15" t="s">
        <v>17</v>
      </c>
      <c r="C362">
        <f t="shared" si="10"/>
        <v>0</v>
      </c>
      <c r="D362" s="15" t="s">
        <v>20</v>
      </c>
      <c r="E362">
        <f t="shared" si="11"/>
        <v>1</v>
      </c>
      <c r="F362" s="15">
        <v>0.49041095890410957</v>
      </c>
    </row>
    <row r="363" spans="1:6" x14ac:dyDescent="0.3">
      <c r="A363" s="15">
        <v>61927</v>
      </c>
      <c r="B363" s="15" t="s">
        <v>27</v>
      </c>
      <c r="C363">
        <f t="shared" si="10"/>
        <v>1</v>
      </c>
      <c r="D363" s="15" t="s">
        <v>30</v>
      </c>
      <c r="E363">
        <f t="shared" si="11"/>
        <v>2</v>
      </c>
      <c r="F363" s="15">
        <v>0.49315068493150682</v>
      </c>
    </row>
    <row r="364" spans="1:6" x14ac:dyDescent="0.3">
      <c r="A364" s="15">
        <v>63658</v>
      </c>
      <c r="B364" s="15" t="s">
        <v>17</v>
      </c>
      <c r="C364">
        <f t="shared" si="10"/>
        <v>0</v>
      </c>
      <c r="D364" s="15" t="s">
        <v>20</v>
      </c>
      <c r="E364">
        <f t="shared" si="11"/>
        <v>1</v>
      </c>
      <c r="F364" s="15">
        <v>0.49315068493150682</v>
      </c>
    </row>
    <row r="365" spans="1:6" x14ac:dyDescent="0.3">
      <c r="A365" s="15">
        <v>87636</v>
      </c>
      <c r="B365" s="15" t="s">
        <v>27</v>
      </c>
      <c r="C365">
        <f t="shared" si="10"/>
        <v>1</v>
      </c>
      <c r="D365" s="15" t="s">
        <v>30</v>
      </c>
      <c r="E365">
        <f t="shared" si="11"/>
        <v>2</v>
      </c>
      <c r="F365" s="15">
        <v>7.1643835616438354</v>
      </c>
    </row>
    <row r="366" spans="1:6" x14ac:dyDescent="0.3">
      <c r="A366" s="15">
        <v>72762</v>
      </c>
      <c r="B366" s="15" t="s">
        <v>27</v>
      </c>
      <c r="C366">
        <f t="shared" si="10"/>
        <v>1</v>
      </c>
      <c r="D366" s="15" t="s">
        <v>30</v>
      </c>
      <c r="E366">
        <f t="shared" si="11"/>
        <v>2</v>
      </c>
      <c r="F366" s="15">
        <v>7.6</v>
      </c>
    </row>
    <row r="367" spans="1:6" x14ac:dyDescent="0.3">
      <c r="A367" s="15">
        <v>57980</v>
      </c>
      <c r="B367" s="15" t="s">
        <v>17</v>
      </c>
      <c r="C367">
        <f t="shared" si="10"/>
        <v>0</v>
      </c>
      <c r="D367" s="15" t="s">
        <v>30</v>
      </c>
      <c r="E367">
        <f t="shared" si="11"/>
        <v>2</v>
      </c>
      <c r="F367" s="15">
        <v>1.6219178082191781</v>
      </c>
    </row>
    <row r="368" spans="1:6" x14ac:dyDescent="0.3">
      <c r="A368" s="15">
        <v>84521</v>
      </c>
      <c r="B368" s="15" t="s">
        <v>27</v>
      </c>
      <c r="C368">
        <f t="shared" si="10"/>
        <v>1</v>
      </c>
      <c r="D368" s="15" t="s">
        <v>30</v>
      </c>
      <c r="E368">
        <f t="shared" si="11"/>
        <v>2</v>
      </c>
      <c r="F368" s="15">
        <v>0.49315068493150682</v>
      </c>
    </row>
    <row r="369" spans="1:6" x14ac:dyDescent="0.3">
      <c r="A369" s="15">
        <v>63466</v>
      </c>
      <c r="B369" s="15" t="s">
        <v>27</v>
      </c>
      <c r="C369">
        <f t="shared" si="10"/>
        <v>1</v>
      </c>
      <c r="D369" s="15" t="s">
        <v>20</v>
      </c>
      <c r="E369">
        <f t="shared" si="11"/>
        <v>1</v>
      </c>
      <c r="F369" s="15">
        <v>0.49315068493150682</v>
      </c>
    </row>
    <row r="370" spans="1:6" x14ac:dyDescent="0.3">
      <c r="A370" s="15">
        <v>75091</v>
      </c>
      <c r="B370" s="15" t="s">
        <v>27</v>
      </c>
      <c r="C370">
        <f t="shared" si="10"/>
        <v>1</v>
      </c>
      <c r="D370" s="15" t="s">
        <v>30</v>
      </c>
      <c r="E370">
        <f t="shared" si="11"/>
        <v>2</v>
      </c>
      <c r="F370" s="15">
        <v>0.49315068493150682</v>
      </c>
    </row>
    <row r="371" spans="1:6" x14ac:dyDescent="0.3">
      <c r="A371" s="15">
        <v>83010</v>
      </c>
      <c r="B371" s="15" t="s">
        <v>27</v>
      </c>
      <c r="C371">
        <f t="shared" si="10"/>
        <v>1</v>
      </c>
      <c r="D371" s="15" t="s">
        <v>30</v>
      </c>
      <c r="E371">
        <f t="shared" si="11"/>
        <v>2</v>
      </c>
      <c r="F371" s="15">
        <v>2.0712328767123291</v>
      </c>
    </row>
    <row r="372" spans="1:6" x14ac:dyDescent="0.3">
      <c r="A372" s="15">
        <v>56691</v>
      </c>
      <c r="B372" s="15" t="s">
        <v>17</v>
      </c>
      <c r="C372">
        <f t="shared" si="10"/>
        <v>0</v>
      </c>
      <c r="D372" s="15" t="s">
        <v>20</v>
      </c>
      <c r="E372">
        <f t="shared" si="11"/>
        <v>1</v>
      </c>
      <c r="F372" s="15">
        <v>0.49315068493150682</v>
      </c>
    </row>
    <row r="373" spans="1:6" x14ac:dyDescent="0.3">
      <c r="A373" s="15">
        <v>61471</v>
      </c>
      <c r="B373" s="15" t="s">
        <v>27</v>
      </c>
      <c r="C373">
        <f t="shared" si="10"/>
        <v>1</v>
      </c>
      <c r="D373" s="15" t="s">
        <v>30</v>
      </c>
      <c r="E373">
        <f t="shared" si="11"/>
        <v>2</v>
      </c>
      <c r="F373" s="15">
        <v>2.9534246575342471</v>
      </c>
    </row>
    <row r="374" spans="1:6" x14ac:dyDescent="0.3">
      <c r="A374" s="15">
        <v>62257</v>
      </c>
      <c r="B374" s="15" t="s">
        <v>17</v>
      </c>
      <c r="C374">
        <f t="shared" si="10"/>
        <v>0</v>
      </c>
      <c r="D374" s="15" t="s">
        <v>30</v>
      </c>
      <c r="E374">
        <f t="shared" si="11"/>
        <v>2</v>
      </c>
      <c r="F374" s="15">
        <v>0.49315068493150682</v>
      </c>
    </row>
    <row r="375" spans="1:6" x14ac:dyDescent="0.3">
      <c r="A375" s="15">
        <v>58656</v>
      </c>
      <c r="B375" s="15" t="s">
        <v>17</v>
      </c>
      <c r="C375">
        <f t="shared" si="10"/>
        <v>0</v>
      </c>
      <c r="D375" s="15" t="s">
        <v>30</v>
      </c>
      <c r="E375">
        <f t="shared" si="11"/>
        <v>2</v>
      </c>
      <c r="F375" s="15">
        <v>0.49315068493150682</v>
      </c>
    </row>
    <row r="376" spans="1:6" x14ac:dyDescent="0.3">
      <c r="A376" s="15">
        <v>68102</v>
      </c>
      <c r="B376" s="15" t="s">
        <v>17</v>
      </c>
      <c r="C376">
        <f t="shared" si="10"/>
        <v>0</v>
      </c>
      <c r="D376" s="15" t="s">
        <v>20</v>
      </c>
      <c r="E376">
        <f t="shared" si="11"/>
        <v>1</v>
      </c>
      <c r="F376" s="15">
        <v>0.49315068493150682</v>
      </c>
    </row>
    <row r="377" spans="1:6" x14ac:dyDescent="0.3">
      <c r="A377" s="15">
        <v>65617</v>
      </c>
      <c r="B377" s="15" t="s">
        <v>17</v>
      </c>
      <c r="C377">
        <f t="shared" si="10"/>
        <v>0</v>
      </c>
      <c r="D377" s="15" t="s">
        <v>30</v>
      </c>
      <c r="E377">
        <f t="shared" si="11"/>
        <v>2</v>
      </c>
      <c r="F377" s="15">
        <v>8.6082191780821926</v>
      </c>
    </row>
    <row r="378" spans="1:6" x14ac:dyDescent="0.3">
      <c r="A378" s="15">
        <v>52981</v>
      </c>
      <c r="B378" s="15" t="s">
        <v>17</v>
      </c>
      <c r="C378">
        <f t="shared" si="10"/>
        <v>0</v>
      </c>
      <c r="D378" s="15" t="s">
        <v>30</v>
      </c>
      <c r="E378">
        <f t="shared" si="11"/>
        <v>2</v>
      </c>
      <c r="F378" s="15">
        <v>0.49315068493150682</v>
      </c>
    </row>
    <row r="379" spans="1:6" x14ac:dyDescent="0.3">
      <c r="A379" s="15">
        <v>75569</v>
      </c>
      <c r="B379" s="15" t="s">
        <v>27</v>
      </c>
      <c r="C379">
        <f t="shared" si="10"/>
        <v>1</v>
      </c>
      <c r="D379" s="15" t="s">
        <v>30</v>
      </c>
      <c r="E379">
        <f t="shared" si="11"/>
        <v>2</v>
      </c>
      <c r="F379" s="15">
        <v>0.49315068493150682</v>
      </c>
    </row>
    <row r="380" spans="1:6" x14ac:dyDescent="0.3">
      <c r="A380" s="15">
        <v>53099</v>
      </c>
      <c r="B380" s="15" t="s">
        <v>17</v>
      </c>
      <c r="C380">
        <f t="shared" si="10"/>
        <v>0</v>
      </c>
      <c r="D380" s="15" t="s">
        <v>20</v>
      </c>
      <c r="E380">
        <f t="shared" si="11"/>
        <v>1</v>
      </c>
      <c r="F380" s="15">
        <v>7.4027397260273968</v>
      </c>
    </row>
    <row r="381" spans="1:6" x14ac:dyDescent="0.3">
      <c r="A381" s="15">
        <v>79955</v>
      </c>
      <c r="B381" s="15" t="s">
        <v>17</v>
      </c>
      <c r="C381">
        <f t="shared" si="10"/>
        <v>0</v>
      </c>
      <c r="D381" s="15" t="s">
        <v>30</v>
      </c>
      <c r="E381">
        <f t="shared" si="11"/>
        <v>2</v>
      </c>
      <c r="F381" s="15">
        <v>2.6438356164383561</v>
      </c>
    </row>
    <row r="382" spans="1:6" x14ac:dyDescent="0.3">
      <c r="A382" s="15">
        <v>73482</v>
      </c>
      <c r="B382" s="15" t="s">
        <v>27</v>
      </c>
      <c r="C382">
        <f t="shared" si="10"/>
        <v>1</v>
      </c>
      <c r="D382" s="15" t="s">
        <v>30</v>
      </c>
      <c r="E382">
        <f t="shared" si="11"/>
        <v>2</v>
      </c>
      <c r="F382" s="15">
        <v>3.6054794520547939</v>
      </c>
    </row>
    <row r="383" spans="1:6" x14ac:dyDescent="0.3">
      <c r="A383" s="15">
        <v>90215</v>
      </c>
      <c r="B383" s="15" t="s">
        <v>17</v>
      </c>
      <c r="C383">
        <f t="shared" si="10"/>
        <v>0</v>
      </c>
      <c r="D383" s="15" t="s">
        <v>112</v>
      </c>
      <c r="E383">
        <f t="shared" si="11"/>
        <v>3</v>
      </c>
      <c r="F383" s="15">
        <v>0.49315068493150682</v>
      </c>
    </row>
    <row r="384" spans="1:6" x14ac:dyDescent="0.3">
      <c r="A384" s="15">
        <v>62776</v>
      </c>
      <c r="B384" s="15" t="s">
        <v>27</v>
      </c>
      <c r="C384">
        <f t="shared" si="10"/>
        <v>1</v>
      </c>
      <c r="D384" s="15" t="s">
        <v>93</v>
      </c>
      <c r="E384">
        <f t="shared" si="11"/>
        <v>4</v>
      </c>
      <c r="F384" s="15">
        <v>0.49315068493150682</v>
      </c>
    </row>
    <row r="385" spans="1:6" x14ac:dyDescent="0.3">
      <c r="A385" s="15">
        <v>87013</v>
      </c>
      <c r="B385" s="15" t="s">
        <v>17</v>
      </c>
      <c r="C385">
        <f t="shared" si="10"/>
        <v>0</v>
      </c>
      <c r="D385" s="15" t="s">
        <v>30</v>
      </c>
      <c r="E385">
        <f t="shared" si="11"/>
        <v>2</v>
      </c>
      <c r="F385" s="15">
        <v>1.7506849315068489</v>
      </c>
    </row>
    <row r="386" spans="1:6" x14ac:dyDescent="0.3">
      <c r="A386" s="15">
        <v>59789</v>
      </c>
      <c r="B386" s="15" t="s">
        <v>17</v>
      </c>
      <c r="C386">
        <f t="shared" si="10"/>
        <v>0</v>
      </c>
      <c r="D386" s="15" t="s">
        <v>30</v>
      </c>
      <c r="E386">
        <f t="shared" si="11"/>
        <v>2</v>
      </c>
      <c r="F386" s="15">
        <v>1.6438356164383561</v>
      </c>
    </row>
    <row r="387" spans="1:6" x14ac:dyDescent="0.3">
      <c r="A387" s="15">
        <v>71440</v>
      </c>
      <c r="B387" s="15" t="s">
        <v>17</v>
      </c>
      <c r="C387">
        <f t="shared" ref="C387:C450" si="12">IF(B387="Male", 1, 0)</f>
        <v>0</v>
      </c>
      <c r="D387" s="15" t="s">
        <v>30</v>
      </c>
      <c r="E387">
        <f t="shared" ref="E387:E450" si="13">IF(D387="High School",1,IF(D387="Bachelor",2,IF(D387="Master",3,IF(D387="PhD",4,""))))</f>
        <v>2</v>
      </c>
      <c r="F387" s="15">
        <v>1.7068493150684929</v>
      </c>
    </row>
    <row r="388" spans="1:6" x14ac:dyDescent="0.3">
      <c r="A388" s="15">
        <v>61839</v>
      </c>
      <c r="B388" s="15" t="s">
        <v>27</v>
      </c>
      <c r="C388">
        <f t="shared" si="12"/>
        <v>1</v>
      </c>
      <c r="D388" s="15" t="s">
        <v>30</v>
      </c>
      <c r="E388">
        <f t="shared" si="13"/>
        <v>2</v>
      </c>
      <c r="F388" s="15">
        <v>0.49315068493150682</v>
      </c>
    </row>
    <row r="389" spans="1:6" x14ac:dyDescent="0.3">
      <c r="A389" s="15">
        <v>82312</v>
      </c>
      <c r="B389" s="15" t="s">
        <v>17</v>
      </c>
      <c r="C389">
        <f t="shared" si="12"/>
        <v>0</v>
      </c>
      <c r="D389" s="15" t="s">
        <v>30</v>
      </c>
      <c r="E389">
        <f t="shared" si="13"/>
        <v>2</v>
      </c>
      <c r="F389" s="15">
        <v>8.706849315068494</v>
      </c>
    </row>
    <row r="390" spans="1:6" x14ac:dyDescent="0.3">
      <c r="A390" s="15">
        <v>88028</v>
      </c>
      <c r="B390" s="15" t="s">
        <v>27</v>
      </c>
      <c r="C390">
        <f t="shared" si="12"/>
        <v>1</v>
      </c>
      <c r="D390" s="15" t="s">
        <v>93</v>
      </c>
      <c r="E390">
        <f t="shared" si="13"/>
        <v>4</v>
      </c>
      <c r="F390" s="15">
        <v>4.4684931506849317</v>
      </c>
    </row>
    <row r="391" spans="1:6" x14ac:dyDescent="0.3">
      <c r="A391" s="15">
        <v>97258</v>
      </c>
      <c r="B391" s="15" t="s">
        <v>27</v>
      </c>
      <c r="C391">
        <f t="shared" si="12"/>
        <v>1</v>
      </c>
      <c r="D391" s="15" t="s">
        <v>30</v>
      </c>
      <c r="E391">
        <f t="shared" si="13"/>
        <v>2</v>
      </c>
      <c r="F391" s="15">
        <v>6.6082191780821917</v>
      </c>
    </row>
    <row r="392" spans="1:6" x14ac:dyDescent="0.3">
      <c r="A392" s="15">
        <v>62902</v>
      </c>
      <c r="B392" s="15" t="s">
        <v>17</v>
      </c>
      <c r="C392">
        <f t="shared" si="12"/>
        <v>0</v>
      </c>
      <c r="D392" s="15" t="s">
        <v>20</v>
      </c>
      <c r="E392">
        <f t="shared" si="13"/>
        <v>1</v>
      </c>
      <c r="F392" s="15">
        <v>8.1095890410958908</v>
      </c>
    </row>
    <row r="393" spans="1:6" x14ac:dyDescent="0.3">
      <c r="A393" s="15">
        <v>55023</v>
      </c>
      <c r="B393" s="15" t="s">
        <v>27</v>
      </c>
      <c r="C393">
        <f t="shared" si="12"/>
        <v>1</v>
      </c>
      <c r="D393" s="15" t="s">
        <v>20</v>
      </c>
      <c r="E393">
        <f t="shared" si="13"/>
        <v>1</v>
      </c>
      <c r="F393" s="15">
        <v>0.49315068493150682</v>
      </c>
    </row>
    <row r="394" spans="1:6" x14ac:dyDescent="0.3">
      <c r="A394" s="15">
        <v>69131</v>
      </c>
      <c r="B394" s="15" t="s">
        <v>27</v>
      </c>
      <c r="C394">
        <f t="shared" si="12"/>
        <v>1</v>
      </c>
      <c r="D394" s="15" t="s">
        <v>30</v>
      </c>
      <c r="E394">
        <f t="shared" si="13"/>
        <v>2</v>
      </c>
      <c r="F394" s="15">
        <v>4.9972602739726026</v>
      </c>
    </row>
    <row r="395" spans="1:6" x14ac:dyDescent="0.3">
      <c r="A395" s="15">
        <v>65842</v>
      </c>
      <c r="B395" s="15" t="s">
        <v>27</v>
      </c>
      <c r="C395">
        <f t="shared" si="12"/>
        <v>1</v>
      </c>
      <c r="D395" s="15" t="s">
        <v>30</v>
      </c>
      <c r="E395">
        <f t="shared" si="13"/>
        <v>2</v>
      </c>
      <c r="F395" s="15">
        <v>8.8054794520547937</v>
      </c>
    </row>
    <row r="396" spans="1:6" x14ac:dyDescent="0.3">
      <c r="A396" s="15">
        <v>67507</v>
      </c>
      <c r="B396" s="15" t="s">
        <v>27</v>
      </c>
      <c r="C396">
        <f t="shared" si="12"/>
        <v>1</v>
      </c>
      <c r="D396" s="15" t="s">
        <v>30</v>
      </c>
      <c r="E396">
        <f t="shared" si="13"/>
        <v>2</v>
      </c>
      <c r="F396" s="15">
        <v>1.6849315068493149</v>
      </c>
    </row>
    <row r="397" spans="1:6" x14ac:dyDescent="0.3">
      <c r="A397" s="15">
        <v>68202</v>
      </c>
      <c r="B397" s="15" t="s">
        <v>17</v>
      </c>
      <c r="C397">
        <f t="shared" si="12"/>
        <v>0</v>
      </c>
      <c r="D397" s="15" t="s">
        <v>30</v>
      </c>
      <c r="E397">
        <f t="shared" si="13"/>
        <v>2</v>
      </c>
      <c r="F397" s="15">
        <v>8.6986301369863011</v>
      </c>
    </row>
    <row r="398" spans="1:6" x14ac:dyDescent="0.3">
      <c r="A398" s="15">
        <v>54343</v>
      </c>
      <c r="B398" s="15" t="s">
        <v>17</v>
      </c>
      <c r="C398">
        <f t="shared" si="12"/>
        <v>0</v>
      </c>
      <c r="D398" s="15" t="s">
        <v>30</v>
      </c>
      <c r="E398">
        <f t="shared" si="13"/>
        <v>2</v>
      </c>
      <c r="F398" s="15">
        <v>6.2356164383561641</v>
      </c>
    </row>
    <row r="399" spans="1:6" x14ac:dyDescent="0.3">
      <c r="A399" s="15">
        <v>103091</v>
      </c>
      <c r="B399" s="15" t="s">
        <v>27</v>
      </c>
      <c r="C399">
        <f t="shared" si="12"/>
        <v>1</v>
      </c>
      <c r="D399" s="15" t="s">
        <v>30</v>
      </c>
      <c r="E399">
        <f t="shared" si="13"/>
        <v>2</v>
      </c>
      <c r="F399" s="15">
        <v>0.49315068493150682</v>
      </c>
    </row>
    <row r="400" spans="1:6" x14ac:dyDescent="0.3">
      <c r="A400" s="15">
        <v>59360</v>
      </c>
      <c r="B400" s="15" t="s">
        <v>27</v>
      </c>
      <c r="C400">
        <f t="shared" si="12"/>
        <v>1</v>
      </c>
      <c r="D400" s="15" t="s">
        <v>30</v>
      </c>
      <c r="E400">
        <f t="shared" si="13"/>
        <v>2</v>
      </c>
      <c r="F400" s="15">
        <v>0.49315068493150682</v>
      </c>
    </row>
    <row r="401" spans="1:6" x14ac:dyDescent="0.3">
      <c r="A401" s="15">
        <v>61715</v>
      </c>
      <c r="B401" s="15" t="s">
        <v>27</v>
      </c>
      <c r="C401">
        <f t="shared" si="12"/>
        <v>1</v>
      </c>
      <c r="D401" s="15" t="s">
        <v>30</v>
      </c>
      <c r="E401">
        <f t="shared" si="13"/>
        <v>2</v>
      </c>
      <c r="F401" s="15">
        <v>0.49315068493150682</v>
      </c>
    </row>
    <row r="402" spans="1:6" x14ac:dyDescent="0.3">
      <c r="A402" s="15">
        <v>54169</v>
      </c>
      <c r="B402" s="15" t="s">
        <v>27</v>
      </c>
      <c r="C402">
        <f t="shared" si="12"/>
        <v>1</v>
      </c>
      <c r="D402" s="15" t="s">
        <v>20</v>
      </c>
      <c r="E402">
        <f t="shared" si="13"/>
        <v>1</v>
      </c>
      <c r="F402" s="15">
        <v>0.49315068493150682</v>
      </c>
    </row>
    <row r="403" spans="1:6" x14ac:dyDescent="0.3">
      <c r="A403" s="15">
        <v>59545</v>
      </c>
      <c r="B403" s="15" t="s">
        <v>17</v>
      </c>
      <c r="C403">
        <f t="shared" si="12"/>
        <v>0</v>
      </c>
      <c r="D403" s="15" t="s">
        <v>20</v>
      </c>
      <c r="E403">
        <f t="shared" si="13"/>
        <v>1</v>
      </c>
      <c r="F403" s="15">
        <v>4.5835616438356164</v>
      </c>
    </row>
    <row r="404" spans="1:6" x14ac:dyDescent="0.3">
      <c r="A404" s="15">
        <v>61048</v>
      </c>
      <c r="B404" s="15" t="s">
        <v>27</v>
      </c>
      <c r="C404">
        <f t="shared" si="12"/>
        <v>1</v>
      </c>
      <c r="D404" s="15" t="s">
        <v>20</v>
      </c>
      <c r="E404">
        <f t="shared" si="13"/>
        <v>1</v>
      </c>
      <c r="F404" s="15">
        <v>2.7506849315068491</v>
      </c>
    </row>
    <row r="405" spans="1:6" x14ac:dyDescent="0.3">
      <c r="A405" s="15">
        <v>66315</v>
      </c>
      <c r="B405" s="15" t="s">
        <v>17</v>
      </c>
      <c r="C405">
        <f t="shared" si="12"/>
        <v>0</v>
      </c>
      <c r="D405" s="15" t="s">
        <v>30</v>
      </c>
      <c r="E405">
        <f t="shared" si="13"/>
        <v>2</v>
      </c>
      <c r="F405" s="15">
        <v>0.49041095890410957</v>
      </c>
    </row>
    <row r="406" spans="1:6" x14ac:dyDescent="0.3">
      <c r="A406" s="15">
        <v>85948</v>
      </c>
      <c r="B406" s="15" t="s">
        <v>27</v>
      </c>
      <c r="C406">
        <f t="shared" si="12"/>
        <v>1</v>
      </c>
      <c r="D406" s="15" t="s">
        <v>93</v>
      </c>
      <c r="E406">
        <f t="shared" si="13"/>
        <v>4</v>
      </c>
      <c r="F406" s="15">
        <v>2.216438356164383</v>
      </c>
    </row>
    <row r="407" spans="1:6" x14ac:dyDescent="0.3">
      <c r="A407" s="15">
        <v>67086</v>
      </c>
      <c r="B407" s="15" t="s">
        <v>27</v>
      </c>
      <c r="C407">
        <f t="shared" si="12"/>
        <v>1</v>
      </c>
      <c r="D407" s="15" t="s">
        <v>30</v>
      </c>
      <c r="E407">
        <f t="shared" si="13"/>
        <v>2</v>
      </c>
      <c r="F407" s="15">
        <v>1.3013698630136989</v>
      </c>
    </row>
    <row r="408" spans="1:6" x14ac:dyDescent="0.3">
      <c r="A408" s="15">
        <v>60537</v>
      </c>
      <c r="B408" s="15" t="s">
        <v>17</v>
      </c>
      <c r="C408">
        <f t="shared" si="12"/>
        <v>0</v>
      </c>
      <c r="D408" s="15" t="s">
        <v>30</v>
      </c>
      <c r="E408">
        <f t="shared" si="13"/>
        <v>2</v>
      </c>
      <c r="F408" s="15">
        <v>0.49315068493150682</v>
      </c>
    </row>
    <row r="409" spans="1:6" x14ac:dyDescent="0.3">
      <c r="A409" s="15">
        <v>57264</v>
      </c>
      <c r="B409" s="15" t="s">
        <v>17</v>
      </c>
      <c r="C409">
        <f t="shared" si="12"/>
        <v>0</v>
      </c>
      <c r="D409" s="15" t="s">
        <v>112</v>
      </c>
      <c r="E409">
        <f t="shared" si="13"/>
        <v>3</v>
      </c>
      <c r="F409" s="15">
        <v>1.0356164383561639</v>
      </c>
    </row>
    <row r="410" spans="1:6" x14ac:dyDescent="0.3">
      <c r="A410" s="15">
        <v>59603</v>
      </c>
      <c r="B410" s="15" t="s">
        <v>27</v>
      </c>
      <c r="C410">
        <f t="shared" si="12"/>
        <v>1</v>
      </c>
      <c r="D410" s="15" t="s">
        <v>20</v>
      </c>
      <c r="E410">
        <f t="shared" si="13"/>
        <v>1</v>
      </c>
      <c r="F410" s="15">
        <v>2.9424657534246581</v>
      </c>
    </row>
    <row r="411" spans="1:6" x14ac:dyDescent="0.3">
      <c r="A411" s="15">
        <v>61601</v>
      </c>
      <c r="B411" s="15" t="s">
        <v>27</v>
      </c>
      <c r="C411">
        <f t="shared" si="12"/>
        <v>1</v>
      </c>
      <c r="D411" s="15" t="s">
        <v>30</v>
      </c>
      <c r="E411">
        <f t="shared" si="13"/>
        <v>2</v>
      </c>
      <c r="F411" s="15">
        <v>0.49315068493150682</v>
      </c>
    </row>
    <row r="412" spans="1:6" x14ac:dyDescent="0.3">
      <c r="A412" s="15">
        <v>62539</v>
      </c>
      <c r="B412" s="15" t="s">
        <v>17</v>
      </c>
      <c r="C412">
        <f t="shared" si="12"/>
        <v>0</v>
      </c>
      <c r="D412" s="15" t="s">
        <v>20</v>
      </c>
      <c r="E412">
        <f t="shared" si="13"/>
        <v>1</v>
      </c>
      <c r="F412" s="15">
        <v>0.49315068493150682</v>
      </c>
    </row>
    <row r="413" spans="1:6" x14ac:dyDescent="0.3">
      <c r="A413" s="15">
        <v>60781</v>
      </c>
      <c r="B413" s="15" t="s">
        <v>17</v>
      </c>
      <c r="C413">
        <f t="shared" si="12"/>
        <v>0</v>
      </c>
      <c r="D413" s="15" t="s">
        <v>20</v>
      </c>
      <c r="E413">
        <f t="shared" si="13"/>
        <v>1</v>
      </c>
      <c r="F413" s="15">
        <v>0.49315068493150682</v>
      </c>
    </row>
    <row r="414" spans="1:6" x14ac:dyDescent="0.3">
      <c r="A414" s="15">
        <v>89319</v>
      </c>
      <c r="B414" s="15" t="s">
        <v>17</v>
      </c>
      <c r="C414">
        <f t="shared" si="12"/>
        <v>0</v>
      </c>
      <c r="D414" s="15" t="s">
        <v>30</v>
      </c>
      <c r="E414">
        <f t="shared" si="13"/>
        <v>2</v>
      </c>
      <c r="F414" s="15">
        <v>2.5534246575342472</v>
      </c>
    </row>
    <row r="415" spans="1:6" x14ac:dyDescent="0.3">
      <c r="A415" s="15">
        <v>79321</v>
      </c>
      <c r="B415" s="15" t="s">
        <v>17</v>
      </c>
      <c r="C415">
        <f t="shared" si="12"/>
        <v>0</v>
      </c>
      <c r="D415" s="15" t="s">
        <v>112</v>
      </c>
      <c r="E415">
        <f t="shared" si="13"/>
        <v>3</v>
      </c>
      <c r="F415" s="15">
        <v>0.49315068493150682</v>
      </c>
    </row>
    <row r="416" spans="1:6" x14ac:dyDescent="0.3">
      <c r="A416" s="15">
        <v>54814</v>
      </c>
      <c r="B416" s="15" t="s">
        <v>17</v>
      </c>
      <c r="C416">
        <f t="shared" si="12"/>
        <v>0</v>
      </c>
      <c r="D416" s="15" t="s">
        <v>30</v>
      </c>
      <c r="E416">
        <f t="shared" si="13"/>
        <v>2</v>
      </c>
      <c r="F416" s="15">
        <v>0.49315068493150682</v>
      </c>
    </row>
    <row r="417" spans="1:6" x14ac:dyDescent="0.3">
      <c r="A417" s="15">
        <v>90335</v>
      </c>
      <c r="B417" s="15" t="s">
        <v>17</v>
      </c>
      <c r="C417">
        <f t="shared" si="12"/>
        <v>0</v>
      </c>
      <c r="D417" s="15" t="s">
        <v>112</v>
      </c>
      <c r="E417">
        <f t="shared" si="13"/>
        <v>3</v>
      </c>
      <c r="F417" s="15">
        <v>0.49315068493150682</v>
      </c>
    </row>
    <row r="418" spans="1:6" x14ac:dyDescent="0.3">
      <c r="A418" s="15">
        <v>86323</v>
      </c>
      <c r="B418" s="15" t="s">
        <v>27</v>
      </c>
      <c r="C418">
        <f t="shared" si="12"/>
        <v>1</v>
      </c>
      <c r="D418" s="15" t="s">
        <v>30</v>
      </c>
      <c r="E418">
        <f t="shared" si="13"/>
        <v>2</v>
      </c>
      <c r="F418" s="15">
        <v>0.49315068493150682</v>
      </c>
    </row>
    <row r="419" spans="1:6" x14ac:dyDescent="0.3">
      <c r="A419" s="15">
        <v>64366</v>
      </c>
      <c r="B419" s="15" t="s">
        <v>27</v>
      </c>
      <c r="C419">
        <f t="shared" si="12"/>
        <v>1</v>
      </c>
      <c r="D419" s="15" t="s">
        <v>20</v>
      </c>
      <c r="E419">
        <f t="shared" si="13"/>
        <v>1</v>
      </c>
      <c r="F419" s="15">
        <v>3.9616438356164378</v>
      </c>
    </row>
    <row r="420" spans="1:6" x14ac:dyDescent="0.3">
      <c r="A420" s="15">
        <v>64874</v>
      </c>
      <c r="B420" s="15" t="s">
        <v>27</v>
      </c>
      <c r="C420">
        <f t="shared" si="12"/>
        <v>1</v>
      </c>
      <c r="D420" s="15" t="s">
        <v>20</v>
      </c>
      <c r="E420">
        <f t="shared" si="13"/>
        <v>1</v>
      </c>
      <c r="F420" s="15">
        <v>0.49041095890410957</v>
      </c>
    </row>
    <row r="421" spans="1:6" x14ac:dyDescent="0.3">
      <c r="A421" s="15">
        <v>106998</v>
      </c>
      <c r="B421" s="15" t="s">
        <v>17</v>
      </c>
      <c r="C421">
        <f t="shared" si="12"/>
        <v>0</v>
      </c>
      <c r="D421" s="15" t="s">
        <v>112</v>
      </c>
      <c r="E421">
        <f t="shared" si="13"/>
        <v>3</v>
      </c>
      <c r="F421" s="15">
        <v>3.5561643835616441</v>
      </c>
    </row>
    <row r="422" spans="1:6" x14ac:dyDescent="0.3">
      <c r="A422" s="15">
        <v>74915</v>
      </c>
      <c r="B422" s="15" t="s">
        <v>27</v>
      </c>
      <c r="C422">
        <f t="shared" si="12"/>
        <v>1</v>
      </c>
      <c r="D422" s="15" t="s">
        <v>112</v>
      </c>
      <c r="E422">
        <f t="shared" si="13"/>
        <v>3</v>
      </c>
      <c r="F422" s="15">
        <v>0.49315068493150682</v>
      </c>
    </row>
    <row r="423" spans="1:6" x14ac:dyDescent="0.3">
      <c r="A423" s="15">
        <v>52103</v>
      </c>
      <c r="B423" s="15" t="s">
        <v>17</v>
      </c>
      <c r="C423">
        <f t="shared" si="12"/>
        <v>0</v>
      </c>
      <c r="D423" s="15" t="s">
        <v>20</v>
      </c>
      <c r="E423">
        <f t="shared" si="13"/>
        <v>1</v>
      </c>
      <c r="F423" s="15">
        <v>0.49315068493150682</v>
      </c>
    </row>
    <row r="424" spans="1:6" x14ac:dyDescent="0.3">
      <c r="A424" s="15">
        <v>68068</v>
      </c>
      <c r="B424" s="15" t="s">
        <v>27</v>
      </c>
      <c r="C424">
        <f t="shared" si="12"/>
        <v>1</v>
      </c>
      <c r="D424" s="15" t="s">
        <v>30</v>
      </c>
      <c r="E424">
        <f t="shared" si="13"/>
        <v>2</v>
      </c>
      <c r="F424" s="15">
        <v>4.1726027397260266</v>
      </c>
    </row>
    <row r="425" spans="1:6" x14ac:dyDescent="0.3">
      <c r="A425" s="15">
        <v>55930</v>
      </c>
      <c r="B425" s="15" t="s">
        <v>17</v>
      </c>
      <c r="C425">
        <f t="shared" si="12"/>
        <v>0</v>
      </c>
      <c r="D425" s="15" t="s">
        <v>30</v>
      </c>
      <c r="E425">
        <f t="shared" si="13"/>
        <v>2</v>
      </c>
      <c r="F425" s="15">
        <v>0.49315068493150682</v>
      </c>
    </row>
    <row r="426" spans="1:6" x14ac:dyDescent="0.3">
      <c r="A426" s="15">
        <v>58847</v>
      </c>
      <c r="B426" s="15" t="s">
        <v>17</v>
      </c>
      <c r="C426">
        <f t="shared" si="12"/>
        <v>0</v>
      </c>
      <c r="D426" s="15" t="s">
        <v>30</v>
      </c>
      <c r="E426">
        <f t="shared" si="13"/>
        <v>2</v>
      </c>
      <c r="F426" s="15">
        <v>0.49315068493150682</v>
      </c>
    </row>
    <row r="427" spans="1:6" x14ac:dyDescent="0.3">
      <c r="A427" s="15">
        <v>70819</v>
      </c>
      <c r="B427" s="15" t="s">
        <v>17</v>
      </c>
      <c r="C427">
        <f t="shared" si="12"/>
        <v>0</v>
      </c>
      <c r="D427" s="15" t="s">
        <v>93</v>
      </c>
      <c r="E427">
        <f t="shared" si="13"/>
        <v>4</v>
      </c>
      <c r="F427" s="15">
        <v>6.9890410958904106</v>
      </c>
    </row>
    <row r="428" spans="1:6" x14ac:dyDescent="0.3">
      <c r="A428" s="15">
        <v>86643</v>
      </c>
      <c r="B428" s="15" t="s">
        <v>27</v>
      </c>
      <c r="C428">
        <f t="shared" si="12"/>
        <v>1</v>
      </c>
      <c r="D428" s="15" t="s">
        <v>30</v>
      </c>
      <c r="E428">
        <f t="shared" si="13"/>
        <v>2</v>
      </c>
      <c r="F428" s="15">
        <v>0.49315068493150682</v>
      </c>
    </row>
    <row r="429" spans="1:6" x14ac:dyDescent="0.3">
      <c r="A429" s="15">
        <v>60942</v>
      </c>
      <c r="B429" s="15" t="s">
        <v>17</v>
      </c>
      <c r="C429">
        <f t="shared" si="12"/>
        <v>0</v>
      </c>
      <c r="D429" s="15" t="s">
        <v>30</v>
      </c>
      <c r="E429">
        <f t="shared" si="13"/>
        <v>2</v>
      </c>
      <c r="F429" s="15">
        <v>1.424657534246575</v>
      </c>
    </row>
    <row r="430" spans="1:6" x14ac:dyDescent="0.3">
      <c r="A430" s="15">
        <v>88560</v>
      </c>
      <c r="B430" s="15" t="s">
        <v>27</v>
      </c>
      <c r="C430">
        <f t="shared" si="12"/>
        <v>1</v>
      </c>
      <c r="D430" s="15" t="s">
        <v>30</v>
      </c>
      <c r="E430">
        <f t="shared" si="13"/>
        <v>2</v>
      </c>
      <c r="F430" s="15">
        <v>1.268493150684932</v>
      </c>
    </row>
    <row r="431" spans="1:6" x14ac:dyDescent="0.3">
      <c r="A431" s="15">
        <v>57135</v>
      </c>
      <c r="B431" s="15" t="s">
        <v>27</v>
      </c>
      <c r="C431">
        <f t="shared" si="12"/>
        <v>1</v>
      </c>
      <c r="D431" s="15" t="s">
        <v>20</v>
      </c>
      <c r="E431">
        <f t="shared" si="13"/>
        <v>1</v>
      </c>
      <c r="F431" s="15">
        <v>6.1479452054794521</v>
      </c>
    </row>
    <row r="432" spans="1:6" x14ac:dyDescent="0.3">
      <c r="A432" s="15">
        <v>63169</v>
      </c>
      <c r="B432" s="15" t="s">
        <v>27</v>
      </c>
      <c r="C432">
        <f t="shared" si="12"/>
        <v>1</v>
      </c>
      <c r="D432" s="15" t="s">
        <v>30</v>
      </c>
      <c r="E432">
        <f t="shared" si="13"/>
        <v>2</v>
      </c>
      <c r="F432" s="15">
        <v>3.43013698630137</v>
      </c>
    </row>
    <row r="433" spans="1:6" x14ac:dyDescent="0.3">
      <c r="A433" s="15">
        <v>65631</v>
      </c>
      <c r="B433" s="15" t="s">
        <v>17</v>
      </c>
      <c r="C433">
        <f t="shared" si="12"/>
        <v>0</v>
      </c>
      <c r="D433" s="15" t="s">
        <v>30</v>
      </c>
      <c r="E433">
        <f t="shared" si="13"/>
        <v>2</v>
      </c>
      <c r="F433" s="15">
        <v>6.6986301369863011</v>
      </c>
    </row>
    <row r="434" spans="1:6" x14ac:dyDescent="0.3">
      <c r="A434" s="15">
        <v>88827</v>
      </c>
      <c r="B434" s="15" t="s">
        <v>27</v>
      </c>
      <c r="C434">
        <f t="shared" si="12"/>
        <v>1</v>
      </c>
      <c r="D434" s="15" t="s">
        <v>30</v>
      </c>
      <c r="E434">
        <f t="shared" si="13"/>
        <v>2</v>
      </c>
      <c r="F434" s="15">
        <v>0.49315068493150682</v>
      </c>
    </row>
    <row r="435" spans="1:6" x14ac:dyDescent="0.3">
      <c r="A435" s="15">
        <v>78171</v>
      </c>
      <c r="B435" s="15" t="s">
        <v>17</v>
      </c>
      <c r="C435">
        <f t="shared" si="12"/>
        <v>0</v>
      </c>
      <c r="D435" s="15" t="s">
        <v>112</v>
      </c>
      <c r="E435">
        <f t="shared" si="13"/>
        <v>3</v>
      </c>
      <c r="F435" s="15">
        <v>2.9643835616438361</v>
      </c>
    </row>
    <row r="436" spans="1:6" x14ac:dyDescent="0.3">
      <c r="A436" s="15">
        <v>75714</v>
      </c>
      <c r="B436" s="15" t="s">
        <v>17</v>
      </c>
      <c r="C436">
        <f t="shared" si="12"/>
        <v>0</v>
      </c>
      <c r="D436" s="15" t="s">
        <v>30</v>
      </c>
      <c r="E436">
        <f t="shared" si="13"/>
        <v>2</v>
      </c>
      <c r="F436" s="15">
        <v>0.49315068493150682</v>
      </c>
    </row>
    <row r="437" spans="1:6" x14ac:dyDescent="0.3">
      <c r="A437" s="15">
        <v>88335</v>
      </c>
      <c r="B437" s="15" t="s">
        <v>17</v>
      </c>
      <c r="C437">
        <f t="shared" si="12"/>
        <v>0</v>
      </c>
      <c r="D437" s="15" t="s">
        <v>112</v>
      </c>
      <c r="E437">
        <f t="shared" si="13"/>
        <v>3</v>
      </c>
      <c r="F437" s="15">
        <v>1.8</v>
      </c>
    </row>
    <row r="438" spans="1:6" x14ac:dyDescent="0.3">
      <c r="A438" s="15">
        <v>74004</v>
      </c>
      <c r="B438" s="15" t="s">
        <v>27</v>
      </c>
      <c r="C438">
        <f t="shared" si="12"/>
        <v>1</v>
      </c>
      <c r="D438" s="15" t="s">
        <v>20</v>
      </c>
      <c r="E438">
        <f t="shared" si="13"/>
        <v>1</v>
      </c>
      <c r="F438" s="15">
        <v>6.1452054794520548</v>
      </c>
    </row>
    <row r="439" spans="1:6" x14ac:dyDescent="0.3">
      <c r="A439" s="15">
        <v>69688</v>
      </c>
      <c r="B439" s="15" t="s">
        <v>27</v>
      </c>
      <c r="C439">
        <f t="shared" si="12"/>
        <v>1</v>
      </c>
      <c r="D439" s="15" t="s">
        <v>30</v>
      </c>
      <c r="E439">
        <f t="shared" si="13"/>
        <v>2</v>
      </c>
      <c r="F439" s="15">
        <v>0.49315068493150682</v>
      </c>
    </row>
    <row r="440" spans="1:6" x14ac:dyDescent="0.3">
      <c r="A440" s="15">
        <v>103528</v>
      </c>
      <c r="B440" s="15" t="s">
        <v>17</v>
      </c>
      <c r="C440">
        <f t="shared" si="12"/>
        <v>0</v>
      </c>
      <c r="D440" s="15" t="s">
        <v>112</v>
      </c>
      <c r="E440">
        <f t="shared" si="13"/>
        <v>3</v>
      </c>
      <c r="F440" s="15">
        <v>2.246575342465754</v>
      </c>
    </row>
    <row r="441" spans="1:6" x14ac:dyDescent="0.3">
      <c r="A441" s="15">
        <v>83745</v>
      </c>
      <c r="B441" s="15" t="s">
        <v>27</v>
      </c>
      <c r="C441">
        <f t="shared" si="12"/>
        <v>1</v>
      </c>
      <c r="D441" s="15" t="s">
        <v>30</v>
      </c>
      <c r="E441">
        <f t="shared" si="13"/>
        <v>2</v>
      </c>
      <c r="F441" s="15">
        <v>3.0301369863013701</v>
      </c>
    </row>
    <row r="442" spans="1:6" x14ac:dyDescent="0.3">
      <c r="A442" s="15">
        <v>79998</v>
      </c>
      <c r="B442" s="15" t="s">
        <v>17</v>
      </c>
      <c r="C442">
        <f t="shared" si="12"/>
        <v>0</v>
      </c>
      <c r="D442" s="15" t="s">
        <v>93</v>
      </c>
      <c r="E442">
        <f t="shared" si="13"/>
        <v>4</v>
      </c>
      <c r="F442" s="15">
        <v>0.49315068493150682</v>
      </c>
    </row>
    <row r="443" spans="1:6" x14ac:dyDescent="0.3">
      <c r="A443" s="15">
        <v>56282</v>
      </c>
      <c r="B443" s="15" t="s">
        <v>17</v>
      </c>
      <c r="C443">
        <f t="shared" si="12"/>
        <v>0</v>
      </c>
      <c r="D443" s="15" t="s">
        <v>20</v>
      </c>
      <c r="E443">
        <f t="shared" si="13"/>
        <v>1</v>
      </c>
      <c r="F443" s="15">
        <v>5.3671232876712329</v>
      </c>
    </row>
    <row r="444" spans="1:6" x14ac:dyDescent="0.3">
      <c r="A444" s="15">
        <v>61488</v>
      </c>
      <c r="B444" s="15" t="s">
        <v>27</v>
      </c>
      <c r="C444">
        <f t="shared" si="12"/>
        <v>1</v>
      </c>
      <c r="D444" s="15" t="s">
        <v>30</v>
      </c>
      <c r="E444">
        <f t="shared" si="13"/>
        <v>2</v>
      </c>
      <c r="F444" s="15">
        <v>0.49315068493150682</v>
      </c>
    </row>
    <row r="445" spans="1:6" x14ac:dyDescent="0.3">
      <c r="A445" s="15">
        <v>54570</v>
      </c>
      <c r="B445" s="15" t="s">
        <v>17</v>
      </c>
      <c r="C445">
        <f t="shared" si="12"/>
        <v>0</v>
      </c>
      <c r="D445" s="15" t="s">
        <v>30</v>
      </c>
      <c r="E445">
        <f t="shared" si="13"/>
        <v>2</v>
      </c>
      <c r="F445" s="15">
        <v>0.49315068493150682</v>
      </c>
    </row>
    <row r="446" spans="1:6" x14ac:dyDescent="0.3">
      <c r="A446" s="15">
        <v>58678</v>
      </c>
      <c r="B446" s="15" t="s">
        <v>17</v>
      </c>
      <c r="C446">
        <f t="shared" si="12"/>
        <v>0</v>
      </c>
      <c r="D446" s="15" t="s">
        <v>30</v>
      </c>
      <c r="E446">
        <f t="shared" si="13"/>
        <v>2</v>
      </c>
      <c r="F446" s="15">
        <v>2.9863013698630141</v>
      </c>
    </row>
    <row r="447" spans="1:6" x14ac:dyDescent="0.3">
      <c r="A447" s="15">
        <v>63760</v>
      </c>
      <c r="B447" s="15" t="s">
        <v>27</v>
      </c>
      <c r="C447">
        <f t="shared" si="12"/>
        <v>1</v>
      </c>
      <c r="D447" s="15" t="s">
        <v>20</v>
      </c>
      <c r="E447">
        <f t="shared" si="13"/>
        <v>1</v>
      </c>
      <c r="F447" s="15">
        <v>5.6136986301369856</v>
      </c>
    </row>
    <row r="448" spans="1:6" x14ac:dyDescent="0.3">
      <c r="A448" s="15">
        <v>91567</v>
      </c>
      <c r="B448" s="15" t="s">
        <v>27</v>
      </c>
      <c r="C448">
        <f t="shared" si="12"/>
        <v>1</v>
      </c>
      <c r="D448" s="15" t="s">
        <v>30</v>
      </c>
      <c r="E448">
        <f t="shared" si="13"/>
        <v>2</v>
      </c>
      <c r="F448" s="15">
        <v>0.49041095890410957</v>
      </c>
    </row>
    <row r="449" spans="1:6" x14ac:dyDescent="0.3">
      <c r="A449" s="15">
        <v>56722</v>
      </c>
      <c r="B449" s="15" t="s">
        <v>17</v>
      </c>
      <c r="C449">
        <f t="shared" si="12"/>
        <v>0</v>
      </c>
      <c r="D449" s="15" t="s">
        <v>30</v>
      </c>
      <c r="E449">
        <f t="shared" si="13"/>
        <v>2</v>
      </c>
      <c r="F449" s="15">
        <v>3.6301369863013702</v>
      </c>
    </row>
    <row r="450" spans="1:6" x14ac:dyDescent="0.3">
      <c r="A450" s="15">
        <v>85152</v>
      </c>
      <c r="B450" s="15" t="s">
        <v>17</v>
      </c>
      <c r="C450">
        <f t="shared" si="12"/>
        <v>0</v>
      </c>
      <c r="D450" s="15" t="s">
        <v>112</v>
      </c>
      <c r="E450">
        <f t="shared" si="13"/>
        <v>3</v>
      </c>
      <c r="F450" s="15">
        <v>0.49315068493150682</v>
      </c>
    </row>
    <row r="451" spans="1:6" x14ac:dyDescent="0.3">
      <c r="A451" s="15">
        <v>56998</v>
      </c>
      <c r="B451" s="15" t="s">
        <v>17</v>
      </c>
      <c r="C451">
        <f t="shared" ref="C451:C514" si="14">IF(B451="Male", 1, 0)</f>
        <v>0</v>
      </c>
      <c r="D451" s="15" t="s">
        <v>20</v>
      </c>
      <c r="E451">
        <f t="shared" ref="E451:E514" si="15">IF(D451="High School",1,IF(D451="Bachelor",2,IF(D451="Master",3,IF(D451="PhD",4,""))))</f>
        <v>1</v>
      </c>
      <c r="F451" s="15">
        <v>4.7397260273972606</v>
      </c>
    </row>
    <row r="452" spans="1:6" x14ac:dyDescent="0.3">
      <c r="A452" s="15">
        <v>79402</v>
      </c>
      <c r="B452" s="15" t="s">
        <v>27</v>
      </c>
      <c r="C452">
        <f t="shared" si="14"/>
        <v>1</v>
      </c>
      <c r="D452" s="15" t="s">
        <v>112</v>
      </c>
      <c r="E452">
        <f t="shared" si="15"/>
        <v>3</v>
      </c>
      <c r="F452" s="15">
        <v>0.49041095890410957</v>
      </c>
    </row>
    <row r="453" spans="1:6" x14ac:dyDescent="0.3">
      <c r="A453" s="15">
        <v>55752</v>
      </c>
      <c r="B453" s="15" t="s">
        <v>17</v>
      </c>
      <c r="C453">
        <f t="shared" si="14"/>
        <v>0</v>
      </c>
      <c r="D453" s="15" t="s">
        <v>20</v>
      </c>
      <c r="E453">
        <f t="shared" si="15"/>
        <v>1</v>
      </c>
      <c r="F453" s="15">
        <v>0.49315068493150682</v>
      </c>
    </row>
    <row r="454" spans="1:6" x14ac:dyDescent="0.3">
      <c r="A454" s="15">
        <v>64892</v>
      </c>
      <c r="B454" s="15" t="s">
        <v>27</v>
      </c>
      <c r="C454">
        <f t="shared" si="14"/>
        <v>1</v>
      </c>
      <c r="D454" s="15" t="s">
        <v>30</v>
      </c>
      <c r="E454">
        <f t="shared" si="15"/>
        <v>2</v>
      </c>
      <c r="F454" s="15">
        <v>0.49041095890410957</v>
      </c>
    </row>
    <row r="455" spans="1:6" x14ac:dyDescent="0.3">
      <c r="A455" s="15">
        <v>70789</v>
      </c>
      <c r="B455" s="15" t="s">
        <v>27</v>
      </c>
      <c r="C455">
        <f t="shared" si="14"/>
        <v>1</v>
      </c>
      <c r="D455" s="15" t="s">
        <v>30</v>
      </c>
      <c r="E455">
        <f t="shared" si="15"/>
        <v>2</v>
      </c>
      <c r="F455" s="15">
        <v>0.49315068493150682</v>
      </c>
    </row>
    <row r="456" spans="1:6" x14ac:dyDescent="0.3">
      <c r="A456" s="15">
        <v>53320</v>
      </c>
      <c r="B456" s="15" t="s">
        <v>17</v>
      </c>
      <c r="C456">
        <f t="shared" si="14"/>
        <v>0</v>
      </c>
      <c r="D456" s="15" t="s">
        <v>30</v>
      </c>
      <c r="E456">
        <f t="shared" si="15"/>
        <v>2</v>
      </c>
      <c r="F456" s="15">
        <v>8.1068493150684926</v>
      </c>
    </row>
    <row r="457" spans="1:6" x14ac:dyDescent="0.3">
      <c r="A457" s="15">
        <v>74235</v>
      </c>
      <c r="B457" s="15" t="s">
        <v>27</v>
      </c>
      <c r="C457">
        <f t="shared" si="14"/>
        <v>1</v>
      </c>
      <c r="D457" s="15" t="s">
        <v>93</v>
      </c>
      <c r="E457">
        <f t="shared" si="15"/>
        <v>4</v>
      </c>
      <c r="F457" s="15">
        <v>1.0520547945205481</v>
      </c>
    </row>
    <row r="458" spans="1:6" x14ac:dyDescent="0.3">
      <c r="A458" s="15">
        <v>68058</v>
      </c>
      <c r="B458" s="15" t="s">
        <v>27</v>
      </c>
      <c r="C458">
        <f t="shared" si="14"/>
        <v>1</v>
      </c>
      <c r="D458" s="15" t="s">
        <v>30</v>
      </c>
      <c r="E458">
        <f t="shared" si="15"/>
        <v>2</v>
      </c>
      <c r="F458" s="15">
        <v>2.095890410958904</v>
      </c>
    </row>
    <row r="459" spans="1:6" x14ac:dyDescent="0.3">
      <c r="A459" s="15">
        <v>88518</v>
      </c>
      <c r="B459" s="15" t="s">
        <v>27</v>
      </c>
      <c r="C459">
        <f t="shared" si="14"/>
        <v>1</v>
      </c>
      <c r="D459" s="15" t="s">
        <v>30</v>
      </c>
      <c r="E459">
        <f t="shared" si="15"/>
        <v>2</v>
      </c>
      <c r="F459" s="15">
        <v>7.3232876712328769</v>
      </c>
    </row>
    <row r="460" spans="1:6" x14ac:dyDescent="0.3">
      <c r="A460" s="15">
        <v>74100</v>
      </c>
      <c r="B460" s="15" t="s">
        <v>27</v>
      </c>
      <c r="C460">
        <f t="shared" si="14"/>
        <v>1</v>
      </c>
      <c r="D460" s="15" t="s">
        <v>30</v>
      </c>
      <c r="E460">
        <f t="shared" si="15"/>
        <v>2</v>
      </c>
      <c r="F460" s="15">
        <v>0.49315068493150682</v>
      </c>
    </row>
    <row r="461" spans="1:6" x14ac:dyDescent="0.3">
      <c r="A461" s="15">
        <v>68805</v>
      </c>
      <c r="B461" s="15" t="s">
        <v>27</v>
      </c>
      <c r="C461">
        <f t="shared" si="14"/>
        <v>1</v>
      </c>
      <c r="D461" s="15" t="s">
        <v>30</v>
      </c>
      <c r="E461">
        <f t="shared" si="15"/>
        <v>2</v>
      </c>
      <c r="F461" s="15">
        <v>4.1863013698630134</v>
      </c>
    </row>
    <row r="462" spans="1:6" x14ac:dyDescent="0.3">
      <c r="A462" s="15">
        <v>70602</v>
      </c>
      <c r="B462" s="15" t="s">
        <v>27</v>
      </c>
      <c r="C462">
        <f t="shared" si="14"/>
        <v>1</v>
      </c>
      <c r="D462" s="15" t="s">
        <v>93</v>
      </c>
      <c r="E462">
        <f t="shared" si="15"/>
        <v>4</v>
      </c>
      <c r="F462" s="15">
        <v>0.49315068493150682</v>
      </c>
    </row>
    <row r="463" spans="1:6" x14ac:dyDescent="0.3">
      <c r="A463" s="15">
        <v>57414</v>
      </c>
      <c r="B463" s="15" t="s">
        <v>17</v>
      </c>
      <c r="C463">
        <f t="shared" si="14"/>
        <v>0</v>
      </c>
      <c r="D463" s="15" t="s">
        <v>30</v>
      </c>
      <c r="E463">
        <f t="shared" si="15"/>
        <v>2</v>
      </c>
      <c r="F463" s="15">
        <v>1.9506849315068491</v>
      </c>
    </row>
    <row r="464" spans="1:6" x14ac:dyDescent="0.3">
      <c r="A464" s="15">
        <v>57147</v>
      </c>
      <c r="B464" s="15" t="s">
        <v>27</v>
      </c>
      <c r="C464">
        <f t="shared" si="14"/>
        <v>1</v>
      </c>
      <c r="D464" s="15" t="s">
        <v>20</v>
      </c>
      <c r="E464">
        <f t="shared" si="15"/>
        <v>1</v>
      </c>
      <c r="F464" s="15">
        <v>0.49315068493150682</v>
      </c>
    </row>
    <row r="465" spans="1:6" x14ac:dyDescent="0.3">
      <c r="A465" s="15">
        <v>71339</v>
      </c>
      <c r="B465" s="15" t="s">
        <v>27</v>
      </c>
      <c r="C465">
        <f t="shared" si="14"/>
        <v>1</v>
      </c>
      <c r="D465" s="15" t="s">
        <v>30</v>
      </c>
      <c r="E465">
        <f t="shared" si="15"/>
        <v>2</v>
      </c>
      <c r="F465" s="15">
        <v>2.6547945205479451</v>
      </c>
    </row>
    <row r="466" spans="1:6" x14ac:dyDescent="0.3">
      <c r="A466" s="15">
        <v>91584</v>
      </c>
      <c r="B466" s="15" t="s">
        <v>17</v>
      </c>
      <c r="C466">
        <f t="shared" si="14"/>
        <v>0</v>
      </c>
      <c r="D466" s="15" t="s">
        <v>30</v>
      </c>
      <c r="E466">
        <f t="shared" si="15"/>
        <v>2</v>
      </c>
      <c r="F466" s="15">
        <v>3.9726027397260268</v>
      </c>
    </row>
    <row r="467" spans="1:6" x14ac:dyDescent="0.3">
      <c r="A467" s="15">
        <v>122140</v>
      </c>
      <c r="B467" s="15" t="s">
        <v>27</v>
      </c>
      <c r="C467">
        <f t="shared" si="14"/>
        <v>1</v>
      </c>
      <c r="D467" s="15" t="s">
        <v>93</v>
      </c>
      <c r="E467">
        <f t="shared" si="15"/>
        <v>4</v>
      </c>
      <c r="F467" s="15">
        <v>4.8410958904109593</v>
      </c>
    </row>
    <row r="468" spans="1:6" x14ac:dyDescent="0.3">
      <c r="A468" s="15">
        <v>73999</v>
      </c>
      <c r="B468" s="15" t="s">
        <v>27</v>
      </c>
      <c r="C468">
        <f t="shared" si="14"/>
        <v>1</v>
      </c>
      <c r="D468" s="15" t="s">
        <v>30</v>
      </c>
      <c r="E468">
        <f t="shared" si="15"/>
        <v>2</v>
      </c>
      <c r="F468" s="15">
        <v>1.52054794520548</v>
      </c>
    </row>
    <row r="469" spans="1:6" x14ac:dyDescent="0.3">
      <c r="A469" s="15">
        <v>67909</v>
      </c>
      <c r="B469" s="15" t="s">
        <v>27</v>
      </c>
      <c r="C469">
        <f t="shared" si="14"/>
        <v>1</v>
      </c>
      <c r="D469" s="15" t="s">
        <v>30</v>
      </c>
      <c r="E469">
        <f t="shared" si="15"/>
        <v>2</v>
      </c>
      <c r="F469" s="15">
        <v>4.043835616438356</v>
      </c>
    </row>
    <row r="470" spans="1:6" x14ac:dyDescent="0.3">
      <c r="A470" s="15">
        <v>64203</v>
      </c>
      <c r="B470" s="15" t="s">
        <v>27</v>
      </c>
      <c r="C470">
        <f t="shared" si="14"/>
        <v>1</v>
      </c>
      <c r="D470" s="15" t="s">
        <v>20</v>
      </c>
      <c r="E470">
        <f t="shared" si="15"/>
        <v>1</v>
      </c>
      <c r="F470" s="15">
        <v>5.7561643835616438</v>
      </c>
    </row>
    <row r="471" spans="1:6" x14ac:dyDescent="0.3">
      <c r="A471" s="15">
        <v>78187</v>
      </c>
      <c r="B471" s="15" t="s">
        <v>27</v>
      </c>
      <c r="C471">
        <f t="shared" si="14"/>
        <v>1</v>
      </c>
      <c r="D471" s="15" t="s">
        <v>112</v>
      </c>
      <c r="E471">
        <f t="shared" si="15"/>
        <v>3</v>
      </c>
      <c r="F471" s="15">
        <v>0.49315068493150682</v>
      </c>
    </row>
    <row r="472" spans="1:6" x14ac:dyDescent="0.3">
      <c r="A472" s="15">
        <v>54812</v>
      </c>
      <c r="B472" s="15" t="s">
        <v>17</v>
      </c>
      <c r="C472">
        <f t="shared" si="14"/>
        <v>0</v>
      </c>
      <c r="D472" s="15" t="s">
        <v>30</v>
      </c>
      <c r="E472">
        <f t="shared" si="15"/>
        <v>2</v>
      </c>
      <c r="F472" s="15">
        <v>0.49315068493150682</v>
      </c>
    </row>
    <row r="473" spans="1:6" x14ac:dyDescent="0.3">
      <c r="A473" s="15">
        <v>54046</v>
      </c>
      <c r="B473" s="15" t="s">
        <v>17</v>
      </c>
      <c r="C473">
        <f t="shared" si="14"/>
        <v>0</v>
      </c>
      <c r="D473" s="15" t="s">
        <v>30</v>
      </c>
      <c r="E473">
        <f t="shared" si="15"/>
        <v>2</v>
      </c>
      <c r="F473" s="15">
        <v>0.49315068493150682</v>
      </c>
    </row>
    <row r="474" spans="1:6" x14ac:dyDescent="0.3">
      <c r="A474" s="15">
        <v>64441</v>
      </c>
      <c r="B474" s="15" t="s">
        <v>27</v>
      </c>
      <c r="C474">
        <f t="shared" si="14"/>
        <v>1</v>
      </c>
      <c r="D474" s="15" t="s">
        <v>30</v>
      </c>
      <c r="E474">
        <f t="shared" si="15"/>
        <v>2</v>
      </c>
      <c r="F474" s="15">
        <v>8.4246575342465757</v>
      </c>
    </row>
    <row r="475" spans="1:6" x14ac:dyDescent="0.3">
      <c r="A475" s="15">
        <v>61791</v>
      </c>
      <c r="B475" s="15" t="s">
        <v>27</v>
      </c>
      <c r="C475">
        <f t="shared" si="14"/>
        <v>1</v>
      </c>
      <c r="D475" s="15" t="s">
        <v>20</v>
      </c>
      <c r="E475">
        <f t="shared" si="15"/>
        <v>1</v>
      </c>
      <c r="F475" s="15">
        <v>9.5452054794520542</v>
      </c>
    </row>
    <row r="476" spans="1:6" x14ac:dyDescent="0.3">
      <c r="A476" s="15">
        <v>73946</v>
      </c>
      <c r="B476" s="15" t="s">
        <v>17</v>
      </c>
      <c r="C476">
        <f t="shared" si="14"/>
        <v>0</v>
      </c>
      <c r="D476" s="15" t="s">
        <v>30</v>
      </c>
      <c r="E476">
        <f t="shared" si="15"/>
        <v>2</v>
      </c>
      <c r="F476" s="15">
        <v>0.49315068493150682</v>
      </c>
    </row>
    <row r="477" spans="1:6" x14ac:dyDescent="0.3">
      <c r="A477" s="15">
        <v>61906</v>
      </c>
      <c r="B477" s="15" t="s">
        <v>17</v>
      </c>
      <c r="C477">
        <f t="shared" si="14"/>
        <v>0</v>
      </c>
      <c r="D477" s="15" t="s">
        <v>30</v>
      </c>
      <c r="E477">
        <f t="shared" si="15"/>
        <v>2</v>
      </c>
      <c r="F477" s="15">
        <v>0.49315068493150682</v>
      </c>
    </row>
    <row r="478" spans="1:6" x14ac:dyDescent="0.3">
      <c r="A478" s="15">
        <v>94377</v>
      </c>
      <c r="B478" s="15" t="s">
        <v>27</v>
      </c>
      <c r="C478">
        <f t="shared" si="14"/>
        <v>1</v>
      </c>
      <c r="D478" s="15" t="s">
        <v>30</v>
      </c>
      <c r="E478">
        <f t="shared" si="15"/>
        <v>2</v>
      </c>
      <c r="F478" s="15">
        <v>3.0904109589041102</v>
      </c>
    </row>
    <row r="479" spans="1:6" x14ac:dyDescent="0.3">
      <c r="A479" s="15">
        <v>57243</v>
      </c>
      <c r="B479" s="15" t="s">
        <v>17</v>
      </c>
      <c r="C479">
        <f t="shared" si="14"/>
        <v>0</v>
      </c>
      <c r="D479" s="15" t="s">
        <v>30</v>
      </c>
      <c r="E479">
        <f t="shared" si="15"/>
        <v>2</v>
      </c>
      <c r="F479" s="15">
        <v>0.49315068493150682</v>
      </c>
    </row>
    <row r="480" spans="1:6" x14ac:dyDescent="0.3">
      <c r="A480" s="15">
        <v>89439</v>
      </c>
      <c r="B480" s="15" t="s">
        <v>27</v>
      </c>
      <c r="C480">
        <f t="shared" si="14"/>
        <v>1</v>
      </c>
      <c r="D480" s="15" t="s">
        <v>112</v>
      </c>
      <c r="E480">
        <f t="shared" si="15"/>
        <v>3</v>
      </c>
      <c r="F480" s="15">
        <v>0.69315068493150689</v>
      </c>
    </row>
    <row r="481" spans="1:6" x14ac:dyDescent="0.3">
      <c r="A481" s="15">
        <v>113040</v>
      </c>
      <c r="B481" s="15" t="s">
        <v>27</v>
      </c>
      <c r="C481">
        <f t="shared" si="14"/>
        <v>1</v>
      </c>
      <c r="D481" s="15" t="s">
        <v>30</v>
      </c>
      <c r="E481">
        <f t="shared" si="15"/>
        <v>2</v>
      </c>
      <c r="F481" s="15">
        <v>0.49315068493150682</v>
      </c>
    </row>
    <row r="482" spans="1:6" x14ac:dyDescent="0.3">
      <c r="A482" s="15">
        <v>81588</v>
      </c>
      <c r="B482" s="15" t="s">
        <v>27</v>
      </c>
      <c r="C482">
        <f t="shared" si="14"/>
        <v>1</v>
      </c>
      <c r="D482" s="15" t="s">
        <v>112</v>
      </c>
      <c r="E482">
        <f t="shared" si="15"/>
        <v>3</v>
      </c>
      <c r="F482" s="15">
        <v>3.1013698630136992</v>
      </c>
    </row>
    <row r="483" spans="1:6" x14ac:dyDescent="0.3">
      <c r="A483" s="15">
        <v>70593</v>
      </c>
      <c r="B483" s="15" t="s">
        <v>17</v>
      </c>
      <c r="C483">
        <f t="shared" si="14"/>
        <v>0</v>
      </c>
      <c r="D483" s="15" t="s">
        <v>30</v>
      </c>
      <c r="E483">
        <f t="shared" si="15"/>
        <v>2</v>
      </c>
      <c r="F483" s="15">
        <v>5.1342465753424653</v>
      </c>
    </row>
    <row r="484" spans="1:6" x14ac:dyDescent="0.3">
      <c r="A484" s="15">
        <v>74000</v>
      </c>
      <c r="B484" s="15" t="s">
        <v>27</v>
      </c>
      <c r="C484">
        <f t="shared" si="14"/>
        <v>1</v>
      </c>
      <c r="D484" s="15" t="s">
        <v>112</v>
      </c>
      <c r="E484">
        <f t="shared" si="15"/>
        <v>3</v>
      </c>
      <c r="F484" s="15">
        <v>0.49315068493150682</v>
      </c>
    </row>
    <row r="485" spans="1:6" x14ac:dyDescent="0.3">
      <c r="A485" s="15">
        <v>60242</v>
      </c>
      <c r="B485" s="15" t="s">
        <v>27</v>
      </c>
      <c r="C485">
        <f t="shared" si="14"/>
        <v>1</v>
      </c>
      <c r="D485" s="15" t="s">
        <v>20</v>
      </c>
      <c r="E485">
        <f t="shared" si="15"/>
        <v>1</v>
      </c>
      <c r="F485" s="15">
        <v>0.49315068493150682</v>
      </c>
    </row>
    <row r="486" spans="1:6" x14ac:dyDescent="0.3">
      <c r="A486" s="15">
        <v>67201</v>
      </c>
      <c r="B486" s="15" t="s">
        <v>27</v>
      </c>
      <c r="C486">
        <f t="shared" si="14"/>
        <v>1</v>
      </c>
      <c r="D486" s="15" t="s">
        <v>112</v>
      </c>
      <c r="E486">
        <f t="shared" si="15"/>
        <v>3</v>
      </c>
      <c r="F486" s="15">
        <v>0.49315068493150682</v>
      </c>
    </row>
    <row r="487" spans="1:6" x14ac:dyDescent="0.3">
      <c r="A487" s="15">
        <v>60073</v>
      </c>
      <c r="B487" s="15" t="s">
        <v>17</v>
      </c>
      <c r="C487">
        <f t="shared" si="14"/>
        <v>0</v>
      </c>
      <c r="D487" s="15" t="s">
        <v>30</v>
      </c>
      <c r="E487">
        <f t="shared" si="15"/>
        <v>2</v>
      </c>
      <c r="F487" s="15">
        <v>2.5643835616438362</v>
      </c>
    </row>
    <row r="488" spans="1:6" x14ac:dyDescent="0.3">
      <c r="A488" s="15">
        <v>58810</v>
      </c>
      <c r="B488" s="15" t="s">
        <v>17</v>
      </c>
      <c r="C488">
        <f t="shared" si="14"/>
        <v>0</v>
      </c>
      <c r="D488" s="15" t="s">
        <v>20</v>
      </c>
      <c r="E488">
        <f t="shared" si="15"/>
        <v>1</v>
      </c>
      <c r="F488" s="15">
        <v>0.49315068493150682</v>
      </c>
    </row>
    <row r="489" spans="1:6" x14ac:dyDescent="0.3">
      <c r="A489" s="15">
        <v>58882</v>
      </c>
      <c r="B489" s="15" t="s">
        <v>17</v>
      </c>
      <c r="C489">
        <f t="shared" si="14"/>
        <v>0</v>
      </c>
      <c r="D489" s="15" t="s">
        <v>20</v>
      </c>
      <c r="E489">
        <f t="shared" si="15"/>
        <v>1</v>
      </c>
      <c r="F489" s="15">
        <v>0.79178082191780819</v>
      </c>
    </row>
    <row r="490" spans="1:6" x14ac:dyDescent="0.3">
      <c r="A490" s="15">
        <v>77136</v>
      </c>
      <c r="B490" s="15" t="s">
        <v>27</v>
      </c>
      <c r="C490">
        <f t="shared" si="14"/>
        <v>1</v>
      </c>
      <c r="D490" s="15" t="s">
        <v>93</v>
      </c>
      <c r="E490">
        <f t="shared" si="15"/>
        <v>4</v>
      </c>
      <c r="F490" s="15">
        <v>1.0027397260273969</v>
      </c>
    </row>
    <row r="491" spans="1:6" x14ac:dyDescent="0.3">
      <c r="A491" s="15">
        <v>85655</v>
      </c>
      <c r="B491" s="15" t="s">
        <v>27</v>
      </c>
      <c r="C491">
        <f t="shared" si="14"/>
        <v>1</v>
      </c>
      <c r="D491" s="15" t="s">
        <v>93</v>
      </c>
      <c r="E491">
        <f t="shared" si="15"/>
        <v>4</v>
      </c>
      <c r="F491" s="15">
        <v>4.8328767123287673</v>
      </c>
    </row>
    <row r="492" spans="1:6" x14ac:dyDescent="0.3">
      <c r="A492" s="15">
        <v>63732</v>
      </c>
      <c r="B492" s="15" t="s">
        <v>27</v>
      </c>
      <c r="C492">
        <f t="shared" si="14"/>
        <v>1</v>
      </c>
      <c r="D492" s="15" t="s">
        <v>30</v>
      </c>
      <c r="E492">
        <f t="shared" si="15"/>
        <v>2</v>
      </c>
      <c r="F492" s="15">
        <v>0.9506849315068493</v>
      </c>
    </row>
    <row r="493" spans="1:6" x14ac:dyDescent="0.3">
      <c r="A493" s="15">
        <v>62658</v>
      </c>
      <c r="B493" s="15" t="s">
        <v>17</v>
      </c>
      <c r="C493">
        <f t="shared" si="14"/>
        <v>0</v>
      </c>
      <c r="D493" s="15" t="s">
        <v>30</v>
      </c>
      <c r="E493">
        <f t="shared" si="15"/>
        <v>2</v>
      </c>
      <c r="F493" s="15">
        <v>0.49315068493150682</v>
      </c>
    </row>
    <row r="494" spans="1:6" x14ac:dyDescent="0.3">
      <c r="A494" s="15">
        <v>59333</v>
      </c>
      <c r="B494" s="15" t="s">
        <v>27</v>
      </c>
      <c r="C494">
        <f t="shared" si="14"/>
        <v>1</v>
      </c>
      <c r="D494" s="15" t="s">
        <v>20</v>
      </c>
      <c r="E494">
        <f t="shared" si="15"/>
        <v>1</v>
      </c>
      <c r="F494" s="15">
        <v>0.49315068493150682</v>
      </c>
    </row>
    <row r="495" spans="1:6" x14ac:dyDescent="0.3">
      <c r="A495" s="15">
        <v>60945</v>
      </c>
      <c r="B495" s="15" t="s">
        <v>17</v>
      </c>
      <c r="C495">
        <f t="shared" si="14"/>
        <v>0</v>
      </c>
      <c r="D495" s="15" t="s">
        <v>30</v>
      </c>
      <c r="E495">
        <f t="shared" si="15"/>
        <v>2</v>
      </c>
      <c r="F495" s="15">
        <v>2.0082191780821921</v>
      </c>
    </row>
    <row r="496" spans="1:6" x14ac:dyDescent="0.3">
      <c r="A496" s="15">
        <v>61008</v>
      </c>
      <c r="B496" s="15" t="s">
        <v>17</v>
      </c>
      <c r="C496">
        <f t="shared" si="14"/>
        <v>0</v>
      </c>
      <c r="D496" s="15" t="s">
        <v>30</v>
      </c>
      <c r="E496">
        <f t="shared" si="15"/>
        <v>2</v>
      </c>
      <c r="F496" s="15">
        <v>0.49315068493150682</v>
      </c>
    </row>
    <row r="497" spans="1:6" x14ac:dyDescent="0.3">
      <c r="A497" s="15">
        <v>67369</v>
      </c>
      <c r="B497" s="15" t="s">
        <v>17</v>
      </c>
      <c r="C497">
        <f t="shared" si="14"/>
        <v>0</v>
      </c>
      <c r="D497" s="15" t="s">
        <v>30</v>
      </c>
      <c r="E497">
        <f t="shared" si="15"/>
        <v>2</v>
      </c>
      <c r="F497" s="15">
        <v>1.731506849315068</v>
      </c>
    </row>
    <row r="498" spans="1:6" x14ac:dyDescent="0.3">
      <c r="A498" s="15">
        <v>58815</v>
      </c>
      <c r="B498" s="15" t="s">
        <v>17</v>
      </c>
      <c r="C498">
        <f t="shared" si="14"/>
        <v>0</v>
      </c>
      <c r="D498" s="15" t="s">
        <v>30</v>
      </c>
      <c r="E498">
        <f t="shared" si="15"/>
        <v>2</v>
      </c>
      <c r="F498" s="15">
        <v>0.49315068493150682</v>
      </c>
    </row>
    <row r="499" spans="1:6" x14ac:dyDescent="0.3">
      <c r="A499" s="15">
        <v>62697</v>
      </c>
      <c r="B499" s="15" t="s">
        <v>17</v>
      </c>
      <c r="C499">
        <f t="shared" si="14"/>
        <v>0</v>
      </c>
      <c r="D499" s="15" t="s">
        <v>30</v>
      </c>
      <c r="E499">
        <f t="shared" si="15"/>
        <v>2</v>
      </c>
      <c r="F499" s="15">
        <v>3.4657534246575339</v>
      </c>
    </row>
    <row r="500" spans="1:6" x14ac:dyDescent="0.3">
      <c r="A500" s="15">
        <v>58400</v>
      </c>
      <c r="B500" s="15" t="s">
        <v>27</v>
      </c>
      <c r="C500">
        <f t="shared" si="14"/>
        <v>1</v>
      </c>
      <c r="D500" s="15" t="s">
        <v>112</v>
      </c>
      <c r="E500">
        <f t="shared" si="15"/>
        <v>3</v>
      </c>
      <c r="F500" s="15">
        <v>4.9260273972602739</v>
      </c>
    </row>
    <row r="501" spans="1:6" x14ac:dyDescent="0.3">
      <c r="A501" s="15">
        <v>103249</v>
      </c>
      <c r="B501" s="15" t="s">
        <v>17</v>
      </c>
      <c r="C501">
        <f t="shared" si="14"/>
        <v>0</v>
      </c>
      <c r="D501" s="15" t="s">
        <v>93</v>
      </c>
      <c r="E501">
        <f t="shared" si="15"/>
        <v>4</v>
      </c>
      <c r="F501" s="15">
        <v>3.6931506849315072</v>
      </c>
    </row>
    <row r="502" spans="1:6" x14ac:dyDescent="0.3">
      <c r="A502" s="15">
        <v>64015</v>
      </c>
      <c r="B502" s="15" t="s">
        <v>27</v>
      </c>
      <c r="C502">
        <f t="shared" si="14"/>
        <v>1</v>
      </c>
      <c r="D502" s="15" t="s">
        <v>30</v>
      </c>
      <c r="E502">
        <f t="shared" si="15"/>
        <v>2</v>
      </c>
      <c r="F502" s="15">
        <v>0.49315068493150682</v>
      </c>
    </row>
    <row r="503" spans="1:6" x14ac:dyDescent="0.3">
      <c r="A503" s="15">
        <v>95684</v>
      </c>
      <c r="B503" s="15" t="s">
        <v>17</v>
      </c>
      <c r="C503">
        <f t="shared" si="14"/>
        <v>0</v>
      </c>
      <c r="D503" s="15" t="s">
        <v>30</v>
      </c>
      <c r="E503">
        <f t="shared" si="15"/>
        <v>2</v>
      </c>
      <c r="F503" s="15">
        <v>5.5232876712328771</v>
      </c>
    </row>
    <row r="504" spans="1:6" x14ac:dyDescent="0.3">
      <c r="A504" s="15">
        <v>62508</v>
      </c>
      <c r="B504" s="15" t="s">
        <v>17</v>
      </c>
      <c r="C504">
        <f t="shared" si="14"/>
        <v>0</v>
      </c>
      <c r="D504" s="15" t="s">
        <v>30</v>
      </c>
      <c r="E504">
        <f t="shared" si="15"/>
        <v>2</v>
      </c>
      <c r="F504" s="15">
        <v>0.61369863013698633</v>
      </c>
    </row>
    <row r="505" spans="1:6" x14ac:dyDescent="0.3">
      <c r="A505" s="15">
        <v>92796</v>
      </c>
      <c r="B505" s="15" t="s">
        <v>27</v>
      </c>
      <c r="C505">
        <f t="shared" si="14"/>
        <v>1</v>
      </c>
      <c r="D505" s="15" t="s">
        <v>30</v>
      </c>
      <c r="E505">
        <f t="shared" si="15"/>
        <v>2</v>
      </c>
      <c r="F505" s="15">
        <v>0.49315068493150682</v>
      </c>
    </row>
    <row r="506" spans="1:6" x14ac:dyDescent="0.3">
      <c r="A506" s="15">
        <v>58835</v>
      </c>
      <c r="B506" s="15" t="s">
        <v>17</v>
      </c>
      <c r="C506">
        <f t="shared" si="14"/>
        <v>0</v>
      </c>
      <c r="D506" s="15" t="s">
        <v>30</v>
      </c>
      <c r="E506">
        <f t="shared" si="15"/>
        <v>2</v>
      </c>
      <c r="F506" s="15">
        <v>0.49315068493150682</v>
      </c>
    </row>
    <row r="507" spans="1:6" x14ac:dyDescent="0.3">
      <c r="A507" s="15">
        <v>95974</v>
      </c>
      <c r="B507" s="15" t="s">
        <v>27</v>
      </c>
      <c r="C507">
        <f t="shared" si="14"/>
        <v>1</v>
      </c>
      <c r="D507" s="15" t="s">
        <v>30</v>
      </c>
      <c r="E507">
        <f t="shared" si="15"/>
        <v>2</v>
      </c>
      <c r="F507" s="15">
        <v>0.49315068493150682</v>
      </c>
    </row>
    <row r="508" spans="1:6" x14ac:dyDescent="0.3">
      <c r="A508" s="15">
        <v>61555</v>
      </c>
      <c r="B508" s="15" t="s">
        <v>17</v>
      </c>
      <c r="C508">
        <f t="shared" si="14"/>
        <v>0</v>
      </c>
      <c r="D508" s="15" t="s">
        <v>30</v>
      </c>
      <c r="E508">
        <f t="shared" si="15"/>
        <v>2</v>
      </c>
      <c r="F508" s="15">
        <v>0.49315068493150682</v>
      </c>
    </row>
    <row r="509" spans="1:6" x14ac:dyDescent="0.3">
      <c r="A509" s="15">
        <v>69086</v>
      </c>
      <c r="B509" s="15" t="s">
        <v>17</v>
      </c>
      <c r="C509">
        <f t="shared" si="14"/>
        <v>0</v>
      </c>
      <c r="D509" s="15" t="s">
        <v>30</v>
      </c>
      <c r="E509">
        <f t="shared" si="15"/>
        <v>2</v>
      </c>
      <c r="F509" s="15">
        <v>8.2602739726027394</v>
      </c>
    </row>
    <row r="510" spans="1:6" x14ac:dyDescent="0.3">
      <c r="A510" s="15">
        <v>79231</v>
      </c>
      <c r="B510" s="15" t="s">
        <v>27</v>
      </c>
      <c r="C510">
        <f t="shared" si="14"/>
        <v>1</v>
      </c>
      <c r="D510" s="15" t="s">
        <v>112</v>
      </c>
      <c r="E510">
        <f t="shared" si="15"/>
        <v>3</v>
      </c>
      <c r="F510" s="15">
        <v>5.2630136986301368</v>
      </c>
    </row>
    <row r="511" spans="1:6" x14ac:dyDescent="0.3">
      <c r="A511" s="15">
        <v>77094</v>
      </c>
      <c r="B511" s="15" t="s">
        <v>27</v>
      </c>
      <c r="C511">
        <f t="shared" si="14"/>
        <v>1</v>
      </c>
      <c r="D511" s="15" t="s">
        <v>112</v>
      </c>
      <c r="E511">
        <f t="shared" si="15"/>
        <v>3</v>
      </c>
      <c r="F511" s="15">
        <v>4.8958904109589039</v>
      </c>
    </row>
    <row r="512" spans="1:6" x14ac:dyDescent="0.3">
      <c r="A512" s="15">
        <v>63722</v>
      </c>
      <c r="B512" s="15" t="s">
        <v>27</v>
      </c>
      <c r="C512">
        <f t="shared" si="14"/>
        <v>1</v>
      </c>
      <c r="D512" s="15" t="s">
        <v>30</v>
      </c>
      <c r="E512">
        <f t="shared" si="15"/>
        <v>2</v>
      </c>
      <c r="F512" s="15">
        <v>1.9753424657534251</v>
      </c>
    </row>
    <row r="513" spans="1:6" x14ac:dyDescent="0.3">
      <c r="A513" s="15">
        <v>70989</v>
      </c>
      <c r="B513" s="15" t="s">
        <v>27</v>
      </c>
      <c r="C513">
        <f t="shared" si="14"/>
        <v>1</v>
      </c>
      <c r="D513" s="15" t="s">
        <v>30</v>
      </c>
      <c r="E513">
        <f t="shared" si="15"/>
        <v>2</v>
      </c>
      <c r="F513" s="15">
        <v>2.2739726027397258</v>
      </c>
    </row>
    <row r="514" spans="1:6" x14ac:dyDescent="0.3">
      <c r="A514" s="15">
        <v>65299</v>
      </c>
      <c r="B514" s="15" t="s">
        <v>17</v>
      </c>
      <c r="C514">
        <f t="shared" si="14"/>
        <v>0</v>
      </c>
      <c r="D514" s="15" t="s">
        <v>30</v>
      </c>
      <c r="E514">
        <f t="shared" si="15"/>
        <v>2</v>
      </c>
      <c r="F514" s="15">
        <v>7.1424657534246574</v>
      </c>
    </row>
    <row r="515" spans="1:6" x14ac:dyDescent="0.3">
      <c r="A515" s="15">
        <v>61437</v>
      </c>
      <c r="B515" s="15" t="s">
        <v>17</v>
      </c>
      <c r="C515">
        <f t="shared" ref="C515:C578" si="16">IF(B515="Male", 1, 0)</f>
        <v>0</v>
      </c>
      <c r="D515" s="15" t="s">
        <v>20</v>
      </c>
      <c r="E515">
        <f t="shared" ref="E515:E578" si="17">IF(D515="High School",1,IF(D515="Bachelor",2,IF(D515="Master",3,IF(D515="PhD",4,""))))</f>
        <v>1</v>
      </c>
      <c r="F515" s="15">
        <v>0.49315068493150682</v>
      </c>
    </row>
    <row r="516" spans="1:6" x14ac:dyDescent="0.3">
      <c r="A516" s="15">
        <v>61847</v>
      </c>
      <c r="B516" s="15" t="s">
        <v>27</v>
      </c>
      <c r="C516">
        <f t="shared" si="16"/>
        <v>1</v>
      </c>
      <c r="D516" s="15" t="s">
        <v>30</v>
      </c>
      <c r="E516">
        <f t="shared" si="17"/>
        <v>2</v>
      </c>
      <c r="F516" s="15">
        <v>2.1808219178082191</v>
      </c>
    </row>
    <row r="517" spans="1:6" x14ac:dyDescent="0.3">
      <c r="A517" s="15">
        <v>64667</v>
      </c>
      <c r="B517" s="15" t="s">
        <v>27</v>
      </c>
      <c r="C517">
        <f t="shared" si="16"/>
        <v>1</v>
      </c>
      <c r="D517" s="15" t="s">
        <v>30</v>
      </c>
      <c r="E517">
        <f t="shared" si="17"/>
        <v>2</v>
      </c>
      <c r="F517" s="15">
        <v>1.043835616438356</v>
      </c>
    </row>
    <row r="518" spans="1:6" x14ac:dyDescent="0.3">
      <c r="A518" s="15">
        <v>56478</v>
      </c>
      <c r="B518" s="15" t="s">
        <v>17</v>
      </c>
      <c r="C518">
        <f t="shared" si="16"/>
        <v>0</v>
      </c>
      <c r="D518" s="15" t="s">
        <v>30</v>
      </c>
      <c r="E518">
        <f t="shared" si="17"/>
        <v>2</v>
      </c>
      <c r="F518" s="15">
        <v>4.3561643835616426</v>
      </c>
    </row>
    <row r="519" spans="1:6" x14ac:dyDescent="0.3">
      <c r="A519" s="15">
        <v>60533</v>
      </c>
      <c r="B519" s="15" t="s">
        <v>27</v>
      </c>
      <c r="C519">
        <f t="shared" si="16"/>
        <v>1</v>
      </c>
      <c r="D519" s="15" t="s">
        <v>20</v>
      </c>
      <c r="E519">
        <f t="shared" si="17"/>
        <v>1</v>
      </c>
      <c r="F519" s="15">
        <v>0.49315068493150682</v>
      </c>
    </row>
    <row r="520" spans="1:6" x14ac:dyDescent="0.3">
      <c r="A520" s="15">
        <v>61689</v>
      </c>
      <c r="B520" s="15" t="s">
        <v>17</v>
      </c>
      <c r="C520">
        <f t="shared" si="16"/>
        <v>0</v>
      </c>
      <c r="D520" s="15" t="s">
        <v>20</v>
      </c>
      <c r="E520">
        <f t="shared" si="17"/>
        <v>1</v>
      </c>
      <c r="F520" s="15">
        <v>0.49315068493150682</v>
      </c>
    </row>
    <row r="521" spans="1:6" x14ac:dyDescent="0.3">
      <c r="A521" s="15">
        <v>98920</v>
      </c>
      <c r="B521" s="15" t="s">
        <v>17</v>
      </c>
      <c r="C521">
        <f t="shared" si="16"/>
        <v>0</v>
      </c>
      <c r="D521" s="15" t="s">
        <v>30</v>
      </c>
      <c r="E521">
        <f t="shared" si="17"/>
        <v>2</v>
      </c>
      <c r="F521" s="15">
        <v>0.49315068493150682</v>
      </c>
    </row>
    <row r="522" spans="1:6" x14ac:dyDescent="0.3">
      <c r="A522" s="15">
        <v>68864</v>
      </c>
      <c r="B522" s="15" t="s">
        <v>27</v>
      </c>
      <c r="C522">
        <f t="shared" si="16"/>
        <v>1</v>
      </c>
      <c r="D522" s="15" t="s">
        <v>112</v>
      </c>
      <c r="E522">
        <f t="shared" si="17"/>
        <v>3</v>
      </c>
      <c r="F522" s="15">
        <v>0.49315068493150682</v>
      </c>
    </row>
    <row r="523" spans="1:6" x14ac:dyDescent="0.3">
      <c r="A523" s="15">
        <v>68092</v>
      </c>
      <c r="B523" s="15" t="s">
        <v>27</v>
      </c>
      <c r="C523">
        <f t="shared" si="16"/>
        <v>1</v>
      </c>
      <c r="D523" s="15" t="s">
        <v>30</v>
      </c>
      <c r="E523">
        <f t="shared" si="17"/>
        <v>2</v>
      </c>
      <c r="F523" s="15">
        <v>3.8219178082191778</v>
      </c>
    </row>
    <row r="524" spans="1:6" x14ac:dyDescent="0.3">
      <c r="A524" s="15">
        <v>67357</v>
      </c>
      <c r="B524" s="15" t="s">
        <v>27</v>
      </c>
      <c r="C524">
        <f t="shared" si="16"/>
        <v>1</v>
      </c>
      <c r="D524" s="15" t="s">
        <v>30</v>
      </c>
      <c r="E524">
        <f t="shared" si="17"/>
        <v>2</v>
      </c>
      <c r="F524" s="15">
        <v>8.3534246575342461</v>
      </c>
    </row>
    <row r="525" spans="1:6" x14ac:dyDescent="0.3">
      <c r="A525" s="15">
        <v>82596</v>
      </c>
      <c r="B525" s="15" t="s">
        <v>27</v>
      </c>
      <c r="C525">
        <f t="shared" si="16"/>
        <v>1</v>
      </c>
      <c r="D525" s="15" t="s">
        <v>112</v>
      </c>
      <c r="E525">
        <f t="shared" si="17"/>
        <v>3</v>
      </c>
      <c r="F525" s="15">
        <v>0.80821917808219179</v>
      </c>
    </row>
    <row r="526" spans="1:6" x14ac:dyDescent="0.3">
      <c r="A526" s="15">
        <v>64487</v>
      </c>
      <c r="B526" s="15" t="s">
        <v>17</v>
      </c>
      <c r="C526">
        <f t="shared" si="16"/>
        <v>0</v>
      </c>
      <c r="D526" s="15" t="s">
        <v>20</v>
      </c>
      <c r="E526">
        <f t="shared" si="17"/>
        <v>1</v>
      </c>
      <c r="F526" s="15">
        <v>0.49315068493150682</v>
      </c>
    </row>
    <row r="527" spans="1:6" x14ac:dyDescent="0.3">
      <c r="A527" s="15">
        <v>65346</v>
      </c>
      <c r="B527" s="15" t="s">
        <v>17</v>
      </c>
      <c r="C527">
        <f t="shared" si="16"/>
        <v>0</v>
      </c>
      <c r="D527" s="15" t="s">
        <v>30</v>
      </c>
      <c r="E527">
        <f t="shared" si="17"/>
        <v>2</v>
      </c>
      <c r="F527" s="15">
        <v>6.6109589041095891</v>
      </c>
    </row>
    <row r="528" spans="1:6" x14ac:dyDescent="0.3">
      <c r="A528" s="15">
        <v>52574</v>
      </c>
      <c r="B528" s="15" t="s">
        <v>17</v>
      </c>
      <c r="C528">
        <f t="shared" si="16"/>
        <v>0</v>
      </c>
      <c r="D528" s="15" t="s">
        <v>30</v>
      </c>
      <c r="E528">
        <f t="shared" si="17"/>
        <v>2</v>
      </c>
      <c r="F528" s="15">
        <v>2.5643835616438362</v>
      </c>
    </row>
    <row r="529" spans="1:6" x14ac:dyDescent="0.3">
      <c r="A529" s="15">
        <v>62945</v>
      </c>
      <c r="B529" s="15" t="s">
        <v>27</v>
      </c>
      <c r="C529">
        <f t="shared" si="16"/>
        <v>1</v>
      </c>
      <c r="D529" s="15" t="s">
        <v>30</v>
      </c>
      <c r="E529">
        <f t="shared" si="17"/>
        <v>2</v>
      </c>
      <c r="F529" s="15">
        <v>0.77534246575342469</v>
      </c>
    </row>
    <row r="530" spans="1:6" x14ac:dyDescent="0.3">
      <c r="A530" s="15">
        <v>91080</v>
      </c>
      <c r="B530" s="15" t="s">
        <v>27</v>
      </c>
      <c r="C530">
        <f t="shared" si="16"/>
        <v>1</v>
      </c>
      <c r="D530" s="15" t="s">
        <v>30</v>
      </c>
      <c r="E530">
        <f t="shared" si="17"/>
        <v>2</v>
      </c>
      <c r="F530" s="15">
        <v>1.731506849315068</v>
      </c>
    </row>
    <row r="531" spans="1:6" x14ac:dyDescent="0.3">
      <c r="A531" s="15">
        <v>60358</v>
      </c>
      <c r="B531" s="15" t="s">
        <v>17</v>
      </c>
      <c r="C531">
        <f t="shared" si="16"/>
        <v>0</v>
      </c>
      <c r="D531" s="15" t="s">
        <v>20</v>
      </c>
      <c r="E531">
        <f t="shared" si="17"/>
        <v>1</v>
      </c>
      <c r="F531" s="15">
        <v>4.6054794520547944</v>
      </c>
    </row>
    <row r="532" spans="1:6" x14ac:dyDescent="0.3">
      <c r="A532" s="15">
        <v>69470</v>
      </c>
      <c r="B532" s="15" t="s">
        <v>27</v>
      </c>
      <c r="C532">
        <f t="shared" si="16"/>
        <v>1</v>
      </c>
      <c r="D532" s="15" t="s">
        <v>30</v>
      </c>
      <c r="E532">
        <f t="shared" si="17"/>
        <v>2</v>
      </c>
      <c r="F532" s="15">
        <v>8.4164383561643827</v>
      </c>
    </row>
    <row r="533" spans="1:6" x14ac:dyDescent="0.3">
      <c r="A533" s="15">
        <v>62053</v>
      </c>
      <c r="B533" s="15" t="s">
        <v>27</v>
      </c>
      <c r="C533">
        <f t="shared" si="16"/>
        <v>1</v>
      </c>
      <c r="D533" s="15" t="s">
        <v>20</v>
      </c>
      <c r="E533">
        <f t="shared" si="17"/>
        <v>1</v>
      </c>
      <c r="F533" s="15">
        <v>8.0684931506849313</v>
      </c>
    </row>
    <row r="534" spans="1:6" x14ac:dyDescent="0.3">
      <c r="A534" s="15">
        <v>67166</v>
      </c>
      <c r="B534" s="15" t="s">
        <v>27</v>
      </c>
      <c r="C534">
        <f t="shared" si="16"/>
        <v>1</v>
      </c>
      <c r="D534" s="15" t="s">
        <v>20</v>
      </c>
      <c r="E534">
        <f t="shared" si="17"/>
        <v>1</v>
      </c>
      <c r="F534" s="15">
        <v>0.49315068493150682</v>
      </c>
    </row>
    <row r="535" spans="1:6" x14ac:dyDescent="0.3">
      <c r="A535" s="15">
        <v>73800</v>
      </c>
      <c r="B535" s="15" t="s">
        <v>27</v>
      </c>
      <c r="C535">
        <f t="shared" si="16"/>
        <v>1</v>
      </c>
      <c r="D535" s="15" t="s">
        <v>112</v>
      </c>
      <c r="E535">
        <f t="shared" si="17"/>
        <v>3</v>
      </c>
      <c r="F535" s="15">
        <v>0.49315068493150682</v>
      </c>
    </row>
    <row r="536" spans="1:6" x14ac:dyDescent="0.3">
      <c r="A536" s="15">
        <v>95022</v>
      </c>
      <c r="B536" s="15" t="s">
        <v>17</v>
      </c>
      <c r="C536">
        <f t="shared" si="16"/>
        <v>0</v>
      </c>
      <c r="D536" s="15" t="s">
        <v>30</v>
      </c>
      <c r="E536">
        <f t="shared" si="17"/>
        <v>2</v>
      </c>
      <c r="F536" s="15">
        <v>3.4</v>
      </c>
    </row>
    <row r="537" spans="1:6" x14ac:dyDescent="0.3">
      <c r="A537" s="15">
        <v>63268</v>
      </c>
      <c r="B537" s="15" t="s">
        <v>17</v>
      </c>
      <c r="C537">
        <f t="shared" si="16"/>
        <v>0</v>
      </c>
      <c r="D537" s="15" t="s">
        <v>30</v>
      </c>
      <c r="E537">
        <f t="shared" si="17"/>
        <v>2</v>
      </c>
      <c r="F537" s="15">
        <v>0.49315068493150682</v>
      </c>
    </row>
    <row r="538" spans="1:6" x14ac:dyDescent="0.3">
      <c r="A538" s="15">
        <v>84569</v>
      </c>
      <c r="B538" s="15" t="s">
        <v>17</v>
      </c>
      <c r="C538">
        <f t="shared" si="16"/>
        <v>0</v>
      </c>
      <c r="D538" s="15" t="s">
        <v>30</v>
      </c>
      <c r="E538">
        <f t="shared" si="17"/>
        <v>2</v>
      </c>
      <c r="F538" s="15">
        <v>0.49315068493150682</v>
      </c>
    </row>
    <row r="539" spans="1:6" x14ac:dyDescent="0.3">
      <c r="A539" s="15">
        <v>58084</v>
      </c>
      <c r="B539" s="15" t="s">
        <v>17</v>
      </c>
      <c r="C539">
        <f t="shared" si="16"/>
        <v>0</v>
      </c>
      <c r="D539" s="15" t="s">
        <v>30</v>
      </c>
      <c r="E539">
        <f t="shared" si="17"/>
        <v>2</v>
      </c>
      <c r="F539" s="15">
        <v>0.49315068493150682</v>
      </c>
    </row>
    <row r="540" spans="1:6" x14ac:dyDescent="0.3">
      <c r="A540" s="15">
        <v>88167</v>
      </c>
      <c r="B540" s="15" t="s">
        <v>27</v>
      </c>
      <c r="C540">
        <f t="shared" si="16"/>
        <v>1</v>
      </c>
      <c r="D540" s="15" t="s">
        <v>30</v>
      </c>
      <c r="E540">
        <f t="shared" si="17"/>
        <v>2</v>
      </c>
      <c r="F540" s="15">
        <v>5.1506849315068486</v>
      </c>
    </row>
    <row r="541" spans="1:6" x14ac:dyDescent="0.3">
      <c r="A541" s="15">
        <v>73895</v>
      </c>
      <c r="B541" s="15" t="s">
        <v>17</v>
      </c>
      <c r="C541">
        <f t="shared" si="16"/>
        <v>0</v>
      </c>
      <c r="D541" s="15" t="s">
        <v>30</v>
      </c>
      <c r="E541">
        <f t="shared" si="17"/>
        <v>2</v>
      </c>
      <c r="F541" s="15">
        <v>0.49315068493150682</v>
      </c>
    </row>
    <row r="542" spans="1:6" x14ac:dyDescent="0.3">
      <c r="A542" s="15">
        <v>107787</v>
      </c>
      <c r="B542" s="15" t="s">
        <v>27</v>
      </c>
      <c r="C542">
        <f t="shared" si="16"/>
        <v>1</v>
      </c>
      <c r="D542" s="15" t="s">
        <v>30</v>
      </c>
      <c r="E542">
        <f t="shared" si="17"/>
        <v>2</v>
      </c>
      <c r="F542" s="15">
        <v>0.49315068493150682</v>
      </c>
    </row>
    <row r="543" spans="1:6" x14ac:dyDescent="0.3">
      <c r="A543" s="15">
        <v>58463</v>
      </c>
      <c r="B543" s="15" t="s">
        <v>27</v>
      </c>
      <c r="C543">
        <f t="shared" si="16"/>
        <v>1</v>
      </c>
      <c r="D543" s="15" t="s">
        <v>20</v>
      </c>
      <c r="E543">
        <f t="shared" si="17"/>
        <v>1</v>
      </c>
      <c r="F543" s="15">
        <v>3.8301369863013699</v>
      </c>
    </row>
    <row r="544" spans="1:6" x14ac:dyDescent="0.3">
      <c r="A544" s="15">
        <v>60800</v>
      </c>
      <c r="B544" s="15" t="s">
        <v>27</v>
      </c>
      <c r="C544">
        <f t="shared" si="16"/>
        <v>1</v>
      </c>
      <c r="D544" s="15" t="s">
        <v>30</v>
      </c>
      <c r="E544">
        <f t="shared" si="17"/>
        <v>2</v>
      </c>
      <c r="F544" s="15">
        <v>0.49315068493150682</v>
      </c>
    </row>
    <row r="545" spans="1:6" x14ac:dyDescent="0.3">
      <c r="A545" s="15">
        <v>60380</v>
      </c>
      <c r="B545" s="15" t="s">
        <v>17</v>
      </c>
      <c r="C545">
        <f t="shared" si="16"/>
        <v>0</v>
      </c>
      <c r="D545" s="15" t="s">
        <v>20</v>
      </c>
      <c r="E545">
        <f t="shared" si="17"/>
        <v>1</v>
      </c>
      <c r="F545" s="15">
        <v>0.49315068493150682</v>
      </c>
    </row>
    <row r="546" spans="1:6" x14ac:dyDescent="0.3">
      <c r="A546" s="15">
        <v>61217</v>
      </c>
      <c r="B546" s="15" t="s">
        <v>17</v>
      </c>
      <c r="C546">
        <f t="shared" si="16"/>
        <v>0</v>
      </c>
      <c r="D546" s="15" t="s">
        <v>20</v>
      </c>
      <c r="E546">
        <f t="shared" si="17"/>
        <v>1</v>
      </c>
      <c r="F546" s="15">
        <v>0.49315068493150682</v>
      </c>
    </row>
    <row r="547" spans="1:6" x14ac:dyDescent="0.3">
      <c r="A547" s="15">
        <v>64881</v>
      </c>
      <c r="B547" s="15" t="s">
        <v>27</v>
      </c>
      <c r="C547">
        <f t="shared" si="16"/>
        <v>1</v>
      </c>
      <c r="D547" s="15" t="s">
        <v>20</v>
      </c>
      <c r="E547">
        <f t="shared" si="17"/>
        <v>1</v>
      </c>
      <c r="F547" s="15">
        <v>5.4739726027397264</v>
      </c>
    </row>
    <row r="548" spans="1:6" x14ac:dyDescent="0.3">
      <c r="A548" s="15">
        <v>64537</v>
      </c>
      <c r="B548" s="15" t="s">
        <v>17</v>
      </c>
      <c r="C548">
        <f t="shared" si="16"/>
        <v>0</v>
      </c>
      <c r="D548" s="15" t="s">
        <v>20</v>
      </c>
      <c r="E548">
        <f t="shared" si="17"/>
        <v>1</v>
      </c>
      <c r="F548" s="15">
        <v>0.49315068493150682</v>
      </c>
    </row>
    <row r="549" spans="1:6" x14ac:dyDescent="0.3">
      <c r="A549" s="15">
        <v>73247</v>
      </c>
      <c r="B549" s="15" t="s">
        <v>17</v>
      </c>
      <c r="C549">
        <f t="shared" si="16"/>
        <v>0</v>
      </c>
      <c r="D549" s="15" t="s">
        <v>30</v>
      </c>
      <c r="E549">
        <f t="shared" si="17"/>
        <v>2</v>
      </c>
      <c r="F549" s="15">
        <v>0.49315068493150682</v>
      </c>
    </row>
    <row r="550" spans="1:6" x14ac:dyDescent="0.3">
      <c r="A550" s="15">
        <v>86075</v>
      </c>
      <c r="B550" s="15" t="s">
        <v>17</v>
      </c>
      <c r="C550">
        <f t="shared" si="16"/>
        <v>0</v>
      </c>
      <c r="D550" s="15" t="s">
        <v>112</v>
      </c>
      <c r="E550">
        <f t="shared" si="17"/>
        <v>3</v>
      </c>
      <c r="F550" s="15">
        <v>1.5671232876712331</v>
      </c>
    </row>
    <row r="551" spans="1:6" x14ac:dyDescent="0.3">
      <c r="A551" s="15">
        <v>57871</v>
      </c>
      <c r="B551" s="15" t="s">
        <v>27</v>
      </c>
      <c r="C551">
        <f t="shared" si="16"/>
        <v>1</v>
      </c>
      <c r="D551" s="15" t="s">
        <v>20</v>
      </c>
      <c r="E551">
        <f t="shared" si="17"/>
        <v>1</v>
      </c>
      <c r="F551" s="15">
        <v>3.235616438356165</v>
      </c>
    </row>
    <row r="552" spans="1:6" x14ac:dyDescent="0.3">
      <c r="A552" s="15">
        <v>65022</v>
      </c>
      <c r="B552" s="15" t="s">
        <v>17</v>
      </c>
      <c r="C552">
        <f t="shared" si="16"/>
        <v>0</v>
      </c>
      <c r="D552" s="15" t="s">
        <v>20</v>
      </c>
      <c r="E552">
        <f t="shared" si="17"/>
        <v>1</v>
      </c>
      <c r="F552" s="15">
        <v>0.49315068493150682</v>
      </c>
    </row>
    <row r="553" spans="1:6" x14ac:dyDescent="0.3">
      <c r="A553" s="15">
        <v>75269</v>
      </c>
      <c r="B553" s="15" t="s">
        <v>17</v>
      </c>
      <c r="C553">
        <f t="shared" si="16"/>
        <v>0</v>
      </c>
      <c r="D553" s="15" t="s">
        <v>30</v>
      </c>
      <c r="E553">
        <f t="shared" si="17"/>
        <v>2</v>
      </c>
      <c r="F553" s="15">
        <v>2.0246575342465749</v>
      </c>
    </row>
    <row r="554" spans="1:6" x14ac:dyDescent="0.3">
      <c r="A554" s="15">
        <v>96041</v>
      </c>
      <c r="B554" s="15" t="s">
        <v>27</v>
      </c>
      <c r="C554">
        <f t="shared" si="16"/>
        <v>1</v>
      </c>
      <c r="D554" s="15" t="s">
        <v>30</v>
      </c>
      <c r="E554">
        <f t="shared" si="17"/>
        <v>2</v>
      </c>
      <c r="F554" s="15">
        <v>0.49315068493150682</v>
      </c>
    </row>
    <row r="555" spans="1:6" x14ac:dyDescent="0.3">
      <c r="A555" s="15">
        <v>58786</v>
      </c>
      <c r="B555" s="15" t="s">
        <v>17</v>
      </c>
      <c r="C555">
        <f t="shared" si="16"/>
        <v>0</v>
      </c>
      <c r="D555" s="15" t="s">
        <v>30</v>
      </c>
      <c r="E555">
        <f t="shared" si="17"/>
        <v>2</v>
      </c>
      <c r="F555" s="15">
        <v>1.331506849315069</v>
      </c>
    </row>
    <row r="556" spans="1:6" x14ac:dyDescent="0.3">
      <c r="A556" s="15">
        <v>63925</v>
      </c>
      <c r="B556" s="15" t="s">
        <v>27</v>
      </c>
      <c r="C556">
        <f t="shared" si="16"/>
        <v>1</v>
      </c>
      <c r="D556" s="15" t="s">
        <v>30</v>
      </c>
      <c r="E556">
        <f t="shared" si="17"/>
        <v>2</v>
      </c>
      <c r="F556" s="15">
        <v>0.49315068493150682</v>
      </c>
    </row>
    <row r="557" spans="1:6" x14ac:dyDescent="0.3">
      <c r="A557" s="15">
        <v>93364</v>
      </c>
      <c r="B557" s="15" t="s">
        <v>27</v>
      </c>
      <c r="C557">
        <f t="shared" si="16"/>
        <v>1</v>
      </c>
      <c r="D557" s="15" t="s">
        <v>30</v>
      </c>
      <c r="E557">
        <f t="shared" si="17"/>
        <v>2</v>
      </c>
      <c r="F557" s="15">
        <v>0.49315068493150682</v>
      </c>
    </row>
    <row r="558" spans="1:6" x14ac:dyDescent="0.3">
      <c r="A558" s="15">
        <v>110836</v>
      </c>
      <c r="B558" s="15" t="s">
        <v>17</v>
      </c>
      <c r="C558">
        <f t="shared" si="16"/>
        <v>0</v>
      </c>
      <c r="D558" s="15" t="s">
        <v>112</v>
      </c>
      <c r="E558">
        <f t="shared" si="17"/>
        <v>3</v>
      </c>
      <c r="F558" s="15">
        <v>0.49315068493150682</v>
      </c>
    </row>
    <row r="559" spans="1:6" x14ac:dyDescent="0.3">
      <c r="A559" s="15">
        <v>59444</v>
      </c>
      <c r="B559" s="15" t="s">
        <v>17</v>
      </c>
      <c r="C559">
        <f t="shared" si="16"/>
        <v>0</v>
      </c>
      <c r="D559" s="15" t="s">
        <v>20</v>
      </c>
      <c r="E559">
        <f t="shared" si="17"/>
        <v>1</v>
      </c>
      <c r="F559" s="15">
        <v>0.49315068493150682</v>
      </c>
    </row>
    <row r="560" spans="1:6" x14ac:dyDescent="0.3">
      <c r="A560" s="15">
        <v>59327</v>
      </c>
      <c r="B560" s="15" t="s">
        <v>17</v>
      </c>
      <c r="C560">
        <f t="shared" si="16"/>
        <v>0</v>
      </c>
      <c r="D560" s="15" t="s">
        <v>30</v>
      </c>
      <c r="E560">
        <f t="shared" si="17"/>
        <v>2</v>
      </c>
      <c r="F560" s="15">
        <v>4.7561643835616438</v>
      </c>
    </row>
    <row r="561" spans="1:6" x14ac:dyDescent="0.3">
      <c r="A561" s="15">
        <v>62992</v>
      </c>
      <c r="B561" s="15" t="s">
        <v>27</v>
      </c>
      <c r="C561">
        <f t="shared" si="16"/>
        <v>1</v>
      </c>
      <c r="D561" s="15" t="s">
        <v>30</v>
      </c>
      <c r="E561">
        <f t="shared" si="17"/>
        <v>2</v>
      </c>
      <c r="F561" s="15">
        <v>6.8109589041095893</v>
      </c>
    </row>
    <row r="562" spans="1:6" x14ac:dyDescent="0.3">
      <c r="A562" s="15">
        <v>61119</v>
      </c>
      <c r="B562" s="15" t="s">
        <v>17</v>
      </c>
      <c r="C562">
        <f t="shared" si="16"/>
        <v>0</v>
      </c>
      <c r="D562" s="15" t="s">
        <v>30</v>
      </c>
      <c r="E562">
        <f t="shared" si="17"/>
        <v>2</v>
      </c>
      <c r="F562" s="15">
        <v>0.49315068493150682</v>
      </c>
    </row>
    <row r="563" spans="1:6" x14ac:dyDescent="0.3">
      <c r="A563" s="15">
        <v>131494</v>
      </c>
      <c r="B563" s="15" t="s">
        <v>27</v>
      </c>
      <c r="C563">
        <f t="shared" si="16"/>
        <v>1</v>
      </c>
      <c r="D563" s="15" t="s">
        <v>112</v>
      </c>
      <c r="E563">
        <f t="shared" si="17"/>
        <v>3</v>
      </c>
      <c r="F563" s="15">
        <v>5.5013698630136982</v>
      </c>
    </row>
    <row r="564" spans="1:6" x14ac:dyDescent="0.3">
      <c r="A564" s="15">
        <v>87048</v>
      </c>
      <c r="B564" s="15" t="s">
        <v>27</v>
      </c>
      <c r="C564">
        <f t="shared" si="16"/>
        <v>1</v>
      </c>
      <c r="D564" s="15" t="s">
        <v>30</v>
      </c>
      <c r="E564">
        <f t="shared" si="17"/>
        <v>2</v>
      </c>
      <c r="F564" s="15">
        <v>0.49315068493150682</v>
      </c>
    </row>
    <row r="565" spans="1:6" x14ac:dyDescent="0.3">
      <c r="A565" s="15">
        <v>64194</v>
      </c>
      <c r="B565" s="15" t="s">
        <v>27</v>
      </c>
      <c r="C565">
        <f t="shared" si="16"/>
        <v>1</v>
      </c>
      <c r="D565" s="15" t="s">
        <v>30</v>
      </c>
      <c r="E565">
        <f t="shared" si="17"/>
        <v>2</v>
      </c>
      <c r="F565" s="15">
        <v>7.7753424657534236</v>
      </c>
    </row>
    <row r="566" spans="1:6" x14ac:dyDescent="0.3">
      <c r="A566" s="15">
        <v>58980</v>
      </c>
      <c r="B566" s="15" t="s">
        <v>17</v>
      </c>
      <c r="C566">
        <f t="shared" si="16"/>
        <v>0</v>
      </c>
      <c r="D566" s="15" t="s">
        <v>20</v>
      </c>
      <c r="E566">
        <f t="shared" si="17"/>
        <v>1</v>
      </c>
      <c r="F566" s="15">
        <v>0.49315068493150682</v>
      </c>
    </row>
    <row r="567" spans="1:6" x14ac:dyDescent="0.3">
      <c r="A567" s="15">
        <v>61190</v>
      </c>
      <c r="B567" s="15" t="s">
        <v>27</v>
      </c>
      <c r="C567">
        <f t="shared" si="16"/>
        <v>1</v>
      </c>
      <c r="D567" s="15" t="s">
        <v>30</v>
      </c>
      <c r="E567">
        <f t="shared" si="17"/>
        <v>2</v>
      </c>
      <c r="F567" s="15">
        <v>0.49315068493150682</v>
      </c>
    </row>
    <row r="568" spans="1:6" x14ac:dyDescent="0.3">
      <c r="A568" s="15">
        <v>55533</v>
      </c>
      <c r="B568" s="15" t="s">
        <v>17</v>
      </c>
      <c r="C568">
        <f t="shared" si="16"/>
        <v>0</v>
      </c>
      <c r="D568" s="15" t="s">
        <v>30</v>
      </c>
      <c r="E568">
        <f t="shared" si="17"/>
        <v>2</v>
      </c>
      <c r="F568" s="15">
        <v>8.0520547945205472</v>
      </c>
    </row>
    <row r="569" spans="1:6" x14ac:dyDescent="0.3">
      <c r="A569" s="15">
        <v>81660</v>
      </c>
      <c r="B569" s="15" t="s">
        <v>17</v>
      </c>
      <c r="C569">
        <f t="shared" si="16"/>
        <v>0</v>
      </c>
      <c r="D569" s="15" t="s">
        <v>93</v>
      </c>
      <c r="E569">
        <f t="shared" si="17"/>
        <v>4</v>
      </c>
      <c r="F569" s="15">
        <v>4.043835616438356</v>
      </c>
    </row>
    <row r="570" spans="1:6" x14ac:dyDescent="0.3">
      <c r="A570" s="15">
        <v>57604</v>
      </c>
      <c r="B570" s="15" t="s">
        <v>27</v>
      </c>
      <c r="C570">
        <f t="shared" si="16"/>
        <v>1</v>
      </c>
      <c r="D570" s="15" t="s">
        <v>20</v>
      </c>
      <c r="E570">
        <f t="shared" si="17"/>
        <v>1</v>
      </c>
      <c r="F570" s="15">
        <v>1.6547945205479451</v>
      </c>
    </row>
    <row r="571" spans="1:6" x14ac:dyDescent="0.3">
      <c r="A571" s="15">
        <v>88001</v>
      </c>
      <c r="B571" s="15" t="s">
        <v>27</v>
      </c>
      <c r="C571">
        <f t="shared" si="16"/>
        <v>1</v>
      </c>
      <c r="D571" s="15" t="s">
        <v>112</v>
      </c>
      <c r="E571">
        <f t="shared" si="17"/>
        <v>3</v>
      </c>
      <c r="F571" s="15">
        <v>0.49315068493150682</v>
      </c>
    </row>
    <row r="572" spans="1:6" x14ac:dyDescent="0.3">
      <c r="A572" s="15">
        <v>71220</v>
      </c>
      <c r="B572" s="15" t="s">
        <v>27</v>
      </c>
      <c r="C572">
        <f t="shared" si="16"/>
        <v>1</v>
      </c>
      <c r="D572" s="15" t="s">
        <v>30</v>
      </c>
      <c r="E572">
        <f t="shared" si="17"/>
        <v>2</v>
      </c>
      <c r="F572" s="15">
        <v>1.29041095890411</v>
      </c>
    </row>
    <row r="573" spans="1:6" x14ac:dyDescent="0.3">
      <c r="A573" s="15">
        <v>52793</v>
      </c>
      <c r="B573" s="15" t="s">
        <v>17</v>
      </c>
      <c r="C573">
        <f t="shared" si="16"/>
        <v>0</v>
      </c>
      <c r="D573" s="15" t="s">
        <v>30</v>
      </c>
      <c r="E573">
        <f t="shared" si="17"/>
        <v>2</v>
      </c>
      <c r="F573" s="15">
        <v>0.49315068493150682</v>
      </c>
    </row>
    <row r="574" spans="1:6" x14ac:dyDescent="0.3">
      <c r="A574" s="15">
        <v>76043</v>
      </c>
      <c r="B574" s="15" t="s">
        <v>27</v>
      </c>
      <c r="C574">
        <f t="shared" si="16"/>
        <v>1</v>
      </c>
      <c r="D574" s="15" t="s">
        <v>30</v>
      </c>
      <c r="E574">
        <f t="shared" si="17"/>
        <v>2</v>
      </c>
      <c r="F574" s="15">
        <v>2.0191780821917811</v>
      </c>
    </row>
    <row r="575" spans="1:6" x14ac:dyDescent="0.3">
      <c r="A575" s="15">
        <v>61175</v>
      </c>
      <c r="B575" s="15" t="s">
        <v>17</v>
      </c>
      <c r="C575">
        <f t="shared" si="16"/>
        <v>0</v>
      </c>
      <c r="D575" s="15" t="s">
        <v>30</v>
      </c>
      <c r="E575">
        <f t="shared" si="17"/>
        <v>2</v>
      </c>
      <c r="F575" s="15">
        <v>3.9095890410958898</v>
      </c>
    </row>
    <row r="576" spans="1:6" x14ac:dyDescent="0.3">
      <c r="A576" s="15">
        <v>64342</v>
      </c>
      <c r="B576" s="15" t="s">
        <v>27</v>
      </c>
      <c r="C576">
        <f t="shared" si="16"/>
        <v>1</v>
      </c>
      <c r="D576" s="15" t="s">
        <v>20</v>
      </c>
      <c r="E576">
        <f t="shared" si="17"/>
        <v>1</v>
      </c>
      <c r="F576" s="15">
        <v>0.72054794520547949</v>
      </c>
    </row>
    <row r="577" spans="1:6" x14ac:dyDescent="0.3">
      <c r="A577" s="15">
        <v>75475</v>
      </c>
      <c r="B577" s="15" t="s">
        <v>27</v>
      </c>
      <c r="C577">
        <f t="shared" si="16"/>
        <v>1</v>
      </c>
      <c r="D577" s="15" t="s">
        <v>30</v>
      </c>
      <c r="E577">
        <f t="shared" si="17"/>
        <v>2</v>
      </c>
      <c r="F577" s="15">
        <v>1.1424657534246581</v>
      </c>
    </row>
    <row r="578" spans="1:6" x14ac:dyDescent="0.3">
      <c r="A578" s="15">
        <v>64626</v>
      </c>
      <c r="B578" s="15" t="s">
        <v>17</v>
      </c>
      <c r="C578">
        <f t="shared" si="16"/>
        <v>0</v>
      </c>
      <c r="D578" s="15" t="s">
        <v>30</v>
      </c>
      <c r="E578">
        <f t="shared" si="17"/>
        <v>2</v>
      </c>
      <c r="F578" s="15">
        <v>2.1917808219178081</v>
      </c>
    </row>
    <row r="579" spans="1:6" x14ac:dyDescent="0.3">
      <c r="A579" s="15">
        <v>63645</v>
      </c>
      <c r="B579" s="15" t="s">
        <v>27</v>
      </c>
      <c r="C579">
        <f t="shared" ref="C579:C642" si="18">IF(B579="Male", 1, 0)</f>
        <v>1</v>
      </c>
      <c r="D579" s="15" t="s">
        <v>30</v>
      </c>
      <c r="E579">
        <f t="shared" ref="E579:E642" si="19">IF(D579="High School",1,IF(D579="Bachelor",2,IF(D579="Master",3,IF(D579="PhD",4,""))))</f>
        <v>2</v>
      </c>
      <c r="F579" s="15">
        <v>0.49315068493150682</v>
      </c>
    </row>
    <row r="580" spans="1:6" x14ac:dyDescent="0.3">
      <c r="A580" s="15">
        <v>64251</v>
      </c>
      <c r="B580" s="15" t="s">
        <v>27</v>
      </c>
      <c r="C580">
        <f t="shared" si="18"/>
        <v>1</v>
      </c>
      <c r="D580" s="15" t="s">
        <v>20</v>
      </c>
      <c r="E580">
        <f t="shared" si="19"/>
        <v>1</v>
      </c>
      <c r="F580" s="15">
        <v>1.3123287671232879</v>
      </c>
    </row>
    <row r="581" spans="1:6" x14ac:dyDescent="0.3">
      <c r="A581" s="15">
        <v>54961</v>
      </c>
      <c r="B581" s="15" t="s">
        <v>17</v>
      </c>
      <c r="C581">
        <f t="shared" si="18"/>
        <v>0</v>
      </c>
      <c r="D581" s="15" t="s">
        <v>20</v>
      </c>
      <c r="E581">
        <f t="shared" si="19"/>
        <v>1</v>
      </c>
      <c r="F581" s="15">
        <v>1.704109589041096</v>
      </c>
    </row>
    <row r="582" spans="1:6" x14ac:dyDescent="0.3">
      <c r="A582" s="15">
        <v>61212</v>
      </c>
      <c r="B582" s="15" t="s">
        <v>17</v>
      </c>
      <c r="C582">
        <f t="shared" si="18"/>
        <v>0</v>
      </c>
      <c r="D582" s="15" t="s">
        <v>20</v>
      </c>
      <c r="E582">
        <f t="shared" si="19"/>
        <v>1</v>
      </c>
      <c r="F582" s="15">
        <v>0.49315068493150682</v>
      </c>
    </row>
    <row r="583" spans="1:6" x14ac:dyDescent="0.3">
      <c r="A583" s="15">
        <v>87620</v>
      </c>
      <c r="B583" s="15" t="s">
        <v>17</v>
      </c>
      <c r="C583">
        <f t="shared" si="18"/>
        <v>0</v>
      </c>
      <c r="D583" s="15" t="s">
        <v>30</v>
      </c>
      <c r="E583">
        <f t="shared" si="19"/>
        <v>2</v>
      </c>
      <c r="F583" s="15">
        <v>0.49315068493150682</v>
      </c>
    </row>
    <row r="584" spans="1:6" x14ac:dyDescent="0.3">
      <c r="A584" s="15">
        <v>65530</v>
      </c>
      <c r="B584" s="15" t="s">
        <v>17</v>
      </c>
      <c r="C584">
        <f t="shared" si="18"/>
        <v>0</v>
      </c>
      <c r="D584" s="15" t="s">
        <v>20</v>
      </c>
      <c r="E584">
        <f t="shared" si="19"/>
        <v>1</v>
      </c>
      <c r="F584" s="15">
        <v>0.49315068493150682</v>
      </c>
    </row>
    <row r="585" spans="1:6" x14ac:dyDescent="0.3">
      <c r="A585" s="15">
        <v>64649</v>
      </c>
      <c r="B585" s="15" t="s">
        <v>17</v>
      </c>
      <c r="C585">
        <f t="shared" si="18"/>
        <v>0</v>
      </c>
      <c r="D585" s="15" t="s">
        <v>30</v>
      </c>
      <c r="E585">
        <f t="shared" si="19"/>
        <v>2</v>
      </c>
      <c r="F585" s="15">
        <v>0.49315068493150682</v>
      </c>
    </row>
    <row r="586" spans="1:6" x14ac:dyDescent="0.3">
      <c r="A586" s="15">
        <v>81221</v>
      </c>
      <c r="B586" s="15" t="s">
        <v>27</v>
      </c>
      <c r="C586">
        <f t="shared" si="18"/>
        <v>1</v>
      </c>
      <c r="D586" s="15" t="s">
        <v>112</v>
      </c>
      <c r="E586">
        <f t="shared" si="19"/>
        <v>3</v>
      </c>
      <c r="F586" s="15">
        <v>0.49315068493150682</v>
      </c>
    </row>
    <row r="587" spans="1:6" x14ac:dyDescent="0.3">
      <c r="A587" s="15">
        <v>55055</v>
      </c>
      <c r="B587" s="15" t="s">
        <v>17</v>
      </c>
      <c r="C587">
        <f t="shared" si="18"/>
        <v>0</v>
      </c>
      <c r="D587" s="15" t="s">
        <v>20</v>
      </c>
      <c r="E587">
        <f t="shared" si="19"/>
        <v>1</v>
      </c>
      <c r="F587" s="15">
        <v>2.9397260273972599</v>
      </c>
    </row>
    <row r="588" spans="1:6" x14ac:dyDescent="0.3">
      <c r="A588" s="15">
        <v>89837</v>
      </c>
      <c r="B588" s="15" t="s">
        <v>17</v>
      </c>
      <c r="C588">
        <f t="shared" si="18"/>
        <v>0</v>
      </c>
      <c r="D588" s="15" t="s">
        <v>30</v>
      </c>
      <c r="E588">
        <f t="shared" si="19"/>
        <v>2</v>
      </c>
      <c r="F588" s="15">
        <v>3.150684931506849</v>
      </c>
    </row>
    <row r="589" spans="1:6" x14ac:dyDescent="0.3">
      <c r="A589" s="15">
        <v>66282</v>
      </c>
      <c r="B589" s="15" t="s">
        <v>17</v>
      </c>
      <c r="C589">
        <f t="shared" si="18"/>
        <v>0</v>
      </c>
      <c r="D589" s="15" t="s">
        <v>30</v>
      </c>
      <c r="E589">
        <f t="shared" si="19"/>
        <v>2</v>
      </c>
      <c r="F589" s="15">
        <v>0.49315068493150682</v>
      </c>
    </row>
    <row r="590" spans="1:6" x14ac:dyDescent="0.3">
      <c r="A590" s="15">
        <v>67293</v>
      </c>
      <c r="B590" s="15" t="s">
        <v>27</v>
      </c>
      <c r="C590">
        <f t="shared" si="18"/>
        <v>1</v>
      </c>
      <c r="D590" s="15" t="s">
        <v>112</v>
      </c>
      <c r="E590">
        <f t="shared" si="19"/>
        <v>3</v>
      </c>
      <c r="F590" s="15">
        <v>9.1479452054794521</v>
      </c>
    </row>
    <row r="591" spans="1:6" x14ac:dyDescent="0.3">
      <c r="A591" s="15">
        <v>59592</v>
      </c>
      <c r="B591" s="15" t="s">
        <v>17</v>
      </c>
      <c r="C591">
        <f t="shared" si="18"/>
        <v>0</v>
      </c>
      <c r="D591" s="15" t="s">
        <v>20</v>
      </c>
      <c r="E591">
        <f t="shared" si="19"/>
        <v>1</v>
      </c>
      <c r="F591" s="15">
        <v>0.49315068493150682</v>
      </c>
    </row>
    <row r="592" spans="1:6" x14ac:dyDescent="0.3">
      <c r="A592" s="15">
        <v>61465</v>
      </c>
      <c r="B592" s="15" t="s">
        <v>27</v>
      </c>
      <c r="C592">
        <f t="shared" si="18"/>
        <v>1</v>
      </c>
      <c r="D592" s="15" t="s">
        <v>30</v>
      </c>
      <c r="E592">
        <f t="shared" si="19"/>
        <v>2</v>
      </c>
      <c r="F592" s="15">
        <v>0.49315068493150682</v>
      </c>
    </row>
    <row r="593" spans="1:6" x14ac:dyDescent="0.3">
      <c r="A593" s="15">
        <v>73461</v>
      </c>
      <c r="B593" s="15" t="s">
        <v>17</v>
      </c>
      <c r="C593">
        <f t="shared" si="18"/>
        <v>0</v>
      </c>
      <c r="D593" s="15" t="s">
        <v>30</v>
      </c>
      <c r="E593">
        <f t="shared" si="19"/>
        <v>2</v>
      </c>
      <c r="F593" s="15">
        <v>0.49315068493150682</v>
      </c>
    </row>
    <row r="594" spans="1:6" x14ac:dyDescent="0.3">
      <c r="A594" s="15">
        <v>57475</v>
      </c>
      <c r="B594" s="15" t="s">
        <v>17</v>
      </c>
      <c r="C594">
        <f t="shared" si="18"/>
        <v>0</v>
      </c>
      <c r="D594" s="15" t="s">
        <v>30</v>
      </c>
      <c r="E594">
        <f t="shared" si="19"/>
        <v>2</v>
      </c>
      <c r="F594" s="15">
        <v>2.0273972602739732</v>
      </c>
    </row>
    <row r="595" spans="1:6" x14ac:dyDescent="0.3">
      <c r="A595" s="15">
        <v>69069</v>
      </c>
      <c r="B595" s="15" t="s">
        <v>27</v>
      </c>
      <c r="C595">
        <f t="shared" si="18"/>
        <v>1</v>
      </c>
      <c r="D595" s="15" t="s">
        <v>112</v>
      </c>
      <c r="E595">
        <f t="shared" si="19"/>
        <v>3</v>
      </c>
      <c r="F595" s="15">
        <v>6.7589041095890412</v>
      </c>
    </row>
    <row r="596" spans="1:6" x14ac:dyDescent="0.3">
      <c r="A596" s="15">
        <v>61015</v>
      </c>
      <c r="B596" s="15" t="s">
        <v>27</v>
      </c>
      <c r="C596">
        <f t="shared" si="18"/>
        <v>1</v>
      </c>
      <c r="D596" s="15" t="s">
        <v>30</v>
      </c>
      <c r="E596">
        <f t="shared" si="19"/>
        <v>2</v>
      </c>
      <c r="F596" s="15">
        <v>2.868493150684932</v>
      </c>
    </row>
    <row r="597" spans="1:6" x14ac:dyDescent="0.3">
      <c r="A597" s="15">
        <v>117180</v>
      </c>
      <c r="B597" s="15" t="s">
        <v>27</v>
      </c>
      <c r="C597">
        <f t="shared" si="18"/>
        <v>1</v>
      </c>
      <c r="D597" s="15" t="s">
        <v>112</v>
      </c>
      <c r="E597">
        <f t="shared" si="19"/>
        <v>3</v>
      </c>
      <c r="F597" s="15">
        <v>0.49315068493150682</v>
      </c>
    </row>
    <row r="598" spans="1:6" x14ac:dyDescent="0.3">
      <c r="A598" s="15">
        <v>58585</v>
      </c>
      <c r="B598" s="15" t="s">
        <v>27</v>
      </c>
      <c r="C598">
        <f t="shared" si="18"/>
        <v>1</v>
      </c>
      <c r="D598" s="15" t="s">
        <v>30</v>
      </c>
      <c r="E598">
        <f t="shared" si="19"/>
        <v>2</v>
      </c>
      <c r="F598" s="15">
        <v>4.8657534246575347</v>
      </c>
    </row>
    <row r="599" spans="1:6" x14ac:dyDescent="0.3">
      <c r="A599" s="15">
        <v>58073</v>
      </c>
      <c r="B599" s="15" t="s">
        <v>27</v>
      </c>
      <c r="C599">
        <f t="shared" si="18"/>
        <v>1</v>
      </c>
      <c r="D599" s="15" t="s">
        <v>93</v>
      </c>
      <c r="E599">
        <f t="shared" si="19"/>
        <v>4</v>
      </c>
      <c r="F599" s="15">
        <v>8.2410958904109588</v>
      </c>
    </row>
    <row r="600" spans="1:6" x14ac:dyDescent="0.3">
      <c r="A600" s="15">
        <v>69136</v>
      </c>
      <c r="B600" s="15" t="s">
        <v>17</v>
      </c>
      <c r="C600">
        <f t="shared" si="18"/>
        <v>0</v>
      </c>
      <c r="D600" s="15" t="s">
        <v>112</v>
      </c>
      <c r="E600">
        <f t="shared" si="19"/>
        <v>3</v>
      </c>
      <c r="F600" s="15">
        <v>0.49315068493150682</v>
      </c>
    </row>
    <row r="601" spans="1:6" x14ac:dyDescent="0.3">
      <c r="A601" s="15">
        <v>62641</v>
      </c>
      <c r="B601" s="15" t="s">
        <v>17</v>
      </c>
      <c r="C601">
        <f t="shared" si="18"/>
        <v>0</v>
      </c>
      <c r="D601" s="15" t="s">
        <v>20</v>
      </c>
      <c r="E601">
        <f t="shared" si="19"/>
        <v>1</v>
      </c>
      <c r="F601" s="15">
        <v>0.49315068493150682</v>
      </c>
    </row>
    <row r="602" spans="1:6" x14ac:dyDescent="0.3">
      <c r="A602" s="15">
        <v>55460</v>
      </c>
      <c r="B602" s="15" t="s">
        <v>17</v>
      </c>
      <c r="C602">
        <f t="shared" si="18"/>
        <v>0</v>
      </c>
      <c r="D602" s="15" t="s">
        <v>30</v>
      </c>
      <c r="E602">
        <f t="shared" si="19"/>
        <v>2</v>
      </c>
      <c r="F602" s="15">
        <v>7.9397260273972599</v>
      </c>
    </row>
    <row r="603" spans="1:6" x14ac:dyDescent="0.3">
      <c r="A603" s="15">
        <v>63096</v>
      </c>
      <c r="B603" s="15" t="s">
        <v>27</v>
      </c>
      <c r="C603">
        <f t="shared" si="18"/>
        <v>1</v>
      </c>
      <c r="D603" s="15" t="s">
        <v>30</v>
      </c>
      <c r="E603">
        <f t="shared" si="19"/>
        <v>2</v>
      </c>
      <c r="F603" s="15">
        <v>2.4493150684931511</v>
      </c>
    </row>
    <row r="604" spans="1:6" x14ac:dyDescent="0.3">
      <c r="A604" s="15">
        <v>63880</v>
      </c>
      <c r="B604" s="15" t="s">
        <v>17</v>
      </c>
      <c r="C604">
        <f t="shared" si="18"/>
        <v>0</v>
      </c>
      <c r="D604" s="15" t="s">
        <v>20</v>
      </c>
      <c r="E604">
        <f t="shared" si="19"/>
        <v>1</v>
      </c>
      <c r="F604" s="15">
        <v>0.49315068493150682</v>
      </c>
    </row>
    <row r="605" spans="1:6" x14ac:dyDescent="0.3">
      <c r="A605" s="15">
        <v>64090</v>
      </c>
      <c r="B605" s="15" t="s">
        <v>27</v>
      </c>
      <c r="C605">
        <f t="shared" si="18"/>
        <v>1</v>
      </c>
      <c r="D605" s="15" t="s">
        <v>30</v>
      </c>
      <c r="E605">
        <f t="shared" si="19"/>
        <v>2</v>
      </c>
      <c r="F605" s="15">
        <v>3.172602739726027</v>
      </c>
    </row>
    <row r="606" spans="1:6" x14ac:dyDescent="0.3">
      <c r="A606" s="15">
        <v>78013</v>
      </c>
      <c r="B606" s="15" t="s">
        <v>17</v>
      </c>
      <c r="C606">
        <f t="shared" si="18"/>
        <v>0</v>
      </c>
      <c r="D606" s="15" t="s">
        <v>30</v>
      </c>
      <c r="E606">
        <f t="shared" si="19"/>
        <v>2</v>
      </c>
      <c r="F606" s="15">
        <v>0.49315068493150682</v>
      </c>
    </row>
    <row r="607" spans="1:6" x14ac:dyDescent="0.3">
      <c r="A607" s="15">
        <v>58190</v>
      </c>
      <c r="B607" s="15" t="s">
        <v>17</v>
      </c>
      <c r="C607">
        <f t="shared" si="18"/>
        <v>0</v>
      </c>
      <c r="D607" s="15" t="s">
        <v>20</v>
      </c>
      <c r="E607">
        <f t="shared" si="19"/>
        <v>1</v>
      </c>
      <c r="F607" s="15">
        <v>5.7232876712328764</v>
      </c>
    </row>
    <row r="608" spans="1:6" x14ac:dyDescent="0.3">
      <c r="A608" s="15">
        <v>65703</v>
      </c>
      <c r="B608" s="15" t="s">
        <v>27</v>
      </c>
      <c r="C608">
        <f t="shared" si="18"/>
        <v>1</v>
      </c>
      <c r="D608" s="15" t="s">
        <v>30</v>
      </c>
      <c r="E608">
        <f t="shared" si="19"/>
        <v>2</v>
      </c>
      <c r="F608" s="15">
        <v>0.49315068493150682</v>
      </c>
    </row>
    <row r="609" spans="1:6" x14ac:dyDescent="0.3">
      <c r="A609" s="15">
        <v>94413</v>
      </c>
      <c r="B609" s="15" t="s">
        <v>27</v>
      </c>
      <c r="C609">
        <f t="shared" si="18"/>
        <v>1</v>
      </c>
      <c r="D609" s="15" t="s">
        <v>112</v>
      </c>
      <c r="E609">
        <f t="shared" si="19"/>
        <v>3</v>
      </c>
      <c r="F609" s="15">
        <v>0.49315068493150682</v>
      </c>
    </row>
    <row r="610" spans="1:6" x14ac:dyDescent="0.3">
      <c r="A610" s="15">
        <v>87933</v>
      </c>
      <c r="B610" s="15" t="s">
        <v>17</v>
      </c>
      <c r="C610">
        <f t="shared" si="18"/>
        <v>0</v>
      </c>
      <c r="D610" s="15" t="s">
        <v>112</v>
      </c>
      <c r="E610">
        <f t="shared" si="19"/>
        <v>3</v>
      </c>
      <c r="F610" s="15">
        <v>0.49315068493150682</v>
      </c>
    </row>
    <row r="611" spans="1:6" x14ac:dyDescent="0.3">
      <c r="A611" s="15">
        <v>61699</v>
      </c>
      <c r="B611" s="15" t="s">
        <v>17</v>
      </c>
      <c r="C611">
        <f t="shared" si="18"/>
        <v>0</v>
      </c>
      <c r="D611" s="15" t="s">
        <v>30</v>
      </c>
      <c r="E611">
        <f t="shared" si="19"/>
        <v>2</v>
      </c>
      <c r="F611" s="15">
        <v>5.8109589041095893</v>
      </c>
    </row>
    <row r="612" spans="1:6" x14ac:dyDescent="0.3">
      <c r="A612" s="15">
        <v>83942</v>
      </c>
      <c r="B612" s="15" t="s">
        <v>27</v>
      </c>
      <c r="C612">
        <f t="shared" si="18"/>
        <v>1</v>
      </c>
      <c r="D612" s="15" t="s">
        <v>30</v>
      </c>
      <c r="E612">
        <f t="shared" si="19"/>
        <v>2</v>
      </c>
      <c r="F612" s="15">
        <v>0.49315068493150682</v>
      </c>
    </row>
    <row r="613" spans="1:6" x14ac:dyDescent="0.3">
      <c r="A613" s="15">
        <v>68032</v>
      </c>
      <c r="B613" s="15" t="s">
        <v>27</v>
      </c>
      <c r="C613">
        <f t="shared" si="18"/>
        <v>1</v>
      </c>
      <c r="D613" s="15" t="s">
        <v>30</v>
      </c>
      <c r="E613">
        <f t="shared" si="19"/>
        <v>2</v>
      </c>
      <c r="F613" s="15">
        <v>5.3643835616438356</v>
      </c>
    </row>
    <row r="614" spans="1:6" x14ac:dyDescent="0.3">
      <c r="A614" s="15">
        <v>63082</v>
      </c>
      <c r="B614" s="15" t="s">
        <v>27</v>
      </c>
      <c r="C614">
        <f t="shared" si="18"/>
        <v>1</v>
      </c>
      <c r="D614" s="15" t="s">
        <v>30</v>
      </c>
      <c r="E614">
        <f t="shared" si="19"/>
        <v>2</v>
      </c>
      <c r="F614" s="15">
        <v>0.49315068493150682</v>
      </c>
    </row>
    <row r="615" spans="1:6" x14ac:dyDescent="0.3">
      <c r="A615" s="15">
        <v>58453</v>
      </c>
      <c r="B615" s="15" t="s">
        <v>17</v>
      </c>
      <c r="C615">
        <f t="shared" si="18"/>
        <v>0</v>
      </c>
      <c r="D615" s="15" t="s">
        <v>20</v>
      </c>
      <c r="E615">
        <f t="shared" si="19"/>
        <v>1</v>
      </c>
      <c r="F615" s="15">
        <v>2.29041095890411</v>
      </c>
    </row>
    <row r="616" spans="1:6" x14ac:dyDescent="0.3">
      <c r="A616" s="15">
        <v>59488</v>
      </c>
      <c r="B616" s="15" t="s">
        <v>17</v>
      </c>
      <c r="C616">
        <f t="shared" si="18"/>
        <v>0</v>
      </c>
      <c r="D616" s="15" t="s">
        <v>30</v>
      </c>
      <c r="E616">
        <f t="shared" si="19"/>
        <v>2</v>
      </c>
      <c r="F616" s="15">
        <v>0.49315068493150682</v>
      </c>
    </row>
    <row r="617" spans="1:6" x14ac:dyDescent="0.3">
      <c r="A617" s="15">
        <v>59823</v>
      </c>
      <c r="B617" s="15" t="s">
        <v>17</v>
      </c>
      <c r="C617">
        <f t="shared" si="18"/>
        <v>0</v>
      </c>
      <c r="D617" s="15" t="s">
        <v>20</v>
      </c>
      <c r="E617">
        <f t="shared" si="19"/>
        <v>1</v>
      </c>
      <c r="F617" s="15">
        <v>3.2849315068493148</v>
      </c>
    </row>
    <row r="618" spans="1:6" x14ac:dyDescent="0.3">
      <c r="A618" s="15">
        <v>67031</v>
      </c>
      <c r="B618" s="15" t="s">
        <v>27</v>
      </c>
      <c r="C618">
        <f t="shared" si="18"/>
        <v>1</v>
      </c>
      <c r="D618" s="15" t="s">
        <v>30</v>
      </c>
      <c r="E618">
        <f t="shared" si="19"/>
        <v>2</v>
      </c>
      <c r="F618" s="15">
        <v>0.49315068493150682</v>
      </c>
    </row>
    <row r="619" spans="1:6" x14ac:dyDescent="0.3">
      <c r="A619" s="15">
        <v>64904</v>
      </c>
      <c r="B619" s="15" t="s">
        <v>27</v>
      </c>
      <c r="C619">
        <f t="shared" si="18"/>
        <v>1</v>
      </c>
      <c r="D619" s="15" t="s">
        <v>20</v>
      </c>
      <c r="E619">
        <f t="shared" si="19"/>
        <v>1</v>
      </c>
      <c r="F619" s="15">
        <v>0.49315068493150682</v>
      </c>
    </row>
    <row r="620" spans="1:6" x14ac:dyDescent="0.3">
      <c r="A620" s="15">
        <v>63124</v>
      </c>
      <c r="B620" s="15" t="s">
        <v>17</v>
      </c>
      <c r="C620">
        <f t="shared" si="18"/>
        <v>0</v>
      </c>
      <c r="D620" s="15" t="s">
        <v>20</v>
      </c>
      <c r="E620">
        <f t="shared" si="19"/>
        <v>1</v>
      </c>
      <c r="F620" s="15">
        <v>0.49315068493150682</v>
      </c>
    </row>
    <row r="621" spans="1:6" x14ac:dyDescent="0.3">
      <c r="A621" s="15">
        <v>62596</v>
      </c>
      <c r="B621" s="15" t="s">
        <v>17</v>
      </c>
      <c r="C621">
        <f t="shared" si="18"/>
        <v>0</v>
      </c>
      <c r="D621" s="15" t="s">
        <v>112</v>
      </c>
      <c r="E621">
        <f t="shared" si="19"/>
        <v>3</v>
      </c>
      <c r="F621" s="15">
        <v>0.49315068493150682</v>
      </c>
    </row>
    <row r="622" spans="1:6" x14ac:dyDescent="0.3">
      <c r="A622" s="15">
        <v>84792</v>
      </c>
      <c r="B622" s="15" t="s">
        <v>17</v>
      </c>
      <c r="C622">
        <f t="shared" si="18"/>
        <v>0</v>
      </c>
      <c r="D622" s="15" t="s">
        <v>20</v>
      </c>
      <c r="E622">
        <f t="shared" si="19"/>
        <v>1</v>
      </c>
      <c r="F622" s="15">
        <v>0.49315068493150682</v>
      </c>
    </row>
    <row r="623" spans="1:6" x14ac:dyDescent="0.3">
      <c r="A623" s="15">
        <v>90504</v>
      </c>
      <c r="B623" s="15" t="s">
        <v>17</v>
      </c>
      <c r="C623">
        <f t="shared" si="18"/>
        <v>0</v>
      </c>
      <c r="D623" s="15" t="s">
        <v>30</v>
      </c>
      <c r="E623">
        <f t="shared" si="19"/>
        <v>2</v>
      </c>
      <c r="F623" s="15">
        <v>0.49315068493150682</v>
      </c>
    </row>
    <row r="624" spans="1:6" x14ac:dyDescent="0.3">
      <c r="A624" s="15">
        <v>54612</v>
      </c>
      <c r="B624" s="15" t="s">
        <v>17</v>
      </c>
      <c r="C624">
        <f t="shared" si="18"/>
        <v>0</v>
      </c>
      <c r="D624" s="15" t="s">
        <v>20</v>
      </c>
      <c r="E624">
        <f t="shared" si="19"/>
        <v>1</v>
      </c>
      <c r="F624" s="15">
        <v>0.49315068493150682</v>
      </c>
    </row>
    <row r="625" spans="1:6" x14ac:dyDescent="0.3">
      <c r="A625" s="15">
        <v>58407</v>
      </c>
      <c r="B625" s="15" t="s">
        <v>17</v>
      </c>
      <c r="C625">
        <f t="shared" si="18"/>
        <v>0</v>
      </c>
      <c r="D625" s="15" t="s">
        <v>30</v>
      </c>
      <c r="E625">
        <f t="shared" si="19"/>
        <v>2</v>
      </c>
      <c r="F625" s="15">
        <v>0.78904109589041094</v>
      </c>
    </row>
    <row r="626" spans="1:6" x14ac:dyDescent="0.3">
      <c r="A626" s="15">
        <v>113135</v>
      </c>
      <c r="B626" s="15" t="s">
        <v>17</v>
      </c>
      <c r="C626">
        <f t="shared" si="18"/>
        <v>0</v>
      </c>
      <c r="D626" s="15" t="s">
        <v>112</v>
      </c>
      <c r="E626">
        <f t="shared" si="19"/>
        <v>3</v>
      </c>
      <c r="F626" s="15">
        <v>3.536986301369863</v>
      </c>
    </row>
    <row r="627" spans="1:6" x14ac:dyDescent="0.3">
      <c r="A627" s="15">
        <v>57963</v>
      </c>
      <c r="B627" s="15" t="s">
        <v>17</v>
      </c>
      <c r="C627">
        <f t="shared" si="18"/>
        <v>0</v>
      </c>
      <c r="D627" s="15" t="s">
        <v>30</v>
      </c>
      <c r="E627">
        <f t="shared" si="19"/>
        <v>2</v>
      </c>
      <c r="F627" s="15">
        <v>4.4904109589041097</v>
      </c>
    </row>
    <row r="628" spans="1:6" x14ac:dyDescent="0.3">
      <c r="A628" s="15">
        <v>70113</v>
      </c>
      <c r="B628" s="15" t="s">
        <v>27</v>
      </c>
      <c r="C628">
        <f t="shared" si="18"/>
        <v>1</v>
      </c>
      <c r="D628" s="15" t="s">
        <v>112</v>
      </c>
      <c r="E628">
        <f t="shared" si="19"/>
        <v>3</v>
      </c>
      <c r="F628" s="15">
        <v>0.49315068493150682</v>
      </c>
    </row>
    <row r="629" spans="1:6" x14ac:dyDescent="0.3">
      <c r="A629" s="15">
        <v>56679</v>
      </c>
      <c r="B629" s="15" t="s">
        <v>17</v>
      </c>
      <c r="C629">
        <f t="shared" si="18"/>
        <v>0</v>
      </c>
      <c r="D629" s="15" t="s">
        <v>30</v>
      </c>
      <c r="E629">
        <f t="shared" si="19"/>
        <v>2</v>
      </c>
      <c r="F629" s="15">
        <v>1.802739726027397</v>
      </c>
    </row>
    <row r="630" spans="1:6" x14ac:dyDescent="0.3">
      <c r="A630" s="15">
        <v>62547</v>
      </c>
      <c r="B630" s="15" t="s">
        <v>27</v>
      </c>
      <c r="C630">
        <f t="shared" si="18"/>
        <v>1</v>
      </c>
      <c r="D630" s="15" t="s">
        <v>30</v>
      </c>
      <c r="E630">
        <f t="shared" si="19"/>
        <v>2</v>
      </c>
      <c r="F630" s="15">
        <v>0.49315068493150682</v>
      </c>
    </row>
    <row r="631" spans="1:6" x14ac:dyDescent="0.3">
      <c r="A631" s="15">
        <v>65191</v>
      </c>
      <c r="B631" s="15" t="s">
        <v>27</v>
      </c>
      <c r="C631">
        <f t="shared" si="18"/>
        <v>1</v>
      </c>
      <c r="D631" s="15" t="s">
        <v>20</v>
      </c>
      <c r="E631">
        <f t="shared" si="19"/>
        <v>1</v>
      </c>
      <c r="F631" s="15">
        <v>5.2849315068493148</v>
      </c>
    </row>
    <row r="632" spans="1:6" x14ac:dyDescent="0.3">
      <c r="A632" s="15">
        <v>57030</v>
      </c>
      <c r="B632" s="15" t="s">
        <v>17</v>
      </c>
      <c r="C632">
        <f t="shared" si="18"/>
        <v>0</v>
      </c>
      <c r="D632" s="15" t="s">
        <v>30</v>
      </c>
      <c r="E632">
        <f t="shared" si="19"/>
        <v>2</v>
      </c>
      <c r="F632" s="15">
        <v>0.49315068493150682</v>
      </c>
    </row>
    <row r="633" spans="1:6" x14ac:dyDescent="0.3">
      <c r="A633" s="15">
        <v>87587</v>
      </c>
      <c r="B633" s="15" t="s">
        <v>17</v>
      </c>
      <c r="C633">
        <f t="shared" si="18"/>
        <v>0</v>
      </c>
      <c r="D633" s="15" t="s">
        <v>112</v>
      </c>
      <c r="E633">
        <f t="shared" si="19"/>
        <v>3</v>
      </c>
      <c r="F633" s="15">
        <v>1.2027397260273971</v>
      </c>
    </row>
    <row r="634" spans="1:6" x14ac:dyDescent="0.3">
      <c r="A634" s="15">
        <v>95371</v>
      </c>
      <c r="B634" s="15" t="s">
        <v>27</v>
      </c>
      <c r="C634">
        <f t="shared" si="18"/>
        <v>1</v>
      </c>
      <c r="D634" s="15" t="s">
        <v>30</v>
      </c>
      <c r="E634">
        <f t="shared" si="19"/>
        <v>2</v>
      </c>
      <c r="F634" s="15">
        <v>4.1726027397260266</v>
      </c>
    </row>
    <row r="635" spans="1:6" x14ac:dyDescent="0.3">
      <c r="A635" s="15">
        <v>53179</v>
      </c>
      <c r="B635" s="15" t="s">
        <v>17</v>
      </c>
      <c r="C635">
        <f t="shared" si="18"/>
        <v>0</v>
      </c>
      <c r="D635" s="15" t="s">
        <v>30</v>
      </c>
      <c r="E635">
        <f t="shared" si="19"/>
        <v>2</v>
      </c>
      <c r="F635" s="15">
        <v>0.49315068493150682</v>
      </c>
    </row>
    <row r="636" spans="1:6" x14ac:dyDescent="0.3">
      <c r="A636" s="15">
        <v>64190</v>
      </c>
      <c r="B636" s="15" t="s">
        <v>27</v>
      </c>
      <c r="C636">
        <f t="shared" si="18"/>
        <v>1</v>
      </c>
      <c r="D636" s="15" t="s">
        <v>30</v>
      </c>
      <c r="E636">
        <f t="shared" si="19"/>
        <v>2</v>
      </c>
      <c r="F636" s="15">
        <v>2.3835616438356171</v>
      </c>
    </row>
    <row r="637" spans="1:6" x14ac:dyDescent="0.3">
      <c r="A637" s="15">
        <v>53419</v>
      </c>
      <c r="B637" s="15" t="s">
        <v>27</v>
      </c>
      <c r="C637">
        <f t="shared" si="18"/>
        <v>1</v>
      </c>
      <c r="D637" s="15" t="s">
        <v>20</v>
      </c>
      <c r="E637">
        <f t="shared" si="19"/>
        <v>1</v>
      </c>
      <c r="F637" s="15">
        <v>0.49315068493150682</v>
      </c>
    </row>
    <row r="638" spans="1:6" x14ac:dyDescent="0.3">
      <c r="A638" s="15">
        <v>54923</v>
      </c>
      <c r="B638" s="15" t="s">
        <v>27</v>
      </c>
      <c r="C638">
        <f t="shared" si="18"/>
        <v>1</v>
      </c>
      <c r="D638" s="15" t="s">
        <v>20</v>
      </c>
      <c r="E638">
        <f t="shared" si="19"/>
        <v>1</v>
      </c>
      <c r="F638" s="15">
        <v>0.49315068493150682</v>
      </c>
    </row>
    <row r="639" spans="1:6" x14ac:dyDescent="0.3">
      <c r="A639" s="15">
        <v>57130</v>
      </c>
      <c r="B639" s="15" t="s">
        <v>17</v>
      </c>
      <c r="C639">
        <f t="shared" si="18"/>
        <v>0</v>
      </c>
      <c r="D639" s="15" t="s">
        <v>30</v>
      </c>
      <c r="E639">
        <f t="shared" si="19"/>
        <v>2</v>
      </c>
      <c r="F639" s="15">
        <v>0.49315068493150682</v>
      </c>
    </row>
    <row r="640" spans="1:6" x14ac:dyDescent="0.3">
      <c r="A640" s="15">
        <v>79304</v>
      </c>
      <c r="B640" s="15" t="s">
        <v>27</v>
      </c>
      <c r="C640">
        <f t="shared" si="18"/>
        <v>1</v>
      </c>
      <c r="D640" s="15" t="s">
        <v>30</v>
      </c>
      <c r="E640">
        <f t="shared" si="19"/>
        <v>2</v>
      </c>
      <c r="F640" s="15">
        <v>0.49315068493150682</v>
      </c>
    </row>
    <row r="641" spans="1:6" x14ac:dyDescent="0.3">
      <c r="A641" s="15">
        <v>58058</v>
      </c>
      <c r="B641" s="15" t="s">
        <v>17</v>
      </c>
      <c r="C641">
        <f t="shared" si="18"/>
        <v>0</v>
      </c>
      <c r="D641" s="15" t="s">
        <v>30</v>
      </c>
      <c r="E641">
        <f t="shared" si="19"/>
        <v>2</v>
      </c>
      <c r="F641" s="15">
        <v>1.912328767123288</v>
      </c>
    </row>
    <row r="642" spans="1:6" x14ac:dyDescent="0.3">
      <c r="A642" s="15">
        <v>63949</v>
      </c>
      <c r="B642" s="15" t="s">
        <v>27</v>
      </c>
      <c r="C642">
        <f t="shared" si="18"/>
        <v>1</v>
      </c>
      <c r="D642" s="15" t="s">
        <v>30</v>
      </c>
      <c r="E642">
        <f t="shared" si="19"/>
        <v>2</v>
      </c>
      <c r="F642" s="15">
        <v>0.49315068493150682</v>
      </c>
    </row>
    <row r="643" spans="1:6" x14ac:dyDescent="0.3">
      <c r="A643" s="15">
        <v>61782</v>
      </c>
      <c r="B643" s="15" t="s">
        <v>27</v>
      </c>
      <c r="C643">
        <f t="shared" ref="C643:C706" si="20">IF(B643="Male", 1, 0)</f>
        <v>1</v>
      </c>
      <c r="D643" s="15" t="s">
        <v>20</v>
      </c>
      <c r="E643">
        <f t="shared" ref="E643:E706" si="21">IF(D643="High School",1,IF(D643="Bachelor",2,IF(D643="Master",3,IF(D643="PhD",4,""))))</f>
        <v>1</v>
      </c>
      <c r="F643" s="15">
        <v>1.802739726027397</v>
      </c>
    </row>
    <row r="644" spans="1:6" x14ac:dyDescent="0.3">
      <c r="A644" s="15">
        <v>76023</v>
      </c>
      <c r="B644" s="15" t="s">
        <v>27</v>
      </c>
      <c r="C644">
        <f t="shared" si="20"/>
        <v>1</v>
      </c>
      <c r="D644" s="15" t="s">
        <v>30</v>
      </c>
      <c r="E644">
        <f t="shared" si="21"/>
        <v>2</v>
      </c>
      <c r="F644" s="15">
        <v>0.49315068493150682</v>
      </c>
    </row>
    <row r="645" spans="1:6" x14ac:dyDescent="0.3">
      <c r="A645" s="15">
        <v>82239</v>
      </c>
      <c r="B645" s="15" t="s">
        <v>17</v>
      </c>
      <c r="C645">
        <f t="shared" si="20"/>
        <v>0</v>
      </c>
      <c r="D645" s="15" t="s">
        <v>112</v>
      </c>
      <c r="E645">
        <f t="shared" si="21"/>
        <v>3</v>
      </c>
      <c r="F645" s="15">
        <v>1.671232876712329</v>
      </c>
    </row>
    <row r="646" spans="1:6" x14ac:dyDescent="0.3">
      <c r="A646" s="15">
        <v>63634</v>
      </c>
      <c r="B646" s="15" t="s">
        <v>27</v>
      </c>
      <c r="C646">
        <f t="shared" si="20"/>
        <v>1</v>
      </c>
      <c r="D646" s="15" t="s">
        <v>30</v>
      </c>
      <c r="E646">
        <f t="shared" si="21"/>
        <v>2</v>
      </c>
      <c r="F646" s="15">
        <v>0.49315068493150682</v>
      </c>
    </row>
    <row r="647" spans="1:6" x14ac:dyDescent="0.3">
      <c r="A647" s="15">
        <v>79328</v>
      </c>
      <c r="B647" s="15" t="s">
        <v>27</v>
      </c>
      <c r="C647">
        <f t="shared" si="20"/>
        <v>1</v>
      </c>
      <c r="D647" s="15" t="s">
        <v>30</v>
      </c>
      <c r="E647">
        <f t="shared" si="21"/>
        <v>2</v>
      </c>
      <c r="F647" s="15">
        <v>2.3698630136986298</v>
      </c>
    </row>
    <row r="648" spans="1:6" x14ac:dyDescent="0.3">
      <c r="A648" s="15">
        <v>70361</v>
      </c>
      <c r="B648" s="15" t="s">
        <v>27</v>
      </c>
      <c r="C648">
        <f t="shared" si="20"/>
        <v>1</v>
      </c>
      <c r="D648" s="15" t="s">
        <v>30</v>
      </c>
      <c r="E648">
        <f t="shared" si="21"/>
        <v>2</v>
      </c>
      <c r="F648" s="15">
        <v>3.7260273972602742</v>
      </c>
    </row>
    <row r="649" spans="1:6" x14ac:dyDescent="0.3">
      <c r="A649" s="15">
        <v>61939</v>
      </c>
      <c r="B649" s="15" t="s">
        <v>17</v>
      </c>
      <c r="C649">
        <f t="shared" si="20"/>
        <v>0</v>
      </c>
      <c r="D649" s="15" t="s">
        <v>30</v>
      </c>
      <c r="E649">
        <f t="shared" si="21"/>
        <v>2</v>
      </c>
      <c r="F649" s="15">
        <v>2.6602739726027398</v>
      </c>
    </row>
    <row r="650" spans="1:6" x14ac:dyDescent="0.3">
      <c r="A650" s="15">
        <v>105567</v>
      </c>
      <c r="B650" s="15" t="s">
        <v>17</v>
      </c>
      <c r="C650">
        <f t="shared" si="20"/>
        <v>0</v>
      </c>
      <c r="D650" s="15" t="s">
        <v>93</v>
      </c>
      <c r="E650">
        <f t="shared" si="21"/>
        <v>4</v>
      </c>
      <c r="F650" s="15">
        <v>2.257534246575343</v>
      </c>
    </row>
    <row r="651" spans="1:6" x14ac:dyDescent="0.3">
      <c r="A651" s="15">
        <v>56716</v>
      </c>
      <c r="B651" s="15" t="s">
        <v>17</v>
      </c>
      <c r="C651">
        <f t="shared" si="20"/>
        <v>0</v>
      </c>
      <c r="D651" s="15" t="s">
        <v>30</v>
      </c>
      <c r="E651">
        <f t="shared" si="21"/>
        <v>2</v>
      </c>
      <c r="F651" s="15">
        <v>1.5287671232876709</v>
      </c>
    </row>
    <row r="652" spans="1:6" x14ac:dyDescent="0.3">
      <c r="A652" s="15">
        <v>99379</v>
      </c>
      <c r="B652" s="15" t="s">
        <v>17</v>
      </c>
      <c r="C652">
        <f t="shared" si="20"/>
        <v>0</v>
      </c>
      <c r="D652" s="15" t="s">
        <v>112</v>
      </c>
      <c r="E652">
        <f t="shared" si="21"/>
        <v>3</v>
      </c>
      <c r="F652" s="15">
        <v>0.49315068493150682</v>
      </c>
    </row>
    <row r="653" spans="1:6" x14ac:dyDescent="0.3">
      <c r="A653" s="15">
        <v>60496</v>
      </c>
      <c r="B653" s="15" t="s">
        <v>27</v>
      </c>
      <c r="C653">
        <f t="shared" si="20"/>
        <v>1</v>
      </c>
      <c r="D653" s="15" t="s">
        <v>30</v>
      </c>
      <c r="E653">
        <f t="shared" si="21"/>
        <v>2</v>
      </c>
      <c r="F653" s="15">
        <v>0.49315068493150682</v>
      </c>
    </row>
    <row r="654" spans="1:6" x14ac:dyDescent="0.3">
      <c r="A654" s="15">
        <v>87672</v>
      </c>
      <c r="B654" s="15" t="s">
        <v>27</v>
      </c>
      <c r="C654">
        <f t="shared" si="20"/>
        <v>1</v>
      </c>
      <c r="D654" s="15" t="s">
        <v>112</v>
      </c>
      <c r="E654">
        <f t="shared" si="21"/>
        <v>3</v>
      </c>
      <c r="F654" s="15">
        <v>1.2438356164383559</v>
      </c>
    </row>
    <row r="655" spans="1:6" x14ac:dyDescent="0.3">
      <c r="A655" s="15">
        <v>67869</v>
      </c>
      <c r="B655" s="15" t="s">
        <v>27</v>
      </c>
      <c r="C655">
        <f t="shared" si="20"/>
        <v>1</v>
      </c>
      <c r="D655" s="15" t="s">
        <v>30</v>
      </c>
      <c r="E655">
        <f t="shared" si="21"/>
        <v>2</v>
      </c>
      <c r="F655" s="15">
        <v>0.49315068493150682</v>
      </c>
    </row>
    <row r="656" spans="1:6" x14ac:dyDescent="0.3">
      <c r="A656" s="15">
        <v>66072</v>
      </c>
      <c r="B656" s="15" t="s">
        <v>27</v>
      </c>
      <c r="C656">
        <f t="shared" si="20"/>
        <v>1</v>
      </c>
      <c r="D656" s="15" t="s">
        <v>30</v>
      </c>
      <c r="E656">
        <f t="shared" si="21"/>
        <v>2</v>
      </c>
      <c r="F656" s="15">
        <v>0.49315068493150682</v>
      </c>
    </row>
    <row r="657" spans="1:6" x14ac:dyDescent="0.3">
      <c r="A657" s="15">
        <v>82068</v>
      </c>
      <c r="B657" s="15" t="s">
        <v>17</v>
      </c>
      <c r="C657">
        <f t="shared" si="20"/>
        <v>0</v>
      </c>
      <c r="D657" s="15" t="s">
        <v>20</v>
      </c>
      <c r="E657">
        <f t="shared" si="21"/>
        <v>1</v>
      </c>
      <c r="F657" s="15">
        <v>1.9643835616438361</v>
      </c>
    </row>
    <row r="658" spans="1:6" x14ac:dyDescent="0.3">
      <c r="A658" s="15">
        <v>55146</v>
      </c>
      <c r="B658" s="15" t="s">
        <v>27</v>
      </c>
      <c r="C658">
        <f t="shared" si="20"/>
        <v>1</v>
      </c>
      <c r="D658" s="15" t="s">
        <v>112</v>
      </c>
      <c r="E658">
        <f t="shared" si="21"/>
        <v>3</v>
      </c>
      <c r="F658" s="15">
        <v>3.4164383561643841</v>
      </c>
    </row>
    <row r="659" spans="1:6" x14ac:dyDescent="0.3">
      <c r="A659" s="15">
        <v>58529</v>
      </c>
      <c r="B659" s="15" t="s">
        <v>17</v>
      </c>
      <c r="C659">
        <f t="shared" si="20"/>
        <v>0</v>
      </c>
      <c r="D659" s="15" t="s">
        <v>30</v>
      </c>
      <c r="E659">
        <f t="shared" si="21"/>
        <v>2</v>
      </c>
      <c r="F659" s="15">
        <v>5.3095890410958901</v>
      </c>
    </row>
    <row r="660" spans="1:6" x14ac:dyDescent="0.3">
      <c r="A660" s="15">
        <v>59202</v>
      </c>
      <c r="B660" s="15" t="s">
        <v>27</v>
      </c>
      <c r="C660">
        <f t="shared" si="20"/>
        <v>1</v>
      </c>
      <c r="D660" s="15" t="s">
        <v>20</v>
      </c>
      <c r="E660">
        <f t="shared" si="21"/>
        <v>1</v>
      </c>
      <c r="F660" s="15">
        <v>5.2602739726027394</v>
      </c>
    </row>
    <row r="661" spans="1:6" x14ac:dyDescent="0.3">
      <c r="A661" s="15">
        <v>59013</v>
      </c>
      <c r="B661" s="15" t="s">
        <v>27</v>
      </c>
      <c r="C661">
        <f t="shared" si="20"/>
        <v>1</v>
      </c>
      <c r="D661" s="15" t="s">
        <v>20</v>
      </c>
      <c r="E661">
        <f t="shared" si="21"/>
        <v>1</v>
      </c>
      <c r="F661" s="15">
        <v>0.49315068493150682</v>
      </c>
    </row>
    <row r="662" spans="1:6" x14ac:dyDescent="0.3">
      <c r="A662" s="15">
        <v>63118</v>
      </c>
      <c r="B662" s="15" t="s">
        <v>17</v>
      </c>
      <c r="C662">
        <f t="shared" si="20"/>
        <v>0</v>
      </c>
      <c r="D662" s="15" t="s">
        <v>30</v>
      </c>
      <c r="E662">
        <f t="shared" si="21"/>
        <v>2</v>
      </c>
      <c r="F662" s="15">
        <v>0.49315068493150682</v>
      </c>
    </row>
    <row r="663" spans="1:6" x14ac:dyDescent="0.3">
      <c r="A663" s="15">
        <v>55963</v>
      </c>
      <c r="B663" s="15" t="s">
        <v>17</v>
      </c>
      <c r="C663">
        <f t="shared" si="20"/>
        <v>0</v>
      </c>
      <c r="D663" s="15" t="s">
        <v>30</v>
      </c>
      <c r="E663">
        <f t="shared" si="21"/>
        <v>2</v>
      </c>
      <c r="F663" s="15">
        <v>0.49315068493150682</v>
      </c>
    </row>
    <row r="664" spans="1:6" x14ac:dyDescent="0.3">
      <c r="A664" s="15">
        <v>96838</v>
      </c>
      <c r="B664" s="15" t="s">
        <v>17</v>
      </c>
      <c r="C664">
        <f t="shared" si="20"/>
        <v>0</v>
      </c>
      <c r="D664" s="15" t="s">
        <v>112</v>
      </c>
      <c r="E664">
        <f t="shared" si="21"/>
        <v>3</v>
      </c>
      <c r="F664" s="15">
        <v>0.49315068493150682</v>
      </c>
    </row>
    <row r="665" spans="1:6" x14ac:dyDescent="0.3">
      <c r="A665" s="15">
        <v>58081</v>
      </c>
      <c r="B665" s="15" t="s">
        <v>27</v>
      </c>
      <c r="C665">
        <f t="shared" si="20"/>
        <v>1</v>
      </c>
      <c r="D665" s="15" t="s">
        <v>20</v>
      </c>
      <c r="E665">
        <f t="shared" si="21"/>
        <v>1</v>
      </c>
      <c r="F665" s="15">
        <v>4.5863013698630137</v>
      </c>
    </row>
    <row r="666" spans="1:6" x14ac:dyDescent="0.3">
      <c r="A666" s="15">
        <v>59674</v>
      </c>
      <c r="B666" s="15" t="s">
        <v>27</v>
      </c>
      <c r="C666">
        <f t="shared" si="20"/>
        <v>1</v>
      </c>
      <c r="D666" s="15" t="s">
        <v>20</v>
      </c>
      <c r="E666">
        <f t="shared" si="21"/>
        <v>1</v>
      </c>
      <c r="F666" s="15">
        <v>6</v>
      </c>
    </row>
    <row r="667" spans="1:6" x14ac:dyDescent="0.3">
      <c r="A667" s="15">
        <v>98661</v>
      </c>
      <c r="B667" s="15" t="s">
        <v>17</v>
      </c>
      <c r="C667">
        <f t="shared" si="20"/>
        <v>0</v>
      </c>
      <c r="D667" s="15" t="s">
        <v>93</v>
      </c>
      <c r="E667">
        <f t="shared" si="21"/>
        <v>4</v>
      </c>
      <c r="F667" s="15">
        <v>9.6136986301369856</v>
      </c>
    </row>
    <row r="668" spans="1:6" x14ac:dyDescent="0.3">
      <c r="A668" s="15">
        <v>67673</v>
      </c>
      <c r="B668" s="15" t="s">
        <v>27</v>
      </c>
      <c r="C668">
        <f t="shared" si="20"/>
        <v>1</v>
      </c>
      <c r="D668" s="15" t="s">
        <v>30</v>
      </c>
      <c r="E668">
        <f t="shared" si="21"/>
        <v>2</v>
      </c>
      <c r="F668" s="15">
        <v>0.72054794520547949</v>
      </c>
    </row>
    <row r="669" spans="1:6" x14ac:dyDescent="0.3">
      <c r="A669" s="15">
        <v>93212</v>
      </c>
      <c r="B669" s="15" t="s">
        <v>27</v>
      </c>
      <c r="C669">
        <f t="shared" si="20"/>
        <v>1</v>
      </c>
      <c r="D669" s="15" t="s">
        <v>30</v>
      </c>
      <c r="E669">
        <f t="shared" si="21"/>
        <v>2</v>
      </c>
      <c r="F669" s="15">
        <v>8.9178082191780828</v>
      </c>
    </row>
    <row r="670" spans="1:6" x14ac:dyDescent="0.3">
      <c r="A670" s="15">
        <v>95680</v>
      </c>
      <c r="B670" s="15" t="s">
        <v>27</v>
      </c>
      <c r="C670">
        <f t="shared" si="20"/>
        <v>1</v>
      </c>
      <c r="D670" s="15" t="s">
        <v>30</v>
      </c>
      <c r="E670">
        <f t="shared" si="21"/>
        <v>2</v>
      </c>
      <c r="F670" s="15">
        <v>1.167123287671233</v>
      </c>
    </row>
    <row r="671" spans="1:6" x14ac:dyDescent="0.3">
      <c r="A671" s="15">
        <v>89228</v>
      </c>
      <c r="B671" s="15" t="s">
        <v>27</v>
      </c>
      <c r="C671">
        <f t="shared" si="20"/>
        <v>1</v>
      </c>
      <c r="D671" s="15" t="s">
        <v>30</v>
      </c>
      <c r="E671">
        <f t="shared" si="21"/>
        <v>2</v>
      </c>
      <c r="F671" s="15">
        <v>0.49315068493150682</v>
      </c>
    </row>
    <row r="672" spans="1:6" x14ac:dyDescent="0.3">
      <c r="A672" s="15">
        <v>63362</v>
      </c>
      <c r="B672" s="15" t="s">
        <v>27</v>
      </c>
      <c r="C672">
        <f t="shared" si="20"/>
        <v>1</v>
      </c>
      <c r="D672" s="15" t="s">
        <v>30</v>
      </c>
      <c r="E672">
        <f t="shared" si="21"/>
        <v>2</v>
      </c>
      <c r="F672" s="15">
        <v>3.2027397260273971</v>
      </c>
    </row>
    <row r="673" spans="1:6" x14ac:dyDescent="0.3">
      <c r="A673" s="15">
        <v>94222</v>
      </c>
      <c r="B673" s="15" t="s">
        <v>27</v>
      </c>
      <c r="C673">
        <f t="shared" si="20"/>
        <v>1</v>
      </c>
      <c r="D673" s="15" t="s">
        <v>93</v>
      </c>
      <c r="E673">
        <f t="shared" si="21"/>
        <v>4</v>
      </c>
      <c r="F673" s="15">
        <v>1.208219178082192</v>
      </c>
    </row>
    <row r="674" spans="1:6" x14ac:dyDescent="0.3">
      <c r="A674" s="15">
        <v>64384</v>
      </c>
      <c r="B674" s="15" t="s">
        <v>27</v>
      </c>
      <c r="C674">
        <f t="shared" si="20"/>
        <v>1</v>
      </c>
      <c r="D674" s="15" t="s">
        <v>20</v>
      </c>
      <c r="E674">
        <f t="shared" si="21"/>
        <v>1</v>
      </c>
      <c r="F674" s="15">
        <v>0.49315068493150682</v>
      </c>
    </row>
    <row r="675" spans="1:6" x14ac:dyDescent="0.3">
      <c r="A675" s="15">
        <v>93626</v>
      </c>
      <c r="B675" s="15" t="s">
        <v>27</v>
      </c>
      <c r="C675">
        <f t="shared" si="20"/>
        <v>1</v>
      </c>
      <c r="D675" s="15" t="s">
        <v>30</v>
      </c>
      <c r="E675">
        <f t="shared" si="21"/>
        <v>2</v>
      </c>
      <c r="F675" s="15">
        <v>4.375342465753425</v>
      </c>
    </row>
    <row r="676" spans="1:6" x14ac:dyDescent="0.3">
      <c r="A676" s="15">
        <v>68912</v>
      </c>
      <c r="B676" s="15" t="s">
        <v>27</v>
      </c>
      <c r="C676">
        <f t="shared" si="20"/>
        <v>1</v>
      </c>
      <c r="D676" s="15" t="s">
        <v>30</v>
      </c>
      <c r="E676">
        <f t="shared" si="21"/>
        <v>2</v>
      </c>
      <c r="F676" s="15">
        <v>3.2547945205479452</v>
      </c>
    </row>
    <row r="677" spans="1:6" x14ac:dyDescent="0.3">
      <c r="A677" s="15">
        <v>61186</v>
      </c>
      <c r="B677" s="15" t="s">
        <v>27</v>
      </c>
      <c r="C677">
        <f t="shared" si="20"/>
        <v>1</v>
      </c>
      <c r="D677" s="15" t="s">
        <v>20</v>
      </c>
      <c r="E677">
        <f t="shared" si="21"/>
        <v>1</v>
      </c>
      <c r="F677" s="15">
        <v>0.49315068493150682</v>
      </c>
    </row>
    <row r="678" spans="1:6" x14ac:dyDescent="0.3">
      <c r="A678" s="15">
        <v>75082</v>
      </c>
      <c r="B678" s="15" t="s">
        <v>27</v>
      </c>
      <c r="C678">
        <f t="shared" si="20"/>
        <v>1</v>
      </c>
      <c r="D678" s="15" t="s">
        <v>30</v>
      </c>
      <c r="E678">
        <f t="shared" si="21"/>
        <v>2</v>
      </c>
      <c r="F678" s="15">
        <v>1.747945205479452</v>
      </c>
    </row>
    <row r="679" spans="1:6" x14ac:dyDescent="0.3">
      <c r="A679" s="15">
        <v>57702</v>
      </c>
      <c r="B679" s="15" t="s">
        <v>27</v>
      </c>
      <c r="C679">
        <f t="shared" si="20"/>
        <v>1</v>
      </c>
      <c r="D679" s="15" t="s">
        <v>20</v>
      </c>
      <c r="E679">
        <f t="shared" si="21"/>
        <v>1</v>
      </c>
      <c r="F679" s="15">
        <v>9.4136986301369863</v>
      </c>
    </row>
    <row r="680" spans="1:6" x14ac:dyDescent="0.3">
      <c r="A680" s="15">
        <v>56487</v>
      </c>
      <c r="B680" s="15" t="s">
        <v>17</v>
      </c>
      <c r="C680">
        <f t="shared" si="20"/>
        <v>0</v>
      </c>
      <c r="D680" s="15" t="s">
        <v>30</v>
      </c>
      <c r="E680">
        <f t="shared" si="21"/>
        <v>2</v>
      </c>
      <c r="F680" s="15">
        <v>0.49315068493150682</v>
      </c>
    </row>
    <row r="681" spans="1:6" x14ac:dyDescent="0.3">
      <c r="A681" s="15">
        <v>74502</v>
      </c>
      <c r="B681" s="15" t="s">
        <v>17</v>
      </c>
      <c r="C681">
        <f t="shared" si="20"/>
        <v>0</v>
      </c>
      <c r="D681" s="15" t="s">
        <v>30</v>
      </c>
      <c r="E681">
        <f t="shared" si="21"/>
        <v>2</v>
      </c>
      <c r="F681" s="15">
        <v>2.128767123287671</v>
      </c>
    </row>
    <row r="682" spans="1:6" x14ac:dyDescent="0.3">
      <c r="A682" s="15">
        <v>100558</v>
      </c>
      <c r="B682" s="15" t="s">
        <v>17</v>
      </c>
      <c r="C682">
        <f t="shared" si="20"/>
        <v>0</v>
      </c>
      <c r="D682" s="15" t="s">
        <v>112</v>
      </c>
      <c r="E682">
        <f t="shared" si="21"/>
        <v>3</v>
      </c>
      <c r="F682" s="15">
        <v>0.49315068493150682</v>
      </c>
    </row>
    <row r="683" spans="1:6" x14ac:dyDescent="0.3">
      <c r="A683" s="15">
        <v>85918</v>
      </c>
      <c r="B683" s="15" t="s">
        <v>17</v>
      </c>
      <c r="C683">
        <f t="shared" si="20"/>
        <v>0</v>
      </c>
      <c r="D683" s="15" t="s">
        <v>30</v>
      </c>
      <c r="E683">
        <f t="shared" si="21"/>
        <v>2</v>
      </c>
      <c r="F683" s="15">
        <v>0.49315068493150682</v>
      </c>
    </row>
    <row r="684" spans="1:6" x14ac:dyDescent="0.3">
      <c r="A684" s="15">
        <v>88835</v>
      </c>
      <c r="B684" s="15" t="s">
        <v>17</v>
      </c>
      <c r="C684">
        <f t="shared" si="20"/>
        <v>0</v>
      </c>
      <c r="D684" s="15" t="s">
        <v>30</v>
      </c>
      <c r="E684">
        <f t="shared" si="21"/>
        <v>2</v>
      </c>
      <c r="F684" s="15">
        <v>0.49315068493150682</v>
      </c>
    </row>
    <row r="685" spans="1:6" x14ac:dyDescent="0.3">
      <c r="A685" s="15">
        <v>62944</v>
      </c>
      <c r="B685" s="15" t="s">
        <v>17</v>
      </c>
      <c r="C685">
        <f t="shared" si="20"/>
        <v>0</v>
      </c>
      <c r="D685" s="15" t="s">
        <v>30</v>
      </c>
      <c r="E685">
        <f t="shared" si="21"/>
        <v>2</v>
      </c>
      <c r="F685" s="15">
        <v>3.9972602739726031</v>
      </c>
    </row>
    <row r="686" spans="1:6" x14ac:dyDescent="0.3">
      <c r="A686" s="15">
        <v>91666</v>
      </c>
      <c r="B686" s="15" t="s">
        <v>27</v>
      </c>
      <c r="C686">
        <f t="shared" si="20"/>
        <v>1</v>
      </c>
      <c r="D686" s="15" t="s">
        <v>30</v>
      </c>
      <c r="E686">
        <f t="shared" si="21"/>
        <v>2</v>
      </c>
      <c r="F686" s="15">
        <v>2.8301369863013699</v>
      </c>
    </row>
    <row r="687" spans="1:6" x14ac:dyDescent="0.3">
      <c r="A687" s="15">
        <v>61011</v>
      </c>
      <c r="B687" s="15" t="s">
        <v>17</v>
      </c>
      <c r="C687">
        <f t="shared" si="20"/>
        <v>0</v>
      </c>
      <c r="D687" s="15" t="s">
        <v>30</v>
      </c>
      <c r="E687">
        <f t="shared" si="21"/>
        <v>2</v>
      </c>
      <c r="F687" s="15">
        <v>0.49315068493150682</v>
      </c>
    </row>
    <row r="688" spans="1:6" x14ac:dyDescent="0.3">
      <c r="A688" s="15">
        <v>109779</v>
      </c>
      <c r="B688" s="15" t="s">
        <v>17</v>
      </c>
      <c r="C688">
        <f t="shared" si="20"/>
        <v>0</v>
      </c>
      <c r="D688" s="15" t="s">
        <v>112</v>
      </c>
      <c r="E688">
        <f t="shared" si="21"/>
        <v>3</v>
      </c>
      <c r="F688" s="15">
        <v>0.49315068493150682</v>
      </c>
    </row>
    <row r="689" spans="1:6" x14ac:dyDescent="0.3">
      <c r="A689" s="15">
        <v>54788</v>
      </c>
      <c r="B689" s="15" t="s">
        <v>17</v>
      </c>
      <c r="C689">
        <f t="shared" si="20"/>
        <v>0</v>
      </c>
      <c r="D689" s="15" t="s">
        <v>20</v>
      </c>
      <c r="E689">
        <f t="shared" si="21"/>
        <v>1</v>
      </c>
      <c r="F689" s="15">
        <v>4.1315068493150688</v>
      </c>
    </row>
    <row r="690" spans="1:6" x14ac:dyDescent="0.3">
      <c r="A690" s="15">
        <v>58562</v>
      </c>
      <c r="B690" s="15" t="s">
        <v>17</v>
      </c>
      <c r="C690">
        <f t="shared" si="20"/>
        <v>0</v>
      </c>
      <c r="D690" s="15" t="s">
        <v>30</v>
      </c>
      <c r="E690">
        <f t="shared" si="21"/>
        <v>2</v>
      </c>
      <c r="F690" s="15">
        <v>1.7561643835616441</v>
      </c>
    </row>
    <row r="691" spans="1:6" x14ac:dyDescent="0.3">
      <c r="A691" s="15">
        <v>88719</v>
      </c>
      <c r="B691" s="15" t="s">
        <v>17</v>
      </c>
      <c r="C691">
        <f t="shared" si="20"/>
        <v>0</v>
      </c>
      <c r="D691" s="15" t="s">
        <v>112</v>
      </c>
      <c r="E691">
        <f t="shared" si="21"/>
        <v>3</v>
      </c>
      <c r="F691" s="15">
        <v>0.57260273972602738</v>
      </c>
    </row>
    <row r="692" spans="1:6" x14ac:dyDescent="0.3">
      <c r="A692" s="15">
        <v>70388</v>
      </c>
      <c r="B692" s="15" t="s">
        <v>27</v>
      </c>
      <c r="C692">
        <f t="shared" si="20"/>
        <v>1</v>
      </c>
      <c r="D692" s="15" t="s">
        <v>30</v>
      </c>
      <c r="E692">
        <f t="shared" si="21"/>
        <v>2</v>
      </c>
      <c r="F692" s="15">
        <v>6.2958904109589042</v>
      </c>
    </row>
    <row r="693" spans="1:6" x14ac:dyDescent="0.3">
      <c r="A693" s="15">
        <v>63808</v>
      </c>
      <c r="B693" s="15" t="s">
        <v>27</v>
      </c>
      <c r="C693">
        <f t="shared" si="20"/>
        <v>1</v>
      </c>
      <c r="D693" s="15" t="s">
        <v>20</v>
      </c>
      <c r="E693">
        <f t="shared" si="21"/>
        <v>1</v>
      </c>
      <c r="F693" s="15">
        <v>2.087671232876712</v>
      </c>
    </row>
    <row r="694" spans="1:6" x14ac:dyDescent="0.3">
      <c r="A694" s="15">
        <v>57527</v>
      </c>
      <c r="B694" s="15" t="s">
        <v>17</v>
      </c>
      <c r="C694">
        <f t="shared" si="20"/>
        <v>0</v>
      </c>
      <c r="D694" s="15" t="s">
        <v>30</v>
      </c>
      <c r="E694">
        <f t="shared" si="21"/>
        <v>2</v>
      </c>
      <c r="F694" s="15">
        <v>0.49315068493150682</v>
      </c>
    </row>
    <row r="695" spans="1:6" x14ac:dyDescent="0.3">
      <c r="A695" s="15">
        <v>89227</v>
      </c>
      <c r="B695" s="15" t="s">
        <v>17</v>
      </c>
      <c r="C695">
        <f t="shared" si="20"/>
        <v>0</v>
      </c>
      <c r="D695" s="15" t="s">
        <v>112</v>
      </c>
      <c r="E695">
        <f t="shared" si="21"/>
        <v>3</v>
      </c>
      <c r="F695" s="15">
        <v>0.49315068493150682</v>
      </c>
    </row>
    <row r="696" spans="1:6" x14ac:dyDescent="0.3">
      <c r="A696" s="15">
        <v>77002</v>
      </c>
      <c r="B696" s="15" t="s">
        <v>27</v>
      </c>
      <c r="C696">
        <f t="shared" si="20"/>
        <v>1</v>
      </c>
      <c r="D696" s="15" t="s">
        <v>30</v>
      </c>
      <c r="E696">
        <f t="shared" si="21"/>
        <v>2</v>
      </c>
      <c r="F696" s="15">
        <v>5.3698630136986303</v>
      </c>
    </row>
    <row r="697" spans="1:6" x14ac:dyDescent="0.3">
      <c r="A697" s="15">
        <v>105185</v>
      </c>
      <c r="B697" s="15" t="s">
        <v>27</v>
      </c>
      <c r="C697">
        <f t="shared" si="20"/>
        <v>1</v>
      </c>
      <c r="D697" s="15" t="s">
        <v>112</v>
      </c>
      <c r="E697">
        <f t="shared" si="21"/>
        <v>3</v>
      </c>
      <c r="F697" s="15">
        <v>0.9178082191780822</v>
      </c>
    </row>
    <row r="698" spans="1:6" x14ac:dyDescent="0.3">
      <c r="A698" s="15">
        <v>109997</v>
      </c>
      <c r="B698" s="15" t="s">
        <v>27</v>
      </c>
      <c r="C698">
        <f t="shared" si="20"/>
        <v>1</v>
      </c>
      <c r="D698" s="15" t="s">
        <v>30</v>
      </c>
      <c r="E698">
        <f t="shared" si="21"/>
        <v>2</v>
      </c>
      <c r="F698" s="15">
        <v>1.4767123287671231</v>
      </c>
    </row>
    <row r="699" spans="1:6" x14ac:dyDescent="0.3">
      <c r="A699" s="15">
        <v>68701</v>
      </c>
      <c r="B699" s="15" t="s">
        <v>17</v>
      </c>
      <c r="C699">
        <f t="shared" si="20"/>
        <v>0</v>
      </c>
      <c r="D699" s="15" t="s">
        <v>30</v>
      </c>
      <c r="E699">
        <f t="shared" si="21"/>
        <v>2</v>
      </c>
      <c r="F699" s="15">
        <v>0.49315068493150682</v>
      </c>
    </row>
    <row r="700" spans="1:6" x14ac:dyDescent="0.3">
      <c r="A700" s="15">
        <v>76460</v>
      </c>
      <c r="B700" s="15" t="s">
        <v>27</v>
      </c>
      <c r="C700">
        <f t="shared" si="20"/>
        <v>1</v>
      </c>
      <c r="D700" s="15" t="s">
        <v>93</v>
      </c>
      <c r="E700">
        <f t="shared" si="21"/>
        <v>4</v>
      </c>
      <c r="F700" s="15">
        <v>0.49315068493150682</v>
      </c>
    </row>
    <row r="701" spans="1:6" x14ac:dyDescent="0.3">
      <c r="A701" s="15">
        <v>74179</v>
      </c>
      <c r="B701" s="15" t="s">
        <v>27</v>
      </c>
      <c r="C701">
        <f t="shared" si="20"/>
        <v>1</v>
      </c>
      <c r="D701" s="15" t="s">
        <v>30</v>
      </c>
      <c r="E701">
        <f t="shared" si="21"/>
        <v>2</v>
      </c>
      <c r="F701" s="15">
        <v>8.7643835616438359</v>
      </c>
    </row>
    <row r="702" spans="1:6" x14ac:dyDescent="0.3">
      <c r="A702" s="15">
        <v>69336</v>
      </c>
      <c r="B702" s="15" t="s">
        <v>27</v>
      </c>
      <c r="C702">
        <f t="shared" si="20"/>
        <v>1</v>
      </c>
      <c r="D702" s="15" t="s">
        <v>30</v>
      </c>
      <c r="E702">
        <f t="shared" si="21"/>
        <v>2</v>
      </c>
      <c r="F702" s="15">
        <v>3.8356164383561642</v>
      </c>
    </row>
    <row r="703" spans="1:6" x14ac:dyDescent="0.3">
      <c r="A703" s="15">
        <v>55995</v>
      </c>
      <c r="B703" s="15" t="s">
        <v>27</v>
      </c>
      <c r="C703">
        <f t="shared" si="20"/>
        <v>1</v>
      </c>
      <c r="D703" s="15" t="s">
        <v>112</v>
      </c>
      <c r="E703">
        <f t="shared" si="21"/>
        <v>3</v>
      </c>
      <c r="F703" s="15">
        <v>0.49315068493150682</v>
      </c>
    </row>
    <row r="704" spans="1:6" x14ac:dyDescent="0.3">
      <c r="A704" s="15">
        <v>55990</v>
      </c>
      <c r="B704" s="15" t="s">
        <v>27</v>
      </c>
      <c r="C704">
        <f t="shared" si="20"/>
        <v>1</v>
      </c>
      <c r="D704" s="15" t="s">
        <v>20</v>
      </c>
      <c r="E704">
        <f t="shared" si="21"/>
        <v>1</v>
      </c>
      <c r="F704" s="15">
        <v>0.49315068493150682</v>
      </c>
    </row>
    <row r="705" spans="1:6" x14ac:dyDescent="0.3">
      <c r="A705" s="15">
        <v>65427</v>
      </c>
      <c r="B705" s="15" t="s">
        <v>27</v>
      </c>
      <c r="C705">
        <f t="shared" si="20"/>
        <v>1</v>
      </c>
      <c r="D705" s="15" t="s">
        <v>20</v>
      </c>
      <c r="E705">
        <f t="shared" si="21"/>
        <v>1</v>
      </c>
      <c r="F705" s="15">
        <v>0.49315068493150682</v>
      </c>
    </row>
    <row r="706" spans="1:6" x14ac:dyDescent="0.3">
      <c r="A706" s="15">
        <v>100742</v>
      </c>
      <c r="B706" s="15" t="s">
        <v>27</v>
      </c>
      <c r="C706">
        <f t="shared" si="20"/>
        <v>1</v>
      </c>
      <c r="D706" s="15" t="s">
        <v>30</v>
      </c>
      <c r="E706">
        <f t="shared" si="21"/>
        <v>2</v>
      </c>
      <c r="F706" s="15">
        <v>3.934246575342466</v>
      </c>
    </row>
    <row r="707" spans="1:6" x14ac:dyDescent="0.3">
      <c r="A707" s="15">
        <v>78014</v>
      </c>
      <c r="B707" s="15" t="s">
        <v>17</v>
      </c>
      <c r="C707">
        <f t="shared" ref="C707:C770" si="22">IF(B707="Male", 1, 0)</f>
        <v>0</v>
      </c>
      <c r="D707" s="15" t="s">
        <v>30</v>
      </c>
      <c r="E707">
        <f t="shared" ref="E707:E770" si="23">IF(D707="High School",1,IF(D707="Bachelor",2,IF(D707="Master",3,IF(D707="PhD",4,""))))</f>
        <v>2</v>
      </c>
      <c r="F707" s="15">
        <v>0.49315068493150682</v>
      </c>
    </row>
    <row r="708" spans="1:6" x14ac:dyDescent="0.3">
      <c r="A708" s="15">
        <v>56682</v>
      </c>
      <c r="B708" s="15" t="s">
        <v>17</v>
      </c>
      <c r="C708">
        <f t="shared" si="22"/>
        <v>0</v>
      </c>
      <c r="D708" s="15" t="s">
        <v>30</v>
      </c>
      <c r="E708">
        <f t="shared" si="23"/>
        <v>2</v>
      </c>
      <c r="F708" s="15">
        <v>3.021917808219178</v>
      </c>
    </row>
    <row r="709" spans="1:6" x14ac:dyDescent="0.3">
      <c r="A709" s="15">
        <v>58722</v>
      </c>
      <c r="B709" s="15" t="s">
        <v>17</v>
      </c>
      <c r="C709">
        <f t="shared" si="22"/>
        <v>0</v>
      </c>
      <c r="D709" s="15" t="s">
        <v>30</v>
      </c>
      <c r="E709">
        <f t="shared" si="23"/>
        <v>2</v>
      </c>
      <c r="F709" s="15">
        <v>2.342465753424658</v>
      </c>
    </row>
    <row r="710" spans="1:6" x14ac:dyDescent="0.3">
      <c r="A710" s="15">
        <v>63989</v>
      </c>
      <c r="B710" s="15" t="s">
        <v>27</v>
      </c>
      <c r="C710">
        <f t="shared" si="22"/>
        <v>1</v>
      </c>
      <c r="D710" s="15" t="s">
        <v>30</v>
      </c>
      <c r="E710">
        <f t="shared" si="23"/>
        <v>2</v>
      </c>
      <c r="F710" s="15">
        <v>0.49315068493150682</v>
      </c>
    </row>
    <row r="711" spans="1:6" x14ac:dyDescent="0.3">
      <c r="A711" s="15">
        <v>67403</v>
      </c>
      <c r="B711" s="15" t="s">
        <v>27</v>
      </c>
      <c r="C711">
        <f t="shared" si="22"/>
        <v>1</v>
      </c>
      <c r="D711" s="15" t="s">
        <v>20</v>
      </c>
      <c r="E711">
        <f t="shared" si="23"/>
        <v>1</v>
      </c>
      <c r="F711" s="15">
        <v>6.2630136986301368</v>
      </c>
    </row>
    <row r="712" spans="1:6" x14ac:dyDescent="0.3">
      <c r="A712" s="15">
        <v>80730</v>
      </c>
      <c r="B712" s="15" t="s">
        <v>27</v>
      </c>
      <c r="C712">
        <f t="shared" si="22"/>
        <v>1</v>
      </c>
      <c r="D712" s="15" t="s">
        <v>93</v>
      </c>
      <c r="E712">
        <f t="shared" si="23"/>
        <v>4</v>
      </c>
      <c r="F712" s="15">
        <v>0.49315068493150682</v>
      </c>
    </row>
    <row r="713" spans="1:6" x14ac:dyDescent="0.3">
      <c r="A713" s="15">
        <v>101400</v>
      </c>
      <c r="B713" s="15" t="s">
        <v>27</v>
      </c>
      <c r="C713">
        <f t="shared" si="22"/>
        <v>1</v>
      </c>
      <c r="D713" s="15" t="s">
        <v>112</v>
      </c>
      <c r="E713">
        <f t="shared" si="23"/>
        <v>3</v>
      </c>
      <c r="F713" s="15">
        <v>3.0904109589041102</v>
      </c>
    </row>
    <row r="714" spans="1:6" x14ac:dyDescent="0.3">
      <c r="A714" s="15">
        <v>65937</v>
      </c>
      <c r="B714" s="15" t="s">
        <v>17</v>
      </c>
      <c r="C714">
        <f t="shared" si="22"/>
        <v>0</v>
      </c>
      <c r="D714" s="15" t="s">
        <v>30</v>
      </c>
      <c r="E714">
        <f t="shared" si="23"/>
        <v>2</v>
      </c>
      <c r="F714" s="15">
        <v>3.0136986301369859</v>
      </c>
    </row>
    <row r="715" spans="1:6" x14ac:dyDescent="0.3">
      <c r="A715" s="15">
        <v>88250</v>
      </c>
      <c r="B715" s="15" t="s">
        <v>17</v>
      </c>
      <c r="C715">
        <f t="shared" si="22"/>
        <v>0</v>
      </c>
      <c r="D715" s="15" t="s">
        <v>30</v>
      </c>
      <c r="E715">
        <f t="shared" si="23"/>
        <v>2</v>
      </c>
      <c r="F715" s="15">
        <v>0.49315068493150682</v>
      </c>
    </row>
    <row r="716" spans="1:6" x14ac:dyDescent="0.3">
      <c r="A716" s="15">
        <v>73636</v>
      </c>
      <c r="B716" s="15" t="s">
        <v>27</v>
      </c>
      <c r="C716">
        <f t="shared" si="22"/>
        <v>1</v>
      </c>
      <c r="D716" s="15" t="s">
        <v>30</v>
      </c>
      <c r="E716">
        <f t="shared" si="23"/>
        <v>2</v>
      </c>
      <c r="F716" s="15">
        <v>6.8246575342465752</v>
      </c>
    </row>
    <row r="717" spans="1:6" x14ac:dyDescent="0.3">
      <c r="A717" s="15">
        <v>81468</v>
      </c>
      <c r="B717" s="15" t="s">
        <v>27</v>
      </c>
      <c r="C717">
        <f t="shared" si="22"/>
        <v>1</v>
      </c>
      <c r="D717" s="15" t="s">
        <v>30</v>
      </c>
      <c r="E717">
        <f t="shared" si="23"/>
        <v>2</v>
      </c>
      <c r="F717" s="15">
        <v>3.720547945205479</v>
      </c>
    </row>
    <row r="718" spans="1:6" x14ac:dyDescent="0.3">
      <c r="A718" s="15">
        <v>55001</v>
      </c>
      <c r="B718" s="15" t="s">
        <v>17</v>
      </c>
      <c r="C718">
        <f t="shared" si="22"/>
        <v>0</v>
      </c>
      <c r="D718" s="15" t="s">
        <v>30</v>
      </c>
      <c r="E718">
        <f t="shared" si="23"/>
        <v>2</v>
      </c>
      <c r="F718" s="15">
        <v>0.49315068493150682</v>
      </c>
    </row>
    <row r="719" spans="1:6" x14ac:dyDescent="0.3">
      <c r="A719" s="15">
        <v>75502</v>
      </c>
      <c r="B719" s="15" t="s">
        <v>17</v>
      </c>
      <c r="C719">
        <f t="shared" si="22"/>
        <v>0</v>
      </c>
      <c r="D719" s="15" t="s">
        <v>30</v>
      </c>
      <c r="E719">
        <f t="shared" si="23"/>
        <v>2</v>
      </c>
      <c r="F719" s="15">
        <v>0.49315068493150682</v>
      </c>
    </row>
    <row r="720" spans="1:6" x14ac:dyDescent="0.3">
      <c r="A720" s="15">
        <v>59234</v>
      </c>
      <c r="B720" s="15" t="s">
        <v>17</v>
      </c>
      <c r="C720">
        <f t="shared" si="22"/>
        <v>0</v>
      </c>
      <c r="D720" s="15" t="s">
        <v>20</v>
      </c>
      <c r="E720">
        <f t="shared" si="23"/>
        <v>1</v>
      </c>
      <c r="F720" s="15">
        <v>0.49315068493150682</v>
      </c>
    </row>
    <row r="721" spans="1:6" x14ac:dyDescent="0.3">
      <c r="A721" s="15">
        <v>69113</v>
      </c>
      <c r="B721" s="15" t="s">
        <v>27</v>
      </c>
      <c r="C721">
        <f t="shared" si="22"/>
        <v>1</v>
      </c>
      <c r="D721" s="15" t="s">
        <v>30</v>
      </c>
      <c r="E721">
        <f t="shared" si="23"/>
        <v>2</v>
      </c>
      <c r="F721" s="15">
        <v>0.49315068493150682</v>
      </c>
    </row>
    <row r="722" spans="1:6" x14ac:dyDescent="0.3">
      <c r="A722" s="15">
        <v>124824</v>
      </c>
      <c r="B722" s="15" t="s">
        <v>17</v>
      </c>
      <c r="C722">
        <f t="shared" si="22"/>
        <v>0</v>
      </c>
      <c r="D722" s="15" t="s">
        <v>112</v>
      </c>
      <c r="E722">
        <f t="shared" si="23"/>
        <v>3</v>
      </c>
      <c r="F722" s="15">
        <v>5.0328767123287674</v>
      </c>
    </row>
    <row r="723" spans="1:6" x14ac:dyDescent="0.3">
      <c r="A723" s="15">
        <v>55550</v>
      </c>
      <c r="B723" s="15" t="s">
        <v>17</v>
      </c>
      <c r="C723">
        <f t="shared" si="22"/>
        <v>0</v>
      </c>
      <c r="D723" s="15" t="s">
        <v>30</v>
      </c>
      <c r="E723">
        <f t="shared" si="23"/>
        <v>2</v>
      </c>
      <c r="F723" s="15">
        <v>6.9095890410958907</v>
      </c>
    </row>
    <row r="724" spans="1:6" x14ac:dyDescent="0.3">
      <c r="A724" s="15">
        <v>69230</v>
      </c>
      <c r="B724" s="15" t="s">
        <v>27</v>
      </c>
      <c r="C724">
        <f t="shared" si="22"/>
        <v>1</v>
      </c>
      <c r="D724" s="15" t="s">
        <v>30</v>
      </c>
      <c r="E724">
        <f t="shared" si="23"/>
        <v>2</v>
      </c>
      <c r="F724" s="15">
        <v>0.49315068493150682</v>
      </c>
    </row>
    <row r="725" spans="1:6" x14ac:dyDescent="0.3">
      <c r="A725" s="15">
        <v>79248</v>
      </c>
      <c r="B725" s="15" t="s">
        <v>17</v>
      </c>
      <c r="C725">
        <f t="shared" si="22"/>
        <v>0</v>
      </c>
      <c r="D725" s="15" t="s">
        <v>30</v>
      </c>
      <c r="E725">
        <f t="shared" si="23"/>
        <v>2</v>
      </c>
      <c r="F725" s="15">
        <v>0.49315068493150682</v>
      </c>
    </row>
    <row r="726" spans="1:6" x14ac:dyDescent="0.3">
      <c r="A726" s="15">
        <v>78924</v>
      </c>
      <c r="B726" s="15" t="s">
        <v>27</v>
      </c>
      <c r="C726">
        <f t="shared" si="22"/>
        <v>1</v>
      </c>
      <c r="D726" s="15" t="s">
        <v>112</v>
      </c>
      <c r="E726">
        <f t="shared" si="23"/>
        <v>3</v>
      </c>
      <c r="F726" s="15">
        <v>2.701369863013698</v>
      </c>
    </row>
    <row r="727" spans="1:6" x14ac:dyDescent="0.3">
      <c r="A727" s="15">
        <v>58307</v>
      </c>
      <c r="B727" s="15" t="s">
        <v>17</v>
      </c>
      <c r="C727">
        <f t="shared" si="22"/>
        <v>0</v>
      </c>
      <c r="D727" s="15" t="s">
        <v>20</v>
      </c>
      <c r="E727">
        <f t="shared" si="23"/>
        <v>1</v>
      </c>
      <c r="F727" s="15">
        <v>9.0602739726027401</v>
      </c>
    </row>
    <row r="728" spans="1:6" x14ac:dyDescent="0.3">
      <c r="A728" s="15">
        <v>64357</v>
      </c>
      <c r="B728" s="15" t="s">
        <v>27</v>
      </c>
      <c r="C728">
        <f t="shared" si="22"/>
        <v>1</v>
      </c>
      <c r="D728" s="15" t="s">
        <v>30</v>
      </c>
      <c r="E728">
        <f t="shared" si="23"/>
        <v>2</v>
      </c>
      <c r="F728" s="15">
        <v>0.49315068493150682</v>
      </c>
    </row>
    <row r="729" spans="1:6" x14ac:dyDescent="0.3">
      <c r="A729" s="15">
        <v>74163</v>
      </c>
      <c r="B729" s="15" t="s">
        <v>17</v>
      </c>
      <c r="C729">
        <f t="shared" si="22"/>
        <v>0</v>
      </c>
      <c r="D729" s="15" t="s">
        <v>30</v>
      </c>
      <c r="E729">
        <f t="shared" si="23"/>
        <v>2</v>
      </c>
      <c r="F729" s="15">
        <v>0.49315068493150682</v>
      </c>
    </row>
    <row r="730" spans="1:6" x14ac:dyDescent="0.3">
      <c r="A730" s="15">
        <v>62598</v>
      </c>
      <c r="B730" s="15" t="s">
        <v>17</v>
      </c>
      <c r="C730">
        <f t="shared" si="22"/>
        <v>0</v>
      </c>
      <c r="D730" s="15" t="s">
        <v>30</v>
      </c>
      <c r="E730">
        <f t="shared" si="23"/>
        <v>2</v>
      </c>
      <c r="F730" s="15">
        <v>4.6821917808219178</v>
      </c>
    </row>
    <row r="731" spans="1:6" x14ac:dyDescent="0.3">
      <c r="A731" s="15">
        <v>72109</v>
      </c>
      <c r="B731" s="15" t="s">
        <v>27</v>
      </c>
      <c r="C731">
        <f t="shared" si="22"/>
        <v>1</v>
      </c>
      <c r="D731" s="15" t="s">
        <v>30</v>
      </c>
      <c r="E731">
        <f t="shared" si="23"/>
        <v>2</v>
      </c>
      <c r="F731" s="15">
        <v>1.194520547945205</v>
      </c>
    </row>
    <row r="732" spans="1:6" x14ac:dyDescent="0.3">
      <c r="A732" s="15">
        <v>94356</v>
      </c>
      <c r="B732" s="15" t="s">
        <v>27</v>
      </c>
      <c r="C732">
        <f t="shared" si="22"/>
        <v>1</v>
      </c>
      <c r="D732" s="15" t="s">
        <v>30</v>
      </c>
      <c r="E732">
        <f t="shared" si="23"/>
        <v>2</v>
      </c>
      <c r="F732" s="15">
        <v>1.0849315068493151</v>
      </c>
    </row>
    <row r="733" spans="1:6" x14ac:dyDescent="0.3">
      <c r="A733" s="15">
        <v>53603</v>
      </c>
      <c r="B733" s="15" t="s">
        <v>17</v>
      </c>
      <c r="C733">
        <f t="shared" si="22"/>
        <v>0</v>
      </c>
      <c r="D733" s="15" t="s">
        <v>20</v>
      </c>
      <c r="E733">
        <f t="shared" si="23"/>
        <v>1</v>
      </c>
      <c r="F733" s="15">
        <v>6.6219178082191794</v>
      </c>
    </row>
    <row r="734" spans="1:6" x14ac:dyDescent="0.3">
      <c r="A734" s="15">
        <v>104238</v>
      </c>
      <c r="B734" s="15" t="s">
        <v>27</v>
      </c>
      <c r="C734">
        <f t="shared" si="22"/>
        <v>1</v>
      </c>
      <c r="D734" s="15" t="s">
        <v>30</v>
      </c>
      <c r="E734">
        <f t="shared" si="23"/>
        <v>2</v>
      </c>
      <c r="F734" s="15">
        <v>0.49315068493150682</v>
      </c>
    </row>
    <row r="735" spans="1:6" x14ac:dyDescent="0.3">
      <c r="A735" s="15">
        <v>79326</v>
      </c>
      <c r="B735" s="15" t="s">
        <v>17</v>
      </c>
      <c r="C735">
        <f t="shared" si="22"/>
        <v>0</v>
      </c>
      <c r="D735" s="15" t="s">
        <v>30</v>
      </c>
      <c r="E735">
        <f t="shared" si="23"/>
        <v>2</v>
      </c>
      <c r="F735" s="15">
        <v>0.49315068493150682</v>
      </c>
    </row>
    <row r="736" spans="1:6" x14ac:dyDescent="0.3">
      <c r="A736" s="15">
        <v>66937</v>
      </c>
      <c r="B736" s="15" t="s">
        <v>27</v>
      </c>
      <c r="C736">
        <f t="shared" si="22"/>
        <v>1</v>
      </c>
      <c r="D736" s="15" t="s">
        <v>30</v>
      </c>
      <c r="E736">
        <f t="shared" si="23"/>
        <v>2</v>
      </c>
      <c r="F736" s="15">
        <v>6.9890410958904106</v>
      </c>
    </row>
    <row r="737" spans="1:6" x14ac:dyDescent="0.3">
      <c r="A737" s="15">
        <v>91548</v>
      </c>
      <c r="B737" s="15" t="s">
        <v>17</v>
      </c>
      <c r="C737">
        <f t="shared" si="22"/>
        <v>0</v>
      </c>
      <c r="D737" s="15" t="s">
        <v>112</v>
      </c>
      <c r="E737">
        <f t="shared" si="23"/>
        <v>3</v>
      </c>
      <c r="F737" s="15">
        <v>5.2986301369863016</v>
      </c>
    </row>
    <row r="738" spans="1:6" x14ac:dyDescent="0.3">
      <c r="A738" s="15">
        <v>64799</v>
      </c>
      <c r="B738" s="15" t="s">
        <v>27</v>
      </c>
      <c r="C738">
        <f t="shared" si="22"/>
        <v>1</v>
      </c>
      <c r="D738" s="15" t="s">
        <v>30</v>
      </c>
      <c r="E738">
        <f t="shared" si="23"/>
        <v>2</v>
      </c>
      <c r="F738" s="15">
        <v>0.49315068493150682</v>
      </c>
    </row>
    <row r="739" spans="1:6" x14ac:dyDescent="0.3">
      <c r="A739" s="15">
        <v>64678</v>
      </c>
      <c r="B739" s="15" t="s">
        <v>27</v>
      </c>
      <c r="C739">
        <f t="shared" si="22"/>
        <v>1</v>
      </c>
      <c r="D739" s="15" t="s">
        <v>20</v>
      </c>
      <c r="E739">
        <f t="shared" si="23"/>
        <v>1</v>
      </c>
      <c r="F739" s="15">
        <v>0.49315068493150682</v>
      </c>
    </row>
    <row r="740" spans="1:6" x14ac:dyDescent="0.3">
      <c r="A740" s="15">
        <v>67180</v>
      </c>
      <c r="B740" s="15" t="s">
        <v>27</v>
      </c>
      <c r="C740">
        <f t="shared" si="22"/>
        <v>1</v>
      </c>
      <c r="D740" s="15" t="s">
        <v>30</v>
      </c>
      <c r="E740">
        <f t="shared" si="23"/>
        <v>2</v>
      </c>
      <c r="F740" s="15">
        <v>1.1589041095890411</v>
      </c>
    </row>
    <row r="741" spans="1:6" x14ac:dyDescent="0.3">
      <c r="A741" s="15">
        <v>72036</v>
      </c>
      <c r="B741" s="15" t="s">
        <v>27</v>
      </c>
      <c r="C741">
        <f t="shared" si="22"/>
        <v>1</v>
      </c>
      <c r="D741" s="15" t="s">
        <v>30</v>
      </c>
      <c r="E741">
        <f t="shared" si="23"/>
        <v>2</v>
      </c>
      <c r="F741" s="15">
        <v>0.49315068493150682</v>
      </c>
    </row>
    <row r="742" spans="1:6" x14ac:dyDescent="0.3">
      <c r="A742" s="15">
        <v>65261</v>
      </c>
      <c r="B742" s="15" t="s">
        <v>27</v>
      </c>
      <c r="C742">
        <f t="shared" si="22"/>
        <v>1</v>
      </c>
      <c r="D742" s="15" t="s">
        <v>30</v>
      </c>
      <c r="E742">
        <f t="shared" si="23"/>
        <v>2</v>
      </c>
      <c r="F742" s="15">
        <v>0.49315068493150682</v>
      </c>
    </row>
    <row r="743" spans="1:6" x14ac:dyDescent="0.3">
      <c r="A743" s="15">
        <v>79202</v>
      </c>
      <c r="B743" s="15" t="s">
        <v>27</v>
      </c>
      <c r="C743">
        <f t="shared" si="22"/>
        <v>1</v>
      </c>
      <c r="D743" s="15" t="s">
        <v>30</v>
      </c>
      <c r="E743">
        <f t="shared" si="23"/>
        <v>2</v>
      </c>
      <c r="F743" s="15">
        <v>0.49315068493150682</v>
      </c>
    </row>
    <row r="744" spans="1:6" x14ac:dyDescent="0.3">
      <c r="A744" s="15">
        <v>59575</v>
      </c>
      <c r="B744" s="15" t="s">
        <v>17</v>
      </c>
      <c r="C744">
        <f t="shared" si="22"/>
        <v>0</v>
      </c>
      <c r="D744" s="15" t="s">
        <v>20</v>
      </c>
      <c r="E744">
        <f t="shared" si="23"/>
        <v>1</v>
      </c>
      <c r="F744" s="15">
        <v>2.0027397260273969</v>
      </c>
    </row>
    <row r="745" spans="1:6" x14ac:dyDescent="0.3">
      <c r="A745" s="15">
        <v>65819</v>
      </c>
      <c r="B745" s="15" t="s">
        <v>27</v>
      </c>
      <c r="C745">
        <f t="shared" si="22"/>
        <v>1</v>
      </c>
      <c r="D745" s="15" t="s">
        <v>20</v>
      </c>
      <c r="E745">
        <f t="shared" si="23"/>
        <v>1</v>
      </c>
      <c r="F745" s="15">
        <v>0.49315068493150682</v>
      </c>
    </row>
    <row r="746" spans="1:6" x14ac:dyDescent="0.3">
      <c r="A746" s="15">
        <v>76103</v>
      </c>
      <c r="B746" s="15" t="s">
        <v>17</v>
      </c>
      <c r="C746">
        <f t="shared" si="22"/>
        <v>0</v>
      </c>
      <c r="D746" s="15" t="s">
        <v>30</v>
      </c>
      <c r="E746">
        <f t="shared" si="23"/>
        <v>2</v>
      </c>
      <c r="F746" s="15">
        <v>0.49315068493150682</v>
      </c>
    </row>
    <row r="747" spans="1:6" x14ac:dyDescent="0.3">
      <c r="A747" s="15">
        <v>101429</v>
      </c>
      <c r="B747" s="15" t="s">
        <v>27</v>
      </c>
      <c r="C747">
        <f t="shared" si="22"/>
        <v>1</v>
      </c>
      <c r="D747" s="15" t="s">
        <v>30</v>
      </c>
      <c r="E747">
        <f t="shared" si="23"/>
        <v>2</v>
      </c>
      <c r="F747" s="15">
        <v>2.6739726027397261</v>
      </c>
    </row>
    <row r="748" spans="1:6" x14ac:dyDescent="0.3">
      <c r="A748" s="15">
        <v>66508</v>
      </c>
      <c r="B748" s="15" t="s">
        <v>17</v>
      </c>
      <c r="C748">
        <f t="shared" si="22"/>
        <v>0</v>
      </c>
      <c r="D748" s="15" t="s">
        <v>20</v>
      </c>
      <c r="E748">
        <f t="shared" si="23"/>
        <v>1</v>
      </c>
      <c r="F748" s="15">
        <v>0.49315068493150682</v>
      </c>
    </row>
    <row r="749" spans="1:6" x14ac:dyDescent="0.3">
      <c r="A749" s="15">
        <v>58903</v>
      </c>
      <c r="B749" s="15" t="s">
        <v>17</v>
      </c>
      <c r="C749">
        <f t="shared" si="22"/>
        <v>0</v>
      </c>
      <c r="D749" s="15" t="s">
        <v>30</v>
      </c>
      <c r="E749">
        <f t="shared" si="23"/>
        <v>2</v>
      </c>
      <c r="F749" s="15">
        <v>7.9260273972602739</v>
      </c>
    </row>
    <row r="750" spans="1:6" x14ac:dyDescent="0.3">
      <c r="A750" s="15">
        <v>61697</v>
      </c>
      <c r="B750" s="15" t="s">
        <v>17</v>
      </c>
      <c r="C750">
        <f t="shared" si="22"/>
        <v>0</v>
      </c>
      <c r="D750" s="15" t="s">
        <v>112</v>
      </c>
      <c r="E750">
        <f t="shared" si="23"/>
        <v>3</v>
      </c>
      <c r="F750" s="15">
        <v>0.49315068493150682</v>
      </c>
    </row>
    <row r="751" spans="1:6" x14ac:dyDescent="0.3">
      <c r="A751" s="15">
        <v>63501</v>
      </c>
      <c r="B751" s="15" t="s">
        <v>17</v>
      </c>
      <c r="C751">
        <f t="shared" si="22"/>
        <v>0</v>
      </c>
      <c r="D751" s="15" t="s">
        <v>30</v>
      </c>
      <c r="E751">
        <f t="shared" si="23"/>
        <v>2</v>
      </c>
      <c r="F751" s="15">
        <v>3.536986301369863</v>
      </c>
    </row>
    <row r="752" spans="1:6" x14ac:dyDescent="0.3">
      <c r="A752" s="15">
        <v>69977</v>
      </c>
      <c r="B752" s="15" t="s">
        <v>27</v>
      </c>
      <c r="C752">
        <f t="shared" si="22"/>
        <v>1</v>
      </c>
      <c r="D752" s="15" t="s">
        <v>30</v>
      </c>
      <c r="E752">
        <f t="shared" si="23"/>
        <v>2</v>
      </c>
      <c r="F752" s="15">
        <v>3.8767123287671228</v>
      </c>
    </row>
    <row r="753" spans="1:6" x14ac:dyDescent="0.3">
      <c r="A753" s="15">
        <v>77675</v>
      </c>
      <c r="B753" s="15" t="s">
        <v>27</v>
      </c>
      <c r="C753">
        <f t="shared" si="22"/>
        <v>1</v>
      </c>
      <c r="D753" s="15" t="s">
        <v>30</v>
      </c>
      <c r="E753">
        <f t="shared" si="23"/>
        <v>2</v>
      </c>
      <c r="F753" s="15">
        <v>0.49315068493150682</v>
      </c>
    </row>
    <row r="754" spans="1:6" x14ac:dyDescent="0.3">
      <c r="A754" s="15">
        <v>62225</v>
      </c>
      <c r="B754" s="15" t="s">
        <v>17</v>
      </c>
      <c r="C754">
        <f t="shared" si="22"/>
        <v>0</v>
      </c>
      <c r="D754" s="15" t="s">
        <v>30</v>
      </c>
      <c r="E754">
        <f t="shared" si="23"/>
        <v>2</v>
      </c>
      <c r="F754" s="15">
        <v>2.1561643835616442</v>
      </c>
    </row>
    <row r="755" spans="1:6" x14ac:dyDescent="0.3">
      <c r="A755" s="15">
        <v>94657</v>
      </c>
      <c r="B755" s="15" t="s">
        <v>27</v>
      </c>
      <c r="C755">
        <f t="shared" si="22"/>
        <v>1</v>
      </c>
      <c r="D755" s="15" t="s">
        <v>30</v>
      </c>
      <c r="E755">
        <f t="shared" si="23"/>
        <v>2</v>
      </c>
      <c r="F755" s="15">
        <v>0.49315068493150682</v>
      </c>
    </row>
    <row r="756" spans="1:6" x14ac:dyDescent="0.3">
      <c r="A756" s="15">
        <v>63449</v>
      </c>
      <c r="B756" s="15" t="s">
        <v>17</v>
      </c>
      <c r="C756">
        <f t="shared" si="22"/>
        <v>0</v>
      </c>
      <c r="D756" s="15" t="s">
        <v>30</v>
      </c>
      <c r="E756">
        <f t="shared" si="23"/>
        <v>2</v>
      </c>
      <c r="F756" s="15">
        <v>4.2684931506849324</v>
      </c>
    </row>
    <row r="757" spans="1:6" x14ac:dyDescent="0.3">
      <c r="A757" s="15">
        <v>84331</v>
      </c>
      <c r="B757" s="15" t="s">
        <v>27</v>
      </c>
      <c r="C757">
        <f t="shared" si="22"/>
        <v>1</v>
      </c>
      <c r="D757" s="15" t="s">
        <v>112</v>
      </c>
      <c r="E757">
        <f t="shared" si="23"/>
        <v>3</v>
      </c>
      <c r="F757" s="15">
        <v>2.0493150684931511</v>
      </c>
    </row>
    <row r="758" spans="1:6" x14ac:dyDescent="0.3">
      <c r="A758" s="15">
        <v>66482</v>
      </c>
      <c r="B758" s="15" t="s">
        <v>27</v>
      </c>
      <c r="C758">
        <f t="shared" si="22"/>
        <v>1</v>
      </c>
      <c r="D758" s="15" t="s">
        <v>20</v>
      </c>
      <c r="E758">
        <f t="shared" si="23"/>
        <v>1</v>
      </c>
      <c r="F758" s="15">
        <v>4.1945205479452046</v>
      </c>
    </row>
    <row r="759" spans="1:6" x14ac:dyDescent="0.3">
      <c r="A759" s="15">
        <v>72620</v>
      </c>
      <c r="B759" s="15" t="s">
        <v>27</v>
      </c>
      <c r="C759">
        <f t="shared" si="22"/>
        <v>1</v>
      </c>
      <c r="D759" s="15" t="s">
        <v>30</v>
      </c>
      <c r="E759">
        <f t="shared" si="23"/>
        <v>2</v>
      </c>
      <c r="F759" s="15">
        <v>2.227397260273972</v>
      </c>
    </row>
    <row r="760" spans="1:6" x14ac:dyDescent="0.3">
      <c r="A760" s="15">
        <v>56196</v>
      </c>
      <c r="B760" s="15" t="s">
        <v>17</v>
      </c>
      <c r="C760">
        <f t="shared" si="22"/>
        <v>0</v>
      </c>
      <c r="D760" s="15" t="s">
        <v>30</v>
      </c>
      <c r="E760">
        <f t="shared" si="23"/>
        <v>2</v>
      </c>
      <c r="F760" s="15">
        <v>0.49315068493150682</v>
      </c>
    </row>
    <row r="761" spans="1:6" x14ac:dyDescent="0.3">
      <c r="A761" s="15">
        <v>64099</v>
      </c>
      <c r="B761" s="15" t="s">
        <v>17</v>
      </c>
      <c r="C761">
        <f t="shared" si="22"/>
        <v>0</v>
      </c>
      <c r="D761" s="15" t="s">
        <v>30</v>
      </c>
      <c r="E761">
        <f t="shared" si="23"/>
        <v>2</v>
      </c>
      <c r="F761" s="15">
        <v>1.150684931506849</v>
      </c>
    </row>
    <row r="762" spans="1:6" x14ac:dyDescent="0.3">
      <c r="A762" s="15">
        <v>96108</v>
      </c>
      <c r="B762" s="15" t="s">
        <v>27</v>
      </c>
      <c r="C762">
        <f t="shared" si="22"/>
        <v>1</v>
      </c>
      <c r="D762" s="15" t="s">
        <v>30</v>
      </c>
      <c r="E762">
        <f t="shared" si="23"/>
        <v>2</v>
      </c>
      <c r="F762" s="15">
        <v>3.783561643835617</v>
      </c>
    </row>
    <row r="763" spans="1:6" x14ac:dyDescent="0.3">
      <c r="A763" s="15">
        <v>54990</v>
      </c>
      <c r="B763" s="15" t="s">
        <v>17</v>
      </c>
      <c r="C763">
        <f t="shared" si="22"/>
        <v>0</v>
      </c>
      <c r="D763" s="15" t="s">
        <v>30</v>
      </c>
      <c r="E763">
        <f t="shared" si="23"/>
        <v>2</v>
      </c>
      <c r="F763" s="15">
        <v>0.49315068493150682</v>
      </c>
    </row>
    <row r="764" spans="1:6" x14ac:dyDescent="0.3">
      <c r="A764" s="15">
        <v>61461</v>
      </c>
      <c r="B764" s="15" t="s">
        <v>27</v>
      </c>
      <c r="C764">
        <f t="shared" si="22"/>
        <v>1</v>
      </c>
      <c r="D764" s="15" t="s">
        <v>30</v>
      </c>
      <c r="E764">
        <f t="shared" si="23"/>
        <v>2</v>
      </c>
      <c r="F764" s="15">
        <v>3.923287671232877</v>
      </c>
    </row>
    <row r="765" spans="1:6" x14ac:dyDescent="0.3">
      <c r="A765" s="15">
        <v>60507</v>
      </c>
      <c r="B765" s="15" t="s">
        <v>27</v>
      </c>
      <c r="C765">
        <f t="shared" si="22"/>
        <v>1</v>
      </c>
      <c r="D765" s="15" t="s">
        <v>30</v>
      </c>
      <c r="E765">
        <f t="shared" si="23"/>
        <v>2</v>
      </c>
      <c r="F765" s="15">
        <v>0.49315068493150682</v>
      </c>
    </row>
    <row r="766" spans="1:6" x14ac:dyDescent="0.3">
      <c r="A766" s="15">
        <v>57557</v>
      </c>
      <c r="B766" s="15" t="s">
        <v>17</v>
      </c>
      <c r="C766">
        <f t="shared" si="22"/>
        <v>0</v>
      </c>
      <c r="D766" s="15" t="s">
        <v>30</v>
      </c>
      <c r="E766">
        <f t="shared" si="23"/>
        <v>2</v>
      </c>
      <c r="F766" s="15">
        <v>0.49315068493150682</v>
      </c>
    </row>
    <row r="767" spans="1:6" x14ac:dyDescent="0.3">
      <c r="A767" s="15">
        <v>57996</v>
      </c>
      <c r="B767" s="15" t="s">
        <v>17</v>
      </c>
      <c r="C767">
        <f t="shared" si="22"/>
        <v>0</v>
      </c>
      <c r="D767" s="15" t="s">
        <v>30</v>
      </c>
      <c r="E767">
        <f t="shared" si="23"/>
        <v>2</v>
      </c>
      <c r="F767" s="15">
        <v>0.49315068493150682</v>
      </c>
    </row>
    <row r="768" spans="1:6" x14ac:dyDescent="0.3">
      <c r="A768" s="15">
        <v>83008</v>
      </c>
      <c r="B768" s="15" t="s">
        <v>27</v>
      </c>
      <c r="C768">
        <f t="shared" si="22"/>
        <v>1</v>
      </c>
      <c r="D768" s="15" t="s">
        <v>93</v>
      </c>
      <c r="E768">
        <f t="shared" si="23"/>
        <v>4</v>
      </c>
      <c r="F768" s="15">
        <v>0.49315068493150682</v>
      </c>
    </row>
    <row r="769" spans="1:6" x14ac:dyDescent="0.3">
      <c r="A769" s="15">
        <v>94473</v>
      </c>
      <c r="B769" s="15" t="s">
        <v>17</v>
      </c>
      <c r="C769">
        <f t="shared" si="22"/>
        <v>0</v>
      </c>
      <c r="D769" s="15" t="s">
        <v>112</v>
      </c>
      <c r="E769">
        <f t="shared" si="23"/>
        <v>3</v>
      </c>
      <c r="F769" s="15">
        <v>0.56986301369863013</v>
      </c>
    </row>
    <row r="770" spans="1:6" x14ac:dyDescent="0.3">
      <c r="A770" s="15">
        <v>65399</v>
      </c>
      <c r="B770" s="15" t="s">
        <v>17</v>
      </c>
      <c r="C770">
        <f t="shared" si="22"/>
        <v>0</v>
      </c>
      <c r="D770" s="15" t="s">
        <v>20</v>
      </c>
      <c r="E770">
        <f t="shared" si="23"/>
        <v>1</v>
      </c>
      <c r="F770" s="15">
        <v>0.49041095890410957</v>
      </c>
    </row>
    <row r="771" spans="1:6" x14ac:dyDescent="0.3">
      <c r="A771" s="15">
        <v>65945</v>
      </c>
      <c r="B771" s="15" t="s">
        <v>17</v>
      </c>
      <c r="C771">
        <f t="shared" ref="C771:C834" si="24">IF(B771="Male", 1, 0)</f>
        <v>0</v>
      </c>
      <c r="D771" s="15" t="s">
        <v>30</v>
      </c>
      <c r="E771">
        <f t="shared" ref="E771:E834" si="25">IF(D771="High School",1,IF(D771="Bachelor",2,IF(D771="Master",3,IF(D771="PhD",4,""))))</f>
        <v>2</v>
      </c>
      <c r="F771" s="15">
        <v>0.49315068493150682</v>
      </c>
    </row>
    <row r="772" spans="1:6" x14ac:dyDescent="0.3">
      <c r="A772" s="15">
        <v>86973</v>
      </c>
      <c r="B772" s="15" t="s">
        <v>27</v>
      </c>
      <c r="C772">
        <f t="shared" si="24"/>
        <v>1</v>
      </c>
      <c r="D772" s="15" t="s">
        <v>112</v>
      </c>
      <c r="E772">
        <f t="shared" si="25"/>
        <v>3</v>
      </c>
      <c r="F772" s="15">
        <v>0.49315068493150682</v>
      </c>
    </row>
    <row r="773" spans="1:6" x14ac:dyDescent="0.3">
      <c r="A773" s="15">
        <v>83005</v>
      </c>
      <c r="B773" s="15" t="s">
        <v>27</v>
      </c>
      <c r="C773">
        <f t="shared" si="24"/>
        <v>1</v>
      </c>
      <c r="D773" s="15" t="s">
        <v>93</v>
      </c>
      <c r="E773">
        <f t="shared" si="25"/>
        <v>4</v>
      </c>
      <c r="F773" s="15">
        <v>0.49315068493150682</v>
      </c>
    </row>
    <row r="774" spans="1:6" x14ac:dyDescent="0.3">
      <c r="A774" s="15">
        <v>108825</v>
      </c>
      <c r="B774" s="15" t="s">
        <v>27</v>
      </c>
      <c r="C774">
        <f t="shared" si="24"/>
        <v>1</v>
      </c>
      <c r="D774" s="15" t="s">
        <v>30</v>
      </c>
      <c r="E774">
        <f t="shared" si="25"/>
        <v>2</v>
      </c>
      <c r="F774" s="15">
        <v>0.49315068493150682</v>
      </c>
    </row>
    <row r="775" spans="1:6" x14ac:dyDescent="0.3">
      <c r="A775" s="15">
        <v>66164</v>
      </c>
      <c r="B775" s="15" t="s">
        <v>17</v>
      </c>
      <c r="C775">
        <f t="shared" si="24"/>
        <v>0</v>
      </c>
      <c r="D775" s="15" t="s">
        <v>30</v>
      </c>
      <c r="E775">
        <f t="shared" si="25"/>
        <v>2</v>
      </c>
      <c r="F775" s="15">
        <v>0.49315068493150682</v>
      </c>
    </row>
    <row r="776" spans="1:6" x14ac:dyDescent="0.3">
      <c r="A776" s="15">
        <v>63385</v>
      </c>
      <c r="B776" s="15" t="s">
        <v>27</v>
      </c>
      <c r="C776">
        <f t="shared" si="24"/>
        <v>1</v>
      </c>
      <c r="D776" s="15" t="s">
        <v>20</v>
      </c>
      <c r="E776">
        <f t="shared" si="25"/>
        <v>1</v>
      </c>
      <c r="F776" s="15">
        <v>1.408219178082192</v>
      </c>
    </row>
    <row r="777" spans="1:6" x14ac:dyDescent="0.3">
      <c r="A777" s="15">
        <v>59746</v>
      </c>
      <c r="B777" s="15" t="s">
        <v>17</v>
      </c>
      <c r="C777">
        <f t="shared" si="24"/>
        <v>0</v>
      </c>
      <c r="D777" s="15" t="s">
        <v>20</v>
      </c>
      <c r="E777">
        <f t="shared" si="25"/>
        <v>1</v>
      </c>
      <c r="F777" s="15">
        <v>0.49315068493150682</v>
      </c>
    </row>
    <row r="778" spans="1:6" x14ac:dyDescent="0.3">
      <c r="A778" s="15">
        <v>62527</v>
      </c>
      <c r="B778" s="15" t="s">
        <v>27</v>
      </c>
      <c r="C778">
        <f t="shared" si="24"/>
        <v>1</v>
      </c>
      <c r="D778" s="15" t="s">
        <v>20</v>
      </c>
      <c r="E778">
        <f t="shared" si="25"/>
        <v>1</v>
      </c>
      <c r="F778" s="15">
        <v>3.6164383561643829</v>
      </c>
    </row>
    <row r="779" spans="1:6" x14ac:dyDescent="0.3">
      <c r="A779" s="15">
        <v>61237</v>
      </c>
      <c r="B779" s="15" t="s">
        <v>27</v>
      </c>
      <c r="C779">
        <f t="shared" si="24"/>
        <v>1</v>
      </c>
      <c r="D779" s="15" t="s">
        <v>30</v>
      </c>
      <c r="E779">
        <f t="shared" si="25"/>
        <v>2</v>
      </c>
      <c r="F779" s="15">
        <v>0.49315068493150682</v>
      </c>
    </row>
    <row r="780" spans="1:6" x14ac:dyDescent="0.3">
      <c r="A780" s="15">
        <v>91996</v>
      </c>
      <c r="B780" s="15" t="s">
        <v>17</v>
      </c>
      <c r="C780">
        <f t="shared" si="24"/>
        <v>0</v>
      </c>
      <c r="D780" s="15" t="s">
        <v>112</v>
      </c>
      <c r="E780">
        <f t="shared" si="25"/>
        <v>3</v>
      </c>
      <c r="F780" s="15">
        <v>6.882191780821918</v>
      </c>
    </row>
    <row r="781" spans="1:6" x14ac:dyDescent="0.3">
      <c r="A781" s="15">
        <v>64142</v>
      </c>
      <c r="B781" s="15" t="s">
        <v>17</v>
      </c>
      <c r="C781">
        <f t="shared" si="24"/>
        <v>0</v>
      </c>
      <c r="D781" s="15" t="s">
        <v>30</v>
      </c>
      <c r="E781">
        <f t="shared" si="25"/>
        <v>2</v>
      </c>
      <c r="F781" s="15">
        <v>1.145205479452055</v>
      </c>
    </row>
    <row r="782" spans="1:6" x14ac:dyDescent="0.3">
      <c r="A782" s="15">
        <v>68752</v>
      </c>
      <c r="B782" s="15" t="s">
        <v>27</v>
      </c>
      <c r="C782">
        <f t="shared" si="24"/>
        <v>1</v>
      </c>
      <c r="D782" s="15" t="s">
        <v>30</v>
      </c>
      <c r="E782">
        <f t="shared" si="25"/>
        <v>2</v>
      </c>
      <c r="F782" s="15">
        <v>0.49315068493150682</v>
      </c>
    </row>
    <row r="783" spans="1:6" x14ac:dyDescent="0.3">
      <c r="A783" s="15">
        <v>71298</v>
      </c>
      <c r="B783" s="15" t="s">
        <v>17</v>
      </c>
      <c r="C783">
        <f t="shared" si="24"/>
        <v>0</v>
      </c>
      <c r="D783" s="15" t="s">
        <v>112</v>
      </c>
      <c r="E783">
        <f t="shared" si="25"/>
        <v>3</v>
      </c>
      <c r="F783" s="15">
        <v>3.0164383561643842</v>
      </c>
    </row>
    <row r="784" spans="1:6" x14ac:dyDescent="0.3">
      <c r="A784" s="15">
        <v>58313</v>
      </c>
      <c r="B784" s="15" t="s">
        <v>27</v>
      </c>
      <c r="C784">
        <f t="shared" si="24"/>
        <v>1</v>
      </c>
      <c r="D784" s="15" t="s">
        <v>20</v>
      </c>
      <c r="E784">
        <f t="shared" si="25"/>
        <v>1</v>
      </c>
      <c r="F784" s="15">
        <v>0.49315068493150682</v>
      </c>
    </row>
    <row r="785" spans="1:6" x14ac:dyDescent="0.3">
      <c r="A785" s="15">
        <v>73163</v>
      </c>
      <c r="B785" s="15" t="s">
        <v>27</v>
      </c>
      <c r="C785">
        <f t="shared" si="24"/>
        <v>1</v>
      </c>
      <c r="D785" s="15" t="s">
        <v>20</v>
      </c>
      <c r="E785">
        <f t="shared" si="25"/>
        <v>1</v>
      </c>
      <c r="F785" s="15">
        <v>9.2301369863013694</v>
      </c>
    </row>
    <row r="786" spans="1:6" x14ac:dyDescent="0.3">
      <c r="A786" s="15">
        <v>74548</v>
      </c>
      <c r="B786" s="15" t="s">
        <v>17</v>
      </c>
      <c r="C786">
        <f t="shared" si="24"/>
        <v>0</v>
      </c>
      <c r="D786" s="15" t="s">
        <v>30</v>
      </c>
      <c r="E786">
        <f t="shared" si="25"/>
        <v>2</v>
      </c>
      <c r="F786" s="15">
        <v>0.49315068493150682</v>
      </c>
    </row>
    <row r="787" spans="1:6" x14ac:dyDescent="0.3">
      <c r="A787" s="15">
        <v>80099</v>
      </c>
      <c r="B787" s="15" t="s">
        <v>27</v>
      </c>
      <c r="C787">
        <f t="shared" si="24"/>
        <v>1</v>
      </c>
      <c r="D787" s="15" t="s">
        <v>30</v>
      </c>
      <c r="E787">
        <f t="shared" si="25"/>
        <v>2</v>
      </c>
      <c r="F787" s="15">
        <v>0.49315068493150682</v>
      </c>
    </row>
    <row r="788" spans="1:6" x14ac:dyDescent="0.3">
      <c r="A788" s="15">
        <v>90756</v>
      </c>
      <c r="B788" s="15" t="s">
        <v>27</v>
      </c>
      <c r="C788">
        <f t="shared" si="24"/>
        <v>1</v>
      </c>
      <c r="D788" s="15" t="s">
        <v>20</v>
      </c>
      <c r="E788">
        <f t="shared" si="25"/>
        <v>1</v>
      </c>
      <c r="F788" s="15">
        <v>0.49315068493150682</v>
      </c>
    </row>
    <row r="789" spans="1:6" x14ac:dyDescent="0.3">
      <c r="A789" s="15">
        <v>58080</v>
      </c>
      <c r="B789" s="15" t="s">
        <v>27</v>
      </c>
      <c r="C789">
        <f t="shared" si="24"/>
        <v>1</v>
      </c>
      <c r="D789" s="15" t="s">
        <v>20</v>
      </c>
      <c r="E789">
        <f t="shared" si="25"/>
        <v>1</v>
      </c>
      <c r="F789" s="15">
        <v>3.095890410958904</v>
      </c>
    </row>
    <row r="790" spans="1:6" x14ac:dyDescent="0.3">
      <c r="A790" s="15">
        <v>60965</v>
      </c>
      <c r="B790" s="15" t="s">
        <v>27</v>
      </c>
      <c r="C790">
        <f t="shared" si="24"/>
        <v>1</v>
      </c>
      <c r="D790" s="15" t="s">
        <v>20</v>
      </c>
      <c r="E790">
        <f t="shared" si="25"/>
        <v>1</v>
      </c>
      <c r="F790" s="15">
        <v>7.934246575342466</v>
      </c>
    </row>
    <row r="791" spans="1:6" x14ac:dyDescent="0.3">
      <c r="A791" s="15">
        <v>54114</v>
      </c>
      <c r="B791" s="15" t="s">
        <v>17</v>
      </c>
      <c r="C791">
        <f t="shared" si="24"/>
        <v>0</v>
      </c>
      <c r="D791" s="15" t="s">
        <v>30</v>
      </c>
      <c r="E791">
        <f t="shared" si="25"/>
        <v>2</v>
      </c>
      <c r="F791" s="15">
        <v>0.49315068493150682</v>
      </c>
    </row>
    <row r="792" spans="1:6" x14ac:dyDescent="0.3">
      <c r="A792" s="15">
        <v>61368</v>
      </c>
      <c r="B792" s="15" t="s">
        <v>27</v>
      </c>
      <c r="C792">
        <f t="shared" si="24"/>
        <v>1</v>
      </c>
      <c r="D792" s="15" t="s">
        <v>30</v>
      </c>
      <c r="E792">
        <f t="shared" si="25"/>
        <v>2</v>
      </c>
      <c r="F792" s="15">
        <v>0.49315068493150682</v>
      </c>
    </row>
    <row r="793" spans="1:6" x14ac:dyDescent="0.3">
      <c r="A793" s="15">
        <v>67970</v>
      </c>
      <c r="B793" s="15" t="s">
        <v>27</v>
      </c>
      <c r="C793">
        <f t="shared" si="24"/>
        <v>1</v>
      </c>
      <c r="D793" s="15" t="s">
        <v>30</v>
      </c>
      <c r="E793">
        <f t="shared" si="25"/>
        <v>2</v>
      </c>
      <c r="F793" s="15">
        <v>0.49315068493150682</v>
      </c>
    </row>
    <row r="794" spans="1:6" x14ac:dyDescent="0.3">
      <c r="A794" s="15">
        <v>92906</v>
      </c>
      <c r="B794" s="15" t="s">
        <v>27</v>
      </c>
      <c r="C794">
        <f t="shared" si="24"/>
        <v>1</v>
      </c>
      <c r="D794" s="15" t="s">
        <v>112</v>
      </c>
      <c r="E794">
        <f t="shared" si="25"/>
        <v>3</v>
      </c>
      <c r="F794" s="15">
        <v>7.2273972602739729</v>
      </c>
    </row>
    <row r="795" spans="1:6" x14ac:dyDescent="0.3">
      <c r="A795" s="15">
        <v>112880</v>
      </c>
      <c r="B795" s="15" t="s">
        <v>17</v>
      </c>
      <c r="C795">
        <f t="shared" si="24"/>
        <v>0</v>
      </c>
      <c r="D795" s="15" t="s">
        <v>93</v>
      </c>
      <c r="E795">
        <f t="shared" si="25"/>
        <v>4</v>
      </c>
      <c r="F795" s="15">
        <v>6.3369863013698629</v>
      </c>
    </row>
    <row r="796" spans="1:6" x14ac:dyDescent="0.3">
      <c r="A796" s="15">
        <v>92805</v>
      </c>
      <c r="B796" s="15" t="s">
        <v>27</v>
      </c>
      <c r="C796">
        <f t="shared" si="24"/>
        <v>1</v>
      </c>
      <c r="D796" s="15" t="s">
        <v>30</v>
      </c>
      <c r="E796">
        <f t="shared" si="25"/>
        <v>2</v>
      </c>
      <c r="F796" s="15">
        <v>0.49315068493150682</v>
      </c>
    </row>
    <row r="797" spans="1:6" x14ac:dyDescent="0.3">
      <c r="A797" s="15">
        <v>97728</v>
      </c>
      <c r="B797" s="15" t="s">
        <v>27</v>
      </c>
      <c r="C797">
        <f t="shared" si="24"/>
        <v>1</v>
      </c>
      <c r="D797" s="15" t="s">
        <v>30</v>
      </c>
      <c r="E797">
        <f t="shared" si="25"/>
        <v>2</v>
      </c>
      <c r="F797" s="15">
        <v>0.49315068493150682</v>
      </c>
    </row>
    <row r="798" spans="1:6" x14ac:dyDescent="0.3">
      <c r="A798" s="15">
        <v>78078</v>
      </c>
      <c r="B798" s="15" t="s">
        <v>27</v>
      </c>
      <c r="C798">
        <f t="shared" si="24"/>
        <v>1</v>
      </c>
      <c r="D798" s="15" t="s">
        <v>30</v>
      </c>
      <c r="E798">
        <f t="shared" si="25"/>
        <v>2</v>
      </c>
      <c r="F798" s="15">
        <v>0.49315068493150682</v>
      </c>
    </row>
    <row r="799" spans="1:6" x14ac:dyDescent="0.3">
      <c r="A799" s="15">
        <v>64103</v>
      </c>
      <c r="B799" s="15" t="s">
        <v>17</v>
      </c>
      <c r="C799">
        <f t="shared" si="24"/>
        <v>0</v>
      </c>
      <c r="D799" s="15" t="s">
        <v>30</v>
      </c>
      <c r="E799">
        <f t="shared" si="25"/>
        <v>2</v>
      </c>
      <c r="F799" s="15">
        <v>3.5342465753424661</v>
      </c>
    </row>
    <row r="800" spans="1:6" x14ac:dyDescent="0.3">
      <c r="A800" s="15">
        <v>59095</v>
      </c>
      <c r="B800" s="15" t="s">
        <v>17</v>
      </c>
      <c r="C800">
        <f t="shared" si="24"/>
        <v>0</v>
      </c>
      <c r="D800" s="15" t="s">
        <v>30</v>
      </c>
      <c r="E800">
        <f t="shared" si="25"/>
        <v>2</v>
      </c>
      <c r="F800" s="15">
        <v>0.49315068493150682</v>
      </c>
    </row>
    <row r="801" spans="1:6" x14ac:dyDescent="0.3">
      <c r="A801" s="15">
        <v>100507</v>
      </c>
      <c r="B801" s="15" t="s">
        <v>17</v>
      </c>
      <c r="C801">
        <f t="shared" si="24"/>
        <v>0</v>
      </c>
      <c r="D801" s="15" t="s">
        <v>112</v>
      </c>
      <c r="E801">
        <f t="shared" si="25"/>
        <v>3</v>
      </c>
      <c r="F801" s="15">
        <v>0.49315068493150682</v>
      </c>
    </row>
    <row r="802" spans="1:6" x14ac:dyDescent="0.3">
      <c r="A802" s="15">
        <v>59038</v>
      </c>
      <c r="B802" s="15" t="s">
        <v>27</v>
      </c>
      <c r="C802">
        <f t="shared" si="24"/>
        <v>1</v>
      </c>
      <c r="D802" s="15" t="s">
        <v>30</v>
      </c>
      <c r="E802">
        <f t="shared" si="25"/>
        <v>2</v>
      </c>
      <c r="F802" s="15">
        <v>0.49315068493150682</v>
      </c>
    </row>
    <row r="803" spans="1:6" x14ac:dyDescent="0.3">
      <c r="A803" s="15">
        <v>57504</v>
      </c>
      <c r="B803" s="15" t="s">
        <v>17</v>
      </c>
      <c r="C803">
        <f t="shared" si="24"/>
        <v>0</v>
      </c>
      <c r="D803" s="15" t="s">
        <v>30</v>
      </c>
      <c r="E803">
        <f t="shared" si="25"/>
        <v>2</v>
      </c>
      <c r="F803" s="15">
        <v>3.386301369863014</v>
      </c>
    </row>
    <row r="804" spans="1:6" x14ac:dyDescent="0.3">
      <c r="A804" s="15">
        <v>64145</v>
      </c>
      <c r="B804" s="15" t="s">
        <v>27</v>
      </c>
      <c r="C804">
        <f t="shared" si="24"/>
        <v>1</v>
      </c>
      <c r="D804" s="15" t="s">
        <v>30</v>
      </c>
      <c r="E804">
        <f t="shared" si="25"/>
        <v>2</v>
      </c>
      <c r="F804" s="15">
        <v>0.49315068493150682</v>
      </c>
    </row>
    <row r="805" spans="1:6" x14ac:dyDescent="0.3">
      <c r="A805" s="15">
        <v>77284</v>
      </c>
      <c r="B805" s="15" t="s">
        <v>17</v>
      </c>
      <c r="C805">
        <f t="shared" si="24"/>
        <v>0</v>
      </c>
      <c r="D805" s="15" t="s">
        <v>112</v>
      </c>
      <c r="E805">
        <f t="shared" si="25"/>
        <v>3</v>
      </c>
      <c r="F805" s="15">
        <v>0.49315068493150682</v>
      </c>
    </row>
    <row r="806" spans="1:6" x14ac:dyDescent="0.3">
      <c r="A806" s="15">
        <v>62526</v>
      </c>
      <c r="B806" s="15" t="s">
        <v>27</v>
      </c>
      <c r="C806">
        <f t="shared" si="24"/>
        <v>1</v>
      </c>
      <c r="D806" s="15" t="s">
        <v>30</v>
      </c>
      <c r="E806">
        <f t="shared" si="25"/>
        <v>2</v>
      </c>
      <c r="F806" s="15">
        <v>0.49315068493150682</v>
      </c>
    </row>
    <row r="807" spans="1:6" x14ac:dyDescent="0.3">
      <c r="A807" s="15">
        <v>53687</v>
      </c>
      <c r="B807" s="15" t="s">
        <v>17</v>
      </c>
      <c r="C807">
        <f t="shared" si="24"/>
        <v>0</v>
      </c>
      <c r="D807" s="15" t="s">
        <v>30</v>
      </c>
      <c r="E807">
        <f t="shared" si="25"/>
        <v>2</v>
      </c>
      <c r="F807" s="15">
        <v>2.871232876712329</v>
      </c>
    </row>
    <row r="808" spans="1:6" x14ac:dyDescent="0.3">
      <c r="A808" s="15">
        <v>64605</v>
      </c>
      <c r="B808" s="15" t="s">
        <v>27</v>
      </c>
      <c r="C808">
        <f t="shared" si="24"/>
        <v>1</v>
      </c>
      <c r="D808" s="15" t="s">
        <v>30</v>
      </c>
      <c r="E808">
        <f t="shared" si="25"/>
        <v>2</v>
      </c>
      <c r="F808" s="15">
        <v>0.49315068493150682</v>
      </c>
    </row>
    <row r="809" spans="1:6" x14ac:dyDescent="0.3">
      <c r="A809" s="15">
        <v>64169</v>
      </c>
      <c r="B809" s="15" t="s">
        <v>27</v>
      </c>
      <c r="C809">
        <f t="shared" si="24"/>
        <v>1</v>
      </c>
      <c r="D809" s="15" t="s">
        <v>30</v>
      </c>
      <c r="E809">
        <f t="shared" si="25"/>
        <v>2</v>
      </c>
      <c r="F809" s="15">
        <v>0.49315068493150682</v>
      </c>
    </row>
    <row r="810" spans="1:6" x14ac:dyDescent="0.3">
      <c r="A810" s="15">
        <v>70469</v>
      </c>
      <c r="B810" s="15" t="s">
        <v>27</v>
      </c>
      <c r="C810">
        <f t="shared" si="24"/>
        <v>1</v>
      </c>
      <c r="D810" s="15" t="s">
        <v>112</v>
      </c>
      <c r="E810">
        <f t="shared" si="25"/>
        <v>3</v>
      </c>
      <c r="F810" s="15">
        <v>0.49315068493150682</v>
      </c>
    </row>
    <row r="811" spans="1:6" x14ac:dyDescent="0.3">
      <c r="A811" s="15">
        <v>56781</v>
      </c>
      <c r="B811" s="15" t="s">
        <v>27</v>
      </c>
      <c r="C811">
        <f t="shared" si="24"/>
        <v>1</v>
      </c>
      <c r="D811" s="15" t="s">
        <v>112</v>
      </c>
      <c r="E811">
        <f t="shared" si="25"/>
        <v>3</v>
      </c>
      <c r="F811" s="15">
        <v>1.506849315068493</v>
      </c>
    </row>
    <row r="812" spans="1:6" x14ac:dyDescent="0.3">
      <c r="A812" s="15">
        <v>63688</v>
      </c>
      <c r="B812" s="15" t="s">
        <v>27</v>
      </c>
      <c r="C812">
        <f t="shared" si="24"/>
        <v>1</v>
      </c>
      <c r="D812" s="15" t="s">
        <v>30</v>
      </c>
      <c r="E812">
        <f t="shared" si="25"/>
        <v>2</v>
      </c>
      <c r="F812" s="15">
        <v>4.5753424657534243</v>
      </c>
    </row>
    <row r="813" spans="1:6" x14ac:dyDescent="0.3">
      <c r="A813" s="15">
        <v>83782</v>
      </c>
      <c r="B813" s="15" t="s">
        <v>27</v>
      </c>
      <c r="C813">
        <f t="shared" si="24"/>
        <v>1</v>
      </c>
      <c r="D813" s="15" t="s">
        <v>30</v>
      </c>
      <c r="E813">
        <f t="shared" si="25"/>
        <v>2</v>
      </c>
      <c r="F813" s="15">
        <v>2.8739726027397259</v>
      </c>
    </row>
    <row r="814" spans="1:6" x14ac:dyDescent="0.3">
      <c r="A814" s="15">
        <v>63561</v>
      </c>
      <c r="B814" s="15" t="s">
        <v>17</v>
      </c>
      <c r="C814">
        <f t="shared" si="24"/>
        <v>0</v>
      </c>
      <c r="D814" s="15" t="s">
        <v>20</v>
      </c>
      <c r="E814">
        <f t="shared" si="25"/>
        <v>1</v>
      </c>
      <c r="F814" s="15">
        <v>0.49315068493150682</v>
      </c>
    </row>
    <row r="815" spans="1:6" x14ac:dyDescent="0.3">
      <c r="A815" s="15">
        <v>78790</v>
      </c>
      <c r="B815" s="15" t="s">
        <v>27</v>
      </c>
      <c r="C815">
        <f t="shared" si="24"/>
        <v>1</v>
      </c>
      <c r="D815" s="15" t="s">
        <v>93</v>
      </c>
      <c r="E815">
        <f t="shared" si="25"/>
        <v>4</v>
      </c>
      <c r="F815" s="15">
        <v>2.4465753424657528</v>
      </c>
    </row>
    <row r="816" spans="1:6" x14ac:dyDescent="0.3">
      <c r="A816" s="15">
        <v>67947</v>
      </c>
      <c r="B816" s="15" t="s">
        <v>27</v>
      </c>
      <c r="C816">
        <f t="shared" si="24"/>
        <v>1</v>
      </c>
      <c r="D816" s="15" t="s">
        <v>30</v>
      </c>
      <c r="E816">
        <f t="shared" si="25"/>
        <v>2</v>
      </c>
      <c r="F816" s="15">
        <v>0.86027397260273974</v>
      </c>
    </row>
    <row r="817" spans="1:6" x14ac:dyDescent="0.3">
      <c r="A817" s="15">
        <v>74475</v>
      </c>
      <c r="B817" s="15" t="s">
        <v>17</v>
      </c>
      <c r="C817">
        <f t="shared" si="24"/>
        <v>0</v>
      </c>
      <c r="D817" s="15" t="s">
        <v>30</v>
      </c>
      <c r="E817">
        <f t="shared" si="25"/>
        <v>2</v>
      </c>
      <c r="F817" s="15">
        <v>3.4712328767123291</v>
      </c>
    </row>
    <row r="818" spans="1:6" x14ac:dyDescent="0.3">
      <c r="A818" s="15">
        <v>63322</v>
      </c>
      <c r="B818" s="15" t="s">
        <v>27</v>
      </c>
      <c r="C818">
        <f t="shared" si="24"/>
        <v>1</v>
      </c>
      <c r="D818" s="15" t="s">
        <v>30</v>
      </c>
      <c r="E818">
        <f t="shared" si="25"/>
        <v>2</v>
      </c>
      <c r="F818" s="15">
        <v>1.1534246575342471</v>
      </c>
    </row>
    <row r="819" spans="1:6" x14ac:dyDescent="0.3">
      <c r="A819" s="15">
        <v>65014</v>
      </c>
      <c r="B819" s="15" t="s">
        <v>27</v>
      </c>
      <c r="C819">
        <f t="shared" si="24"/>
        <v>1</v>
      </c>
      <c r="D819" s="15" t="s">
        <v>93</v>
      </c>
      <c r="E819">
        <f t="shared" si="25"/>
        <v>4</v>
      </c>
      <c r="F819" s="15">
        <v>7.441095890410959</v>
      </c>
    </row>
    <row r="820" spans="1:6" x14ac:dyDescent="0.3">
      <c r="A820" s="15">
        <v>67049</v>
      </c>
      <c r="B820" s="15" t="s">
        <v>27</v>
      </c>
      <c r="C820">
        <f t="shared" si="24"/>
        <v>1</v>
      </c>
      <c r="D820" s="15" t="s">
        <v>93</v>
      </c>
      <c r="E820">
        <f t="shared" si="25"/>
        <v>4</v>
      </c>
      <c r="F820" s="15">
        <v>0.49315068493150682</v>
      </c>
    </row>
    <row r="821" spans="1:6" x14ac:dyDescent="0.3">
      <c r="A821" s="15">
        <v>65761</v>
      </c>
      <c r="B821" s="15" t="s">
        <v>17</v>
      </c>
      <c r="C821">
        <f t="shared" si="24"/>
        <v>0</v>
      </c>
      <c r="D821" s="15" t="s">
        <v>30</v>
      </c>
      <c r="E821">
        <f t="shared" si="25"/>
        <v>2</v>
      </c>
      <c r="F821" s="15">
        <v>0.49315068493150682</v>
      </c>
    </row>
    <row r="822" spans="1:6" x14ac:dyDescent="0.3">
      <c r="A822" s="15">
        <v>68751</v>
      </c>
      <c r="B822" s="15" t="s">
        <v>27</v>
      </c>
      <c r="C822">
        <f t="shared" si="24"/>
        <v>1</v>
      </c>
      <c r="D822" s="15" t="s">
        <v>30</v>
      </c>
      <c r="E822">
        <f t="shared" si="25"/>
        <v>2</v>
      </c>
      <c r="F822" s="15">
        <v>6.353424657534247</v>
      </c>
    </row>
    <row r="823" spans="1:6" x14ac:dyDescent="0.3">
      <c r="A823" s="15">
        <v>62465</v>
      </c>
      <c r="B823" s="15" t="s">
        <v>27</v>
      </c>
      <c r="C823">
        <f t="shared" si="24"/>
        <v>1</v>
      </c>
      <c r="D823" s="15" t="s">
        <v>30</v>
      </c>
      <c r="E823">
        <f t="shared" si="25"/>
        <v>2</v>
      </c>
      <c r="F823" s="15">
        <v>5.6876712328767134</v>
      </c>
    </row>
    <row r="824" spans="1:6" x14ac:dyDescent="0.3">
      <c r="A824" s="15">
        <v>58102</v>
      </c>
      <c r="B824" s="15" t="s">
        <v>27</v>
      </c>
      <c r="C824">
        <f t="shared" si="24"/>
        <v>1</v>
      </c>
      <c r="D824" s="15" t="s">
        <v>112</v>
      </c>
      <c r="E824">
        <f t="shared" si="25"/>
        <v>3</v>
      </c>
      <c r="F824" s="15">
        <v>1.383561643835616</v>
      </c>
    </row>
    <row r="825" spans="1:6" x14ac:dyDescent="0.3">
      <c r="A825" s="15">
        <v>57789</v>
      </c>
      <c r="B825" s="15" t="s">
        <v>17</v>
      </c>
      <c r="C825">
        <f t="shared" si="24"/>
        <v>0</v>
      </c>
      <c r="D825" s="15" t="s">
        <v>30</v>
      </c>
      <c r="E825">
        <f t="shared" si="25"/>
        <v>2</v>
      </c>
      <c r="F825" s="15">
        <v>0.49315068493150682</v>
      </c>
    </row>
    <row r="826" spans="1:6" x14ac:dyDescent="0.3">
      <c r="A826" s="15">
        <v>62995</v>
      </c>
      <c r="B826" s="15" t="s">
        <v>17</v>
      </c>
      <c r="C826">
        <f t="shared" si="24"/>
        <v>0</v>
      </c>
      <c r="D826" s="15" t="s">
        <v>30</v>
      </c>
      <c r="E826">
        <f t="shared" si="25"/>
        <v>2</v>
      </c>
      <c r="F826" s="15">
        <v>2.4027397260273968</v>
      </c>
    </row>
    <row r="827" spans="1:6" x14ac:dyDescent="0.3">
      <c r="A827" s="15">
        <v>74615</v>
      </c>
      <c r="B827" s="15" t="s">
        <v>27</v>
      </c>
      <c r="C827">
        <f t="shared" si="24"/>
        <v>1</v>
      </c>
      <c r="D827" s="15" t="s">
        <v>30</v>
      </c>
      <c r="E827">
        <f t="shared" si="25"/>
        <v>2</v>
      </c>
      <c r="F827" s="15">
        <v>1.517808219178082</v>
      </c>
    </row>
    <row r="828" spans="1:6" x14ac:dyDescent="0.3">
      <c r="A828" s="15">
        <v>83426</v>
      </c>
      <c r="B828" s="15" t="s">
        <v>17</v>
      </c>
      <c r="C828">
        <f t="shared" si="24"/>
        <v>0</v>
      </c>
      <c r="D828" s="15" t="s">
        <v>112</v>
      </c>
      <c r="E828">
        <f t="shared" si="25"/>
        <v>3</v>
      </c>
      <c r="F828" s="15">
        <v>4.5287671232876709</v>
      </c>
    </row>
    <row r="829" spans="1:6" x14ac:dyDescent="0.3">
      <c r="A829" s="15">
        <v>83222</v>
      </c>
      <c r="B829" s="15" t="s">
        <v>17</v>
      </c>
      <c r="C829">
        <f t="shared" si="24"/>
        <v>0</v>
      </c>
      <c r="D829" s="15" t="s">
        <v>30</v>
      </c>
      <c r="E829">
        <f t="shared" si="25"/>
        <v>2</v>
      </c>
      <c r="F829" s="15">
        <v>0.49315068493150682</v>
      </c>
    </row>
    <row r="830" spans="1:6" x14ac:dyDescent="0.3">
      <c r="A830" s="15">
        <v>57215</v>
      </c>
      <c r="B830" s="15" t="s">
        <v>17</v>
      </c>
      <c r="C830">
        <f t="shared" si="24"/>
        <v>0</v>
      </c>
      <c r="D830" s="15" t="s">
        <v>30</v>
      </c>
      <c r="E830">
        <f t="shared" si="25"/>
        <v>2</v>
      </c>
      <c r="F830" s="15">
        <v>1.3232876712328769</v>
      </c>
    </row>
    <row r="831" spans="1:6" x14ac:dyDescent="0.3">
      <c r="A831" s="15">
        <v>59469</v>
      </c>
      <c r="B831" s="15" t="s">
        <v>27</v>
      </c>
      <c r="C831">
        <f t="shared" si="24"/>
        <v>1</v>
      </c>
      <c r="D831" s="15" t="s">
        <v>30</v>
      </c>
      <c r="E831">
        <f t="shared" si="25"/>
        <v>2</v>
      </c>
      <c r="F831" s="15">
        <v>0.49315068493150682</v>
      </c>
    </row>
    <row r="832" spans="1:6" x14ac:dyDescent="0.3">
      <c r="A832" s="15">
        <v>73592</v>
      </c>
      <c r="B832" s="15" t="s">
        <v>17</v>
      </c>
      <c r="C832">
        <f t="shared" si="24"/>
        <v>0</v>
      </c>
      <c r="D832" s="15" t="s">
        <v>20</v>
      </c>
      <c r="E832">
        <f t="shared" si="25"/>
        <v>1</v>
      </c>
      <c r="F832" s="15">
        <v>3.0027397260273969</v>
      </c>
    </row>
    <row r="833" spans="1:6" x14ac:dyDescent="0.3">
      <c r="A833" s="15">
        <v>68928</v>
      </c>
      <c r="B833" s="15" t="s">
        <v>27</v>
      </c>
      <c r="C833">
        <f t="shared" si="24"/>
        <v>1</v>
      </c>
      <c r="D833" s="15" t="s">
        <v>112</v>
      </c>
      <c r="E833">
        <f t="shared" si="25"/>
        <v>3</v>
      </c>
      <c r="F833" s="15">
        <v>0.49315068493150682</v>
      </c>
    </row>
    <row r="834" spans="1:6" x14ac:dyDescent="0.3">
      <c r="A834" s="15">
        <v>76265</v>
      </c>
      <c r="B834" s="15" t="s">
        <v>17</v>
      </c>
      <c r="C834">
        <f t="shared" si="24"/>
        <v>0</v>
      </c>
      <c r="D834" s="15" t="s">
        <v>30</v>
      </c>
      <c r="E834">
        <f t="shared" si="25"/>
        <v>2</v>
      </c>
      <c r="F834" s="15">
        <v>2.5534246575342472</v>
      </c>
    </row>
    <row r="835" spans="1:6" x14ac:dyDescent="0.3">
      <c r="A835" s="15">
        <v>62667</v>
      </c>
      <c r="B835" s="15" t="s">
        <v>27</v>
      </c>
      <c r="C835">
        <f t="shared" ref="C835:C898" si="26">IF(B835="Male", 1, 0)</f>
        <v>1</v>
      </c>
      <c r="D835" s="15" t="s">
        <v>30</v>
      </c>
      <c r="E835">
        <f t="shared" ref="E835:E898" si="27">IF(D835="High School",1,IF(D835="Bachelor",2,IF(D835="Master",3,IF(D835="PhD",4,""))))</f>
        <v>2</v>
      </c>
      <c r="F835" s="15">
        <v>0.49315068493150682</v>
      </c>
    </row>
    <row r="836" spans="1:6" x14ac:dyDescent="0.3">
      <c r="A836" s="15">
        <v>76384</v>
      </c>
      <c r="B836" s="15" t="s">
        <v>27</v>
      </c>
      <c r="C836">
        <f t="shared" si="26"/>
        <v>1</v>
      </c>
      <c r="D836" s="15" t="s">
        <v>30</v>
      </c>
      <c r="E836">
        <f t="shared" si="27"/>
        <v>2</v>
      </c>
      <c r="F836" s="15">
        <v>3.1123287671232882</v>
      </c>
    </row>
    <row r="837" spans="1:6" x14ac:dyDescent="0.3">
      <c r="A837" s="15">
        <v>55791</v>
      </c>
      <c r="B837" s="15" t="s">
        <v>17</v>
      </c>
      <c r="C837">
        <f t="shared" si="26"/>
        <v>0</v>
      </c>
      <c r="D837" s="15" t="s">
        <v>30</v>
      </c>
      <c r="E837">
        <f t="shared" si="27"/>
        <v>2</v>
      </c>
      <c r="F837" s="15">
        <v>3.5205479452054789</v>
      </c>
    </row>
    <row r="838" spans="1:6" x14ac:dyDescent="0.3">
      <c r="A838" s="15">
        <v>94458</v>
      </c>
      <c r="B838" s="15" t="s">
        <v>17</v>
      </c>
      <c r="C838">
        <f t="shared" si="26"/>
        <v>0</v>
      </c>
      <c r="D838" s="15" t="s">
        <v>112</v>
      </c>
      <c r="E838">
        <f t="shared" si="27"/>
        <v>3</v>
      </c>
      <c r="F838" s="15">
        <v>0.49315068493150682</v>
      </c>
    </row>
    <row r="839" spans="1:6" x14ac:dyDescent="0.3">
      <c r="A839" s="15">
        <v>59258</v>
      </c>
      <c r="B839" s="15" t="s">
        <v>27</v>
      </c>
      <c r="C839">
        <f t="shared" si="26"/>
        <v>1</v>
      </c>
      <c r="D839" s="15" t="s">
        <v>20</v>
      </c>
      <c r="E839">
        <f t="shared" si="27"/>
        <v>1</v>
      </c>
      <c r="F839" s="15">
        <v>6.5013698630136982</v>
      </c>
    </row>
    <row r="840" spans="1:6" x14ac:dyDescent="0.3">
      <c r="A840" s="15">
        <v>58109</v>
      </c>
      <c r="B840" s="15" t="s">
        <v>17</v>
      </c>
      <c r="C840">
        <f t="shared" si="26"/>
        <v>0</v>
      </c>
      <c r="D840" s="15" t="s">
        <v>30</v>
      </c>
      <c r="E840">
        <f t="shared" si="27"/>
        <v>2</v>
      </c>
      <c r="F840" s="15">
        <v>0.49315068493150682</v>
      </c>
    </row>
    <row r="841" spans="1:6" x14ac:dyDescent="0.3">
      <c r="A841" s="15">
        <v>59579</v>
      </c>
      <c r="B841" s="15" t="s">
        <v>27</v>
      </c>
      <c r="C841">
        <f t="shared" si="26"/>
        <v>1</v>
      </c>
      <c r="D841" s="15" t="s">
        <v>30</v>
      </c>
      <c r="E841">
        <f t="shared" si="27"/>
        <v>2</v>
      </c>
      <c r="F841" s="15">
        <v>7.816438356164384</v>
      </c>
    </row>
    <row r="842" spans="1:6" x14ac:dyDescent="0.3">
      <c r="A842" s="15">
        <v>76734</v>
      </c>
      <c r="B842" s="15" t="s">
        <v>27</v>
      </c>
      <c r="C842">
        <f t="shared" si="26"/>
        <v>1</v>
      </c>
      <c r="D842" s="15" t="s">
        <v>30</v>
      </c>
      <c r="E842">
        <f t="shared" si="27"/>
        <v>2</v>
      </c>
      <c r="F842" s="15">
        <v>0.49315068493150682</v>
      </c>
    </row>
    <row r="843" spans="1:6" x14ac:dyDescent="0.3">
      <c r="A843" s="15">
        <v>77985</v>
      </c>
      <c r="B843" s="15" t="s">
        <v>27</v>
      </c>
      <c r="C843">
        <f t="shared" si="26"/>
        <v>1</v>
      </c>
      <c r="D843" s="15" t="s">
        <v>30</v>
      </c>
      <c r="E843">
        <f t="shared" si="27"/>
        <v>2</v>
      </c>
      <c r="F843" s="15">
        <v>2.194520547945205</v>
      </c>
    </row>
    <row r="844" spans="1:6" x14ac:dyDescent="0.3">
      <c r="A844" s="15">
        <v>66529</v>
      </c>
      <c r="B844" s="15" t="s">
        <v>27</v>
      </c>
      <c r="C844">
        <f t="shared" si="26"/>
        <v>1</v>
      </c>
      <c r="D844" s="15" t="s">
        <v>20</v>
      </c>
      <c r="E844">
        <f t="shared" si="27"/>
        <v>1</v>
      </c>
      <c r="F844" s="15">
        <v>3.5315068493150679</v>
      </c>
    </row>
    <row r="845" spans="1:6" x14ac:dyDescent="0.3">
      <c r="A845" s="15">
        <v>67819</v>
      </c>
      <c r="B845" s="15" t="s">
        <v>27</v>
      </c>
      <c r="C845">
        <f t="shared" si="26"/>
        <v>1</v>
      </c>
      <c r="D845" s="15" t="s">
        <v>30</v>
      </c>
      <c r="E845">
        <f t="shared" si="27"/>
        <v>2</v>
      </c>
      <c r="F845" s="15">
        <v>0.49315068493150682</v>
      </c>
    </row>
    <row r="846" spans="1:6" x14ac:dyDescent="0.3">
      <c r="A846" s="15">
        <v>59461</v>
      </c>
      <c r="B846" s="15" t="s">
        <v>17</v>
      </c>
      <c r="C846">
        <f t="shared" si="26"/>
        <v>0</v>
      </c>
      <c r="D846" s="15" t="s">
        <v>30</v>
      </c>
      <c r="E846">
        <f t="shared" si="27"/>
        <v>2</v>
      </c>
      <c r="F846" s="15">
        <v>0.49315068493150682</v>
      </c>
    </row>
    <row r="847" spans="1:6" x14ac:dyDescent="0.3">
      <c r="A847" s="15">
        <v>60402</v>
      </c>
      <c r="B847" s="15" t="s">
        <v>17</v>
      </c>
      <c r="C847">
        <f t="shared" si="26"/>
        <v>0</v>
      </c>
      <c r="D847" s="15" t="s">
        <v>20</v>
      </c>
      <c r="E847">
        <f t="shared" si="27"/>
        <v>1</v>
      </c>
      <c r="F847" s="15">
        <v>0.49315068493150682</v>
      </c>
    </row>
    <row r="848" spans="1:6" x14ac:dyDescent="0.3">
      <c r="A848" s="15">
        <v>55994</v>
      </c>
      <c r="B848" s="15" t="s">
        <v>17</v>
      </c>
      <c r="C848">
        <f t="shared" si="26"/>
        <v>0</v>
      </c>
      <c r="D848" s="15" t="s">
        <v>30</v>
      </c>
      <c r="E848">
        <f t="shared" si="27"/>
        <v>2</v>
      </c>
      <c r="F848" s="15">
        <v>0.49041095890410957</v>
      </c>
    </row>
    <row r="849" spans="1:6" x14ac:dyDescent="0.3">
      <c r="A849" s="15">
        <v>54791</v>
      </c>
      <c r="B849" s="15" t="s">
        <v>17</v>
      </c>
      <c r="C849">
        <f t="shared" si="26"/>
        <v>0</v>
      </c>
      <c r="D849" s="15" t="s">
        <v>30</v>
      </c>
      <c r="E849">
        <f t="shared" si="27"/>
        <v>2</v>
      </c>
      <c r="F849" s="15">
        <v>0.49315068493150682</v>
      </c>
    </row>
    <row r="850" spans="1:6" x14ac:dyDescent="0.3">
      <c r="A850" s="15">
        <v>64308</v>
      </c>
      <c r="B850" s="15" t="s">
        <v>17</v>
      </c>
      <c r="C850">
        <f t="shared" si="26"/>
        <v>0</v>
      </c>
      <c r="D850" s="15" t="s">
        <v>30</v>
      </c>
      <c r="E850">
        <f t="shared" si="27"/>
        <v>2</v>
      </c>
      <c r="F850" s="15">
        <v>0.49315068493150682</v>
      </c>
    </row>
    <row r="851" spans="1:6" x14ac:dyDescent="0.3">
      <c r="A851" s="15">
        <v>64044</v>
      </c>
      <c r="B851" s="15" t="s">
        <v>27</v>
      </c>
      <c r="C851">
        <f t="shared" si="26"/>
        <v>1</v>
      </c>
      <c r="D851" s="15" t="s">
        <v>30</v>
      </c>
      <c r="E851">
        <f t="shared" si="27"/>
        <v>2</v>
      </c>
      <c r="F851" s="15">
        <v>0.49041095890410957</v>
      </c>
    </row>
    <row r="852" spans="1:6" x14ac:dyDescent="0.3">
      <c r="A852" s="15">
        <v>61578</v>
      </c>
      <c r="B852" s="15" t="s">
        <v>27</v>
      </c>
      <c r="C852">
        <f t="shared" si="26"/>
        <v>1</v>
      </c>
      <c r="D852" s="15" t="s">
        <v>20</v>
      </c>
      <c r="E852">
        <f t="shared" si="27"/>
        <v>1</v>
      </c>
      <c r="F852" s="15">
        <v>0.49315068493150682</v>
      </c>
    </row>
    <row r="853" spans="1:6" x14ac:dyDescent="0.3">
      <c r="A853" s="15">
        <v>73871</v>
      </c>
      <c r="B853" s="15" t="s">
        <v>27</v>
      </c>
      <c r="C853">
        <f t="shared" si="26"/>
        <v>1</v>
      </c>
      <c r="D853" s="15" t="s">
        <v>112</v>
      </c>
      <c r="E853">
        <f t="shared" si="27"/>
        <v>3</v>
      </c>
      <c r="F853" s="15">
        <v>1.268493150684932</v>
      </c>
    </row>
    <row r="854" spans="1:6" x14ac:dyDescent="0.3">
      <c r="A854" s="15">
        <v>76777</v>
      </c>
      <c r="B854" s="15" t="s">
        <v>27</v>
      </c>
      <c r="C854">
        <f t="shared" si="26"/>
        <v>1</v>
      </c>
      <c r="D854" s="15" t="s">
        <v>93</v>
      </c>
      <c r="E854">
        <f t="shared" si="27"/>
        <v>4</v>
      </c>
      <c r="F854" s="15">
        <v>0.49315068493150682</v>
      </c>
    </row>
    <row r="855" spans="1:6" x14ac:dyDescent="0.3">
      <c r="A855" s="15">
        <v>57457</v>
      </c>
      <c r="B855" s="15" t="s">
        <v>17</v>
      </c>
      <c r="C855">
        <f t="shared" si="26"/>
        <v>0</v>
      </c>
      <c r="D855" s="15" t="s">
        <v>30</v>
      </c>
      <c r="E855">
        <f t="shared" si="27"/>
        <v>2</v>
      </c>
      <c r="F855" s="15">
        <v>0.49315068493150682</v>
      </c>
    </row>
    <row r="856" spans="1:6" x14ac:dyDescent="0.3">
      <c r="A856" s="15">
        <v>60551</v>
      </c>
      <c r="B856" s="15" t="s">
        <v>17</v>
      </c>
      <c r="C856">
        <f t="shared" si="26"/>
        <v>0</v>
      </c>
      <c r="D856" s="15" t="s">
        <v>20</v>
      </c>
      <c r="E856">
        <f t="shared" si="27"/>
        <v>1</v>
      </c>
      <c r="F856" s="15">
        <v>0.49315068493150682</v>
      </c>
    </row>
    <row r="857" spans="1:6" x14ac:dyDescent="0.3">
      <c r="A857" s="15">
        <v>61458</v>
      </c>
      <c r="B857" s="15" t="s">
        <v>27</v>
      </c>
      <c r="C857">
        <f t="shared" si="26"/>
        <v>1</v>
      </c>
      <c r="D857" s="15" t="s">
        <v>30</v>
      </c>
      <c r="E857">
        <f t="shared" si="27"/>
        <v>2</v>
      </c>
      <c r="F857" s="15">
        <v>7.0821917808219181</v>
      </c>
    </row>
    <row r="858" spans="1:6" x14ac:dyDescent="0.3">
      <c r="A858" s="15">
        <v>74903</v>
      </c>
      <c r="B858" s="15" t="s">
        <v>27</v>
      </c>
      <c r="C858">
        <f t="shared" si="26"/>
        <v>1</v>
      </c>
      <c r="D858" s="15" t="s">
        <v>30</v>
      </c>
      <c r="E858">
        <f t="shared" si="27"/>
        <v>2</v>
      </c>
      <c r="F858" s="15">
        <v>0.49041095890410957</v>
      </c>
    </row>
    <row r="859" spans="1:6" x14ac:dyDescent="0.3">
      <c r="A859" s="15">
        <v>66450</v>
      </c>
      <c r="B859" s="15" t="s">
        <v>27</v>
      </c>
      <c r="C859">
        <f t="shared" si="26"/>
        <v>1</v>
      </c>
      <c r="D859" s="15" t="s">
        <v>30</v>
      </c>
      <c r="E859">
        <f t="shared" si="27"/>
        <v>2</v>
      </c>
      <c r="F859" s="15">
        <v>7.9835616438356167</v>
      </c>
    </row>
    <row r="860" spans="1:6" x14ac:dyDescent="0.3">
      <c r="A860" s="15">
        <v>60027</v>
      </c>
      <c r="B860" s="15" t="s">
        <v>27</v>
      </c>
      <c r="C860">
        <f t="shared" si="26"/>
        <v>1</v>
      </c>
      <c r="D860" s="15" t="s">
        <v>30</v>
      </c>
      <c r="E860">
        <f t="shared" si="27"/>
        <v>2</v>
      </c>
      <c r="F860" s="15">
        <v>0.49315068493150682</v>
      </c>
    </row>
    <row r="861" spans="1:6" x14ac:dyDescent="0.3">
      <c r="A861" s="15">
        <v>61785</v>
      </c>
      <c r="B861" s="15" t="s">
        <v>27</v>
      </c>
      <c r="C861">
        <f t="shared" si="26"/>
        <v>1</v>
      </c>
      <c r="D861" s="15" t="s">
        <v>20</v>
      </c>
      <c r="E861">
        <f t="shared" si="27"/>
        <v>1</v>
      </c>
      <c r="F861" s="15">
        <v>0.49315068493150682</v>
      </c>
    </row>
    <row r="862" spans="1:6" x14ac:dyDescent="0.3">
      <c r="A862" s="15">
        <v>77437</v>
      </c>
      <c r="B862" s="15" t="s">
        <v>27</v>
      </c>
      <c r="C862">
        <f t="shared" si="26"/>
        <v>1</v>
      </c>
      <c r="D862" s="15" t="s">
        <v>30</v>
      </c>
      <c r="E862">
        <f t="shared" si="27"/>
        <v>2</v>
      </c>
      <c r="F862" s="15">
        <v>5.3589041095890408</v>
      </c>
    </row>
    <row r="863" spans="1:6" x14ac:dyDescent="0.3">
      <c r="A863" s="15">
        <v>82977</v>
      </c>
      <c r="B863" s="15" t="s">
        <v>17</v>
      </c>
      <c r="C863">
        <f t="shared" si="26"/>
        <v>0</v>
      </c>
      <c r="D863" s="15" t="s">
        <v>93</v>
      </c>
      <c r="E863">
        <f t="shared" si="27"/>
        <v>4</v>
      </c>
      <c r="F863" s="15">
        <v>6.1424657534246574</v>
      </c>
    </row>
    <row r="864" spans="1:6" x14ac:dyDescent="0.3">
      <c r="A864" s="15">
        <v>55177</v>
      </c>
      <c r="B864" s="15" t="s">
        <v>17</v>
      </c>
      <c r="C864">
        <f t="shared" si="26"/>
        <v>0</v>
      </c>
      <c r="D864" s="15" t="s">
        <v>30</v>
      </c>
      <c r="E864">
        <f t="shared" si="27"/>
        <v>2</v>
      </c>
      <c r="F864" s="15">
        <v>1.0356164383561639</v>
      </c>
    </row>
    <row r="865" spans="1:6" x14ac:dyDescent="0.3">
      <c r="A865" s="15">
        <v>84520</v>
      </c>
      <c r="B865" s="15" t="s">
        <v>27</v>
      </c>
      <c r="C865">
        <f t="shared" si="26"/>
        <v>1</v>
      </c>
      <c r="D865" s="15" t="s">
        <v>93</v>
      </c>
      <c r="E865">
        <f t="shared" si="27"/>
        <v>4</v>
      </c>
      <c r="F865" s="15">
        <v>2.5452054794520551</v>
      </c>
    </row>
    <row r="866" spans="1:6" x14ac:dyDescent="0.3">
      <c r="A866" s="15">
        <v>58264</v>
      </c>
      <c r="B866" s="15" t="s">
        <v>27</v>
      </c>
      <c r="C866">
        <f t="shared" si="26"/>
        <v>1</v>
      </c>
      <c r="D866" s="15" t="s">
        <v>20</v>
      </c>
      <c r="E866">
        <f t="shared" si="27"/>
        <v>1</v>
      </c>
      <c r="F866" s="15">
        <v>0.49315068493150682</v>
      </c>
    </row>
    <row r="867" spans="1:6" x14ac:dyDescent="0.3">
      <c r="A867" s="15">
        <v>59625</v>
      </c>
      <c r="B867" s="15" t="s">
        <v>17</v>
      </c>
      <c r="C867">
        <f t="shared" si="26"/>
        <v>0</v>
      </c>
      <c r="D867" s="15" t="s">
        <v>30</v>
      </c>
      <c r="E867">
        <f t="shared" si="27"/>
        <v>2</v>
      </c>
      <c r="F867" s="15">
        <v>2.753424657534246</v>
      </c>
    </row>
    <row r="868" spans="1:6" x14ac:dyDescent="0.3">
      <c r="A868" s="15">
        <v>94351</v>
      </c>
      <c r="B868" s="15" t="s">
        <v>17</v>
      </c>
      <c r="C868">
        <f t="shared" si="26"/>
        <v>0</v>
      </c>
      <c r="D868" s="15" t="s">
        <v>112</v>
      </c>
      <c r="E868">
        <f t="shared" si="27"/>
        <v>3</v>
      </c>
      <c r="F868" s="15">
        <v>0.49315068493150682</v>
      </c>
    </row>
    <row r="869" spans="1:6" x14ac:dyDescent="0.3">
      <c r="A869" s="15">
        <v>54248</v>
      </c>
      <c r="B869" s="15" t="s">
        <v>17</v>
      </c>
      <c r="C869">
        <f t="shared" si="26"/>
        <v>0</v>
      </c>
      <c r="D869" s="15" t="s">
        <v>30</v>
      </c>
      <c r="E869">
        <f t="shared" si="27"/>
        <v>2</v>
      </c>
      <c r="F869" s="15">
        <v>1.616438356164384</v>
      </c>
    </row>
    <row r="870" spans="1:6" x14ac:dyDescent="0.3">
      <c r="A870" s="15">
        <v>85379</v>
      </c>
      <c r="B870" s="15" t="s">
        <v>27</v>
      </c>
      <c r="C870">
        <f t="shared" si="26"/>
        <v>1</v>
      </c>
      <c r="D870" s="15" t="s">
        <v>112</v>
      </c>
      <c r="E870">
        <f t="shared" si="27"/>
        <v>3</v>
      </c>
      <c r="F870" s="15">
        <v>0.49315068493150682</v>
      </c>
    </row>
    <row r="871" spans="1:6" x14ac:dyDescent="0.3">
      <c r="A871" s="15">
        <v>120635</v>
      </c>
      <c r="B871" s="15" t="s">
        <v>27</v>
      </c>
      <c r="C871">
        <f t="shared" si="26"/>
        <v>1</v>
      </c>
      <c r="D871" s="15" t="s">
        <v>93</v>
      </c>
      <c r="E871">
        <f t="shared" si="27"/>
        <v>4</v>
      </c>
      <c r="F871" s="15">
        <v>8.5671232876712331</v>
      </c>
    </row>
    <row r="872" spans="1:6" x14ac:dyDescent="0.3">
      <c r="A872" s="15">
        <v>65005</v>
      </c>
      <c r="B872" s="15" t="s">
        <v>27</v>
      </c>
      <c r="C872">
        <f t="shared" si="26"/>
        <v>1</v>
      </c>
      <c r="D872" s="15" t="s">
        <v>30</v>
      </c>
      <c r="E872">
        <f t="shared" si="27"/>
        <v>2</v>
      </c>
      <c r="F872" s="15">
        <v>0.49315068493150682</v>
      </c>
    </row>
    <row r="873" spans="1:6" x14ac:dyDescent="0.3">
      <c r="A873" s="15">
        <v>56923</v>
      </c>
      <c r="B873" s="15" t="s">
        <v>17</v>
      </c>
      <c r="C873">
        <f t="shared" si="26"/>
        <v>0</v>
      </c>
      <c r="D873" s="15" t="s">
        <v>30</v>
      </c>
      <c r="E873">
        <f t="shared" si="27"/>
        <v>2</v>
      </c>
      <c r="F873" s="15">
        <v>0.49315068493150682</v>
      </c>
    </row>
    <row r="874" spans="1:6" x14ac:dyDescent="0.3">
      <c r="A874" s="15">
        <v>55231</v>
      </c>
      <c r="B874" s="15" t="s">
        <v>17</v>
      </c>
      <c r="C874">
        <f t="shared" si="26"/>
        <v>0</v>
      </c>
      <c r="D874" s="15" t="s">
        <v>30</v>
      </c>
      <c r="E874">
        <f t="shared" si="27"/>
        <v>2</v>
      </c>
      <c r="F874" s="15">
        <v>0.49315068493150682</v>
      </c>
    </row>
    <row r="875" spans="1:6" x14ac:dyDescent="0.3">
      <c r="A875" s="15">
        <v>67786</v>
      </c>
      <c r="B875" s="15" t="s">
        <v>27</v>
      </c>
      <c r="C875">
        <f t="shared" si="26"/>
        <v>1</v>
      </c>
      <c r="D875" s="15" t="s">
        <v>30</v>
      </c>
      <c r="E875">
        <f t="shared" si="27"/>
        <v>2</v>
      </c>
      <c r="F875" s="15">
        <v>4.2383561643835614</v>
      </c>
    </row>
    <row r="876" spans="1:6" x14ac:dyDescent="0.3">
      <c r="A876" s="15">
        <v>107510</v>
      </c>
      <c r="B876" s="15" t="s">
        <v>17</v>
      </c>
      <c r="C876">
        <f t="shared" si="26"/>
        <v>0</v>
      </c>
      <c r="D876" s="15" t="s">
        <v>112</v>
      </c>
      <c r="E876">
        <f t="shared" si="27"/>
        <v>3</v>
      </c>
      <c r="F876" s="15">
        <v>2.7123287671232879</v>
      </c>
    </row>
    <row r="877" spans="1:6" x14ac:dyDescent="0.3">
      <c r="A877" s="15">
        <v>56546</v>
      </c>
      <c r="B877" s="15" t="s">
        <v>17</v>
      </c>
      <c r="C877">
        <f t="shared" si="26"/>
        <v>0</v>
      </c>
      <c r="D877" s="15" t="s">
        <v>20</v>
      </c>
      <c r="E877">
        <f t="shared" si="27"/>
        <v>1</v>
      </c>
      <c r="F877" s="15">
        <v>8.161643835616438</v>
      </c>
    </row>
    <row r="878" spans="1:6" x14ac:dyDescent="0.3">
      <c r="A878" s="15">
        <v>89077</v>
      </c>
      <c r="B878" s="15" t="s">
        <v>27</v>
      </c>
      <c r="C878">
        <f t="shared" si="26"/>
        <v>1</v>
      </c>
      <c r="D878" s="15" t="s">
        <v>30</v>
      </c>
      <c r="E878">
        <f t="shared" si="27"/>
        <v>2</v>
      </c>
      <c r="F878" s="15">
        <v>2.7479452054794522</v>
      </c>
    </row>
    <row r="879" spans="1:6" x14ac:dyDescent="0.3">
      <c r="A879" s="15">
        <v>68156</v>
      </c>
      <c r="B879" s="15" t="s">
        <v>27</v>
      </c>
      <c r="C879">
        <f t="shared" si="26"/>
        <v>1</v>
      </c>
      <c r="D879" s="15" t="s">
        <v>30</v>
      </c>
      <c r="E879">
        <f t="shared" si="27"/>
        <v>2</v>
      </c>
      <c r="F879" s="15">
        <v>0.49315068493150682</v>
      </c>
    </row>
    <row r="880" spans="1:6" x14ac:dyDescent="0.3">
      <c r="A880" s="15">
        <v>68783</v>
      </c>
      <c r="B880" s="15" t="s">
        <v>27</v>
      </c>
      <c r="C880">
        <f t="shared" si="26"/>
        <v>1</v>
      </c>
      <c r="D880" s="15" t="s">
        <v>30</v>
      </c>
      <c r="E880">
        <f t="shared" si="27"/>
        <v>2</v>
      </c>
      <c r="F880" s="15">
        <v>0.49315068493150682</v>
      </c>
    </row>
    <row r="881" spans="1:6" x14ac:dyDescent="0.3">
      <c r="A881" s="15">
        <v>88303</v>
      </c>
      <c r="B881" s="15" t="s">
        <v>17</v>
      </c>
      <c r="C881">
        <f t="shared" si="26"/>
        <v>0</v>
      </c>
      <c r="D881" s="15" t="s">
        <v>112</v>
      </c>
      <c r="E881">
        <f t="shared" si="27"/>
        <v>3</v>
      </c>
      <c r="F881" s="15">
        <v>0.49315068493150682</v>
      </c>
    </row>
    <row r="882" spans="1:6" x14ac:dyDescent="0.3">
      <c r="A882" s="15">
        <v>75078</v>
      </c>
      <c r="B882" s="15" t="s">
        <v>27</v>
      </c>
      <c r="C882">
        <f t="shared" si="26"/>
        <v>1</v>
      </c>
      <c r="D882" s="15" t="s">
        <v>30</v>
      </c>
      <c r="E882">
        <f t="shared" si="27"/>
        <v>2</v>
      </c>
      <c r="F882" s="15">
        <v>1.441095890410959</v>
      </c>
    </row>
    <row r="883" spans="1:6" x14ac:dyDescent="0.3">
      <c r="A883" s="15">
        <v>80435</v>
      </c>
      <c r="B883" s="15" t="s">
        <v>27</v>
      </c>
      <c r="C883">
        <f t="shared" si="26"/>
        <v>1</v>
      </c>
      <c r="D883" s="15" t="s">
        <v>30</v>
      </c>
      <c r="E883">
        <f t="shared" si="27"/>
        <v>2</v>
      </c>
      <c r="F883" s="15">
        <v>7.86027397260274</v>
      </c>
    </row>
    <row r="884" spans="1:6" x14ac:dyDescent="0.3">
      <c r="A884" s="15">
        <v>63585</v>
      </c>
      <c r="B884" s="15" t="s">
        <v>27</v>
      </c>
      <c r="C884">
        <f t="shared" si="26"/>
        <v>1</v>
      </c>
      <c r="D884" s="15" t="s">
        <v>30</v>
      </c>
      <c r="E884">
        <f t="shared" si="27"/>
        <v>2</v>
      </c>
      <c r="F884" s="15">
        <v>0.49315068493150682</v>
      </c>
    </row>
    <row r="885" spans="1:6" x14ac:dyDescent="0.3">
      <c r="A885" s="15">
        <v>54994</v>
      </c>
      <c r="B885" s="15" t="s">
        <v>17</v>
      </c>
      <c r="C885">
        <f t="shared" si="26"/>
        <v>0</v>
      </c>
      <c r="D885" s="15" t="s">
        <v>20</v>
      </c>
      <c r="E885">
        <f t="shared" si="27"/>
        <v>1</v>
      </c>
      <c r="F885" s="15">
        <v>0.49315068493150682</v>
      </c>
    </row>
    <row r="886" spans="1:6" x14ac:dyDescent="0.3">
      <c r="A886" s="15">
        <v>68828</v>
      </c>
      <c r="B886" s="15" t="s">
        <v>27</v>
      </c>
      <c r="C886">
        <f t="shared" si="26"/>
        <v>1</v>
      </c>
      <c r="D886" s="15" t="s">
        <v>30</v>
      </c>
      <c r="E886">
        <f t="shared" si="27"/>
        <v>2</v>
      </c>
      <c r="F886" s="15">
        <v>3.7917808219178082</v>
      </c>
    </row>
    <row r="887" spans="1:6" x14ac:dyDescent="0.3">
      <c r="A887" s="15">
        <v>68994</v>
      </c>
      <c r="B887" s="15" t="s">
        <v>27</v>
      </c>
      <c r="C887">
        <f t="shared" si="26"/>
        <v>1</v>
      </c>
      <c r="D887" s="15" t="s">
        <v>30</v>
      </c>
      <c r="E887">
        <f t="shared" si="27"/>
        <v>2</v>
      </c>
      <c r="F887" s="15">
        <v>0.49315068493150682</v>
      </c>
    </row>
    <row r="888" spans="1:6" x14ac:dyDescent="0.3">
      <c r="A888" s="15">
        <v>64736</v>
      </c>
      <c r="B888" s="15" t="s">
        <v>17</v>
      </c>
      <c r="C888">
        <f t="shared" si="26"/>
        <v>0</v>
      </c>
      <c r="D888" s="15" t="s">
        <v>93</v>
      </c>
      <c r="E888">
        <f t="shared" si="27"/>
        <v>4</v>
      </c>
      <c r="F888" s="15">
        <v>2.5232876712328771</v>
      </c>
    </row>
    <row r="889" spans="1:6" x14ac:dyDescent="0.3">
      <c r="A889" s="15">
        <v>62922</v>
      </c>
      <c r="B889" s="15" t="s">
        <v>27</v>
      </c>
      <c r="C889">
        <f t="shared" si="26"/>
        <v>1</v>
      </c>
      <c r="D889" s="15" t="s">
        <v>30</v>
      </c>
      <c r="E889">
        <f t="shared" si="27"/>
        <v>2</v>
      </c>
      <c r="F889" s="15">
        <v>0.49315068493150682</v>
      </c>
    </row>
    <row r="890" spans="1:6" x14ac:dyDescent="0.3">
      <c r="A890" s="15">
        <v>67268</v>
      </c>
      <c r="B890" s="15" t="s">
        <v>27</v>
      </c>
      <c r="C890">
        <f t="shared" si="26"/>
        <v>1</v>
      </c>
      <c r="D890" s="15" t="s">
        <v>30</v>
      </c>
      <c r="E890">
        <f t="shared" si="27"/>
        <v>2</v>
      </c>
      <c r="F890" s="15">
        <v>2.720547945205479</v>
      </c>
    </row>
    <row r="891" spans="1:6" x14ac:dyDescent="0.3">
      <c r="A891" s="15">
        <v>57402</v>
      </c>
      <c r="B891" s="15" t="s">
        <v>17</v>
      </c>
      <c r="C891">
        <f t="shared" si="26"/>
        <v>0</v>
      </c>
      <c r="D891" s="15" t="s">
        <v>30</v>
      </c>
      <c r="E891">
        <f t="shared" si="27"/>
        <v>2</v>
      </c>
      <c r="F891" s="15">
        <v>4.7479452054794518</v>
      </c>
    </row>
    <row r="892" spans="1:6" x14ac:dyDescent="0.3">
      <c r="A892" s="15">
        <v>61322</v>
      </c>
      <c r="B892" s="15" t="s">
        <v>27</v>
      </c>
      <c r="C892">
        <f t="shared" si="26"/>
        <v>1</v>
      </c>
      <c r="D892" s="15" t="s">
        <v>30</v>
      </c>
      <c r="E892">
        <f t="shared" si="27"/>
        <v>2</v>
      </c>
      <c r="F892" s="15">
        <v>0.49315068493150682</v>
      </c>
    </row>
    <row r="893" spans="1:6" x14ac:dyDescent="0.3">
      <c r="A893" s="15">
        <v>59023</v>
      </c>
      <c r="B893" s="15" t="s">
        <v>27</v>
      </c>
      <c r="C893">
        <f t="shared" si="26"/>
        <v>1</v>
      </c>
      <c r="D893" s="15" t="s">
        <v>30</v>
      </c>
      <c r="E893">
        <f t="shared" si="27"/>
        <v>2</v>
      </c>
      <c r="F893" s="15">
        <v>0.49315068493150682</v>
      </c>
    </row>
    <row r="894" spans="1:6" x14ac:dyDescent="0.3">
      <c r="A894" s="15">
        <v>60768</v>
      </c>
      <c r="B894" s="15" t="s">
        <v>17</v>
      </c>
      <c r="C894">
        <f t="shared" si="26"/>
        <v>0</v>
      </c>
      <c r="D894" s="15" t="s">
        <v>20</v>
      </c>
      <c r="E894">
        <f t="shared" si="27"/>
        <v>1</v>
      </c>
      <c r="F894" s="15">
        <v>0.49315068493150682</v>
      </c>
    </row>
    <row r="895" spans="1:6" x14ac:dyDescent="0.3">
      <c r="A895" s="15">
        <v>59658</v>
      </c>
      <c r="B895" s="15" t="s">
        <v>17</v>
      </c>
      <c r="C895">
        <f t="shared" si="26"/>
        <v>0</v>
      </c>
      <c r="D895" s="15" t="s">
        <v>30</v>
      </c>
      <c r="E895">
        <f t="shared" si="27"/>
        <v>2</v>
      </c>
      <c r="F895" s="15">
        <v>0.58904109589041098</v>
      </c>
    </row>
    <row r="896" spans="1:6" x14ac:dyDescent="0.3">
      <c r="A896" s="15">
        <v>60654</v>
      </c>
      <c r="B896" s="15" t="s">
        <v>27</v>
      </c>
      <c r="C896">
        <f t="shared" si="26"/>
        <v>1</v>
      </c>
      <c r="D896" s="15" t="s">
        <v>20</v>
      </c>
      <c r="E896">
        <f t="shared" si="27"/>
        <v>1</v>
      </c>
      <c r="F896" s="15">
        <v>1.189041095890411</v>
      </c>
    </row>
    <row r="897" spans="1:6" x14ac:dyDescent="0.3">
      <c r="A897" s="15">
        <v>58869</v>
      </c>
      <c r="B897" s="15" t="s">
        <v>17</v>
      </c>
      <c r="C897">
        <f t="shared" si="26"/>
        <v>0</v>
      </c>
      <c r="D897" s="15" t="s">
        <v>30</v>
      </c>
      <c r="E897">
        <f t="shared" si="27"/>
        <v>2</v>
      </c>
      <c r="F897" s="15">
        <v>1.6</v>
      </c>
    </row>
    <row r="898" spans="1:6" x14ac:dyDescent="0.3">
      <c r="A898" s="15">
        <v>84224</v>
      </c>
      <c r="B898" s="15" t="s">
        <v>27</v>
      </c>
      <c r="C898">
        <f t="shared" si="26"/>
        <v>1</v>
      </c>
      <c r="D898" s="15" t="s">
        <v>30</v>
      </c>
      <c r="E898">
        <f t="shared" si="27"/>
        <v>2</v>
      </c>
      <c r="F898" s="15">
        <v>1.575342465753425</v>
      </c>
    </row>
    <row r="899" spans="1:6" x14ac:dyDescent="0.3">
      <c r="A899" s="15">
        <v>76724</v>
      </c>
      <c r="B899" s="15" t="s">
        <v>27</v>
      </c>
      <c r="C899">
        <f t="shared" ref="C899:C962" si="28">IF(B899="Male", 1, 0)</f>
        <v>1</v>
      </c>
      <c r="D899" s="15" t="s">
        <v>30</v>
      </c>
      <c r="E899">
        <f t="shared" ref="E899:E962" si="29">IF(D899="High School",1,IF(D899="Bachelor",2,IF(D899="Master",3,IF(D899="PhD",4,""))))</f>
        <v>2</v>
      </c>
      <c r="F899" s="15">
        <v>0.49315068493150682</v>
      </c>
    </row>
    <row r="900" spans="1:6" x14ac:dyDescent="0.3">
      <c r="A900" s="15">
        <v>72364</v>
      </c>
      <c r="B900" s="15" t="s">
        <v>27</v>
      </c>
      <c r="C900">
        <f t="shared" si="28"/>
        <v>1</v>
      </c>
      <c r="D900" s="15" t="s">
        <v>30</v>
      </c>
      <c r="E900">
        <f t="shared" si="29"/>
        <v>2</v>
      </c>
      <c r="F900" s="15">
        <v>0.49315068493150682</v>
      </c>
    </row>
    <row r="901" spans="1:6" x14ac:dyDescent="0.3">
      <c r="A901" s="15">
        <v>64491</v>
      </c>
      <c r="B901" s="15" t="s">
        <v>17</v>
      </c>
      <c r="C901">
        <f t="shared" si="28"/>
        <v>0</v>
      </c>
      <c r="D901" s="15" t="s">
        <v>30</v>
      </c>
      <c r="E901">
        <f t="shared" si="29"/>
        <v>2</v>
      </c>
      <c r="F901" s="15">
        <v>5.6520547945205477</v>
      </c>
    </row>
    <row r="902" spans="1:6" x14ac:dyDescent="0.3">
      <c r="A902" s="15">
        <v>64668</v>
      </c>
      <c r="B902" s="15" t="s">
        <v>27</v>
      </c>
      <c r="C902">
        <f t="shared" si="28"/>
        <v>1</v>
      </c>
      <c r="D902" s="15" t="s">
        <v>30</v>
      </c>
      <c r="E902">
        <f t="shared" si="29"/>
        <v>2</v>
      </c>
      <c r="F902" s="15">
        <v>3.495890410958904</v>
      </c>
    </row>
    <row r="903" spans="1:6" x14ac:dyDescent="0.3">
      <c r="A903" s="15">
        <v>59413</v>
      </c>
      <c r="B903" s="15" t="s">
        <v>27</v>
      </c>
      <c r="C903">
        <f t="shared" si="28"/>
        <v>1</v>
      </c>
      <c r="D903" s="15" t="s">
        <v>20</v>
      </c>
      <c r="E903">
        <f t="shared" si="29"/>
        <v>1</v>
      </c>
      <c r="F903" s="15">
        <v>0.49315068493150682</v>
      </c>
    </row>
    <row r="904" spans="1:6" x14ac:dyDescent="0.3">
      <c r="A904" s="15">
        <v>61056</v>
      </c>
      <c r="B904" s="15" t="s">
        <v>17</v>
      </c>
      <c r="C904">
        <f t="shared" si="28"/>
        <v>0</v>
      </c>
      <c r="D904" s="15" t="s">
        <v>30</v>
      </c>
      <c r="E904">
        <f t="shared" si="29"/>
        <v>2</v>
      </c>
      <c r="F904" s="15">
        <v>0.60547945205479448</v>
      </c>
    </row>
    <row r="905" spans="1:6" x14ac:dyDescent="0.3">
      <c r="A905" s="15">
        <v>74120</v>
      </c>
      <c r="B905" s="15" t="s">
        <v>17</v>
      </c>
      <c r="C905">
        <f t="shared" si="28"/>
        <v>0</v>
      </c>
      <c r="D905" s="15" t="s">
        <v>30</v>
      </c>
      <c r="E905">
        <f t="shared" si="29"/>
        <v>2</v>
      </c>
      <c r="F905" s="15">
        <v>0.49315068493150682</v>
      </c>
    </row>
    <row r="906" spans="1:6" x14ac:dyDescent="0.3">
      <c r="A906" s="15">
        <v>56337</v>
      </c>
      <c r="B906" s="15" t="s">
        <v>17</v>
      </c>
      <c r="C906">
        <f t="shared" si="28"/>
        <v>0</v>
      </c>
      <c r="D906" s="15" t="s">
        <v>20</v>
      </c>
      <c r="E906">
        <f t="shared" si="29"/>
        <v>1</v>
      </c>
      <c r="F906" s="15">
        <v>3.3287671232876712</v>
      </c>
    </row>
    <row r="907" spans="1:6" x14ac:dyDescent="0.3">
      <c r="A907" s="15">
        <v>59142</v>
      </c>
      <c r="B907" s="15" t="s">
        <v>17</v>
      </c>
      <c r="C907">
        <f t="shared" si="28"/>
        <v>0</v>
      </c>
      <c r="D907" s="15" t="s">
        <v>30</v>
      </c>
      <c r="E907">
        <f t="shared" si="29"/>
        <v>2</v>
      </c>
      <c r="F907" s="15">
        <v>1.205479452054794</v>
      </c>
    </row>
    <row r="908" spans="1:6" x14ac:dyDescent="0.3">
      <c r="A908" s="15">
        <v>67180</v>
      </c>
      <c r="B908" s="15" t="s">
        <v>27</v>
      </c>
      <c r="C908">
        <f t="shared" si="28"/>
        <v>1</v>
      </c>
      <c r="D908" s="15" t="s">
        <v>30</v>
      </c>
      <c r="E908">
        <f t="shared" si="29"/>
        <v>2</v>
      </c>
      <c r="F908" s="15">
        <v>0.90958904109589045</v>
      </c>
    </row>
    <row r="909" spans="1:6" x14ac:dyDescent="0.3">
      <c r="A909" s="15">
        <v>60177</v>
      </c>
      <c r="B909" s="15" t="s">
        <v>17</v>
      </c>
      <c r="C909">
        <f t="shared" si="28"/>
        <v>0</v>
      </c>
      <c r="D909" s="15" t="s">
        <v>20</v>
      </c>
      <c r="E909">
        <f t="shared" si="29"/>
        <v>1</v>
      </c>
      <c r="F909" s="15">
        <v>0.8794520547945206</v>
      </c>
    </row>
    <row r="910" spans="1:6" x14ac:dyDescent="0.3">
      <c r="A910" s="15">
        <v>68661</v>
      </c>
      <c r="B910" s="15" t="s">
        <v>27</v>
      </c>
      <c r="C910">
        <f t="shared" si="28"/>
        <v>1</v>
      </c>
      <c r="D910" s="15" t="s">
        <v>30</v>
      </c>
      <c r="E910">
        <f t="shared" si="29"/>
        <v>2</v>
      </c>
      <c r="F910" s="15">
        <v>5.7616438356164386</v>
      </c>
    </row>
    <row r="911" spans="1:6" x14ac:dyDescent="0.3">
      <c r="A911" s="15">
        <v>81510</v>
      </c>
      <c r="B911" s="15" t="s">
        <v>27</v>
      </c>
      <c r="C911">
        <f t="shared" si="28"/>
        <v>1</v>
      </c>
      <c r="D911" s="15" t="s">
        <v>30</v>
      </c>
      <c r="E911">
        <f t="shared" si="29"/>
        <v>2</v>
      </c>
      <c r="F911" s="15">
        <v>0.49315068493150682</v>
      </c>
    </row>
    <row r="912" spans="1:6" x14ac:dyDescent="0.3">
      <c r="A912" s="15">
        <v>83267</v>
      </c>
      <c r="B912" s="15" t="s">
        <v>17</v>
      </c>
      <c r="C912">
        <f t="shared" si="28"/>
        <v>0</v>
      </c>
      <c r="D912" s="15" t="s">
        <v>30</v>
      </c>
      <c r="E912">
        <f t="shared" si="29"/>
        <v>2</v>
      </c>
      <c r="F912" s="15">
        <v>0.49041095890410957</v>
      </c>
    </row>
    <row r="913" spans="1:6" x14ac:dyDescent="0.3">
      <c r="A913" s="15">
        <v>61566</v>
      </c>
      <c r="B913" s="15" t="s">
        <v>17</v>
      </c>
      <c r="C913">
        <f t="shared" si="28"/>
        <v>0</v>
      </c>
      <c r="D913" s="15" t="s">
        <v>30</v>
      </c>
      <c r="E913">
        <f t="shared" si="29"/>
        <v>2</v>
      </c>
      <c r="F913" s="15">
        <v>0.52328767123287667</v>
      </c>
    </row>
    <row r="914" spans="1:6" x14ac:dyDescent="0.3">
      <c r="A914" s="15">
        <v>96890</v>
      </c>
      <c r="B914" s="15" t="s">
        <v>17</v>
      </c>
      <c r="C914">
        <f t="shared" si="28"/>
        <v>0</v>
      </c>
      <c r="D914" s="15" t="s">
        <v>112</v>
      </c>
      <c r="E914">
        <f t="shared" si="29"/>
        <v>3</v>
      </c>
      <c r="F914" s="15">
        <v>0.49315068493150682</v>
      </c>
    </row>
    <row r="915" spans="1:6" x14ac:dyDescent="0.3">
      <c r="A915" s="15">
        <v>85260</v>
      </c>
      <c r="B915" s="15" t="s">
        <v>17</v>
      </c>
      <c r="C915">
        <f t="shared" si="28"/>
        <v>0</v>
      </c>
      <c r="D915" s="15" t="s">
        <v>30</v>
      </c>
      <c r="E915">
        <f t="shared" si="29"/>
        <v>2</v>
      </c>
      <c r="F915" s="15">
        <v>0.49315068493150682</v>
      </c>
    </row>
    <row r="916" spans="1:6" x14ac:dyDescent="0.3">
      <c r="A916" s="15">
        <v>92489</v>
      </c>
      <c r="B916" s="15" t="s">
        <v>27</v>
      </c>
      <c r="C916">
        <f t="shared" si="28"/>
        <v>1</v>
      </c>
      <c r="D916" s="15" t="s">
        <v>30</v>
      </c>
      <c r="E916">
        <f t="shared" si="29"/>
        <v>2</v>
      </c>
      <c r="F916" s="15">
        <v>0.49315068493150682</v>
      </c>
    </row>
    <row r="917" spans="1:6" x14ac:dyDescent="0.3">
      <c r="A917" s="15">
        <v>94069</v>
      </c>
      <c r="B917" s="15" t="s">
        <v>27</v>
      </c>
      <c r="C917">
        <f t="shared" si="28"/>
        <v>1</v>
      </c>
      <c r="D917" s="15" t="s">
        <v>30</v>
      </c>
      <c r="E917">
        <f t="shared" si="29"/>
        <v>2</v>
      </c>
      <c r="F917" s="15">
        <v>0.49315068493150682</v>
      </c>
    </row>
    <row r="918" spans="1:6" x14ac:dyDescent="0.3">
      <c r="A918" s="15">
        <v>86995</v>
      </c>
      <c r="B918" s="15" t="s">
        <v>17</v>
      </c>
      <c r="C918">
        <f t="shared" si="28"/>
        <v>0</v>
      </c>
      <c r="D918" s="15" t="s">
        <v>112</v>
      </c>
      <c r="E918">
        <f t="shared" si="29"/>
        <v>3</v>
      </c>
      <c r="F918" s="15">
        <v>3.8219178082191778</v>
      </c>
    </row>
    <row r="919" spans="1:6" x14ac:dyDescent="0.3">
      <c r="A919" s="15">
        <v>72745</v>
      </c>
      <c r="B919" s="15" t="s">
        <v>17</v>
      </c>
      <c r="C919">
        <f t="shared" si="28"/>
        <v>0</v>
      </c>
      <c r="D919" s="15" t="s">
        <v>30</v>
      </c>
      <c r="E919">
        <f t="shared" si="29"/>
        <v>2</v>
      </c>
      <c r="F919" s="15">
        <v>6.9945205479452053</v>
      </c>
    </row>
    <row r="920" spans="1:6" x14ac:dyDescent="0.3">
      <c r="A920" s="15">
        <v>61665</v>
      </c>
      <c r="B920" s="15" t="s">
        <v>17</v>
      </c>
      <c r="C920">
        <f t="shared" si="28"/>
        <v>0</v>
      </c>
      <c r="D920" s="15" t="s">
        <v>30</v>
      </c>
      <c r="E920">
        <f t="shared" si="29"/>
        <v>2</v>
      </c>
      <c r="F920" s="15">
        <v>0.49315068493150682</v>
      </c>
    </row>
    <row r="921" spans="1:6" x14ac:dyDescent="0.3">
      <c r="A921" s="15">
        <v>59458</v>
      </c>
      <c r="B921" s="15" t="s">
        <v>17</v>
      </c>
      <c r="C921">
        <f t="shared" si="28"/>
        <v>0</v>
      </c>
      <c r="D921" s="15" t="s">
        <v>30</v>
      </c>
      <c r="E921">
        <f t="shared" si="29"/>
        <v>2</v>
      </c>
      <c r="F921" s="15">
        <v>4.117808219178082</v>
      </c>
    </row>
    <row r="922" spans="1:6" x14ac:dyDescent="0.3">
      <c r="A922" s="15">
        <v>79702</v>
      </c>
      <c r="B922" s="15" t="s">
        <v>17</v>
      </c>
      <c r="C922">
        <f t="shared" si="28"/>
        <v>0</v>
      </c>
      <c r="D922" s="15" t="s">
        <v>112</v>
      </c>
      <c r="E922">
        <f t="shared" si="29"/>
        <v>3</v>
      </c>
      <c r="F922" s="15">
        <v>1.816438356164384</v>
      </c>
    </row>
    <row r="923" spans="1:6" x14ac:dyDescent="0.3">
      <c r="A923" s="15">
        <v>53029</v>
      </c>
      <c r="B923" s="15" t="s">
        <v>17</v>
      </c>
      <c r="C923">
        <f t="shared" si="28"/>
        <v>0</v>
      </c>
      <c r="D923" s="15" t="s">
        <v>30</v>
      </c>
      <c r="E923">
        <f t="shared" si="29"/>
        <v>2</v>
      </c>
      <c r="F923" s="15">
        <v>6.7424657534246579</v>
      </c>
    </row>
    <row r="924" spans="1:6" x14ac:dyDescent="0.3">
      <c r="A924" s="15">
        <v>84676</v>
      </c>
      <c r="B924" s="15" t="s">
        <v>27</v>
      </c>
      <c r="C924">
        <f t="shared" si="28"/>
        <v>1</v>
      </c>
      <c r="D924" s="15" t="s">
        <v>30</v>
      </c>
      <c r="E924">
        <f t="shared" si="29"/>
        <v>2</v>
      </c>
      <c r="F924" s="15">
        <v>0.49315068493150682</v>
      </c>
    </row>
    <row r="925" spans="1:6" x14ac:dyDescent="0.3">
      <c r="A925" s="15">
        <v>59856</v>
      </c>
      <c r="B925" s="15" t="s">
        <v>27</v>
      </c>
      <c r="C925">
        <f t="shared" si="28"/>
        <v>1</v>
      </c>
      <c r="D925" s="15" t="s">
        <v>30</v>
      </c>
      <c r="E925">
        <f t="shared" si="29"/>
        <v>2</v>
      </c>
      <c r="F925" s="15">
        <v>0.49315068493150682</v>
      </c>
    </row>
    <row r="926" spans="1:6" x14ac:dyDescent="0.3">
      <c r="A926" s="15">
        <v>65428</v>
      </c>
      <c r="B926" s="15" t="s">
        <v>27</v>
      </c>
      <c r="C926">
        <f t="shared" si="28"/>
        <v>1</v>
      </c>
      <c r="D926" s="15" t="s">
        <v>30</v>
      </c>
      <c r="E926">
        <f t="shared" si="29"/>
        <v>2</v>
      </c>
      <c r="F926" s="15">
        <v>0.49315068493150682</v>
      </c>
    </row>
    <row r="927" spans="1:6" x14ac:dyDescent="0.3">
      <c r="A927" s="15">
        <v>83279</v>
      </c>
      <c r="B927" s="15" t="s">
        <v>17</v>
      </c>
      <c r="C927">
        <f t="shared" si="28"/>
        <v>0</v>
      </c>
      <c r="D927" s="15" t="s">
        <v>112</v>
      </c>
      <c r="E927">
        <f t="shared" si="29"/>
        <v>3</v>
      </c>
      <c r="F927" s="15">
        <v>0.49315068493150682</v>
      </c>
    </row>
    <row r="928" spans="1:6" x14ac:dyDescent="0.3">
      <c r="A928" s="15">
        <v>70711</v>
      </c>
      <c r="B928" s="15" t="s">
        <v>27</v>
      </c>
      <c r="C928">
        <f t="shared" si="28"/>
        <v>1</v>
      </c>
      <c r="D928" s="15" t="s">
        <v>30</v>
      </c>
      <c r="E928">
        <f t="shared" si="29"/>
        <v>2</v>
      </c>
      <c r="F928" s="15">
        <v>2.868493150684932</v>
      </c>
    </row>
    <row r="929" spans="1:6" x14ac:dyDescent="0.3">
      <c r="A929" s="15">
        <v>68840</v>
      </c>
      <c r="B929" s="15" t="s">
        <v>27</v>
      </c>
      <c r="C929">
        <f t="shared" si="28"/>
        <v>1</v>
      </c>
      <c r="D929" s="15" t="s">
        <v>30</v>
      </c>
      <c r="E929">
        <f t="shared" si="29"/>
        <v>2</v>
      </c>
      <c r="F929" s="15">
        <v>8.5643835616438349</v>
      </c>
    </row>
    <row r="930" spans="1:6" x14ac:dyDescent="0.3">
      <c r="A930" s="15">
        <v>54544</v>
      </c>
      <c r="B930" s="15" t="s">
        <v>17</v>
      </c>
      <c r="C930">
        <f t="shared" si="28"/>
        <v>0</v>
      </c>
      <c r="D930" s="15" t="s">
        <v>30</v>
      </c>
      <c r="E930">
        <f t="shared" si="29"/>
        <v>2</v>
      </c>
      <c r="F930" s="15">
        <v>0.49315068493150682</v>
      </c>
    </row>
    <row r="931" spans="1:6" x14ac:dyDescent="0.3">
      <c r="A931" s="15">
        <v>60276</v>
      </c>
      <c r="B931" s="15" t="s">
        <v>17</v>
      </c>
      <c r="C931">
        <f t="shared" si="28"/>
        <v>0</v>
      </c>
      <c r="D931" s="15" t="s">
        <v>30</v>
      </c>
      <c r="E931">
        <f t="shared" si="29"/>
        <v>2</v>
      </c>
      <c r="F931" s="15">
        <v>4.0849315068493146</v>
      </c>
    </row>
    <row r="932" spans="1:6" x14ac:dyDescent="0.3">
      <c r="A932" s="15">
        <v>61107</v>
      </c>
      <c r="B932" s="15" t="s">
        <v>17</v>
      </c>
      <c r="C932">
        <f t="shared" si="28"/>
        <v>0</v>
      </c>
      <c r="D932" s="15" t="s">
        <v>30</v>
      </c>
      <c r="E932">
        <f t="shared" si="29"/>
        <v>2</v>
      </c>
      <c r="F932" s="15">
        <v>3.9917808219178079</v>
      </c>
    </row>
    <row r="933" spans="1:6" x14ac:dyDescent="0.3">
      <c r="A933" s="15">
        <v>65736</v>
      </c>
      <c r="B933" s="15" t="s">
        <v>27</v>
      </c>
      <c r="C933">
        <f t="shared" si="28"/>
        <v>1</v>
      </c>
      <c r="D933" s="15" t="s">
        <v>30</v>
      </c>
      <c r="E933">
        <f t="shared" si="29"/>
        <v>2</v>
      </c>
      <c r="F933" s="15">
        <v>1.3589041095890411</v>
      </c>
    </row>
    <row r="934" spans="1:6" x14ac:dyDescent="0.3">
      <c r="A934" s="15">
        <v>67955</v>
      </c>
      <c r="B934" s="15" t="s">
        <v>17</v>
      </c>
      <c r="C934">
        <f t="shared" si="28"/>
        <v>0</v>
      </c>
      <c r="D934" s="15" t="s">
        <v>30</v>
      </c>
      <c r="E934">
        <f t="shared" si="29"/>
        <v>2</v>
      </c>
      <c r="F934" s="15">
        <v>0.49315068493150682</v>
      </c>
    </row>
    <row r="935" spans="1:6" x14ac:dyDescent="0.3">
      <c r="A935" s="15">
        <v>59494</v>
      </c>
      <c r="B935" s="15" t="s">
        <v>17</v>
      </c>
      <c r="C935">
        <f t="shared" si="28"/>
        <v>0</v>
      </c>
      <c r="D935" s="15" t="s">
        <v>30</v>
      </c>
      <c r="E935">
        <f t="shared" si="29"/>
        <v>2</v>
      </c>
      <c r="F935" s="15">
        <v>8.6027397260273979</v>
      </c>
    </row>
    <row r="936" spans="1:6" x14ac:dyDescent="0.3">
      <c r="A936" s="15">
        <v>59952</v>
      </c>
      <c r="B936" s="15" t="s">
        <v>17</v>
      </c>
      <c r="C936">
        <f t="shared" si="28"/>
        <v>0</v>
      </c>
      <c r="D936" s="15" t="s">
        <v>30</v>
      </c>
      <c r="E936">
        <f t="shared" si="29"/>
        <v>2</v>
      </c>
      <c r="F936" s="15">
        <v>0.49315068493150682</v>
      </c>
    </row>
    <row r="937" spans="1:6" x14ac:dyDescent="0.3">
      <c r="A937" s="15">
        <v>103016</v>
      </c>
      <c r="B937" s="15" t="s">
        <v>27</v>
      </c>
      <c r="C937">
        <f t="shared" si="28"/>
        <v>1</v>
      </c>
      <c r="D937" s="15" t="s">
        <v>30</v>
      </c>
      <c r="E937">
        <f t="shared" si="29"/>
        <v>2</v>
      </c>
      <c r="F937" s="15">
        <v>0.49315068493150682</v>
      </c>
    </row>
    <row r="938" spans="1:6" x14ac:dyDescent="0.3">
      <c r="A938" s="15">
        <v>100482</v>
      </c>
      <c r="B938" s="15" t="s">
        <v>17</v>
      </c>
      <c r="C938">
        <f t="shared" si="28"/>
        <v>0</v>
      </c>
      <c r="D938" s="15" t="s">
        <v>30</v>
      </c>
      <c r="E938">
        <f t="shared" si="29"/>
        <v>2</v>
      </c>
      <c r="F938" s="15">
        <v>0.49315068493150682</v>
      </c>
    </row>
    <row r="939" spans="1:6" x14ac:dyDescent="0.3">
      <c r="A939" s="15">
        <v>73237</v>
      </c>
      <c r="B939" s="15" t="s">
        <v>27</v>
      </c>
      <c r="C939">
        <f t="shared" si="28"/>
        <v>1</v>
      </c>
      <c r="D939" s="15" t="s">
        <v>30</v>
      </c>
      <c r="E939">
        <f t="shared" si="29"/>
        <v>2</v>
      </c>
      <c r="F939" s="15">
        <v>0.56438356164383563</v>
      </c>
    </row>
    <row r="940" spans="1:6" x14ac:dyDescent="0.3">
      <c r="A940" s="15">
        <v>66112</v>
      </c>
      <c r="B940" s="15" t="s">
        <v>17</v>
      </c>
      <c r="C940">
        <f t="shared" si="28"/>
        <v>0</v>
      </c>
      <c r="D940" s="15" t="s">
        <v>20</v>
      </c>
      <c r="E940">
        <f t="shared" si="29"/>
        <v>1</v>
      </c>
      <c r="F940" s="15">
        <v>4.8712328767123294</v>
      </c>
    </row>
    <row r="941" spans="1:6" x14ac:dyDescent="0.3">
      <c r="A941" s="15">
        <v>81762</v>
      </c>
      <c r="B941" s="15" t="s">
        <v>27</v>
      </c>
      <c r="C941">
        <f t="shared" si="28"/>
        <v>1</v>
      </c>
      <c r="D941" s="15" t="s">
        <v>30</v>
      </c>
      <c r="E941">
        <f t="shared" si="29"/>
        <v>2</v>
      </c>
      <c r="F941" s="15">
        <v>1.821917808219178</v>
      </c>
    </row>
    <row r="942" spans="1:6" x14ac:dyDescent="0.3">
      <c r="A942" s="15">
        <v>87267</v>
      </c>
      <c r="B942" s="15" t="s">
        <v>27</v>
      </c>
      <c r="C942">
        <f t="shared" si="28"/>
        <v>1</v>
      </c>
      <c r="D942" s="15" t="s">
        <v>30</v>
      </c>
      <c r="E942">
        <f t="shared" si="29"/>
        <v>2</v>
      </c>
      <c r="F942" s="15">
        <v>1.0356164383561639</v>
      </c>
    </row>
    <row r="943" spans="1:6" x14ac:dyDescent="0.3">
      <c r="A943" s="15">
        <v>89912</v>
      </c>
      <c r="B943" s="15" t="s">
        <v>27</v>
      </c>
      <c r="C943">
        <f t="shared" si="28"/>
        <v>1</v>
      </c>
      <c r="D943" s="15" t="s">
        <v>30</v>
      </c>
      <c r="E943">
        <f t="shared" si="29"/>
        <v>2</v>
      </c>
      <c r="F943" s="15">
        <v>3.827397260273973</v>
      </c>
    </row>
    <row r="944" spans="1:6" x14ac:dyDescent="0.3">
      <c r="A944" s="15">
        <v>72188</v>
      </c>
      <c r="B944" s="15" t="s">
        <v>27</v>
      </c>
      <c r="C944">
        <f t="shared" si="28"/>
        <v>1</v>
      </c>
      <c r="D944" s="15" t="s">
        <v>30</v>
      </c>
      <c r="E944">
        <f t="shared" si="29"/>
        <v>2</v>
      </c>
      <c r="F944" s="15">
        <v>1.9616438356164381</v>
      </c>
    </row>
    <row r="945" spans="1:6" x14ac:dyDescent="0.3">
      <c r="A945" s="15">
        <v>62997</v>
      </c>
      <c r="B945" s="15" t="s">
        <v>17</v>
      </c>
      <c r="C945">
        <f t="shared" si="28"/>
        <v>0</v>
      </c>
      <c r="D945" s="15" t="s">
        <v>30</v>
      </c>
      <c r="E945">
        <f t="shared" si="29"/>
        <v>2</v>
      </c>
      <c r="F945" s="15">
        <v>0.49315068493150682</v>
      </c>
    </row>
    <row r="946" spans="1:6" x14ac:dyDescent="0.3">
      <c r="A946" s="15">
        <v>76899</v>
      </c>
      <c r="B946" s="15" t="s">
        <v>17</v>
      </c>
      <c r="C946">
        <f t="shared" si="28"/>
        <v>0</v>
      </c>
      <c r="D946" s="15" t="s">
        <v>112</v>
      </c>
      <c r="E946">
        <f t="shared" si="29"/>
        <v>3</v>
      </c>
      <c r="F946" s="15">
        <v>6.3479452054794523</v>
      </c>
    </row>
    <row r="947" spans="1:6" x14ac:dyDescent="0.3">
      <c r="A947" s="15">
        <v>56201</v>
      </c>
      <c r="B947" s="15" t="s">
        <v>17</v>
      </c>
      <c r="C947">
        <f t="shared" si="28"/>
        <v>0</v>
      </c>
      <c r="D947" s="15" t="s">
        <v>20</v>
      </c>
      <c r="E947">
        <f t="shared" si="29"/>
        <v>1</v>
      </c>
      <c r="F947" s="15">
        <v>7.0164383561643833</v>
      </c>
    </row>
    <row r="948" spans="1:6" x14ac:dyDescent="0.3">
      <c r="A948" s="15">
        <v>67818</v>
      </c>
      <c r="B948" s="15" t="s">
        <v>27</v>
      </c>
      <c r="C948">
        <f t="shared" si="28"/>
        <v>1</v>
      </c>
      <c r="D948" s="15" t="s">
        <v>30</v>
      </c>
      <c r="E948">
        <f t="shared" si="29"/>
        <v>2</v>
      </c>
      <c r="F948" s="15">
        <v>0.49315068493150682</v>
      </c>
    </row>
    <row r="949" spans="1:6" x14ac:dyDescent="0.3">
      <c r="A949" s="15">
        <v>58887</v>
      </c>
      <c r="B949" s="15" t="s">
        <v>27</v>
      </c>
      <c r="C949">
        <f t="shared" si="28"/>
        <v>1</v>
      </c>
      <c r="D949" s="15" t="s">
        <v>20</v>
      </c>
      <c r="E949">
        <f t="shared" si="29"/>
        <v>1</v>
      </c>
      <c r="F949" s="15">
        <v>4.2684931506849324</v>
      </c>
    </row>
    <row r="950" spans="1:6" x14ac:dyDescent="0.3">
      <c r="A950" s="15">
        <v>61341</v>
      </c>
      <c r="B950" s="15" t="s">
        <v>17</v>
      </c>
      <c r="C950">
        <f t="shared" si="28"/>
        <v>0</v>
      </c>
      <c r="D950" s="15" t="s">
        <v>20</v>
      </c>
      <c r="E950">
        <f t="shared" si="29"/>
        <v>1</v>
      </c>
      <c r="F950" s="15">
        <v>5.6684931506849319</v>
      </c>
    </row>
    <row r="951" spans="1:6" x14ac:dyDescent="0.3">
      <c r="A951" s="15">
        <v>115420</v>
      </c>
      <c r="B951" s="15" t="s">
        <v>17</v>
      </c>
      <c r="C951">
        <f t="shared" si="28"/>
        <v>0</v>
      </c>
      <c r="D951" s="15" t="s">
        <v>112</v>
      </c>
      <c r="E951">
        <f t="shared" si="29"/>
        <v>3</v>
      </c>
      <c r="F951" s="15">
        <v>0.49315068493150682</v>
      </c>
    </row>
    <row r="952" spans="1:6" x14ac:dyDescent="0.3">
      <c r="A952" s="15">
        <v>62479</v>
      </c>
      <c r="B952" s="15" t="s">
        <v>17</v>
      </c>
      <c r="C952">
        <f t="shared" si="28"/>
        <v>0</v>
      </c>
      <c r="D952" s="15" t="s">
        <v>20</v>
      </c>
      <c r="E952">
        <f t="shared" si="29"/>
        <v>1</v>
      </c>
      <c r="F952" s="15">
        <v>0.49315068493150682</v>
      </c>
    </row>
    <row r="953" spans="1:6" x14ac:dyDescent="0.3">
      <c r="A953" s="15">
        <v>104096</v>
      </c>
      <c r="B953" s="15" t="s">
        <v>17</v>
      </c>
      <c r="C953">
        <f t="shared" si="28"/>
        <v>0</v>
      </c>
      <c r="D953" s="15" t="s">
        <v>112</v>
      </c>
      <c r="E953">
        <f t="shared" si="29"/>
        <v>3</v>
      </c>
      <c r="F953" s="15">
        <v>5.1041095890410961</v>
      </c>
    </row>
    <row r="954" spans="1:6" x14ac:dyDescent="0.3">
      <c r="A954" s="15">
        <v>71839</v>
      </c>
      <c r="B954" s="15" t="s">
        <v>27</v>
      </c>
      <c r="C954">
        <f t="shared" si="28"/>
        <v>1</v>
      </c>
      <c r="D954" s="15" t="s">
        <v>30</v>
      </c>
      <c r="E954">
        <f t="shared" si="29"/>
        <v>2</v>
      </c>
      <c r="F954" s="15">
        <v>0.49315068493150682</v>
      </c>
    </row>
    <row r="955" spans="1:6" x14ac:dyDescent="0.3">
      <c r="A955" s="15">
        <v>65899</v>
      </c>
      <c r="B955" s="15" t="s">
        <v>27</v>
      </c>
      <c r="C955">
        <f t="shared" si="28"/>
        <v>1</v>
      </c>
      <c r="D955" s="15" t="s">
        <v>112</v>
      </c>
      <c r="E955">
        <f t="shared" si="29"/>
        <v>3</v>
      </c>
      <c r="F955" s="15">
        <v>7.2356164383561641</v>
      </c>
    </row>
    <row r="956" spans="1:6" x14ac:dyDescent="0.3">
      <c r="A956" s="15">
        <v>59751</v>
      </c>
      <c r="B956" s="15" t="s">
        <v>27</v>
      </c>
      <c r="C956">
        <f t="shared" si="28"/>
        <v>1</v>
      </c>
      <c r="D956" s="15" t="s">
        <v>30</v>
      </c>
      <c r="E956">
        <f t="shared" si="29"/>
        <v>2</v>
      </c>
      <c r="F956" s="15">
        <v>0.49315068493150682</v>
      </c>
    </row>
    <row r="957" spans="1:6" x14ac:dyDescent="0.3">
      <c r="A957" s="15">
        <v>77004</v>
      </c>
      <c r="B957" s="15" t="s">
        <v>27</v>
      </c>
      <c r="C957">
        <f t="shared" si="28"/>
        <v>1</v>
      </c>
      <c r="D957" s="15" t="s">
        <v>30</v>
      </c>
      <c r="E957">
        <f t="shared" si="29"/>
        <v>2</v>
      </c>
      <c r="F957" s="15">
        <v>0.49315068493150682</v>
      </c>
    </row>
    <row r="958" spans="1:6" x14ac:dyDescent="0.3">
      <c r="A958" s="15">
        <v>61581</v>
      </c>
      <c r="B958" s="15" t="s">
        <v>27</v>
      </c>
      <c r="C958">
        <f t="shared" si="28"/>
        <v>1</v>
      </c>
      <c r="D958" s="15" t="s">
        <v>20</v>
      </c>
      <c r="E958">
        <f t="shared" si="29"/>
        <v>1</v>
      </c>
      <c r="F958" s="15">
        <v>0.77260273972602744</v>
      </c>
    </row>
    <row r="959" spans="1:6" x14ac:dyDescent="0.3">
      <c r="A959" s="15">
        <v>73414</v>
      </c>
      <c r="B959" s="15" t="s">
        <v>27</v>
      </c>
      <c r="C959">
        <f t="shared" si="28"/>
        <v>1</v>
      </c>
      <c r="D959" s="15" t="s">
        <v>30</v>
      </c>
      <c r="E959">
        <f t="shared" si="29"/>
        <v>2</v>
      </c>
      <c r="F959" s="15">
        <v>3.5671232876712331</v>
      </c>
    </row>
    <row r="960" spans="1:6" x14ac:dyDescent="0.3">
      <c r="A960" s="15">
        <v>102891</v>
      </c>
      <c r="B960" s="15" t="s">
        <v>27</v>
      </c>
      <c r="C960">
        <f t="shared" si="28"/>
        <v>1</v>
      </c>
      <c r="D960" s="15" t="s">
        <v>30</v>
      </c>
      <c r="E960">
        <f t="shared" si="29"/>
        <v>2</v>
      </c>
      <c r="F960" s="15">
        <v>0.49315068493150682</v>
      </c>
    </row>
    <row r="961" spans="1:6" x14ac:dyDescent="0.3">
      <c r="A961" s="15">
        <v>76778</v>
      </c>
      <c r="B961" s="15" t="s">
        <v>27</v>
      </c>
      <c r="C961">
        <f t="shared" si="28"/>
        <v>1</v>
      </c>
      <c r="D961" s="15" t="s">
        <v>112</v>
      </c>
      <c r="E961">
        <f t="shared" si="29"/>
        <v>3</v>
      </c>
      <c r="F961" s="15">
        <v>0.49315068493150682</v>
      </c>
    </row>
    <row r="962" spans="1:6" x14ac:dyDescent="0.3">
      <c r="A962" s="15">
        <v>104919</v>
      </c>
      <c r="B962" s="15" t="s">
        <v>27</v>
      </c>
      <c r="C962">
        <f t="shared" si="28"/>
        <v>1</v>
      </c>
      <c r="D962" s="15" t="s">
        <v>30</v>
      </c>
      <c r="E962">
        <f t="shared" si="29"/>
        <v>2</v>
      </c>
      <c r="F962" s="15">
        <v>1.854794520547945</v>
      </c>
    </row>
    <row r="963" spans="1:6" x14ac:dyDescent="0.3">
      <c r="A963" s="15">
        <v>73654</v>
      </c>
      <c r="B963" s="15" t="s">
        <v>27</v>
      </c>
      <c r="C963">
        <f t="shared" ref="C963:C967" si="30">IF(B963="Male", 1, 0)</f>
        <v>1</v>
      </c>
      <c r="D963" s="15" t="s">
        <v>112</v>
      </c>
      <c r="E963">
        <f t="shared" ref="E963:E967" si="31">IF(D963="High School",1,IF(D963="Bachelor",2,IF(D963="Master",3,IF(D963="PhD",4,""))))</f>
        <v>3</v>
      </c>
      <c r="F963" s="15">
        <v>1.7753424657534249</v>
      </c>
    </row>
    <row r="964" spans="1:6" x14ac:dyDescent="0.3">
      <c r="A964" s="15">
        <v>97119</v>
      </c>
      <c r="B964" s="15" t="s">
        <v>27</v>
      </c>
      <c r="C964">
        <f t="shared" si="30"/>
        <v>1</v>
      </c>
      <c r="D964" s="15" t="s">
        <v>30</v>
      </c>
      <c r="E964">
        <f t="shared" si="31"/>
        <v>2</v>
      </c>
      <c r="F964" s="15">
        <v>0.78904109589041094</v>
      </c>
    </row>
    <row r="965" spans="1:6" x14ac:dyDescent="0.3">
      <c r="A965" s="15">
        <v>108780</v>
      </c>
      <c r="B965" s="15" t="s">
        <v>17</v>
      </c>
      <c r="C965">
        <f t="shared" si="30"/>
        <v>0</v>
      </c>
      <c r="D965" s="15" t="s">
        <v>112</v>
      </c>
      <c r="E965">
        <f t="shared" si="31"/>
        <v>3</v>
      </c>
      <c r="F965" s="15">
        <v>0.49315068493150682</v>
      </c>
    </row>
    <row r="966" spans="1:6" x14ac:dyDescent="0.3">
      <c r="A966" s="15">
        <v>66416</v>
      </c>
      <c r="B966" s="15" t="s">
        <v>27</v>
      </c>
      <c r="C966">
        <f t="shared" si="30"/>
        <v>1</v>
      </c>
      <c r="D966" s="15" t="s">
        <v>30</v>
      </c>
      <c r="E966">
        <f t="shared" si="31"/>
        <v>2</v>
      </c>
      <c r="F966" s="15">
        <v>0.49315068493150682</v>
      </c>
    </row>
    <row r="967" spans="1:6" x14ac:dyDescent="0.3">
      <c r="A967" s="15">
        <v>53611</v>
      </c>
      <c r="B967" s="15" t="s">
        <v>17</v>
      </c>
      <c r="C967">
        <f t="shared" si="30"/>
        <v>0</v>
      </c>
      <c r="D967" s="15" t="s">
        <v>20</v>
      </c>
      <c r="E967">
        <f t="shared" si="31"/>
        <v>1</v>
      </c>
      <c r="F967" s="15">
        <v>0.49315068493150682</v>
      </c>
    </row>
    <row r="968" spans="1:6" x14ac:dyDescent="0.3">
      <c r="F968" s="14"/>
    </row>
    <row r="970" spans="1:6" x14ac:dyDescent="0.3">
      <c r="F970" s="14"/>
    </row>
    <row r="971" spans="1:6" x14ac:dyDescent="0.3">
      <c r="F971" s="14"/>
    </row>
    <row r="972" spans="1:6" x14ac:dyDescent="0.3">
      <c r="F972" s="14"/>
    </row>
    <row r="973" spans="1:6" x14ac:dyDescent="0.3">
      <c r="F973" s="14"/>
    </row>
    <row r="974" spans="1:6" x14ac:dyDescent="0.3">
      <c r="F974" s="14"/>
    </row>
    <row r="975" spans="1:6" x14ac:dyDescent="0.3">
      <c r="F975" s="14"/>
    </row>
    <row r="976" spans="1:6" x14ac:dyDescent="0.3">
      <c r="F976" s="14"/>
    </row>
    <row r="977" spans="6:6" x14ac:dyDescent="0.3">
      <c r="F977" s="14"/>
    </row>
    <row r="978" spans="6:6" x14ac:dyDescent="0.3">
      <c r="F978" s="14"/>
    </row>
    <row r="979" spans="6:6" x14ac:dyDescent="0.3">
      <c r="F979" s="14"/>
    </row>
    <row r="980" spans="6:6" x14ac:dyDescent="0.3">
      <c r="F980" s="14"/>
    </row>
    <row r="981" spans="6:6" x14ac:dyDescent="0.3">
      <c r="F981" s="14"/>
    </row>
    <row r="982" spans="6:6" x14ac:dyDescent="0.3">
      <c r="F982" s="14"/>
    </row>
    <row r="983" spans="6:6" x14ac:dyDescent="0.3">
      <c r="F983" s="14"/>
    </row>
    <row r="984" spans="6:6" x14ac:dyDescent="0.3">
      <c r="F984" s="14"/>
    </row>
    <row r="985" spans="6:6" x14ac:dyDescent="0.3">
      <c r="F985" s="14"/>
    </row>
    <row r="986" spans="6:6" x14ac:dyDescent="0.3">
      <c r="F986" s="14"/>
    </row>
    <row r="987" spans="6:6" x14ac:dyDescent="0.3">
      <c r="F987" s="14"/>
    </row>
    <row r="988" spans="6:6" x14ac:dyDescent="0.3">
      <c r="F988" s="14"/>
    </row>
    <row r="989" spans="6:6" x14ac:dyDescent="0.3">
      <c r="F989" s="14"/>
    </row>
    <row r="990" spans="6:6" x14ac:dyDescent="0.3">
      <c r="F990" s="14"/>
    </row>
    <row r="991" spans="6:6" x14ac:dyDescent="0.3">
      <c r="F991" s="14"/>
    </row>
    <row r="992" spans="6:6" x14ac:dyDescent="0.3">
      <c r="F992" s="14"/>
    </row>
    <row r="993" spans="6:6" x14ac:dyDescent="0.3">
      <c r="F993" s="14"/>
    </row>
    <row r="994" spans="6:6" x14ac:dyDescent="0.3">
      <c r="F994" s="14"/>
    </row>
    <row r="995" spans="6:6" x14ac:dyDescent="0.3">
      <c r="F995" s="14"/>
    </row>
    <row r="996" spans="6:6" x14ac:dyDescent="0.3">
      <c r="F996" s="14"/>
    </row>
    <row r="997" spans="6:6" x14ac:dyDescent="0.3">
      <c r="F997" s="14"/>
    </row>
    <row r="998" spans="6:6" x14ac:dyDescent="0.3">
      <c r="F998" s="14"/>
    </row>
    <row r="999" spans="6:6" x14ac:dyDescent="0.3">
      <c r="F999" s="14"/>
    </row>
    <row r="1000" spans="6:6" x14ac:dyDescent="0.3">
      <c r="F1000" s="14"/>
    </row>
    <row r="1001" spans="6:6" x14ac:dyDescent="0.3">
      <c r="F1001" s="14"/>
    </row>
    <row r="1002" spans="6:6" x14ac:dyDescent="0.3">
      <c r="F1002" s="14"/>
    </row>
    <row r="1003" spans="6:6" x14ac:dyDescent="0.3">
      <c r="F1003" s="14"/>
    </row>
    <row r="1004" spans="6:6" x14ac:dyDescent="0.3">
      <c r="F1004" s="14"/>
    </row>
    <row r="1005" spans="6:6" x14ac:dyDescent="0.3">
      <c r="F1005" s="14"/>
    </row>
    <row r="1006" spans="6:6" x14ac:dyDescent="0.3">
      <c r="F1006" s="14"/>
    </row>
    <row r="1007" spans="6:6" x14ac:dyDescent="0.3">
      <c r="F1007" s="14"/>
    </row>
    <row r="1008" spans="6:6" x14ac:dyDescent="0.3">
      <c r="F1008" s="14"/>
    </row>
    <row r="1009" spans="6:6" x14ac:dyDescent="0.3">
      <c r="F1009" s="14"/>
    </row>
    <row r="1010" spans="6:6" x14ac:dyDescent="0.3">
      <c r="F1010" s="14"/>
    </row>
    <row r="1011" spans="6:6" x14ac:dyDescent="0.3">
      <c r="F1011" s="14"/>
    </row>
    <row r="1012" spans="6:6" x14ac:dyDescent="0.3">
      <c r="F1012" s="14"/>
    </row>
    <row r="1013" spans="6:6" x14ac:dyDescent="0.3">
      <c r="F1013" s="14"/>
    </row>
    <row r="1014" spans="6:6" x14ac:dyDescent="0.3">
      <c r="F1014" s="14"/>
    </row>
    <row r="1015" spans="6:6" x14ac:dyDescent="0.3">
      <c r="F1015" s="14"/>
    </row>
    <row r="1016" spans="6:6" x14ac:dyDescent="0.3">
      <c r="F1016" s="14"/>
    </row>
    <row r="1017" spans="6:6" x14ac:dyDescent="0.3">
      <c r="F1017" s="14"/>
    </row>
    <row r="1018" spans="6:6" x14ac:dyDescent="0.3">
      <c r="F1018" s="14"/>
    </row>
    <row r="1019" spans="6:6" x14ac:dyDescent="0.3">
      <c r="F1019" s="14"/>
    </row>
    <row r="1020" spans="6:6" x14ac:dyDescent="0.3">
      <c r="F1020" s="14"/>
    </row>
    <row r="1021" spans="6:6" x14ac:dyDescent="0.3">
      <c r="F1021" s="14"/>
    </row>
    <row r="1022" spans="6:6" x14ac:dyDescent="0.3">
      <c r="F1022" s="14"/>
    </row>
    <row r="1023" spans="6:6" x14ac:dyDescent="0.3">
      <c r="F1023" s="14"/>
    </row>
    <row r="1024" spans="6:6" x14ac:dyDescent="0.3">
      <c r="F1024" s="14"/>
    </row>
    <row r="1025" spans="6:6" x14ac:dyDescent="0.3">
      <c r="F1025" s="14"/>
    </row>
    <row r="1026" spans="6:6" x14ac:dyDescent="0.3">
      <c r="F1026" s="14"/>
    </row>
    <row r="1027" spans="6:6" x14ac:dyDescent="0.3">
      <c r="F1027" s="14"/>
    </row>
    <row r="1028" spans="6:6" x14ac:dyDescent="0.3">
      <c r="F1028" s="14"/>
    </row>
    <row r="1029" spans="6:6" x14ac:dyDescent="0.3">
      <c r="F1029" s="14"/>
    </row>
    <row r="1030" spans="6:6" x14ac:dyDescent="0.3">
      <c r="F1030" s="14"/>
    </row>
    <row r="1031" spans="6:6" x14ac:dyDescent="0.3">
      <c r="F1031" s="14"/>
    </row>
    <row r="1032" spans="6:6" x14ac:dyDescent="0.3">
      <c r="F1032" s="14"/>
    </row>
    <row r="1033" spans="6:6" x14ac:dyDescent="0.3">
      <c r="F1033" s="14"/>
    </row>
    <row r="1034" spans="6:6" x14ac:dyDescent="0.3">
      <c r="F1034" s="14"/>
    </row>
    <row r="1035" spans="6:6" x14ac:dyDescent="0.3">
      <c r="F1035" s="14"/>
    </row>
    <row r="1036" spans="6:6" x14ac:dyDescent="0.3">
      <c r="F1036" s="14"/>
    </row>
    <row r="1037" spans="6:6" x14ac:dyDescent="0.3">
      <c r="F1037" s="14"/>
    </row>
    <row r="1038" spans="6:6" x14ac:dyDescent="0.3">
      <c r="F1038" s="14"/>
    </row>
    <row r="1039" spans="6:6" x14ac:dyDescent="0.3">
      <c r="F1039" s="14"/>
    </row>
    <row r="1040" spans="6:6" x14ac:dyDescent="0.3">
      <c r="F1040" s="14"/>
    </row>
    <row r="1041" spans="6:6" x14ac:dyDescent="0.3">
      <c r="F1041" s="14"/>
    </row>
    <row r="1042" spans="6:6" x14ac:dyDescent="0.3">
      <c r="F1042" s="14"/>
    </row>
    <row r="1043" spans="6:6" x14ac:dyDescent="0.3">
      <c r="F1043" s="14"/>
    </row>
    <row r="1044" spans="6:6" x14ac:dyDescent="0.3">
      <c r="F1044" s="14"/>
    </row>
    <row r="1045" spans="6:6" x14ac:dyDescent="0.3">
      <c r="F1045" s="14"/>
    </row>
    <row r="1046" spans="6:6" x14ac:dyDescent="0.3">
      <c r="F1046" s="14"/>
    </row>
    <row r="1047" spans="6:6" x14ac:dyDescent="0.3">
      <c r="F1047" s="14"/>
    </row>
    <row r="1048" spans="6:6" x14ac:dyDescent="0.3">
      <c r="F1048" s="14"/>
    </row>
    <row r="1049" spans="6:6" x14ac:dyDescent="0.3">
      <c r="F1049" s="14"/>
    </row>
    <row r="1050" spans="6:6" x14ac:dyDescent="0.3">
      <c r="F1050" s="14"/>
    </row>
    <row r="1051" spans="6:6" x14ac:dyDescent="0.3">
      <c r="F1051" s="14"/>
    </row>
    <row r="1052" spans="6:6" x14ac:dyDescent="0.3">
      <c r="F1052" s="14"/>
    </row>
    <row r="1053" spans="6:6" x14ac:dyDescent="0.3">
      <c r="F1053" s="14"/>
    </row>
    <row r="1054" spans="6:6" x14ac:dyDescent="0.3">
      <c r="F1054" s="14"/>
    </row>
    <row r="1055" spans="6:6" x14ac:dyDescent="0.3">
      <c r="F1055" s="14"/>
    </row>
    <row r="1056" spans="6:6" x14ac:dyDescent="0.3">
      <c r="F1056" s="14"/>
    </row>
    <row r="1057" spans="6:6" x14ac:dyDescent="0.3">
      <c r="F1057" s="14"/>
    </row>
    <row r="1058" spans="6:6" x14ac:dyDescent="0.3">
      <c r="F1058" s="14"/>
    </row>
    <row r="1059" spans="6:6" x14ac:dyDescent="0.3">
      <c r="F1059" s="14"/>
    </row>
    <row r="1060" spans="6:6" x14ac:dyDescent="0.3">
      <c r="F1060" s="14"/>
    </row>
    <row r="1061" spans="6:6" x14ac:dyDescent="0.3">
      <c r="F1061" s="14"/>
    </row>
    <row r="1062" spans="6:6" x14ac:dyDescent="0.3">
      <c r="F1062" s="14"/>
    </row>
    <row r="1063" spans="6:6" x14ac:dyDescent="0.3">
      <c r="F1063" s="14"/>
    </row>
    <row r="1064" spans="6:6" x14ac:dyDescent="0.3">
      <c r="F1064" s="14"/>
    </row>
    <row r="1065" spans="6:6" x14ac:dyDescent="0.3">
      <c r="F1065" s="14"/>
    </row>
    <row r="1066" spans="6:6" x14ac:dyDescent="0.3">
      <c r="F1066" s="14"/>
    </row>
    <row r="1067" spans="6:6" x14ac:dyDescent="0.3">
      <c r="F1067" s="14"/>
    </row>
    <row r="1068" spans="6:6" x14ac:dyDescent="0.3">
      <c r="F1068" s="14"/>
    </row>
    <row r="1069" spans="6:6" x14ac:dyDescent="0.3">
      <c r="F1069" s="14"/>
    </row>
    <row r="1070" spans="6:6" x14ac:dyDescent="0.3">
      <c r="F1070" s="14"/>
    </row>
    <row r="1071" spans="6:6" x14ac:dyDescent="0.3">
      <c r="F1071" s="14"/>
    </row>
    <row r="1072" spans="6:6" x14ac:dyDescent="0.3">
      <c r="F1072" s="14"/>
    </row>
    <row r="1073" spans="6:6" x14ac:dyDescent="0.3">
      <c r="F1073" s="14"/>
    </row>
    <row r="1074" spans="6:6" x14ac:dyDescent="0.3">
      <c r="F1074" s="14"/>
    </row>
    <row r="1075" spans="6:6" x14ac:dyDescent="0.3">
      <c r="F1075" s="14"/>
    </row>
    <row r="1076" spans="6:6" x14ac:dyDescent="0.3">
      <c r="F1076" s="14"/>
    </row>
    <row r="1077" spans="6:6" x14ac:dyDescent="0.3">
      <c r="F1077" s="14"/>
    </row>
    <row r="1078" spans="6:6" x14ac:dyDescent="0.3">
      <c r="F1078" s="14"/>
    </row>
    <row r="1079" spans="6:6" x14ac:dyDescent="0.3">
      <c r="F1079" s="14"/>
    </row>
    <row r="1080" spans="6:6" x14ac:dyDescent="0.3">
      <c r="F1080" s="14"/>
    </row>
    <row r="1081" spans="6:6" x14ac:dyDescent="0.3">
      <c r="F1081" s="14"/>
    </row>
    <row r="1082" spans="6:6" x14ac:dyDescent="0.3">
      <c r="F1082" s="14"/>
    </row>
    <row r="1083" spans="6:6" x14ac:dyDescent="0.3">
      <c r="F1083" s="14"/>
    </row>
    <row r="1084" spans="6:6" x14ac:dyDescent="0.3">
      <c r="F1084" s="14"/>
    </row>
    <row r="1085" spans="6:6" x14ac:dyDescent="0.3">
      <c r="F1085" s="14"/>
    </row>
    <row r="1086" spans="6:6" x14ac:dyDescent="0.3">
      <c r="F1086" s="14"/>
    </row>
    <row r="1087" spans="6:6" x14ac:dyDescent="0.3">
      <c r="F1087" s="14"/>
    </row>
    <row r="1088" spans="6:6" x14ac:dyDescent="0.3">
      <c r="F1088" s="14"/>
    </row>
    <row r="1089" spans="6:6" x14ac:dyDescent="0.3">
      <c r="F1089" s="14"/>
    </row>
    <row r="1090" spans="6:6" x14ac:dyDescent="0.3">
      <c r="F1090" s="14"/>
    </row>
    <row r="1091" spans="6:6" x14ac:dyDescent="0.3">
      <c r="F1091" s="14"/>
    </row>
    <row r="1092" spans="6:6" x14ac:dyDescent="0.3">
      <c r="F1092" s="14"/>
    </row>
    <row r="1093" spans="6:6" x14ac:dyDescent="0.3">
      <c r="F1093" s="14"/>
    </row>
    <row r="1094" spans="6:6" x14ac:dyDescent="0.3">
      <c r="F1094" s="14"/>
    </row>
    <row r="1095" spans="6:6" x14ac:dyDescent="0.3">
      <c r="F1095" s="14"/>
    </row>
    <row r="1096" spans="6:6" x14ac:dyDescent="0.3">
      <c r="F1096" s="14"/>
    </row>
    <row r="1097" spans="6:6" x14ac:dyDescent="0.3">
      <c r="F1097" s="14"/>
    </row>
    <row r="1098" spans="6:6" x14ac:dyDescent="0.3">
      <c r="F1098" s="14"/>
    </row>
    <row r="1099" spans="6:6" x14ac:dyDescent="0.3">
      <c r="F1099" s="14"/>
    </row>
    <row r="1100" spans="6:6" x14ac:dyDescent="0.3">
      <c r="F1100" s="14"/>
    </row>
    <row r="1101" spans="6:6" x14ac:dyDescent="0.3">
      <c r="F1101" s="14"/>
    </row>
    <row r="1102" spans="6:6" x14ac:dyDescent="0.3">
      <c r="F1102" s="14"/>
    </row>
    <row r="1103" spans="6:6" x14ac:dyDescent="0.3">
      <c r="F1103" s="14"/>
    </row>
    <row r="1104" spans="6:6" x14ac:dyDescent="0.3">
      <c r="F1104" s="14"/>
    </row>
    <row r="1105" spans="6:6" x14ac:dyDescent="0.3">
      <c r="F1105" s="14"/>
    </row>
    <row r="1106" spans="6:6" x14ac:dyDescent="0.3">
      <c r="F1106" s="14"/>
    </row>
    <row r="1107" spans="6:6" x14ac:dyDescent="0.3">
      <c r="F1107" s="14"/>
    </row>
    <row r="1108" spans="6:6" x14ac:dyDescent="0.3">
      <c r="F1108" s="14"/>
    </row>
    <row r="1109" spans="6:6" x14ac:dyDescent="0.3">
      <c r="F1109" s="14"/>
    </row>
    <row r="1110" spans="6:6" x14ac:dyDescent="0.3">
      <c r="F1110" s="14"/>
    </row>
    <row r="1111" spans="6:6" x14ac:dyDescent="0.3">
      <c r="F1111" s="14"/>
    </row>
    <row r="1112" spans="6:6" x14ac:dyDescent="0.3">
      <c r="F1112" s="14"/>
    </row>
    <row r="1113" spans="6:6" x14ac:dyDescent="0.3">
      <c r="F1113" s="14"/>
    </row>
    <row r="1114" spans="6:6" x14ac:dyDescent="0.3">
      <c r="F1114" s="14"/>
    </row>
    <row r="1115" spans="6:6" x14ac:dyDescent="0.3">
      <c r="F1115" s="14"/>
    </row>
    <row r="1116" spans="6:6" x14ac:dyDescent="0.3">
      <c r="F1116" s="14"/>
    </row>
    <row r="1117" spans="6:6" x14ac:dyDescent="0.3">
      <c r="F1117" s="14"/>
    </row>
    <row r="1118" spans="6:6" x14ac:dyDescent="0.3">
      <c r="F1118" s="14"/>
    </row>
    <row r="1119" spans="6:6" x14ac:dyDescent="0.3">
      <c r="F1119" s="14"/>
    </row>
    <row r="1120" spans="6:6" x14ac:dyDescent="0.3">
      <c r="F1120" s="14"/>
    </row>
    <row r="1121" spans="6:6" x14ac:dyDescent="0.3">
      <c r="F1121" s="14"/>
    </row>
    <row r="1122" spans="6:6" x14ac:dyDescent="0.3">
      <c r="F1122" s="14"/>
    </row>
    <row r="1123" spans="6:6" x14ac:dyDescent="0.3">
      <c r="F1123" s="14"/>
    </row>
    <row r="1124" spans="6:6" x14ac:dyDescent="0.3">
      <c r="F1124" s="14"/>
    </row>
    <row r="1125" spans="6:6" x14ac:dyDescent="0.3">
      <c r="F1125" s="14"/>
    </row>
    <row r="1126" spans="6:6" x14ac:dyDescent="0.3">
      <c r="F1126" s="14"/>
    </row>
    <row r="1127" spans="6:6" x14ac:dyDescent="0.3">
      <c r="F1127" s="14"/>
    </row>
    <row r="1128" spans="6:6" x14ac:dyDescent="0.3">
      <c r="F1128" s="14"/>
    </row>
    <row r="1129" spans="6:6" x14ac:dyDescent="0.3">
      <c r="F1129" s="14"/>
    </row>
    <row r="1130" spans="6:6" x14ac:dyDescent="0.3">
      <c r="F1130" s="14"/>
    </row>
    <row r="1131" spans="6:6" x14ac:dyDescent="0.3">
      <c r="F1131" s="14"/>
    </row>
    <row r="1132" spans="6:6" x14ac:dyDescent="0.3">
      <c r="F1132" s="14"/>
    </row>
    <row r="1133" spans="6:6" x14ac:dyDescent="0.3">
      <c r="F1133" s="14"/>
    </row>
    <row r="1134" spans="6:6" x14ac:dyDescent="0.3">
      <c r="F1134" s="14"/>
    </row>
    <row r="1135" spans="6:6" x14ac:dyDescent="0.3">
      <c r="F1135" s="14"/>
    </row>
    <row r="1136" spans="6:6" x14ac:dyDescent="0.3">
      <c r="F1136" s="14"/>
    </row>
    <row r="1137" spans="6:6" x14ac:dyDescent="0.3">
      <c r="F1137" s="14"/>
    </row>
    <row r="1138" spans="6:6" x14ac:dyDescent="0.3">
      <c r="F1138" s="14"/>
    </row>
    <row r="1139" spans="6:6" x14ac:dyDescent="0.3">
      <c r="F1139" s="14"/>
    </row>
    <row r="1140" spans="6:6" x14ac:dyDescent="0.3">
      <c r="F1140" s="14"/>
    </row>
    <row r="1141" spans="6:6" x14ac:dyDescent="0.3">
      <c r="F1141" s="14"/>
    </row>
    <row r="1142" spans="6:6" x14ac:dyDescent="0.3">
      <c r="F1142" s="14"/>
    </row>
    <row r="1143" spans="6:6" x14ac:dyDescent="0.3">
      <c r="F1143" s="14"/>
    </row>
    <row r="1144" spans="6:6" x14ac:dyDescent="0.3">
      <c r="F1144" s="14"/>
    </row>
    <row r="1145" spans="6:6" x14ac:dyDescent="0.3">
      <c r="F1145" s="14"/>
    </row>
    <row r="1146" spans="6:6" x14ac:dyDescent="0.3">
      <c r="F1146" s="14"/>
    </row>
    <row r="1147" spans="6:6" x14ac:dyDescent="0.3">
      <c r="F1147" s="14"/>
    </row>
    <row r="1148" spans="6:6" x14ac:dyDescent="0.3">
      <c r="F1148" s="14"/>
    </row>
    <row r="1149" spans="6:6" x14ac:dyDescent="0.3">
      <c r="F1149" s="14"/>
    </row>
    <row r="1150" spans="6:6" x14ac:dyDescent="0.3">
      <c r="F1150" s="14"/>
    </row>
    <row r="1151" spans="6:6" x14ac:dyDescent="0.3">
      <c r="F1151" s="14"/>
    </row>
    <row r="1152" spans="6:6" x14ac:dyDescent="0.3">
      <c r="F1152" s="14"/>
    </row>
    <row r="1153" spans="6:6" x14ac:dyDescent="0.3">
      <c r="F1153" s="14"/>
    </row>
    <row r="1154" spans="6:6" x14ac:dyDescent="0.3">
      <c r="F1154" s="14"/>
    </row>
    <row r="1155" spans="6:6" x14ac:dyDescent="0.3">
      <c r="F1155" s="14"/>
    </row>
    <row r="1156" spans="6:6" x14ac:dyDescent="0.3">
      <c r="F1156" s="14"/>
    </row>
    <row r="1157" spans="6:6" x14ac:dyDescent="0.3">
      <c r="F1157" s="14"/>
    </row>
    <row r="1158" spans="6:6" x14ac:dyDescent="0.3">
      <c r="F1158" s="14"/>
    </row>
    <row r="1159" spans="6:6" x14ac:dyDescent="0.3">
      <c r="F1159" s="14"/>
    </row>
    <row r="1160" spans="6:6" x14ac:dyDescent="0.3">
      <c r="F1160" s="14"/>
    </row>
    <row r="1161" spans="6:6" x14ac:dyDescent="0.3">
      <c r="F1161" s="14"/>
    </row>
    <row r="1162" spans="6:6" x14ac:dyDescent="0.3">
      <c r="F1162" s="14"/>
    </row>
    <row r="1163" spans="6:6" x14ac:dyDescent="0.3">
      <c r="F1163" s="14"/>
    </row>
    <row r="1164" spans="6:6" x14ac:dyDescent="0.3">
      <c r="F1164" s="14"/>
    </row>
    <row r="1165" spans="6:6" x14ac:dyDescent="0.3">
      <c r="F1165" s="14"/>
    </row>
    <row r="1166" spans="6:6" x14ac:dyDescent="0.3">
      <c r="F1166" s="14"/>
    </row>
    <row r="1167" spans="6:6" x14ac:dyDescent="0.3">
      <c r="F1167" s="14"/>
    </row>
    <row r="1168" spans="6:6" x14ac:dyDescent="0.3">
      <c r="F1168" s="14"/>
    </row>
    <row r="1169" spans="6:6" x14ac:dyDescent="0.3">
      <c r="F1169" s="14"/>
    </row>
    <row r="1170" spans="6:6" x14ac:dyDescent="0.3">
      <c r="F1170" s="14"/>
    </row>
    <row r="1171" spans="6:6" x14ac:dyDescent="0.3">
      <c r="F1171" s="14"/>
    </row>
    <row r="1172" spans="6:6" x14ac:dyDescent="0.3">
      <c r="F1172" s="14"/>
    </row>
    <row r="1173" spans="6:6" x14ac:dyDescent="0.3">
      <c r="F1173" s="14"/>
    </row>
    <row r="1174" spans="6:6" x14ac:dyDescent="0.3">
      <c r="F1174" s="14"/>
    </row>
    <row r="1175" spans="6:6" x14ac:dyDescent="0.3">
      <c r="F1175" s="14"/>
    </row>
    <row r="1176" spans="6:6" x14ac:dyDescent="0.3">
      <c r="F1176" s="14"/>
    </row>
    <row r="1177" spans="6:6" x14ac:dyDescent="0.3">
      <c r="F1177" s="14"/>
    </row>
    <row r="1178" spans="6:6" x14ac:dyDescent="0.3">
      <c r="F1178" s="14"/>
    </row>
    <row r="1179" spans="6:6" x14ac:dyDescent="0.3">
      <c r="F1179" s="14"/>
    </row>
    <row r="1180" spans="6:6" x14ac:dyDescent="0.3">
      <c r="F1180" s="14"/>
    </row>
    <row r="1181" spans="6:6" x14ac:dyDescent="0.3">
      <c r="F1181" s="14"/>
    </row>
    <row r="1182" spans="6:6" x14ac:dyDescent="0.3">
      <c r="F1182" s="14"/>
    </row>
    <row r="1183" spans="6:6" x14ac:dyDescent="0.3">
      <c r="F1183" s="14"/>
    </row>
    <row r="1184" spans="6:6" x14ac:dyDescent="0.3">
      <c r="F1184" s="14"/>
    </row>
    <row r="1185" spans="6:6" x14ac:dyDescent="0.3">
      <c r="F1185" s="14"/>
    </row>
    <row r="1186" spans="6:6" x14ac:dyDescent="0.3">
      <c r="F1186" s="14"/>
    </row>
    <row r="1187" spans="6:6" x14ac:dyDescent="0.3">
      <c r="F1187" s="14"/>
    </row>
    <row r="1188" spans="6:6" x14ac:dyDescent="0.3">
      <c r="F1188" s="14"/>
    </row>
    <row r="1189" spans="6:6" x14ac:dyDescent="0.3">
      <c r="F1189" s="14"/>
    </row>
    <row r="1190" spans="6:6" x14ac:dyDescent="0.3">
      <c r="F1190" s="14"/>
    </row>
    <row r="1191" spans="6:6" x14ac:dyDescent="0.3">
      <c r="F1191" s="14"/>
    </row>
    <row r="1192" spans="6:6" x14ac:dyDescent="0.3">
      <c r="F1192" s="14"/>
    </row>
    <row r="1193" spans="6:6" x14ac:dyDescent="0.3">
      <c r="F1193" s="14"/>
    </row>
    <row r="1194" spans="6:6" x14ac:dyDescent="0.3">
      <c r="F1194" s="14"/>
    </row>
    <row r="1195" spans="6:6" x14ac:dyDescent="0.3">
      <c r="F1195" s="14"/>
    </row>
    <row r="1196" spans="6:6" x14ac:dyDescent="0.3">
      <c r="F1196" s="14"/>
    </row>
    <row r="1197" spans="6:6" x14ac:dyDescent="0.3">
      <c r="F1197" s="14"/>
    </row>
    <row r="1198" spans="6:6" x14ac:dyDescent="0.3">
      <c r="F1198" s="14"/>
    </row>
    <row r="1199" spans="6:6" x14ac:dyDescent="0.3">
      <c r="F1199" s="14"/>
    </row>
    <row r="1200" spans="6:6" x14ac:dyDescent="0.3">
      <c r="F1200" s="14"/>
    </row>
    <row r="1201" spans="6:6" x14ac:dyDescent="0.3">
      <c r="F1201" s="14"/>
    </row>
    <row r="1202" spans="6:6" x14ac:dyDescent="0.3">
      <c r="F1202" s="14"/>
    </row>
    <row r="1203" spans="6:6" x14ac:dyDescent="0.3">
      <c r="F1203" s="14"/>
    </row>
    <row r="1204" spans="6:6" x14ac:dyDescent="0.3">
      <c r="F1204" s="14"/>
    </row>
    <row r="1205" spans="6:6" x14ac:dyDescent="0.3">
      <c r="F1205" s="14"/>
    </row>
    <row r="1206" spans="6:6" x14ac:dyDescent="0.3">
      <c r="F1206" s="14"/>
    </row>
    <row r="1207" spans="6:6" x14ac:dyDescent="0.3">
      <c r="F1207" s="14"/>
    </row>
    <row r="1208" spans="6:6" x14ac:dyDescent="0.3">
      <c r="F1208" s="14"/>
    </row>
    <row r="1209" spans="6:6" x14ac:dyDescent="0.3">
      <c r="F1209" s="14"/>
    </row>
    <row r="1210" spans="6:6" x14ac:dyDescent="0.3">
      <c r="F1210" s="14"/>
    </row>
    <row r="1211" spans="6:6" x14ac:dyDescent="0.3">
      <c r="F1211" s="14"/>
    </row>
    <row r="1212" spans="6:6" x14ac:dyDescent="0.3">
      <c r="F1212" s="14"/>
    </row>
    <row r="1213" spans="6:6" x14ac:dyDescent="0.3">
      <c r="F1213" s="14"/>
    </row>
    <row r="1214" spans="6:6" x14ac:dyDescent="0.3">
      <c r="F1214" s="14"/>
    </row>
    <row r="1215" spans="6:6" x14ac:dyDescent="0.3">
      <c r="F1215" s="14"/>
    </row>
    <row r="1216" spans="6:6" x14ac:dyDescent="0.3">
      <c r="F1216" s="14"/>
    </row>
    <row r="1217" spans="6:6" x14ac:dyDescent="0.3">
      <c r="F1217" s="14"/>
    </row>
    <row r="1218" spans="6:6" x14ac:dyDescent="0.3">
      <c r="F1218" s="14"/>
    </row>
    <row r="1219" spans="6:6" x14ac:dyDescent="0.3">
      <c r="F1219" s="14"/>
    </row>
    <row r="1220" spans="6:6" x14ac:dyDescent="0.3">
      <c r="F1220" s="14"/>
    </row>
    <row r="1221" spans="6:6" x14ac:dyDescent="0.3">
      <c r="F1221" s="14"/>
    </row>
    <row r="1222" spans="6:6" x14ac:dyDescent="0.3">
      <c r="F1222" s="14"/>
    </row>
    <row r="1223" spans="6:6" x14ac:dyDescent="0.3">
      <c r="F1223" s="14"/>
    </row>
    <row r="1224" spans="6:6" x14ac:dyDescent="0.3">
      <c r="F1224" s="14"/>
    </row>
    <row r="1225" spans="6:6" x14ac:dyDescent="0.3">
      <c r="F1225" s="14"/>
    </row>
    <row r="1226" spans="6:6" x14ac:dyDescent="0.3">
      <c r="F1226" s="14"/>
    </row>
    <row r="1227" spans="6:6" x14ac:dyDescent="0.3">
      <c r="F1227" s="14"/>
    </row>
    <row r="1228" spans="6:6" x14ac:dyDescent="0.3">
      <c r="F1228" s="14"/>
    </row>
    <row r="1229" spans="6:6" x14ac:dyDescent="0.3">
      <c r="F1229" s="14"/>
    </row>
    <row r="1230" spans="6:6" x14ac:dyDescent="0.3">
      <c r="F1230" s="14"/>
    </row>
    <row r="1231" spans="6:6" x14ac:dyDescent="0.3">
      <c r="F1231" s="14"/>
    </row>
    <row r="1232" spans="6:6" x14ac:dyDescent="0.3">
      <c r="F1232" s="14"/>
    </row>
    <row r="1233" spans="6:6" x14ac:dyDescent="0.3">
      <c r="F1233" s="14"/>
    </row>
    <row r="1234" spans="6:6" x14ac:dyDescent="0.3">
      <c r="F1234" s="14"/>
    </row>
    <row r="1235" spans="6:6" x14ac:dyDescent="0.3">
      <c r="F1235" s="14"/>
    </row>
    <row r="1236" spans="6:6" x14ac:dyDescent="0.3">
      <c r="F1236" s="14"/>
    </row>
    <row r="1237" spans="6:6" x14ac:dyDescent="0.3">
      <c r="F1237" s="14"/>
    </row>
    <row r="1238" spans="6:6" x14ac:dyDescent="0.3">
      <c r="F1238" s="14"/>
    </row>
    <row r="1239" spans="6:6" x14ac:dyDescent="0.3">
      <c r="F1239" s="14"/>
    </row>
    <row r="1240" spans="6:6" x14ac:dyDescent="0.3">
      <c r="F1240" s="14"/>
    </row>
    <row r="1241" spans="6:6" x14ac:dyDescent="0.3">
      <c r="F1241" s="14"/>
    </row>
    <row r="1242" spans="6:6" x14ac:dyDescent="0.3">
      <c r="F1242" s="14"/>
    </row>
    <row r="1243" spans="6:6" x14ac:dyDescent="0.3">
      <c r="F1243" s="14"/>
    </row>
    <row r="1244" spans="6:6" x14ac:dyDescent="0.3">
      <c r="F1244" s="14"/>
    </row>
    <row r="1245" spans="6:6" x14ac:dyDescent="0.3">
      <c r="F1245" s="14"/>
    </row>
    <row r="1246" spans="6:6" x14ac:dyDescent="0.3">
      <c r="F1246" s="14"/>
    </row>
    <row r="1247" spans="6:6" x14ac:dyDescent="0.3">
      <c r="F1247" s="14"/>
    </row>
    <row r="1248" spans="6:6" x14ac:dyDescent="0.3">
      <c r="F1248" s="14"/>
    </row>
    <row r="1249" spans="6:6" x14ac:dyDescent="0.3">
      <c r="F1249" s="14"/>
    </row>
    <row r="1250" spans="6:6" x14ac:dyDescent="0.3">
      <c r="F1250" s="14"/>
    </row>
    <row r="1251" spans="6:6" x14ac:dyDescent="0.3">
      <c r="F1251" s="14"/>
    </row>
    <row r="1252" spans="6:6" x14ac:dyDescent="0.3">
      <c r="F1252" s="14"/>
    </row>
    <row r="1253" spans="6:6" x14ac:dyDescent="0.3">
      <c r="F1253" s="14"/>
    </row>
    <row r="1254" spans="6:6" x14ac:dyDescent="0.3">
      <c r="F1254" s="14"/>
    </row>
    <row r="1255" spans="6:6" x14ac:dyDescent="0.3">
      <c r="F1255" s="14"/>
    </row>
    <row r="1256" spans="6:6" x14ac:dyDescent="0.3">
      <c r="F1256" s="14"/>
    </row>
    <row r="1257" spans="6:6" x14ac:dyDescent="0.3">
      <c r="F1257" s="14"/>
    </row>
    <row r="1258" spans="6:6" x14ac:dyDescent="0.3">
      <c r="F1258" s="14"/>
    </row>
    <row r="1259" spans="6:6" x14ac:dyDescent="0.3">
      <c r="F1259" s="14"/>
    </row>
    <row r="1260" spans="6:6" x14ac:dyDescent="0.3">
      <c r="F1260" s="14"/>
    </row>
    <row r="1261" spans="6:6" x14ac:dyDescent="0.3">
      <c r="F1261" s="14"/>
    </row>
    <row r="1262" spans="6:6" x14ac:dyDescent="0.3">
      <c r="F1262" s="14"/>
    </row>
    <row r="1263" spans="6:6" x14ac:dyDescent="0.3">
      <c r="F1263" s="14"/>
    </row>
    <row r="1264" spans="6:6" x14ac:dyDescent="0.3">
      <c r="F1264" s="14"/>
    </row>
    <row r="1265" spans="6:6" x14ac:dyDescent="0.3">
      <c r="F1265" s="14"/>
    </row>
    <row r="1266" spans="6:6" x14ac:dyDescent="0.3">
      <c r="F1266" s="14"/>
    </row>
    <row r="1267" spans="6:6" x14ac:dyDescent="0.3">
      <c r="F1267" s="14"/>
    </row>
    <row r="1268" spans="6:6" x14ac:dyDescent="0.3">
      <c r="F1268" s="14"/>
    </row>
    <row r="1269" spans="6:6" x14ac:dyDescent="0.3">
      <c r="F1269" s="14"/>
    </row>
    <row r="1270" spans="6:6" x14ac:dyDescent="0.3">
      <c r="F1270" s="14"/>
    </row>
    <row r="1271" spans="6:6" x14ac:dyDescent="0.3">
      <c r="F1271" s="14"/>
    </row>
    <row r="1272" spans="6:6" x14ac:dyDescent="0.3">
      <c r="F1272" s="14"/>
    </row>
    <row r="1273" spans="6:6" x14ac:dyDescent="0.3">
      <c r="F1273" s="14"/>
    </row>
    <row r="1274" spans="6:6" x14ac:dyDescent="0.3">
      <c r="F1274" s="14"/>
    </row>
    <row r="1275" spans="6:6" x14ac:dyDescent="0.3">
      <c r="F1275" s="14"/>
    </row>
    <row r="1276" spans="6:6" x14ac:dyDescent="0.3">
      <c r="F1276" s="14"/>
    </row>
    <row r="1277" spans="6:6" x14ac:dyDescent="0.3">
      <c r="F1277" s="14"/>
    </row>
    <row r="1278" spans="6:6" x14ac:dyDescent="0.3">
      <c r="F1278" s="14"/>
    </row>
    <row r="1279" spans="6:6" x14ac:dyDescent="0.3">
      <c r="F1279" s="14"/>
    </row>
    <row r="1280" spans="6:6" x14ac:dyDescent="0.3">
      <c r="F1280" s="14"/>
    </row>
    <row r="1281" spans="6:6" x14ac:dyDescent="0.3">
      <c r="F1281" s="14"/>
    </row>
    <row r="1282" spans="6:6" x14ac:dyDescent="0.3">
      <c r="F1282" s="14"/>
    </row>
    <row r="1283" spans="6:6" x14ac:dyDescent="0.3">
      <c r="F1283" s="14"/>
    </row>
    <row r="1284" spans="6:6" x14ac:dyDescent="0.3">
      <c r="F1284" s="14"/>
    </row>
    <row r="1285" spans="6:6" x14ac:dyDescent="0.3">
      <c r="F1285" s="14"/>
    </row>
    <row r="1286" spans="6:6" x14ac:dyDescent="0.3">
      <c r="F1286" s="14"/>
    </row>
    <row r="1287" spans="6:6" x14ac:dyDescent="0.3">
      <c r="F1287" s="14"/>
    </row>
    <row r="1288" spans="6:6" x14ac:dyDescent="0.3">
      <c r="F1288" s="14"/>
    </row>
    <row r="1289" spans="6:6" x14ac:dyDescent="0.3">
      <c r="F1289" s="14"/>
    </row>
    <row r="1290" spans="6:6" x14ac:dyDescent="0.3">
      <c r="F1290" s="14"/>
    </row>
    <row r="1291" spans="6:6" x14ac:dyDescent="0.3">
      <c r="F1291" s="14"/>
    </row>
    <row r="1292" spans="6:6" x14ac:dyDescent="0.3">
      <c r="F1292" s="14"/>
    </row>
    <row r="1293" spans="6:6" x14ac:dyDescent="0.3">
      <c r="F1293" s="14"/>
    </row>
    <row r="1294" spans="6:6" x14ac:dyDescent="0.3">
      <c r="F1294" s="14"/>
    </row>
    <row r="1295" spans="6:6" x14ac:dyDescent="0.3">
      <c r="F1295" s="14"/>
    </row>
    <row r="1296" spans="6:6" x14ac:dyDescent="0.3">
      <c r="F1296" s="14"/>
    </row>
    <row r="1297" spans="6:6" x14ac:dyDescent="0.3">
      <c r="F1297" s="14"/>
    </row>
    <row r="1298" spans="6:6" x14ac:dyDescent="0.3">
      <c r="F1298" s="14"/>
    </row>
    <row r="1299" spans="6:6" x14ac:dyDescent="0.3">
      <c r="F1299" s="14"/>
    </row>
    <row r="1300" spans="6:6" x14ac:dyDescent="0.3">
      <c r="F1300" s="14"/>
    </row>
    <row r="1301" spans="6:6" x14ac:dyDescent="0.3">
      <c r="F1301" s="14"/>
    </row>
    <row r="1302" spans="6:6" x14ac:dyDescent="0.3">
      <c r="F1302" s="14"/>
    </row>
    <row r="1303" spans="6:6" x14ac:dyDescent="0.3">
      <c r="F1303" s="14"/>
    </row>
    <row r="1304" spans="6:6" x14ac:dyDescent="0.3">
      <c r="F1304" s="14"/>
    </row>
    <row r="1305" spans="6:6" x14ac:dyDescent="0.3">
      <c r="F1305" s="14"/>
    </row>
    <row r="1306" spans="6:6" x14ac:dyDescent="0.3">
      <c r="F1306" s="14"/>
    </row>
    <row r="1307" spans="6:6" x14ac:dyDescent="0.3">
      <c r="F1307" s="14"/>
    </row>
    <row r="1308" spans="6:6" x14ac:dyDescent="0.3">
      <c r="F1308" s="14"/>
    </row>
    <row r="1309" spans="6:6" x14ac:dyDescent="0.3">
      <c r="F1309" s="14"/>
    </row>
    <row r="1310" spans="6:6" x14ac:dyDescent="0.3">
      <c r="F1310" s="14"/>
    </row>
    <row r="1311" spans="6:6" x14ac:dyDescent="0.3">
      <c r="F1311" s="14"/>
    </row>
    <row r="1312" spans="6:6" x14ac:dyDescent="0.3">
      <c r="F1312" s="14"/>
    </row>
    <row r="1313" spans="6:6" x14ac:dyDescent="0.3">
      <c r="F1313" s="14"/>
    </row>
    <row r="1314" spans="6:6" x14ac:dyDescent="0.3">
      <c r="F1314" s="14"/>
    </row>
    <row r="1315" spans="6:6" x14ac:dyDescent="0.3">
      <c r="F1315" s="14"/>
    </row>
    <row r="1316" spans="6:6" x14ac:dyDescent="0.3">
      <c r="F1316" s="14"/>
    </row>
    <row r="1317" spans="6:6" x14ac:dyDescent="0.3">
      <c r="F1317" s="14"/>
    </row>
    <row r="1318" spans="6:6" x14ac:dyDescent="0.3">
      <c r="F1318" s="14"/>
    </row>
    <row r="1319" spans="6:6" x14ac:dyDescent="0.3">
      <c r="F1319" s="14"/>
    </row>
    <row r="1320" spans="6:6" x14ac:dyDescent="0.3">
      <c r="F1320" s="14"/>
    </row>
    <row r="1321" spans="6:6" x14ac:dyDescent="0.3">
      <c r="F1321" s="14"/>
    </row>
    <row r="1322" spans="6:6" x14ac:dyDescent="0.3">
      <c r="F1322" s="14"/>
    </row>
    <row r="1323" spans="6:6" x14ac:dyDescent="0.3">
      <c r="F1323" s="14"/>
    </row>
    <row r="1324" spans="6:6" x14ac:dyDescent="0.3">
      <c r="F1324" s="14"/>
    </row>
    <row r="1325" spans="6:6" x14ac:dyDescent="0.3">
      <c r="F1325" s="14"/>
    </row>
    <row r="1326" spans="6:6" x14ac:dyDescent="0.3">
      <c r="F1326" s="14"/>
    </row>
    <row r="1327" spans="6:6" x14ac:dyDescent="0.3">
      <c r="F1327" s="14"/>
    </row>
    <row r="1328" spans="6:6" x14ac:dyDescent="0.3">
      <c r="F1328" s="14"/>
    </row>
    <row r="1329" spans="6:6" x14ac:dyDescent="0.3">
      <c r="F1329" s="14"/>
    </row>
    <row r="1330" spans="6:6" x14ac:dyDescent="0.3">
      <c r="F1330" s="14"/>
    </row>
    <row r="1331" spans="6:6" x14ac:dyDescent="0.3">
      <c r="F1331" s="14"/>
    </row>
    <row r="1332" spans="6:6" x14ac:dyDescent="0.3">
      <c r="F1332" s="14"/>
    </row>
    <row r="1333" spans="6:6" x14ac:dyDescent="0.3">
      <c r="F1333" s="14"/>
    </row>
    <row r="1334" spans="6:6" x14ac:dyDescent="0.3">
      <c r="F1334" s="14"/>
    </row>
    <row r="1335" spans="6:6" x14ac:dyDescent="0.3">
      <c r="F1335" s="14"/>
    </row>
    <row r="1336" spans="6:6" x14ac:dyDescent="0.3">
      <c r="F1336" s="14"/>
    </row>
    <row r="1337" spans="6:6" x14ac:dyDescent="0.3">
      <c r="F1337" s="14"/>
    </row>
    <row r="1338" spans="6:6" x14ac:dyDescent="0.3">
      <c r="F1338" s="14"/>
    </row>
    <row r="1339" spans="6:6" x14ac:dyDescent="0.3">
      <c r="F1339" s="14"/>
    </row>
    <row r="1340" spans="6:6" x14ac:dyDescent="0.3">
      <c r="F1340" s="14"/>
    </row>
    <row r="1341" spans="6:6" x14ac:dyDescent="0.3">
      <c r="F1341" s="14"/>
    </row>
    <row r="1342" spans="6:6" x14ac:dyDescent="0.3">
      <c r="F1342" s="14"/>
    </row>
    <row r="1343" spans="6:6" x14ac:dyDescent="0.3">
      <c r="F1343" s="14"/>
    </row>
    <row r="1344" spans="6:6" x14ac:dyDescent="0.3">
      <c r="F1344" s="14"/>
    </row>
    <row r="1345" spans="6:6" x14ac:dyDescent="0.3">
      <c r="F1345" s="14"/>
    </row>
    <row r="1346" spans="6:6" x14ac:dyDescent="0.3">
      <c r="F1346" s="14"/>
    </row>
    <row r="1347" spans="6:6" x14ac:dyDescent="0.3">
      <c r="F1347" s="14"/>
    </row>
    <row r="1348" spans="6:6" x14ac:dyDescent="0.3">
      <c r="F1348" s="14"/>
    </row>
    <row r="1349" spans="6:6" x14ac:dyDescent="0.3">
      <c r="F1349" s="14"/>
    </row>
    <row r="1350" spans="6:6" x14ac:dyDescent="0.3">
      <c r="F1350" s="14"/>
    </row>
    <row r="1351" spans="6:6" x14ac:dyDescent="0.3">
      <c r="F1351" s="14"/>
    </row>
    <row r="1352" spans="6:6" x14ac:dyDescent="0.3">
      <c r="F1352" s="14"/>
    </row>
    <row r="1353" spans="6:6" x14ac:dyDescent="0.3">
      <c r="F1353" s="14"/>
    </row>
    <row r="1354" spans="6:6" x14ac:dyDescent="0.3">
      <c r="F1354" s="14"/>
    </row>
    <row r="1355" spans="6:6" x14ac:dyDescent="0.3">
      <c r="F1355" s="14"/>
    </row>
    <row r="1356" spans="6:6" x14ac:dyDescent="0.3">
      <c r="F1356" s="14"/>
    </row>
    <row r="1357" spans="6:6" x14ac:dyDescent="0.3">
      <c r="F1357" s="14"/>
    </row>
    <row r="1358" spans="6:6" x14ac:dyDescent="0.3">
      <c r="F1358" s="14"/>
    </row>
    <row r="1359" spans="6:6" x14ac:dyDescent="0.3">
      <c r="F1359" s="14"/>
    </row>
    <row r="1360" spans="6:6" x14ac:dyDescent="0.3">
      <c r="F1360" s="14"/>
    </row>
    <row r="1361" spans="6:6" x14ac:dyDescent="0.3">
      <c r="F1361" s="14"/>
    </row>
    <row r="1362" spans="6:6" x14ac:dyDescent="0.3">
      <c r="F1362" s="14"/>
    </row>
    <row r="1363" spans="6:6" x14ac:dyDescent="0.3">
      <c r="F1363" s="14"/>
    </row>
    <row r="1364" spans="6:6" x14ac:dyDescent="0.3">
      <c r="F1364" s="14"/>
    </row>
    <row r="1365" spans="6:6" x14ac:dyDescent="0.3">
      <c r="F1365" s="14"/>
    </row>
    <row r="1366" spans="6:6" x14ac:dyDescent="0.3">
      <c r="F1366" s="14"/>
    </row>
    <row r="1367" spans="6:6" x14ac:dyDescent="0.3">
      <c r="F1367" s="14"/>
    </row>
    <row r="1368" spans="6:6" x14ac:dyDescent="0.3">
      <c r="F1368" s="14"/>
    </row>
    <row r="1369" spans="6:6" x14ac:dyDescent="0.3">
      <c r="F1369" s="14"/>
    </row>
    <row r="1370" spans="6:6" x14ac:dyDescent="0.3">
      <c r="F1370" s="14"/>
    </row>
    <row r="1371" spans="6:6" x14ac:dyDescent="0.3">
      <c r="F1371" s="14"/>
    </row>
    <row r="1372" spans="6:6" x14ac:dyDescent="0.3">
      <c r="F1372" s="14"/>
    </row>
    <row r="1373" spans="6:6" x14ac:dyDescent="0.3">
      <c r="F1373" s="14"/>
    </row>
    <row r="1374" spans="6:6" x14ac:dyDescent="0.3">
      <c r="F1374" s="14"/>
    </row>
    <row r="1375" spans="6:6" x14ac:dyDescent="0.3">
      <c r="F1375" s="14"/>
    </row>
    <row r="1376" spans="6:6" x14ac:dyDescent="0.3">
      <c r="F1376" s="14"/>
    </row>
    <row r="1377" spans="6:6" x14ac:dyDescent="0.3">
      <c r="F1377" s="14"/>
    </row>
    <row r="1378" spans="6:6" x14ac:dyDescent="0.3">
      <c r="F1378" s="14"/>
    </row>
    <row r="1379" spans="6:6" x14ac:dyDescent="0.3">
      <c r="F1379" s="14"/>
    </row>
    <row r="1380" spans="6:6" x14ac:dyDescent="0.3">
      <c r="F1380" s="14"/>
    </row>
    <row r="1381" spans="6:6" x14ac:dyDescent="0.3">
      <c r="F1381" s="14"/>
    </row>
    <row r="1382" spans="6:6" x14ac:dyDescent="0.3">
      <c r="F1382" s="14"/>
    </row>
    <row r="1383" spans="6:6" x14ac:dyDescent="0.3">
      <c r="F1383" s="14"/>
    </row>
    <row r="1384" spans="6:6" x14ac:dyDescent="0.3">
      <c r="F1384" s="14"/>
    </row>
    <row r="1385" spans="6:6" x14ac:dyDescent="0.3">
      <c r="F1385" s="14"/>
    </row>
    <row r="1386" spans="6:6" x14ac:dyDescent="0.3">
      <c r="F1386" s="14"/>
    </row>
    <row r="1387" spans="6:6" x14ac:dyDescent="0.3">
      <c r="F1387" s="14"/>
    </row>
    <row r="1388" spans="6:6" x14ac:dyDescent="0.3">
      <c r="F1388" s="14"/>
    </row>
    <row r="1389" spans="6:6" x14ac:dyDescent="0.3">
      <c r="F1389" s="14"/>
    </row>
    <row r="1390" spans="6:6" x14ac:dyDescent="0.3">
      <c r="F1390" s="14"/>
    </row>
    <row r="1391" spans="6:6" x14ac:dyDescent="0.3">
      <c r="F1391" s="14"/>
    </row>
    <row r="1392" spans="6:6" x14ac:dyDescent="0.3">
      <c r="F1392" s="14"/>
    </row>
    <row r="1393" spans="6:6" x14ac:dyDescent="0.3">
      <c r="F1393" s="14"/>
    </row>
    <row r="1394" spans="6:6" x14ac:dyDescent="0.3">
      <c r="F1394" s="14"/>
    </row>
    <row r="1395" spans="6:6" x14ac:dyDescent="0.3">
      <c r="F1395" s="14"/>
    </row>
    <row r="1396" spans="6:6" x14ac:dyDescent="0.3">
      <c r="F1396" s="14"/>
    </row>
    <row r="1397" spans="6:6" x14ac:dyDescent="0.3">
      <c r="F1397" s="14"/>
    </row>
    <row r="1398" spans="6:6" x14ac:dyDescent="0.3">
      <c r="F1398" s="14"/>
    </row>
    <row r="1399" spans="6:6" x14ac:dyDescent="0.3">
      <c r="F1399" s="14"/>
    </row>
    <row r="1400" spans="6:6" x14ac:dyDescent="0.3">
      <c r="F1400" s="14"/>
    </row>
    <row r="1401" spans="6:6" x14ac:dyDescent="0.3">
      <c r="F1401" s="14"/>
    </row>
    <row r="1402" spans="6:6" x14ac:dyDescent="0.3">
      <c r="F1402" s="14"/>
    </row>
    <row r="1403" spans="6:6" x14ac:dyDescent="0.3">
      <c r="F1403" s="14"/>
    </row>
    <row r="1404" spans="6:6" x14ac:dyDescent="0.3">
      <c r="F1404" s="14"/>
    </row>
    <row r="1405" spans="6:6" x14ac:dyDescent="0.3">
      <c r="F1405" s="14"/>
    </row>
    <row r="1406" spans="6:6" x14ac:dyDescent="0.3">
      <c r="F1406" s="14"/>
    </row>
    <row r="1407" spans="6:6" x14ac:dyDescent="0.3">
      <c r="F1407" s="14"/>
    </row>
    <row r="1408" spans="6:6" x14ac:dyDescent="0.3">
      <c r="F1408" s="14"/>
    </row>
    <row r="1409" spans="6:6" x14ac:dyDescent="0.3">
      <c r="F1409" s="14"/>
    </row>
    <row r="1410" spans="6:6" x14ac:dyDescent="0.3">
      <c r="F1410" s="14"/>
    </row>
    <row r="1411" spans="6:6" x14ac:dyDescent="0.3">
      <c r="F1411" s="14"/>
    </row>
    <row r="1412" spans="6:6" x14ac:dyDescent="0.3">
      <c r="F1412" s="14"/>
    </row>
    <row r="1413" spans="6:6" x14ac:dyDescent="0.3">
      <c r="F1413" s="14"/>
    </row>
    <row r="1414" spans="6:6" x14ac:dyDescent="0.3">
      <c r="F1414" s="14"/>
    </row>
    <row r="1415" spans="6:6" x14ac:dyDescent="0.3">
      <c r="F1415" s="14"/>
    </row>
    <row r="1416" spans="6:6" x14ac:dyDescent="0.3">
      <c r="F1416" s="14"/>
    </row>
    <row r="1417" spans="6:6" x14ac:dyDescent="0.3">
      <c r="F1417" s="14"/>
    </row>
    <row r="1418" spans="6:6" x14ac:dyDescent="0.3">
      <c r="F1418" s="14"/>
    </row>
    <row r="1419" spans="6:6" x14ac:dyDescent="0.3">
      <c r="F1419" s="14"/>
    </row>
    <row r="1420" spans="6:6" x14ac:dyDescent="0.3">
      <c r="F1420" s="14"/>
    </row>
    <row r="1421" spans="6:6" x14ac:dyDescent="0.3">
      <c r="F1421" s="14"/>
    </row>
    <row r="1422" spans="6:6" x14ac:dyDescent="0.3">
      <c r="F1422" s="14"/>
    </row>
    <row r="1423" spans="6:6" x14ac:dyDescent="0.3">
      <c r="F1423" s="14"/>
    </row>
    <row r="1424" spans="6:6" x14ac:dyDescent="0.3">
      <c r="F1424" s="14"/>
    </row>
    <row r="1425" spans="6:6" x14ac:dyDescent="0.3">
      <c r="F1425" s="14"/>
    </row>
    <row r="1426" spans="6:6" x14ac:dyDescent="0.3">
      <c r="F1426" s="14"/>
    </row>
    <row r="1427" spans="6:6" x14ac:dyDescent="0.3">
      <c r="F1427" s="14"/>
    </row>
    <row r="1428" spans="6:6" x14ac:dyDescent="0.3">
      <c r="F1428" s="14"/>
    </row>
    <row r="1429" spans="6:6" x14ac:dyDescent="0.3">
      <c r="F1429" s="14"/>
    </row>
    <row r="1430" spans="6:6" x14ac:dyDescent="0.3">
      <c r="F1430" s="14"/>
    </row>
    <row r="1431" spans="6:6" x14ac:dyDescent="0.3">
      <c r="F1431" s="14"/>
    </row>
    <row r="1432" spans="6:6" x14ac:dyDescent="0.3">
      <c r="F1432" s="14"/>
    </row>
    <row r="1433" spans="6:6" x14ac:dyDescent="0.3">
      <c r="F1433" s="14"/>
    </row>
    <row r="1434" spans="6:6" x14ac:dyDescent="0.3">
      <c r="F1434" s="14"/>
    </row>
    <row r="1435" spans="6:6" x14ac:dyDescent="0.3">
      <c r="F1435" s="14"/>
    </row>
    <row r="1436" spans="6:6" x14ac:dyDescent="0.3">
      <c r="F1436" s="14"/>
    </row>
    <row r="1437" spans="6:6" x14ac:dyDescent="0.3">
      <c r="F1437" s="14"/>
    </row>
    <row r="1438" spans="6:6" x14ac:dyDescent="0.3">
      <c r="F1438" s="14"/>
    </row>
    <row r="1439" spans="6:6" x14ac:dyDescent="0.3">
      <c r="F1439" s="14"/>
    </row>
    <row r="1440" spans="6:6" x14ac:dyDescent="0.3">
      <c r="F1440" s="14"/>
    </row>
    <row r="1441" spans="6:6" x14ac:dyDescent="0.3">
      <c r="F1441" s="14"/>
    </row>
    <row r="1442" spans="6:6" x14ac:dyDescent="0.3">
      <c r="F1442" s="14"/>
    </row>
    <row r="1443" spans="6:6" x14ac:dyDescent="0.3">
      <c r="F1443" s="14"/>
    </row>
    <row r="1444" spans="6:6" x14ac:dyDescent="0.3">
      <c r="F1444" s="14"/>
    </row>
    <row r="1445" spans="6:6" x14ac:dyDescent="0.3">
      <c r="F1445" s="14"/>
    </row>
    <row r="1446" spans="6:6" x14ac:dyDescent="0.3">
      <c r="F1446" s="14"/>
    </row>
    <row r="1447" spans="6:6" x14ac:dyDescent="0.3">
      <c r="F1447" s="14"/>
    </row>
    <row r="1448" spans="6:6" x14ac:dyDescent="0.3">
      <c r="F1448" s="14"/>
    </row>
    <row r="1449" spans="6:6" x14ac:dyDescent="0.3">
      <c r="F1449" s="14"/>
    </row>
    <row r="1450" spans="6:6" x14ac:dyDescent="0.3">
      <c r="F1450" s="14"/>
    </row>
    <row r="1451" spans="6:6" x14ac:dyDescent="0.3">
      <c r="F1451" s="14"/>
    </row>
    <row r="1452" spans="6:6" x14ac:dyDescent="0.3">
      <c r="F1452" s="14"/>
    </row>
    <row r="1453" spans="6:6" x14ac:dyDescent="0.3">
      <c r="F1453" s="14"/>
    </row>
    <row r="1454" spans="6:6" x14ac:dyDescent="0.3">
      <c r="F1454" s="14"/>
    </row>
    <row r="1455" spans="6:6" x14ac:dyDescent="0.3">
      <c r="F1455" s="14"/>
    </row>
    <row r="1456" spans="6:6" x14ac:dyDescent="0.3">
      <c r="F1456" s="14"/>
    </row>
    <row r="1457" spans="6:6" x14ac:dyDescent="0.3">
      <c r="F1457" s="14"/>
    </row>
    <row r="1458" spans="6:6" x14ac:dyDescent="0.3">
      <c r="F1458" s="14"/>
    </row>
    <row r="1459" spans="6:6" x14ac:dyDescent="0.3">
      <c r="F1459" s="14"/>
    </row>
    <row r="1460" spans="6:6" x14ac:dyDescent="0.3">
      <c r="F1460" s="14"/>
    </row>
    <row r="1461" spans="6:6" x14ac:dyDescent="0.3">
      <c r="F1461" s="14"/>
    </row>
    <row r="1462" spans="6:6" x14ac:dyDescent="0.3">
      <c r="F1462" s="14"/>
    </row>
    <row r="1463" spans="6:6" x14ac:dyDescent="0.3">
      <c r="F1463" s="14"/>
    </row>
    <row r="1464" spans="6:6" x14ac:dyDescent="0.3">
      <c r="F1464" s="14"/>
    </row>
    <row r="1465" spans="6:6" x14ac:dyDescent="0.3">
      <c r="F1465" s="14"/>
    </row>
    <row r="1466" spans="6:6" x14ac:dyDescent="0.3">
      <c r="F1466" s="14"/>
    </row>
    <row r="1467" spans="6:6" x14ac:dyDescent="0.3">
      <c r="F1467" s="14"/>
    </row>
    <row r="1468" spans="6:6" x14ac:dyDescent="0.3">
      <c r="F1468" s="14"/>
    </row>
    <row r="1469" spans="6:6" x14ac:dyDescent="0.3">
      <c r="F1469" s="14"/>
    </row>
    <row r="1470" spans="6:6" x14ac:dyDescent="0.3">
      <c r="F1470" s="14"/>
    </row>
    <row r="1471" spans="6:6" x14ac:dyDescent="0.3">
      <c r="F1471" s="14"/>
    </row>
    <row r="1472" spans="6:6" x14ac:dyDescent="0.3">
      <c r="F1472" s="14"/>
    </row>
    <row r="1473" spans="6:6" x14ac:dyDescent="0.3">
      <c r="F1473" s="14"/>
    </row>
    <row r="1474" spans="6:6" x14ac:dyDescent="0.3">
      <c r="F1474" s="14"/>
    </row>
    <row r="1475" spans="6:6" x14ac:dyDescent="0.3">
      <c r="F1475" s="14"/>
    </row>
    <row r="1476" spans="6:6" x14ac:dyDescent="0.3">
      <c r="F1476" s="14"/>
    </row>
    <row r="1477" spans="6:6" x14ac:dyDescent="0.3">
      <c r="F1477" s="14"/>
    </row>
    <row r="1478" spans="6:6" x14ac:dyDescent="0.3">
      <c r="F1478" s="14"/>
    </row>
    <row r="1479" spans="6:6" x14ac:dyDescent="0.3">
      <c r="F1479" s="14"/>
    </row>
    <row r="1480" spans="6:6" x14ac:dyDescent="0.3">
      <c r="F1480" s="14"/>
    </row>
    <row r="1481" spans="6:6" x14ac:dyDescent="0.3">
      <c r="F1481" s="14"/>
    </row>
    <row r="1482" spans="6:6" x14ac:dyDescent="0.3">
      <c r="F1482" s="14"/>
    </row>
    <row r="1483" spans="6:6" x14ac:dyDescent="0.3">
      <c r="F1483" s="14"/>
    </row>
    <row r="1484" spans="6:6" x14ac:dyDescent="0.3">
      <c r="F1484" s="14"/>
    </row>
    <row r="1485" spans="6:6" x14ac:dyDescent="0.3">
      <c r="F1485" s="14"/>
    </row>
    <row r="1486" spans="6:6" x14ac:dyDescent="0.3">
      <c r="F1486" s="14"/>
    </row>
    <row r="1487" spans="6:6" x14ac:dyDescent="0.3">
      <c r="F1487" s="14"/>
    </row>
    <row r="1488" spans="6:6" x14ac:dyDescent="0.3">
      <c r="F1488" s="14"/>
    </row>
    <row r="1489" spans="6:6" x14ac:dyDescent="0.3">
      <c r="F1489" s="14"/>
    </row>
    <row r="1490" spans="6:6" x14ac:dyDescent="0.3">
      <c r="F1490" s="14"/>
    </row>
    <row r="1491" spans="6:6" x14ac:dyDescent="0.3">
      <c r="F1491" s="14"/>
    </row>
    <row r="1492" spans="6:6" x14ac:dyDescent="0.3">
      <c r="F1492" s="14"/>
    </row>
    <row r="1493" spans="6:6" x14ac:dyDescent="0.3">
      <c r="F1493" s="14"/>
    </row>
    <row r="1494" spans="6:6" x14ac:dyDescent="0.3">
      <c r="F1494" s="14"/>
    </row>
    <row r="1495" spans="6:6" x14ac:dyDescent="0.3">
      <c r="F1495" s="14"/>
    </row>
    <row r="1496" spans="6:6" x14ac:dyDescent="0.3">
      <c r="F1496" s="14"/>
    </row>
    <row r="1497" spans="6:6" x14ac:dyDescent="0.3">
      <c r="F1497" s="14"/>
    </row>
    <row r="1498" spans="6:6" x14ac:dyDescent="0.3">
      <c r="F1498" s="14"/>
    </row>
    <row r="1499" spans="6:6" x14ac:dyDescent="0.3">
      <c r="F1499" s="14"/>
    </row>
    <row r="1500" spans="6:6" x14ac:dyDescent="0.3">
      <c r="F1500" s="14"/>
    </row>
    <row r="1501" spans="6:6" x14ac:dyDescent="0.3">
      <c r="F1501" s="14"/>
    </row>
    <row r="1502" spans="6:6" x14ac:dyDescent="0.3">
      <c r="F1502" s="14"/>
    </row>
    <row r="1503" spans="6:6" x14ac:dyDescent="0.3">
      <c r="F1503" s="14"/>
    </row>
    <row r="1504" spans="6:6" x14ac:dyDescent="0.3">
      <c r="F1504" s="14"/>
    </row>
    <row r="1505" spans="6:6" x14ac:dyDescent="0.3">
      <c r="F1505" s="14"/>
    </row>
    <row r="1506" spans="6:6" x14ac:dyDescent="0.3">
      <c r="F1506" s="14"/>
    </row>
    <row r="1507" spans="6:6" x14ac:dyDescent="0.3">
      <c r="F1507" s="14"/>
    </row>
    <row r="1508" spans="6:6" x14ac:dyDescent="0.3">
      <c r="F1508" s="14"/>
    </row>
    <row r="1509" spans="6:6" x14ac:dyDescent="0.3">
      <c r="F1509" s="14"/>
    </row>
    <row r="1510" spans="6:6" x14ac:dyDescent="0.3">
      <c r="F1510" s="14"/>
    </row>
    <row r="1511" spans="6:6" x14ac:dyDescent="0.3">
      <c r="F1511" s="14"/>
    </row>
    <row r="1512" spans="6:6" x14ac:dyDescent="0.3">
      <c r="F1512" s="14"/>
    </row>
    <row r="1513" spans="6:6" x14ac:dyDescent="0.3">
      <c r="F1513" s="14"/>
    </row>
    <row r="1514" spans="6:6" x14ac:dyDescent="0.3">
      <c r="F1514" s="14"/>
    </row>
    <row r="1515" spans="6:6" x14ac:dyDescent="0.3">
      <c r="F1515" s="14"/>
    </row>
    <row r="1516" spans="6:6" x14ac:dyDescent="0.3">
      <c r="F1516" s="14"/>
    </row>
    <row r="1517" spans="6:6" x14ac:dyDescent="0.3">
      <c r="F1517" s="14"/>
    </row>
    <row r="1518" spans="6:6" x14ac:dyDescent="0.3">
      <c r="F1518" s="14"/>
    </row>
    <row r="1519" spans="6:6" x14ac:dyDescent="0.3">
      <c r="F1519" s="14"/>
    </row>
    <row r="1520" spans="6:6" x14ac:dyDescent="0.3">
      <c r="F1520" s="14"/>
    </row>
    <row r="1521" spans="6:6" x14ac:dyDescent="0.3">
      <c r="F1521" s="14"/>
    </row>
    <row r="1522" spans="6:6" x14ac:dyDescent="0.3">
      <c r="F1522" s="14"/>
    </row>
    <row r="1523" spans="6:6" x14ac:dyDescent="0.3">
      <c r="F1523" s="14"/>
    </row>
    <row r="1524" spans="6:6" x14ac:dyDescent="0.3">
      <c r="F1524" s="14"/>
    </row>
    <row r="1525" spans="6:6" x14ac:dyDescent="0.3">
      <c r="F1525" s="14"/>
    </row>
    <row r="1526" spans="6:6" x14ac:dyDescent="0.3">
      <c r="F1526" s="14"/>
    </row>
    <row r="1527" spans="6:6" x14ac:dyDescent="0.3">
      <c r="F1527" s="14"/>
    </row>
    <row r="1528" spans="6:6" x14ac:dyDescent="0.3">
      <c r="F1528" s="14"/>
    </row>
    <row r="1529" spans="6:6" x14ac:dyDescent="0.3">
      <c r="F1529" s="14"/>
    </row>
    <row r="1530" spans="6:6" x14ac:dyDescent="0.3">
      <c r="F1530" s="14"/>
    </row>
    <row r="1531" spans="6:6" x14ac:dyDescent="0.3">
      <c r="F1531" s="14"/>
    </row>
    <row r="1532" spans="6:6" x14ac:dyDescent="0.3">
      <c r="F1532" s="14"/>
    </row>
    <row r="1533" spans="6:6" x14ac:dyDescent="0.3">
      <c r="F1533" s="14"/>
    </row>
    <row r="1534" spans="6:6" x14ac:dyDescent="0.3">
      <c r="F1534" s="14"/>
    </row>
    <row r="1535" spans="6:6" x14ac:dyDescent="0.3">
      <c r="F1535" s="14"/>
    </row>
    <row r="1536" spans="6:6" x14ac:dyDescent="0.3">
      <c r="F1536" s="14"/>
    </row>
    <row r="1537" spans="6:6" x14ac:dyDescent="0.3">
      <c r="F1537" s="14"/>
    </row>
    <row r="1538" spans="6:6" x14ac:dyDescent="0.3">
      <c r="F1538" s="14"/>
    </row>
    <row r="1539" spans="6:6" x14ac:dyDescent="0.3">
      <c r="F1539" s="14"/>
    </row>
    <row r="1540" spans="6:6" x14ac:dyDescent="0.3">
      <c r="F1540" s="14"/>
    </row>
    <row r="1541" spans="6:6" x14ac:dyDescent="0.3">
      <c r="F1541" s="14"/>
    </row>
    <row r="1542" spans="6:6" x14ac:dyDescent="0.3">
      <c r="F1542" s="14"/>
    </row>
    <row r="1543" spans="6:6" x14ac:dyDescent="0.3">
      <c r="F1543" s="14"/>
    </row>
    <row r="1544" spans="6:6" x14ac:dyDescent="0.3">
      <c r="F1544" s="14"/>
    </row>
    <row r="1545" spans="6:6" x14ac:dyDescent="0.3">
      <c r="F1545" s="14"/>
    </row>
    <row r="1546" spans="6:6" x14ac:dyDescent="0.3">
      <c r="F1546" s="14"/>
    </row>
    <row r="1547" spans="6:6" x14ac:dyDescent="0.3">
      <c r="F1547" s="14"/>
    </row>
    <row r="1548" spans="6:6" x14ac:dyDescent="0.3">
      <c r="F1548" s="14"/>
    </row>
    <row r="1549" spans="6:6" x14ac:dyDescent="0.3">
      <c r="F1549" s="14"/>
    </row>
    <row r="1550" spans="6:6" x14ac:dyDescent="0.3">
      <c r="F1550" s="14"/>
    </row>
    <row r="1551" spans="6:6" x14ac:dyDescent="0.3">
      <c r="F1551" s="14"/>
    </row>
    <row r="1552" spans="6:6" x14ac:dyDescent="0.3">
      <c r="F1552" s="14"/>
    </row>
    <row r="1553" spans="6:6" x14ac:dyDescent="0.3">
      <c r="F1553" s="14"/>
    </row>
    <row r="1554" spans="6:6" x14ac:dyDescent="0.3">
      <c r="F1554" s="14"/>
    </row>
    <row r="1555" spans="6:6" x14ac:dyDescent="0.3">
      <c r="F1555" s="14"/>
    </row>
    <row r="1556" spans="6:6" x14ac:dyDescent="0.3">
      <c r="F1556" s="14"/>
    </row>
    <row r="1557" spans="6:6" x14ac:dyDescent="0.3">
      <c r="F1557" s="14"/>
    </row>
    <row r="1558" spans="6:6" x14ac:dyDescent="0.3">
      <c r="F1558" s="14"/>
    </row>
    <row r="1559" spans="6:6" x14ac:dyDescent="0.3">
      <c r="F1559" s="14"/>
    </row>
    <row r="1560" spans="6:6" x14ac:dyDescent="0.3">
      <c r="F1560" s="14"/>
    </row>
    <row r="1561" spans="6:6" x14ac:dyDescent="0.3">
      <c r="F1561" s="14"/>
    </row>
    <row r="1562" spans="6:6" x14ac:dyDescent="0.3">
      <c r="F1562" s="14"/>
    </row>
    <row r="1563" spans="6:6" x14ac:dyDescent="0.3">
      <c r="F1563" s="14"/>
    </row>
    <row r="1564" spans="6:6" x14ac:dyDescent="0.3">
      <c r="F1564" s="14"/>
    </row>
    <row r="1565" spans="6:6" x14ac:dyDescent="0.3">
      <c r="F1565" s="14"/>
    </row>
    <row r="1566" spans="6:6" x14ac:dyDescent="0.3">
      <c r="F1566" s="14"/>
    </row>
    <row r="1567" spans="6:6" x14ac:dyDescent="0.3">
      <c r="F1567" s="14"/>
    </row>
    <row r="1568" spans="6:6" x14ac:dyDescent="0.3">
      <c r="F1568" s="14"/>
    </row>
    <row r="1569" spans="6:6" x14ac:dyDescent="0.3">
      <c r="F1569" s="14"/>
    </row>
    <row r="1570" spans="6:6" x14ac:dyDescent="0.3">
      <c r="F1570" s="14"/>
    </row>
    <row r="1571" spans="6:6" x14ac:dyDescent="0.3">
      <c r="F1571" s="14"/>
    </row>
    <row r="1572" spans="6:6" x14ac:dyDescent="0.3">
      <c r="F1572" s="14"/>
    </row>
    <row r="1573" spans="6:6" x14ac:dyDescent="0.3">
      <c r="F1573" s="14"/>
    </row>
    <row r="1574" spans="6:6" x14ac:dyDescent="0.3">
      <c r="F1574" s="14"/>
    </row>
    <row r="1575" spans="6:6" x14ac:dyDescent="0.3">
      <c r="F1575" s="14"/>
    </row>
    <row r="1576" spans="6:6" x14ac:dyDescent="0.3">
      <c r="F1576" s="14"/>
    </row>
    <row r="1577" spans="6:6" x14ac:dyDescent="0.3">
      <c r="F1577" s="14"/>
    </row>
    <row r="1578" spans="6:6" x14ac:dyDescent="0.3">
      <c r="F1578" s="14"/>
    </row>
    <row r="1579" spans="6:6" x14ac:dyDescent="0.3">
      <c r="F1579" s="14"/>
    </row>
    <row r="1580" spans="6:6" x14ac:dyDescent="0.3">
      <c r="F1580" s="14"/>
    </row>
    <row r="1581" spans="6:6" x14ac:dyDescent="0.3">
      <c r="F1581" s="14"/>
    </row>
    <row r="1582" spans="6:6" x14ac:dyDescent="0.3">
      <c r="F1582" s="14"/>
    </row>
    <row r="1583" spans="6:6" x14ac:dyDescent="0.3">
      <c r="F1583" s="14"/>
    </row>
    <row r="1584" spans="6:6" x14ac:dyDescent="0.3">
      <c r="F1584" s="14"/>
    </row>
    <row r="1585" spans="6:6" x14ac:dyDescent="0.3">
      <c r="F1585" s="14"/>
    </row>
    <row r="1586" spans="6:6" x14ac:dyDescent="0.3">
      <c r="F1586" s="14"/>
    </row>
    <row r="1587" spans="6:6" x14ac:dyDescent="0.3">
      <c r="F1587" s="14"/>
    </row>
    <row r="1588" spans="6:6" x14ac:dyDescent="0.3">
      <c r="F1588" s="14"/>
    </row>
    <row r="1589" spans="6:6" x14ac:dyDescent="0.3">
      <c r="F1589" s="14"/>
    </row>
    <row r="1590" spans="6:6" x14ac:dyDescent="0.3">
      <c r="F1590" s="14"/>
    </row>
    <row r="1591" spans="6:6" x14ac:dyDescent="0.3">
      <c r="F1591" s="14"/>
    </row>
    <row r="1592" spans="6:6" x14ac:dyDescent="0.3">
      <c r="F1592" s="14"/>
    </row>
    <row r="1593" spans="6:6" x14ac:dyDescent="0.3">
      <c r="F1593" s="14"/>
    </row>
    <row r="1594" spans="6:6" x14ac:dyDescent="0.3">
      <c r="F1594" s="14"/>
    </row>
    <row r="1595" spans="6:6" x14ac:dyDescent="0.3">
      <c r="F1595" s="14"/>
    </row>
    <row r="1596" spans="6:6" x14ac:dyDescent="0.3">
      <c r="F1596" s="14"/>
    </row>
    <row r="1597" spans="6:6" x14ac:dyDescent="0.3">
      <c r="F1597" s="14"/>
    </row>
    <row r="1598" spans="6:6" x14ac:dyDescent="0.3">
      <c r="F1598" s="14"/>
    </row>
    <row r="1599" spans="6:6" x14ac:dyDescent="0.3">
      <c r="F1599" s="14"/>
    </row>
    <row r="1600" spans="6:6" x14ac:dyDescent="0.3">
      <c r="F1600" s="14"/>
    </row>
    <row r="1601" spans="6:6" x14ac:dyDescent="0.3">
      <c r="F1601" s="14"/>
    </row>
    <row r="1602" spans="6:6" x14ac:dyDescent="0.3">
      <c r="F1602" s="14"/>
    </row>
    <row r="1603" spans="6:6" x14ac:dyDescent="0.3">
      <c r="F1603" s="14"/>
    </row>
    <row r="1604" spans="6:6" x14ac:dyDescent="0.3">
      <c r="F1604" s="14"/>
    </row>
    <row r="1605" spans="6:6" x14ac:dyDescent="0.3">
      <c r="F1605" s="14"/>
    </row>
    <row r="1606" spans="6:6" x14ac:dyDescent="0.3">
      <c r="F1606" s="14"/>
    </row>
    <row r="1607" spans="6:6" x14ac:dyDescent="0.3">
      <c r="F1607" s="14"/>
    </row>
    <row r="1608" spans="6:6" x14ac:dyDescent="0.3">
      <c r="F1608" s="14"/>
    </row>
    <row r="1609" spans="6:6" x14ac:dyDescent="0.3">
      <c r="F1609" s="14"/>
    </row>
    <row r="1610" spans="6:6" x14ac:dyDescent="0.3">
      <c r="F1610" s="14"/>
    </row>
    <row r="1611" spans="6:6" x14ac:dyDescent="0.3">
      <c r="F1611" s="14"/>
    </row>
    <row r="1612" spans="6:6" x14ac:dyDescent="0.3">
      <c r="F1612" s="14"/>
    </row>
    <row r="1613" spans="6:6" x14ac:dyDescent="0.3">
      <c r="F1613" s="14"/>
    </row>
    <row r="1614" spans="6:6" x14ac:dyDescent="0.3">
      <c r="F1614" s="14"/>
    </row>
    <row r="1615" spans="6:6" x14ac:dyDescent="0.3">
      <c r="F1615" s="14"/>
    </row>
    <row r="1616" spans="6:6" x14ac:dyDescent="0.3">
      <c r="F1616" s="14"/>
    </row>
    <row r="1617" spans="6:6" x14ac:dyDescent="0.3">
      <c r="F1617" s="14"/>
    </row>
    <row r="1618" spans="6:6" x14ac:dyDescent="0.3">
      <c r="F1618" s="14"/>
    </row>
    <row r="1619" spans="6:6" x14ac:dyDescent="0.3">
      <c r="F1619" s="14"/>
    </row>
    <row r="1620" spans="6:6" x14ac:dyDescent="0.3">
      <c r="F1620" s="14"/>
    </row>
    <row r="1621" spans="6:6" x14ac:dyDescent="0.3">
      <c r="F1621" s="14"/>
    </row>
    <row r="1622" spans="6:6" x14ac:dyDescent="0.3">
      <c r="F1622" s="14"/>
    </row>
    <row r="1623" spans="6:6" x14ac:dyDescent="0.3">
      <c r="F1623" s="14"/>
    </row>
    <row r="1624" spans="6:6" x14ac:dyDescent="0.3">
      <c r="F1624" s="14"/>
    </row>
    <row r="1625" spans="6:6" x14ac:dyDescent="0.3">
      <c r="F1625" s="14"/>
    </row>
    <row r="1626" spans="6:6" x14ac:dyDescent="0.3">
      <c r="F1626" s="14"/>
    </row>
    <row r="1627" spans="6:6" x14ac:dyDescent="0.3">
      <c r="F1627" s="14"/>
    </row>
    <row r="1628" spans="6:6" x14ac:dyDescent="0.3">
      <c r="F1628" s="14"/>
    </row>
    <row r="1629" spans="6:6" x14ac:dyDescent="0.3">
      <c r="F1629" s="14"/>
    </row>
    <row r="1630" spans="6:6" x14ac:dyDescent="0.3">
      <c r="F1630" s="14"/>
    </row>
    <row r="1631" spans="6:6" x14ac:dyDescent="0.3">
      <c r="F1631" s="14"/>
    </row>
    <row r="1632" spans="6:6" x14ac:dyDescent="0.3">
      <c r="F1632" s="14"/>
    </row>
    <row r="1633" spans="6:6" x14ac:dyDescent="0.3">
      <c r="F1633" s="14"/>
    </row>
    <row r="1634" spans="6:6" x14ac:dyDescent="0.3">
      <c r="F1634" s="14"/>
    </row>
    <row r="1635" spans="6:6" x14ac:dyDescent="0.3">
      <c r="F1635" s="14"/>
    </row>
    <row r="1636" spans="6:6" x14ac:dyDescent="0.3">
      <c r="F1636" s="14"/>
    </row>
    <row r="1637" spans="6:6" x14ac:dyDescent="0.3">
      <c r="F1637" s="14"/>
    </row>
    <row r="1638" spans="6:6" x14ac:dyDescent="0.3">
      <c r="F1638" s="14"/>
    </row>
    <row r="1639" spans="6:6" x14ac:dyDescent="0.3">
      <c r="F1639" s="14"/>
    </row>
    <row r="1640" spans="6:6" x14ac:dyDescent="0.3">
      <c r="F1640" s="14"/>
    </row>
    <row r="1641" spans="6:6" x14ac:dyDescent="0.3">
      <c r="F1641" s="14"/>
    </row>
    <row r="1642" spans="6:6" x14ac:dyDescent="0.3">
      <c r="F1642" s="14"/>
    </row>
    <row r="1643" spans="6:6" x14ac:dyDescent="0.3">
      <c r="F1643" s="14"/>
    </row>
    <row r="1644" spans="6:6" x14ac:dyDescent="0.3">
      <c r="F1644" s="14"/>
    </row>
    <row r="1645" spans="6:6" x14ac:dyDescent="0.3">
      <c r="F1645" s="14"/>
    </row>
    <row r="1646" spans="6:6" x14ac:dyDescent="0.3">
      <c r="F1646" s="14"/>
    </row>
    <row r="1647" spans="6:6" x14ac:dyDescent="0.3">
      <c r="F1647" s="14"/>
    </row>
    <row r="1648" spans="6:6" x14ac:dyDescent="0.3">
      <c r="F1648" s="14"/>
    </row>
    <row r="1649" spans="6:6" x14ac:dyDescent="0.3">
      <c r="F1649" s="14"/>
    </row>
    <row r="1650" spans="6:6" x14ac:dyDescent="0.3">
      <c r="F1650" s="14"/>
    </row>
    <row r="1651" spans="6:6" x14ac:dyDescent="0.3">
      <c r="F1651" s="14"/>
    </row>
    <row r="1652" spans="6:6" x14ac:dyDescent="0.3">
      <c r="F1652" s="14"/>
    </row>
    <row r="1653" spans="6:6" x14ac:dyDescent="0.3">
      <c r="F1653" s="14"/>
    </row>
    <row r="1654" spans="6:6" x14ac:dyDescent="0.3">
      <c r="F1654" s="14"/>
    </row>
    <row r="1655" spans="6:6" x14ac:dyDescent="0.3">
      <c r="F1655" s="14"/>
    </row>
    <row r="1656" spans="6:6" x14ac:dyDescent="0.3">
      <c r="F1656" s="14"/>
    </row>
    <row r="1657" spans="6:6" x14ac:dyDescent="0.3">
      <c r="F1657" s="14"/>
    </row>
    <row r="1658" spans="6:6" x14ac:dyDescent="0.3">
      <c r="F1658" s="14"/>
    </row>
    <row r="1659" spans="6:6" x14ac:dyDescent="0.3">
      <c r="F1659" s="14"/>
    </row>
    <row r="1660" spans="6:6" x14ac:dyDescent="0.3">
      <c r="F1660" s="14"/>
    </row>
    <row r="1661" spans="6:6" x14ac:dyDescent="0.3">
      <c r="F1661" s="14"/>
    </row>
    <row r="1662" spans="6:6" x14ac:dyDescent="0.3">
      <c r="F1662" s="14"/>
    </row>
    <row r="1663" spans="6:6" x14ac:dyDescent="0.3">
      <c r="F1663" s="14"/>
    </row>
    <row r="1664" spans="6:6" x14ac:dyDescent="0.3">
      <c r="F1664" s="14"/>
    </row>
    <row r="1665" spans="6:6" x14ac:dyDescent="0.3">
      <c r="F1665" s="14"/>
    </row>
    <row r="1666" spans="6:6" x14ac:dyDescent="0.3">
      <c r="F1666" s="14"/>
    </row>
    <row r="1667" spans="6:6" x14ac:dyDescent="0.3">
      <c r="F1667" s="14"/>
    </row>
    <row r="1668" spans="6:6" x14ac:dyDescent="0.3">
      <c r="F1668" s="14"/>
    </row>
    <row r="1669" spans="6:6" x14ac:dyDescent="0.3">
      <c r="F1669" s="14"/>
    </row>
    <row r="1670" spans="6:6" x14ac:dyDescent="0.3">
      <c r="F1670" s="14"/>
    </row>
    <row r="1671" spans="6:6" x14ac:dyDescent="0.3">
      <c r="F1671" s="14"/>
    </row>
    <row r="1672" spans="6:6" x14ac:dyDescent="0.3">
      <c r="F1672" s="14"/>
    </row>
    <row r="1673" spans="6:6" x14ac:dyDescent="0.3">
      <c r="F1673" s="14"/>
    </row>
    <row r="1674" spans="6:6" x14ac:dyDescent="0.3">
      <c r="F1674" s="14"/>
    </row>
    <row r="1675" spans="6:6" x14ac:dyDescent="0.3">
      <c r="F1675" s="14"/>
    </row>
    <row r="1676" spans="6:6" x14ac:dyDescent="0.3">
      <c r="F1676" s="14"/>
    </row>
    <row r="1677" spans="6:6" x14ac:dyDescent="0.3">
      <c r="F1677" s="14"/>
    </row>
    <row r="1678" spans="6:6" x14ac:dyDescent="0.3">
      <c r="F1678" s="14"/>
    </row>
    <row r="1679" spans="6:6" x14ac:dyDescent="0.3">
      <c r="F1679" s="14"/>
    </row>
    <row r="1680" spans="6:6" x14ac:dyDescent="0.3">
      <c r="F1680" s="14"/>
    </row>
    <row r="1681" spans="6:6" x14ac:dyDescent="0.3">
      <c r="F1681" s="14"/>
    </row>
    <row r="1682" spans="6:6" x14ac:dyDescent="0.3">
      <c r="F1682" s="14"/>
    </row>
    <row r="1683" spans="6:6" x14ac:dyDescent="0.3">
      <c r="F1683" s="14"/>
    </row>
    <row r="1684" spans="6:6" x14ac:dyDescent="0.3">
      <c r="F1684" s="14"/>
    </row>
    <row r="1685" spans="6:6" x14ac:dyDescent="0.3">
      <c r="F1685" s="14"/>
    </row>
    <row r="1686" spans="6:6" x14ac:dyDescent="0.3">
      <c r="F1686" s="14"/>
    </row>
    <row r="1687" spans="6:6" x14ac:dyDescent="0.3">
      <c r="F1687" s="14"/>
    </row>
    <row r="1688" spans="6:6" x14ac:dyDescent="0.3">
      <c r="F1688" s="14"/>
    </row>
    <row r="1689" spans="6:6" x14ac:dyDescent="0.3">
      <c r="F1689" s="14"/>
    </row>
    <row r="1690" spans="6:6" x14ac:dyDescent="0.3">
      <c r="F1690" s="14"/>
    </row>
    <row r="1691" spans="6:6" x14ac:dyDescent="0.3">
      <c r="F1691" s="14"/>
    </row>
    <row r="1692" spans="6:6" x14ac:dyDescent="0.3">
      <c r="F1692" s="14"/>
    </row>
    <row r="1693" spans="6:6" x14ac:dyDescent="0.3">
      <c r="F1693" s="14"/>
    </row>
    <row r="1694" spans="6:6" x14ac:dyDescent="0.3">
      <c r="F1694" s="14"/>
    </row>
    <row r="1695" spans="6:6" x14ac:dyDescent="0.3">
      <c r="F1695" s="14"/>
    </row>
    <row r="1696" spans="6:6" x14ac:dyDescent="0.3">
      <c r="F1696" s="14"/>
    </row>
    <row r="1697" spans="6:6" x14ac:dyDescent="0.3">
      <c r="F1697" s="14"/>
    </row>
    <row r="1698" spans="6:6" x14ac:dyDescent="0.3">
      <c r="F1698" s="14"/>
    </row>
    <row r="1699" spans="6:6" x14ac:dyDescent="0.3">
      <c r="F1699" s="14"/>
    </row>
    <row r="1700" spans="6:6" x14ac:dyDescent="0.3">
      <c r="F1700" s="14"/>
    </row>
    <row r="1701" spans="6:6" x14ac:dyDescent="0.3">
      <c r="F1701" s="14"/>
    </row>
    <row r="1702" spans="6:6" x14ac:dyDescent="0.3">
      <c r="F1702" s="14"/>
    </row>
    <row r="1703" spans="6:6" x14ac:dyDescent="0.3">
      <c r="F1703" s="14"/>
    </row>
    <row r="1704" spans="6:6" x14ac:dyDescent="0.3">
      <c r="F1704" s="14"/>
    </row>
    <row r="1705" spans="6:6" x14ac:dyDescent="0.3">
      <c r="F1705" s="14"/>
    </row>
    <row r="1706" spans="6:6" x14ac:dyDescent="0.3">
      <c r="F1706" s="14"/>
    </row>
    <row r="1707" spans="6:6" x14ac:dyDescent="0.3">
      <c r="F1707" s="14"/>
    </row>
    <row r="1708" spans="6:6" x14ac:dyDescent="0.3">
      <c r="F1708" s="14"/>
    </row>
    <row r="1709" spans="6:6" x14ac:dyDescent="0.3">
      <c r="F1709" s="14"/>
    </row>
    <row r="1710" spans="6:6" x14ac:dyDescent="0.3">
      <c r="F1710" s="14"/>
    </row>
    <row r="1711" spans="6:6" x14ac:dyDescent="0.3">
      <c r="F1711" s="14"/>
    </row>
    <row r="1712" spans="6:6" x14ac:dyDescent="0.3">
      <c r="F1712" s="14"/>
    </row>
    <row r="1713" spans="6:6" x14ac:dyDescent="0.3">
      <c r="F1713" s="14"/>
    </row>
    <row r="1714" spans="6:6" x14ac:dyDescent="0.3">
      <c r="F1714" s="14"/>
    </row>
    <row r="1715" spans="6:6" x14ac:dyDescent="0.3">
      <c r="F1715" s="14"/>
    </row>
    <row r="1716" spans="6:6" x14ac:dyDescent="0.3">
      <c r="F1716" s="14"/>
    </row>
    <row r="1717" spans="6:6" x14ac:dyDescent="0.3">
      <c r="F1717" s="14"/>
    </row>
    <row r="1718" spans="6:6" x14ac:dyDescent="0.3">
      <c r="F1718" s="14"/>
    </row>
    <row r="1719" spans="6:6" x14ac:dyDescent="0.3">
      <c r="F1719" s="14"/>
    </row>
    <row r="1720" spans="6:6" x14ac:dyDescent="0.3">
      <c r="F1720" s="14"/>
    </row>
    <row r="1721" spans="6:6" x14ac:dyDescent="0.3">
      <c r="F1721" s="14"/>
    </row>
    <row r="1722" spans="6:6" x14ac:dyDescent="0.3">
      <c r="F1722" s="14"/>
    </row>
    <row r="1723" spans="6:6" x14ac:dyDescent="0.3">
      <c r="F1723" s="14"/>
    </row>
    <row r="1724" spans="6:6" x14ac:dyDescent="0.3">
      <c r="F1724" s="14"/>
    </row>
    <row r="1725" spans="6:6" x14ac:dyDescent="0.3">
      <c r="F1725" s="14"/>
    </row>
    <row r="1726" spans="6:6" x14ac:dyDescent="0.3">
      <c r="F1726" s="14"/>
    </row>
    <row r="1727" spans="6:6" x14ac:dyDescent="0.3">
      <c r="F1727" s="14"/>
    </row>
    <row r="1728" spans="6:6" x14ac:dyDescent="0.3">
      <c r="F1728" s="14"/>
    </row>
    <row r="1729" spans="6:6" x14ac:dyDescent="0.3">
      <c r="F1729" s="14"/>
    </row>
    <row r="1730" spans="6:6" x14ac:dyDescent="0.3">
      <c r="F1730" s="14"/>
    </row>
    <row r="1731" spans="6:6" x14ac:dyDescent="0.3">
      <c r="F1731" s="14"/>
    </row>
    <row r="1732" spans="6:6" x14ac:dyDescent="0.3">
      <c r="F1732" s="14"/>
    </row>
    <row r="1733" spans="6:6" x14ac:dyDescent="0.3">
      <c r="F1733" s="14"/>
    </row>
    <row r="1734" spans="6:6" x14ac:dyDescent="0.3">
      <c r="F1734" s="14"/>
    </row>
    <row r="1735" spans="6:6" x14ac:dyDescent="0.3">
      <c r="F1735" s="14"/>
    </row>
    <row r="1736" spans="6:6" x14ac:dyDescent="0.3">
      <c r="F1736" s="14"/>
    </row>
    <row r="1737" spans="6:6" x14ac:dyDescent="0.3">
      <c r="F1737" s="14"/>
    </row>
    <row r="1738" spans="6:6" x14ac:dyDescent="0.3">
      <c r="F1738" s="14"/>
    </row>
    <row r="1739" spans="6:6" x14ac:dyDescent="0.3">
      <c r="F1739" s="14"/>
    </row>
    <row r="1740" spans="6:6" x14ac:dyDescent="0.3">
      <c r="F1740" s="14"/>
    </row>
    <row r="1741" spans="6:6" x14ac:dyDescent="0.3">
      <c r="F1741" s="14"/>
    </row>
    <row r="1742" spans="6:6" x14ac:dyDescent="0.3">
      <c r="F1742" s="14"/>
    </row>
    <row r="1743" spans="6:6" x14ac:dyDescent="0.3">
      <c r="F1743" s="14"/>
    </row>
    <row r="1744" spans="6:6" x14ac:dyDescent="0.3">
      <c r="F1744" s="14"/>
    </row>
    <row r="1745" spans="6:6" x14ac:dyDescent="0.3">
      <c r="F1745" s="14"/>
    </row>
    <row r="1746" spans="6:6" x14ac:dyDescent="0.3">
      <c r="F1746" s="14"/>
    </row>
    <row r="1747" spans="6:6" x14ac:dyDescent="0.3">
      <c r="F1747" s="14"/>
    </row>
    <row r="1748" spans="6:6" x14ac:dyDescent="0.3">
      <c r="F1748" s="14"/>
    </row>
    <row r="1749" spans="6:6" x14ac:dyDescent="0.3">
      <c r="F1749" s="14"/>
    </row>
    <row r="1750" spans="6:6" x14ac:dyDescent="0.3">
      <c r="F1750" s="14"/>
    </row>
    <row r="1751" spans="6:6" x14ac:dyDescent="0.3">
      <c r="F1751" s="14"/>
    </row>
    <row r="1752" spans="6:6" x14ac:dyDescent="0.3">
      <c r="F1752" s="14"/>
    </row>
    <row r="1753" spans="6:6" x14ac:dyDescent="0.3">
      <c r="F1753" s="14"/>
    </row>
    <row r="1754" spans="6:6" x14ac:dyDescent="0.3">
      <c r="F1754" s="14"/>
    </row>
    <row r="1755" spans="6:6" x14ac:dyDescent="0.3">
      <c r="F1755" s="14"/>
    </row>
    <row r="1756" spans="6:6" x14ac:dyDescent="0.3">
      <c r="F1756" s="14"/>
    </row>
    <row r="1757" spans="6:6" x14ac:dyDescent="0.3">
      <c r="F1757" s="14"/>
    </row>
    <row r="1758" spans="6:6" x14ac:dyDescent="0.3">
      <c r="F1758" s="14"/>
    </row>
    <row r="1759" spans="6:6" x14ac:dyDescent="0.3">
      <c r="F1759" s="14"/>
    </row>
    <row r="1760" spans="6:6" x14ac:dyDescent="0.3">
      <c r="F1760" s="14"/>
    </row>
    <row r="1761" spans="6:6" x14ac:dyDescent="0.3">
      <c r="F1761" s="14"/>
    </row>
    <row r="1762" spans="6:6" x14ac:dyDescent="0.3">
      <c r="F1762" s="14"/>
    </row>
    <row r="1763" spans="6:6" x14ac:dyDescent="0.3">
      <c r="F1763" s="14"/>
    </row>
    <row r="1764" spans="6:6" x14ac:dyDescent="0.3">
      <c r="F1764" s="14"/>
    </row>
    <row r="1765" spans="6:6" x14ac:dyDescent="0.3">
      <c r="F1765" s="14"/>
    </row>
    <row r="1766" spans="6:6" x14ac:dyDescent="0.3">
      <c r="F1766" s="14"/>
    </row>
    <row r="1767" spans="6:6" x14ac:dyDescent="0.3">
      <c r="F1767" s="14"/>
    </row>
    <row r="1768" spans="6:6" x14ac:dyDescent="0.3">
      <c r="F1768" s="14"/>
    </row>
    <row r="1769" spans="6:6" x14ac:dyDescent="0.3">
      <c r="F1769" s="14"/>
    </row>
    <row r="1770" spans="6:6" x14ac:dyDescent="0.3">
      <c r="F1770" s="14"/>
    </row>
    <row r="1771" spans="6:6" x14ac:dyDescent="0.3">
      <c r="F1771" s="14"/>
    </row>
    <row r="1772" spans="6:6" x14ac:dyDescent="0.3">
      <c r="F1772" s="14"/>
    </row>
    <row r="1773" spans="6:6" x14ac:dyDescent="0.3">
      <c r="F1773" s="14"/>
    </row>
    <row r="1774" spans="6:6" x14ac:dyDescent="0.3">
      <c r="F1774" s="14"/>
    </row>
    <row r="1775" spans="6:6" x14ac:dyDescent="0.3">
      <c r="F1775" s="14"/>
    </row>
    <row r="1776" spans="6:6" x14ac:dyDescent="0.3">
      <c r="F1776" s="14"/>
    </row>
    <row r="1777" spans="6:6" x14ac:dyDescent="0.3">
      <c r="F1777" s="14"/>
    </row>
    <row r="1778" spans="6:6" x14ac:dyDescent="0.3">
      <c r="F1778" s="14"/>
    </row>
    <row r="1779" spans="6:6" x14ac:dyDescent="0.3">
      <c r="F1779" s="14"/>
    </row>
    <row r="1780" spans="6:6" x14ac:dyDescent="0.3">
      <c r="F1780" s="14"/>
    </row>
    <row r="1781" spans="6:6" x14ac:dyDescent="0.3">
      <c r="F1781" s="14"/>
    </row>
    <row r="1782" spans="6:6" x14ac:dyDescent="0.3">
      <c r="F1782" s="14"/>
    </row>
    <row r="1783" spans="6:6" x14ac:dyDescent="0.3">
      <c r="F1783" s="14"/>
    </row>
    <row r="1784" spans="6:6" x14ac:dyDescent="0.3">
      <c r="F1784" s="14"/>
    </row>
    <row r="1785" spans="6:6" x14ac:dyDescent="0.3">
      <c r="F1785" s="14"/>
    </row>
    <row r="1786" spans="6:6" x14ac:dyDescent="0.3">
      <c r="F1786" s="14"/>
    </row>
    <row r="1787" spans="6:6" x14ac:dyDescent="0.3">
      <c r="F1787" s="14"/>
    </row>
    <row r="1788" spans="6:6" x14ac:dyDescent="0.3">
      <c r="F1788" s="14"/>
    </row>
    <row r="1789" spans="6:6" x14ac:dyDescent="0.3">
      <c r="F1789" s="14"/>
    </row>
    <row r="1790" spans="6:6" x14ac:dyDescent="0.3">
      <c r="F1790" s="14"/>
    </row>
    <row r="1791" spans="6:6" x14ac:dyDescent="0.3">
      <c r="F1791" s="14"/>
    </row>
    <row r="1792" spans="6:6" x14ac:dyDescent="0.3">
      <c r="F1792" s="14"/>
    </row>
    <row r="1793" spans="6:6" x14ac:dyDescent="0.3">
      <c r="F1793" s="14"/>
    </row>
    <row r="1794" spans="6:6" x14ac:dyDescent="0.3">
      <c r="F1794" s="14"/>
    </row>
    <row r="1795" spans="6:6" x14ac:dyDescent="0.3">
      <c r="F1795" s="14"/>
    </row>
    <row r="1796" spans="6:6" x14ac:dyDescent="0.3">
      <c r="F1796" s="14"/>
    </row>
    <row r="1797" spans="6:6" x14ac:dyDescent="0.3">
      <c r="F1797" s="14"/>
    </row>
    <row r="1798" spans="6:6" x14ac:dyDescent="0.3">
      <c r="F1798" s="14"/>
    </row>
    <row r="1799" spans="6:6" x14ac:dyDescent="0.3">
      <c r="F1799" s="14"/>
    </row>
    <row r="1800" spans="6:6" x14ac:dyDescent="0.3">
      <c r="F1800" s="14"/>
    </row>
    <row r="1801" spans="6:6" x14ac:dyDescent="0.3">
      <c r="F1801" s="14"/>
    </row>
    <row r="1802" spans="6:6" x14ac:dyDescent="0.3">
      <c r="F1802" s="14"/>
    </row>
    <row r="1803" spans="6:6" x14ac:dyDescent="0.3">
      <c r="F1803" s="14"/>
    </row>
    <row r="1804" spans="6:6" x14ac:dyDescent="0.3">
      <c r="F1804" s="14"/>
    </row>
    <row r="1805" spans="6:6" x14ac:dyDescent="0.3">
      <c r="F1805" s="14"/>
    </row>
    <row r="1806" spans="6:6" x14ac:dyDescent="0.3">
      <c r="F1806" s="14"/>
    </row>
    <row r="1807" spans="6:6" x14ac:dyDescent="0.3">
      <c r="F1807" s="14"/>
    </row>
    <row r="1808" spans="6:6" x14ac:dyDescent="0.3">
      <c r="F1808" s="14"/>
    </row>
    <row r="1809" spans="6:6" x14ac:dyDescent="0.3">
      <c r="F1809" s="14"/>
    </row>
    <row r="1810" spans="6:6" x14ac:dyDescent="0.3">
      <c r="F1810" s="14"/>
    </row>
    <row r="1811" spans="6:6" x14ac:dyDescent="0.3">
      <c r="F1811" s="14"/>
    </row>
    <row r="1812" spans="6:6" x14ac:dyDescent="0.3">
      <c r="F1812" s="14"/>
    </row>
    <row r="1813" spans="6:6" x14ac:dyDescent="0.3">
      <c r="F1813" s="14"/>
    </row>
    <row r="1814" spans="6:6" x14ac:dyDescent="0.3">
      <c r="F1814" s="14"/>
    </row>
    <row r="1815" spans="6:6" x14ac:dyDescent="0.3">
      <c r="F1815" s="14"/>
    </row>
    <row r="1816" spans="6:6" x14ac:dyDescent="0.3">
      <c r="F1816" s="14"/>
    </row>
    <row r="1817" spans="6:6" x14ac:dyDescent="0.3">
      <c r="F1817" s="14"/>
    </row>
    <row r="1818" spans="6:6" x14ac:dyDescent="0.3">
      <c r="F1818" s="14"/>
    </row>
    <row r="1819" spans="6:6" x14ac:dyDescent="0.3">
      <c r="F1819" s="14"/>
    </row>
    <row r="1820" spans="6:6" x14ac:dyDescent="0.3">
      <c r="F1820" s="14"/>
    </row>
    <row r="1821" spans="6:6" x14ac:dyDescent="0.3">
      <c r="F1821" s="14"/>
    </row>
    <row r="1822" spans="6:6" x14ac:dyDescent="0.3">
      <c r="F1822" s="14"/>
    </row>
    <row r="1823" spans="6:6" x14ac:dyDescent="0.3">
      <c r="F1823" s="14"/>
    </row>
    <row r="1824" spans="6:6" x14ac:dyDescent="0.3">
      <c r="F1824" s="14"/>
    </row>
    <row r="1825" spans="6:6" x14ac:dyDescent="0.3">
      <c r="F1825" s="14"/>
    </row>
    <row r="1826" spans="6:6" x14ac:dyDescent="0.3">
      <c r="F1826" s="14"/>
    </row>
    <row r="1827" spans="6:6" x14ac:dyDescent="0.3">
      <c r="F1827" s="14"/>
    </row>
    <row r="1828" spans="6:6" x14ac:dyDescent="0.3">
      <c r="F1828" s="14"/>
    </row>
    <row r="1829" spans="6:6" x14ac:dyDescent="0.3">
      <c r="F1829" s="14"/>
    </row>
    <row r="1830" spans="6:6" x14ac:dyDescent="0.3">
      <c r="F1830" s="14"/>
    </row>
    <row r="1831" spans="6:6" x14ac:dyDescent="0.3">
      <c r="F1831" s="14"/>
    </row>
    <row r="1832" spans="6:6" x14ac:dyDescent="0.3">
      <c r="F1832" s="14"/>
    </row>
    <row r="1833" spans="6:6" x14ac:dyDescent="0.3">
      <c r="F1833" s="14"/>
    </row>
    <row r="1834" spans="6:6" x14ac:dyDescent="0.3">
      <c r="F1834" s="14"/>
    </row>
    <row r="1835" spans="6:6" x14ac:dyDescent="0.3">
      <c r="F1835" s="14"/>
    </row>
    <row r="1836" spans="6:6" x14ac:dyDescent="0.3">
      <c r="F1836" s="14"/>
    </row>
    <row r="1837" spans="6:6" x14ac:dyDescent="0.3">
      <c r="F1837" s="14"/>
    </row>
    <row r="1838" spans="6:6" x14ac:dyDescent="0.3">
      <c r="F1838" s="14"/>
    </row>
    <row r="1839" spans="6:6" x14ac:dyDescent="0.3">
      <c r="F1839" s="14"/>
    </row>
    <row r="1840" spans="6:6" x14ac:dyDescent="0.3">
      <c r="F1840" s="14"/>
    </row>
    <row r="1841" spans="6:6" x14ac:dyDescent="0.3">
      <c r="F1841" s="14"/>
    </row>
    <row r="1842" spans="6:6" x14ac:dyDescent="0.3">
      <c r="F1842" s="14"/>
    </row>
    <row r="1843" spans="6:6" x14ac:dyDescent="0.3">
      <c r="F1843" s="14"/>
    </row>
    <row r="1844" spans="6:6" x14ac:dyDescent="0.3">
      <c r="F1844" s="14"/>
    </row>
    <row r="1845" spans="6:6" x14ac:dyDescent="0.3">
      <c r="F1845" s="14"/>
    </row>
    <row r="1846" spans="6:6" x14ac:dyDescent="0.3">
      <c r="F1846" s="14"/>
    </row>
    <row r="1847" spans="6:6" x14ac:dyDescent="0.3">
      <c r="F1847" s="14"/>
    </row>
    <row r="1848" spans="6:6" x14ac:dyDescent="0.3">
      <c r="F1848" s="14"/>
    </row>
    <row r="1849" spans="6:6" x14ac:dyDescent="0.3">
      <c r="F1849" s="14"/>
    </row>
    <row r="1850" spans="6:6" x14ac:dyDescent="0.3">
      <c r="F1850" s="14"/>
    </row>
    <row r="1851" spans="6:6" x14ac:dyDescent="0.3">
      <c r="F1851" s="14"/>
    </row>
    <row r="1852" spans="6:6" x14ac:dyDescent="0.3">
      <c r="F1852" s="14"/>
    </row>
    <row r="1853" spans="6:6" x14ac:dyDescent="0.3">
      <c r="F1853" s="14"/>
    </row>
    <row r="1854" spans="6:6" x14ac:dyDescent="0.3">
      <c r="F1854" s="14"/>
    </row>
    <row r="1855" spans="6:6" x14ac:dyDescent="0.3">
      <c r="F1855" s="14"/>
    </row>
    <row r="1856" spans="6:6" x14ac:dyDescent="0.3">
      <c r="F1856" s="14"/>
    </row>
    <row r="1857" spans="6:6" x14ac:dyDescent="0.3">
      <c r="F1857" s="14"/>
    </row>
    <row r="1858" spans="6:6" x14ac:dyDescent="0.3">
      <c r="F1858" s="14"/>
    </row>
    <row r="1859" spans="6:6" x14ac:dyDescent="0.3">
      <c r="F1859" s="14"/>
    </row>
    <row r="1860" spans="6:6" x14ac:dyDescent="0.3">
      <c r="F1860" s="14"/>
    </row>
    <row r="1861" spans="6:6" x14ac:dyDescent="0.3">
      <c r="F1861" s="14"/>
    </row>
    <row r="1862" spans="6:6" x14ac:dyDescent="0.3">
      <c r="F1862" s="14"/>
    </row>
    <row r="1863" spans="6:6" x14ac:dyDescent="0.3">
      <c r="F1863" s="14"/>
    </row>
    <row r="1864" spans="6:6" x14ac:dyDescent="0.3">
      <c r="F1864" s="14"/>
    </row>
    <row r="1865" spans="6:6" x14ac:dyDescent="0.3">
      <c r="F1865" s="14"/>
    </row>
    <row r="1866" spans="6:6" x14ac:dyDescent="0.3">
      <c r="F1866" s="14"/>
    </row>
    <row r="1867" spans="6:6" x14ac:dyDescent="0.3">
      <c r="F1867" s="14"/>
    </row>
    <row r="1868" spans="6:6" x14ac:dyDescent="0.3">
      <c r="F1868" s="14"/>
    </row>
    <row r="1869" spans="6:6" x14ac:dyDescent="0.3">
      <c r="F1869" s="14"/>
    </row>
    <row r="1870" spans="6:6" x14ac:dyDescent="0.3">
      <c r="F1870" s="14"/>
    </row>
    <row r="1871" spans="6:6" x14ac:dyDescent="0.3">
      <c r="F1871" s="14"/>
    </row>
    <row r="1872" spans="6:6" x14ac:dyDescent="0.3">
      <c r="F1872" s="14"/>
    </row>
    <row r="1873" spans="6:6" x14ac:dyDescent="0.3">
      <c r="F1873" s="14"/>
    </row>
    <row r="1874" spans="6:6" x14ac:dyDescent="0.3">
      <c r="F1874" s="14"/>
    </row>
    <row r="1875" spans="6:6" x14ac:dyDescent="0.3">
      <c r="F1875" s="14"/>
    </row>
    <row r="1876" spans="6:6" x14ac:dyDescent="0.3">
      <c r="F1876" s="14"/>
    </row>
    <row r="1877" spans="6:6" x14ac:dyDescent="0.3">
      <c r="F1877" s="14"/>
    </row>
    <row r="1878" spans="6:6" x14ac:dyDescent="0.3">
      <c r="F1878" s="14"/>
    </row>
    <row r="1879" spans="6:6" x14ac:dyDescent="0.3">
      <c r="F1879" s="14"/>
    </row>
    <row r="1880" spans="6:6" x14ac:dyDescent="0.3">
      <c r="F1880" s="14"/>
    </row>
    <row r="1881" spans="6:6" x14ac:dyDescent="0.3">
      <c r="F1881" s="14"/>
    </row>
    <row r="1882" spans="6:6" x14ac:dyDescent="0.3">
      <c r="F1882" s="14"/>
    </row>
    <row r="1883" spans="6:6" x14ac:dyDescent="0.3">
      <c r="F1883" s="14"/>
    </row>
    <row r="1884" spans="6:6" x14ac:dyDescent="0.3">
      <c r="F1884" s="14"/>
    </row>
    <row r="1885" spans="6:6" x14ac:dyDescent="0.3">
      <c r="F1885" s="14"/>
    </row>
    <row r="1886" spans="6:6" x14ac:dyDescent="0.3">
      <c r="F1886" s="14"/>
    </row>
    <row r="1887" spans="6:6" x14ac:dyDescent="0.3">
      <c r="F1887" s="14"/>
    </row>
    <row r="1888" spans="6:6" x14ac:dyDescent="0.3">
      <c r="F1888" s="14"/>
    </row>
    <row r="1889" spans="6:6" x14ac:dyDescent="0.3">
      <c r="F1889" s="14"/>
    </row>
    <row r="1890" spans="6:6" x14ac:dyDescent="0.3">
      <c r="F1890" s="14"/>
    </row>
    <row r="1891" spans="6:6" x14ac:dyDescent="0.3">
      <c r="F1891" s="14"/>
    </row>
    <row r="1892" spans="6:6" x14ac:dyDescent="0.3">
      <c r="F1892" s="14"/>
    </row>
    <row r="1893" spans="6:6" x14ac:dyDescent="0.3">
      <c r="F1893" s="14"/>
    </row>
    <row r="1894" spans="6:6" x14ac:dyDescent="0.3">
      <c r="F1894" s="14"/>
    </row>
    <row r="1895" spans="6:6" x14ac:dyDescent="0.3">
      <c r="F1895" s="14"/>
    </row>
    <row r="1896" spans="6:6" x14ac:dyDescent="0.3">
      <c r="F1896" s="14"/>
    </row>
    <row r="1897" spans="6:6" x14ac:dyDescent="0.3">
      <c r="F1897" s="14"/>
    </row>
    <row r="1898" spans="6:6" x14ac:dyDescent="0.3">
      <c r="F1898" s="14"/>
    </row>
    <row r="1899" spans="6:6" x14ac:dyDescent="0.3">
      <c r="F1899" s="14"/>
    </row>
    <row r="1900" spans="6:6" x14ac:dyDescent="0.3">
      <c r="F1900" s="14"/>
    </row>
    <row r="1901" spans="6:6" x14ac:dyDescent="0.3">
      <c r="F1901" s="14"/>
    </row>
    <row r="1902" spans="6:6" x14ac:dyDescent="0.3">
      <c r="F1902" s="14"/>
    </row>
    <row r="1903" spans="6:6" x14ac:dyDescent="0.3">
      <c r="F1903" s="14"/>
    </row>
    <row r="1904" spans="6:6" x14ac:dyDescent="0.3">
      <c r="F1904" s="14"/>
    </row>
    <row r="1905" spans="6:6" x14ac:dyDescent="0.3">
      <c r="F1905" s="14"/>
    </row>
    <row r="1906" spans="6:6" x14ac:dyDescent="0.3">
      <c r="F1906" s="14"/>
    </row>
    <row r="1907" spans="6:6" x14ac:dyDescent="0.3">
      <c r="F1907" s="14"/>
    </row>
    <row r="1908" spans="6:6" x14ac:dyDescent="0.3">
      <c r="F1908" s="14"/>
    </row>
    <row r="1909" spans="6:6" x14ac:dyDescent="0.3">
      <c r="F1909" s="14"/>
    </row>
    <row r="1910" spans="6:6" x14ac:dyDescent="0.3">
      <c r="F1910" s="14"/>
    </row>
    <row r="1911" spans="6:6" x14ac:dyDescent="0.3">
      <c r="F1911" s="14"/>
    </row>
    <row r="1912" spans="6:6" x14ac:dyDescent="0.3">
      <c r="F1912" s="14"/>
    </row>
    <row r="1913" spans="6:6" x14ac:dyDescent="0.3">
      <c r="F1913" s="14"/>
    </row>
    <row r="1914" spans="6:6" x14ac:dyDescent="0.3">
      <c r="F1914" s="14"/>
    </row>
    <row r="1915" spans="6:6" x14ac:dyDescent="0.3">
      <c r="F1915" s="14"/>
    </row>
    <row r="1916" spans="6:6" x14ac:dyDescent="0.3">
      <c r="F1916" s="14"/>
    </row>
    <row r="1917" spans="6:6" x14ac:dyDescent="0.3">
      <c r="F1917" s="14"/>
    </row>
    <row r="1918" spans="6:6" x14ac:dyDescent="0.3">
      <c r="F1918" s="14"/>
    </row>
    <row r="1919" spans="6:6" x14ac:dyDescent="0.3">
      <c r="F1919" s="14"/>
    </row>
    <row r="1920" spans="6:6" x14ac:dyDescent="0.3">
      <c r="F1920" s="14"/>
    </row>
    <row r="1921" spans="6:6" x14ac:dyDescent="0.3">
      <c r="F1921" s="14"/>
    </row>
    <row r="1922" spans="6:6" x14ac:dyDescent="0.3">
      <c r="F1922" s="14"/>
    </row>
    <row r="1923" spans="6:6" x14ac:dyDescent="0.3">
      <c r="F1923" s="14"/>
    </row>
    <row r="1924" spans="6:6" x14ac:dyDescent="0.3">
      <c r="F1924" s="14"/>
    </row>
    <row r="1925" spans="6:6" x14ac:dyDescent="0.3">
      <c r="F1925" s="14"/>
    </row>
    <row r="1926" spans="6:6" x14ac:dyDescent="0.3">
      <c r="F1926" s="14"/>
    </row>
    <row r="1927" spans="6:6" x14ac:dyDescent="0.3">
      <c r="F1927" s="14"/>
    </row>
    <row r="1928" spans="6:6" x14ac:dyDescent="0.3">
      <c r="F1928" s="14"/>
    </row>
    <row r="1929" spans="6:6" x14ac:dyDescent="0.3">
      <c r="F1929" s="14"/>
    </row>
    <row r="1930" spans="6:6" x14ac:dyDescent="0.3">
      <c r="F1930" s="14"/>
    </row>
    <row r="1931" spans="6:6" x14ac:dyDescent="0.3">
      <c r="F1931" s="14"/>
    </row>
    <row r="1932" spans="6:6" x14ac:dyDescent="0.3">
      <c r="F1932" s="14"/>
    </row>
    <row r="1933" spans="6:6" x14ac:dyDescent="0.3">
      <c r="F1933" s="14"/>
    </row>
    <row r="1934" spans="6:6" x14ac:dyDescent="0.3">
      <c r="F1934" s="14"/>
    </row>
    <row r="1935" spans="6:6" x14ac:dyDescent="0.3">
      <c r="F1935" s="14"/>
    </row>
    <row r="1936" spans="6:6" x14ac:dyDescent="0.3">
      <c r="F1936" s="14"/>
    </row>
    <row r="1937" spans="6:6" x14ac:dyDescent="0.3">
      <c r="F1937" s="14"/>
    </row>
    <row r="1938" spans="6:6" x14ac:dyDescent="0.3">
      <c r="F1938" s="14"/>
    </row>
    <row r="1939" spans="6:6" x14ac:dyDescent="0.3">
      <c r="F1939" s="14"/>
    </row>
    <row r="1940" spans="6:6" x14ac:dyDescent="0.3">
      <c r="F1940" s="14"/>
    </row>
    <row r="1941" spans="6:6" x14ac:dyDescent="0.3">
      <c r="F1941" s="14"/>
    </row>
    <row r="1942" spans="6:6" x14ac:dyDescent="0.3">
      <c r="F1942" s="14"/>
    </row>
    <row r="1943" spans="6:6" x14ac:dyDescent="0.3">
      <c r="F1943" s="14"/>
    </row>
    <row r="1944" spans="6:6" x14ac:dyDescent="0.3">
      <c r="F1944" s="14"/>
    </row>
    <row r="1945" spans="6:6" x14ac:dyDescent="0.3">
      <c r="F1945" s="14"/>
    </row>
    <row r="1946" spans="6:6" x14ac:dyDescent="0.3">
      <c r="F1946" s="14"/>
    </row>
    <row r="1947" spans="6:6" x14ac:dyDescent="0.3">
      <c r="F1947" s="14"/>
    </row>
    <row r="1948" spans="6:6" x14ac:dyDescent="0.3">
      <c r="F1948" s="14"/>
    </row>
    <row r="1949" spans="6:6" x14ac:dyDescent="0.3">
      <c r="F1949" s="14"/>
    </row>
    <row r="1950" spans="6:6" x14ac:dyDescent="0.3">
      <c r="F1950" s="14"/>
    </row>
    <row r="1951" spans="6:6" x14ac:dyDescent="0.3">
      <c r="F1951" s="14"/>
    </row>
    <row r="1952" spans="6:6" x14ac:dyDescent="0.3">
      <c r="F1952" s="14"/>
    </row>
    <row r="1953" spans="6:6" x14ac:dyDescent="0.3">
      <c r="F1953" s="14"/>
    </row>
    <row r="1954" spans="6:6" x14ac:dyDescent="0.3">
      <c r="F1954" s="14"/>
    </row>
    <row r="1955" spans="6:6" x14ac:dyDescent="0.3">
      <c r="F1955" s="14"/>
    </row>
    <row r="1956" spans="6:6" x14ac:dyDescent="0.3">
      <c r="F1956" s="14"/>
    </row>
    <row r="1957" spans="6:6" x14ac:dyDescent="0.3">
      <c r="F1957" s="14"/>
    </row>
    <row r="1958" spans="6:6" x14ac:dyDescent="0.3">
      <c r="F1958" s="14"/>
    </row>
    <row r="1959" spans="6:6" x14ac:dyDescent="0.3">
      <c r="F1959" s="14"/>
    </row>
    <row r="1960" spans="6:6" x14ac:dyDescent="0.3">
      <c r="F1960" s="14"/>
    </row>
    <row r="1961" spans="6:6" x14ac:dyDescent="0.3">
      <c r="F1961" s="14"/>
    </row>
    <row r="1962" spans="6:6" x14ac:dyDescent="0.3">
      <c r="F1962" s="14"/>
    </row>
    <row r="1963" spans="6:6" x14ac:dyDescent="0.3">
      <c r="F1963" s="14"/>
    </row>
    <row r="1964" spans="6:6" x14ac:dyDescent="0.3">
      <c r="F1964" s="14"/>
    </row>
    <row r="1965" spans="6:6" x14ac:dyDescent="0.3">
      <c r="F1965" s="14"/>
    </row>
    <row r="1966" spans="6:6" x14ac:dyDescent="0.3">
      <c r="F1966" s="14"/>
    </row>
    <row r="1967" spans="6:6" x14ac:dyDescent="0.3">
      <c r="F1967" s="14"/>
    </row>
    <row r="1968" spans="6:6" x14ac:dyDescent="0.3">
      <c r="F1968" s="14"/>
    </row>
    <row r="1969" spans="6:6" x14ac:dyDescent="0.3">
      <c r="F1969" s="14"/>
    </row>
    <row r="1970" spans="6:6" x14ac:dyDescent="0.3">
      <c r="F1970" s="14"/>
    </row>
    <row r="1971" spans="6:6" x14ac:dyDescent="0.3">
      <c r="F1971" s="14"/>
    </row>
    <row r="1972" spans="6:6" x14ac:dyDescent="0.3">
      <c r="F1972" s="14"/>
    </row>
    <row r="1973" spans="6:6" x14ac:dyDescent="0.3">
      <c r="F1973" s="14"/>
    </row>
    <row r="1974" spans="6:6" x14ac:dyDescent="0.3">
      <c r="F1974" s="14"/>
    </row>
    <row r="1975" spans="6:6" x14ac:dyDescent="0.3">
      <c r="F1975" s="14"/>
    </row>
    <row r="1976" spans="6:6" x14ac:dyDescent="0.3">
      <c r="F1976" s="14"/>
    </row>
    <row r="1977" spans="6:6" x14ac:dyDescent="0.3">
      <c r="F1977" s="14"/>
    </row>
    <row r="1978" spans="6:6" x14ac:dyDescent="0.3">
      <c r="F1978" s="14"/>
    </row>
    <row r="1979" spans="6:6" x14ac:dyDescent="0.3">
      <c r="F1979" s="14"/>
    </row>
    <row r="1980" spans="6:6" x14ac:dyDescent="0.3">
      <c r="F1980" s="14"/>
    </row>
    <row r="1981" spans="6:6" x14ac:dyDescent="0.3">
      <c r="F1981" s="14"/>
    </row>
    <row r="1982" spans="6:6" x14ac:dyDescent="0.3">
      <c r="F1982" s="14"/>
    </row>
    <row r="1983" spans="6:6" x14ac:dyDescent="0.3">
      <c r="F1983" s="14"/>
    </row>
    <row r="1984" spans="6:6" x14ac:dyDescent="0.3">
      <c r="F1984" s="14"/>
    </row>
    <row r="1985" spans="6:6" x14ac:dyDescent="0.3">
      <c r="F1985" s="14"/>
    </row>
    <row r="1986" spans="6:6" x14ac:dyDescent="0.3">
      <c r="F1986" s="14"/>
    </row>
    <row r="1987" spans="6:6" x14ac:dyDescent="0.3">
      <c r="F1987" s="14"/>
    </row>
    <row r="1988" spans="6:6" x14ac:dyDescent="0.3">
      <c r="F1988" s="14"/>
    </row>
    <row r="1989" spans="6:6" x14ac:dyDescent="0.3">
      <c r="F1989" s="14"/>
    </row>
    <row r="1990" spans="6:6" x14ac:dyDescent="0.3">
      <c r="F1990" s="14"/>
    </row>
    <row r="1991" spans="6:6" x14ac:dyDescent="0.3">
      <c r="F1991" s="14"/>
    </row>
    <row r="1992" spans="6:6" x14ac:dyDescent="0.3">
      <c r="F1992" s="14"/>
    </row>
    <row r="1993" spans="6:6" x14ac:dyDescent="0.3">
      <c r="F1993" s="14"/>
    </row>
    <row r="1994" spans="6:6" x14ac:dyDescent="0.3">
      <c r="F1994" s="14"/>
    </row>
    <row r="1995" spans="6:6" x14ac:dyDescent="0.3">
      <c r="F1995" s="14"/>
    </row>
    <row r="1996" spans="6:6" x14ac:dyDescent="0.3">
      <c r="F1996" s="14"/>
    </row>
    <row r="1997" spans="6:6" x14ac:dyDescent="0.3">
      <c r="F1997" s="14"/>
    </row>
    <row r="1998" spans="6:6" x14ac:dyDescent="0.3">
      <c r="F1998" s="14"/>
    </row>
    <row r="1999" spans="6:6" x14ac:dyDescent="0.3">
      <c r="F1999" s="14"/>
    </row>
    <row r="2000" spans="6:6" x14ac:dyDescent="0.3">
      <c r="F2000" s="14"/>
    </row>
    <row r="2001" spans="6:6" x14ac:dyDescent="0.3">
      <c r="F2001" s="14"/>
    </row>
    <row r="2002" spans="6:6" x14ac:dyDescent="0.3">
      <c r="F2002" s="14"/>
    </row>
    <row r="2003" spans="6:6" x14ac:dyDescent="0.3">
      <c r="F2003" s="14"/>
    </row>
    <row r="2004" spans="6:6" x14ac:dyDescent="0.3">
      <c r="F2004" s="14"/>
    </row>
    <row r="2005" spans="6:6" x14ac:dyDescent="0.3">
      <c r="F2005" s="14"/>
    </row>
    <row r="2006" spans="6:6" x14ac:dyDescent="0.3">
      <c r="F2006" s="14"/>
    </row>
    <row r="2007" spans="6:6" x14ac:dyDescent="0.3">
      <c r="F2007" s="14"/>
    </row>
    <row r="2008" spans="6:6" x14ac:dyDescent="0.3">
      <c r="F2008" s="14"/>
    </row>
    <row r="2009" spans="6:6" x14ac:dyDescent="0.3">
      <c r="F2009" s="14"/>
    </row>
    <row r="2010" spans="6:6" x14ac:dyDescent="0.3">
      <c r="F2010" s="14"/>
    </row>
    <row r="2011" spans="6:6" x14ac:dyDescent="0.3">
      <c r="F2011" s="14"/>
    </row>
    <row r="2012" spans="6:6" x14ac:dyDescent="0.3">
      <c r="F2012" s="14"/>
    </row>
    <row r="2013" spans="6:6" x14ac:dyDescent="0.3">
      <c r="F2013" s="14"/>
    </row>
    <row r="2014" spans="6:6" x14ac:dyDescent="0.3">
      <c r="F2014" s="14"/>
    </row>
    <row r="2015" spans="6:6" x14ac:dyDescent="0.3">
      <c r="F2015" s="14"/>
    </row>
    <row r="2016" spans="6:6" x14ac:dyDescent="0.3">
      <c r="F2016" s="14"/>
    </row>
    <row r="2017" spans="6:6" x14ac:dyDescent="0.3">
      <c r="F2017" s="14"/>
    </row>
    <row r="2018" spans="6:6" x14ac:dyDescent="0.3">
      <c r="F2018" s="14"/>
    </row>
    <row r="2019" spans="6:6" x14ac:dyDescent="0.3">
      <c r="F2019" s="14"/>
    </row>
    <row r="2020" spans="6:6" x14ac:dyDescent="0.3">
      <c r="F2020" s="14"/>
    </row>
    <row r="2021" spans="6:6" x14ac:dyDescent="0.3">
      <c r="F2021" s="14"/>
    </row>
    <row r="2022" spans="6:6" x14ac:dyDescent="0.3">
      <c r="F2022" s="14"/>
    </row>
    <row r="2023" spans="6:6" x14ac:dyDescent="0.3">
      <c r="F2023" s="14"/>
    </row>
    <row r="2024" spans="6:6" x14ac:dyDescent="0.3">
      <c r="F2024" s="14"/>
    </row>
    <row r="2025" spans="6:6" x14ac:dyDescent="0.3">
      <c r="F2025" s="14"/>
    </row>
    <row r="2026" spans="6:6" x14ac:dyDescent="0.3">
      <c r="F2026" s="14"/>
    </row>
    <row r="2027" spans="6:6" x14ac:dyDescent="0.3">
      <c r="F2027" s="14"/>
    </row>
    <row r="2028" spans="6:6" x14ac:dyDescent="0.3">
      <c r="F2028" s="14"/>
    </row>
    <row r="2029" spans="6:6" x14ac:dyDescent="0.3">
      <c r="F2029" s="14"/>
    </row>
    <row r="2030" spans="6:6" x14ac:dyDescent="0.3">
      <c r="F2030" s="14"/>
    </row>
    <row r="2031" spans="6:6" x14ac:dyDescent="0.3">
      <c r="F2031" s="14"/>
    </row>
    <row r="2032" spans="6:6" x14ac:dyDescent="0.3">
      <c r="F2032" s="14"/>
    </row>
    <row r="2033" spans="6:6" x14ac:dyDescent="0.3">
      <c r="F2033" s="14"/>
    </row>
    <row r="2034" spans="6:6" x14ac:dyDescent="0.3">
      <c r="F2034" s="14"/>
    </row>
    <row r="2035" spans="6:6" x14ac:dyDescent="0.3">
      <c r="F2035" s="14"/>
    </row>
    <row r="2036" spans="6:6" x14ac:dyDescent="0.3">
      <c r="F2036" s="14"/>
    </row>
    <row r="2037" spans="6:6" x14ac:dyDescent="0.3">
      <c r="F2037" s="14"/>
    </row>
    <row r="2038" spans="6:6" x14ac:dyDescent="0.3">
      <c r="F2038" s="14"/>
    </row>
    <row r="2039" spans="6:6" x14ac:dyDescent="0.3">
      <c r="F2039" s="14"/>
    </row>
    <row r="2040" spans="6:6" x14ac:dyDescent="0.3">
      <c r="F2040" s="14"/>
    </row>
    <row r="2041" spans="6:6" x14ac:dyDescent="0.3">
      <c r="F2041" s="14"/>
    </row>
    <row r="2042" spans="6:6" x14ac:dyDescent="0.3">
      <c r="F2042" s="14"/>
    </row>
    <row r="2043" spans="6:6" x14ac:dyDescent="0.3">
      <c r="F2043" s="14"/>
    </row>
    <row r="2044" spans="6:6" x14ac:dyDescent="0.3">
      <c r="F2044" s="14"/>
    </row>
    <row r="2045" spans="6:6" x14ac:dyDescent="0.3">
      <c r="F2045" s="14"/>
    </row>
    <row r="2046" spans="6:6" x14ac:dyDescent="0.3">
      <c r="F2046" s="14"/>
    </row>
    <row r="2047" spans="6:6" x14ac:dyDescent="0.3">
      <c r="F2047" s="14"/>
    </row>
    <row r="2048" spans="6:6" x14ac:dyDescent="0.3">
      <c r="F2048" s="14"/>
    </row>
    <row r="2049" spans="6:6" x14ac:dyDescent="0.3">
      <c r="F2049" s="14"/>
    </row>
    <row r="2050" spans="6:6" x14ac:dyDescent="0.3">
      <c r="F2050" s="14"/>
    </row>
    <row r="2051" spans="6:6" x14ac:dyDescent="0.3">
      <c r="F2051" s="14"/>
    </row>
    <row r="2052" spans="6:6" x14ac:dyDescent="0.3">
      <c r="F2052" s="14"/>
    </row>
    <row r="2053" spans="6:6" x14ac:dyDescent="0.3">
      <c r="F2053" s="14"/>
    </row>
    <row r="2054" spans="6:6" x14ac:dyDescent="0.3">
      <c r="F2054" s="14"/>
    </row>
    <row r="2055" spans="6:6" x14ac:dyDescent="0.3">
      <c r="F2055" s="14"/>
    </row>
    <row r="2056" spans="6:6" x14ac:dyDescent="0.3">
      <c r="F2056" s="14"/>
    </row>
    <row r="2057" spans="6:6" x14ac:dyDescent="0.3">
      <c r="F2057" s="14"/>
    </row>
    <row r="2058" spans="6:6" x14ac:dyDescent="0.3">
      <c r="F2058" s="14"/>
    </row>
    <row r="2059" spans="6:6" x14ac:dyDescent="0.3">
      <c r="F2059" s="14"/>
    </row>
    <row r="2060" spans="6:6" x14ac:dyDescent="0.3">
      <c r="F2060" s="14"/>
    </row>
    <row r="2061" spans="6:6" x14ac:dyDescent="0.3">
      <c r="F2061" s="14"/>
    </row>
    <row r="2062" spans="6:6" x14ac:dyDescent="0.3">
      <c r="F2062" s="14"/>
    </row>
    <row r="2063" spans="6:6" x14ac:dyDescent="0.3">
      <c r="F2063" s="14"/>
    </row>
    <row r="2064" spans="6:6" x14ac:dyDescent="0.3">
      <c r="F2064" s="14"/>
    </row>
    <row r="2065" spans="6:6" x14ac:dyDescent="0.3">
      <c r="F2065" s="14"/>
    </row>
    <row r="2066" spans="6:6" x14ac:dyDescent="0.3">
      <c r="F2066" s="14"/>
    </row>
    <row r="2067" spans="6:6" x14ac:dyDescent="0.3">
      <c r="F2067" s="14"/>
    </row>
    <row r="2068" spans="6:6" x14ac:dyDescent="0.3">
      <c r="F2068" s="14"/>
    </row>
    <row r="2069" spans="6:6" x14ac:dyDescent="0.3">
      <c r="F2069" s="14"/>
    </row>
    <row r="2070" spans="6:6" x14ac:dyDescent="0.3">
      <c r="F2070" s="14"/>
    </row>
    <row r="2071" spans="6:6" x14ac:dyDescent="0.3">
      <c r="F2071" s="14"/>
    </row>
    <row r="2072" spans="6:6" x14ac:dyDescent="0.3">
      <c r="F2072" s="14"/>
    </row>
    <row r="2073" spans="6:6" x14ac:dyDescent="0.3">
      <c r="F2073" s="14"/>
    </row>
    <row r="2074" spans="6:6" x14ac:dyDescent="0.3">
      <c r="F2074" s="14"/>
    </row>
    <row r="2075" spans="6:6" x14ac:dyDescent="0.3">
      <c r="F2075" s="14"/>
    </row>
    <row r="2076" spans="6:6" x14ac:dyDescent="0.3">
      <c r="F2076" s="14"/>
    </row>
    <row r="2077" spans="6:6" x14ac:dyDescent="0.3">
      <c r="F2077" s="14"/>
    </row>
    <row r="2078" spans="6:6" x14ac:dyDescent="0.3">
      <c r="F2078" s="14"/>
    </row>
    <row r="2079" spans="6:6" x14ac:dyDescent="0.3">
      <c r="F2079" s="14"/>
    </row>
    <row r="2080" spans="6:6" x14ac:dyDescent="0.3">
      <c r="F2080" s="14"/>
    </row>
    <row r="2081" spans="6:6" x14ac:dyDescent="0.3">
      <c r="F2081" s="14"/>
    </row>
    <row r="2082" spans="6:6" x14ac:dyDescent="0.3">
      <c r="F2082" s="14"/>
    </row>
    <row r="2083" spans="6:6" x14ac:dyDescent="0.3">
      <c r="F2083" s="14"/>
    </row>
    <row r="2084" spans="6:6" x14ac:dyDescent="0.3">
      <c r="F2084" s="14"/>
    </row>
    <row r="2085" spans="6:6" x14ac:dyDescent="0.3">
      <c r="F2085" s="14"/>
    </row>
    <row r="2086" spans="6:6" x14ac:dyDescent="0.3">
      <c r="F2086" s="14"/>
    </row>
    <row r="2087" spans="6:6" x14ac:dyDescent="0.3">
      <c r="F2087" s="14"/>
    </row>
    <row r="2088" spans="6:6" x14ac:dyDescent="0.3">
      <c r="F2088" s="14"/>
    </row>
    <row r="2089" spans="6:6" x14ac:dyDescent="0.3">
      <c r="F2089" s="14"/>
    </row>
    <row r="2090" spans="6:6" x14ac:dyDescent="0.3">
      <c r="F2090" s="14"/>
    </row>
    <row r="2091" spans="6:6" x14ac:dyDescent="0.3">
      <c r="F2091" s="14"/>
    </row>
    <row r="2092" spans="6:6" x14ac:dyDescent="0.3">
      <c r="F2092" s="14"/>
    </row>
    <row r="2093" spans="6:6" x14ac:dyDescent="0.3">
      <c r="F2093" s="14"/>
    </row>
    <row r="2094" spans="6:6" x14ac:dyDescent="0.3">
      <c r="F2094" s="14"/>
    </row>
    <row r="2095" spans="6:6" x14ac:dyDescent="0.3">
      <c r="F2095" s="14"/>
    </row>
    <row r="2096" spans="6:6" x14ac:dyDescent="0.3">
      <c r="F2096" s="14"/>
    </row>
    <row r="2097" spans="6:6" x14ac:dyDescent="0.3">
      <c r="F2097" s="14"/>
    </row>
    <row r="2098" spans="6:6" x14ac:dyDescent="0.3">
      <c r="F2098" s="14"/>
    </row>
    <row r="2099" spans="6:6" x14ac:dyDescent="0.3">
      <c r="F2099" s="14"/>
    </row>
    <row r="2100" spans="6:6" x14ac:dyDescent="0.3">
      <c r="F2100" s="14"/>
    </row>
    <row r="2101" spans="6:6" x14ac:dyDescent="0.3">
      <c r="F2101" s="14"/>
    </row>
    <row r="2102" spans="6:6" x14ac:dyDescent="0.3">
      <c r="F2102" s="14"/>
    </row>
    <row r="2103" spans="6:6" x14ac:dyDescent="0.3">
      <c r="F2103" s="14"/>
    </row>
    <row r="2104" spans="6:6" x14ac:dyDescent="0.3">
      <c r="F2104" s="14"/>
    </row>
    <row r="2105" spans="6:6" x14ac:dyDescent="0.3">
      <c r="F2105" s="14"/>
    </row>
    <row r="2106" spans="6:6" x14ac:dyDescent="0.3">
      <c r="F2106" s="14"/>
    </row>
    <row r="2107" spans="6:6" x14ac:dyDescent="0.3">
      <c r="F2107" s="14"/>
    </row>
    <row r="2108" spans="6:6" x14ac:dyDescent="0.3">
      <c r="F2108" s="14"/>
    </row>
    <row r="2109" spans="6:6" x14ac:dyDescent="0.3">
      <c r="F2109" s="14"/>
    </row>
    <row r="2110" spans="6:6" x14ac:dyDescent="0.3">
      <c r="F2110" s="14"/>
    </row>
    <row r="2111" spans="6:6" x14ac:dyDescent="0.3">
      <c r="F2111" s="14"/>
    </row>
    <row r="2112" spans="6:6" x14ac:dyDescent="0.3">
      <c r="F2112" s="14"/>
    </row>
    <row r="2113" spans="6:6" x14ac:dyDescent="0.3">
      <c r="F2113" s="14"/>
    </row>
    <row r="2114" spans="6:6" x14ac:dyDescent="0.3">
      <c r="F2114" s="14"/>
    </row>
    <row r="2115" spans="6:6" x14ac:dyDescent="0.3">
      <c r="F2115" s="14"/>
    </row>
    <row r="2116" spans="6:6" x14ac:dyDescent="0.3">
      <c r="F2116" s="14"/>
    </row>
    <row r="2117" spans="6:6" x14ac:dyDescent="0.3">
      <c r="F2117" s="14"/>
    </row>
    <row r="2118" spans="6:6" x14ac:dyDescent="0.3">
      <c r="F2118" s="14"/>
    </row>
    <row r="2119" spans="6:6" x14ac:dyDescent="0.3">
      <c r="F2119" s="14"/>
    </row>
    <row r="2120" spans="6:6" x14ac:dyDescent="0.3">
      <c r="F2120" s="14"/>
    </row>
    <row r="2121" spans="6:6" x14ac:dyDescent="0.3">
      <c r="F2121" s="14"/>
    </row>
    <row r="2122" spans="6:6" x14ac:dyDescent="0.3">
      <c r="F2122" s="14"/>
    </row>
    <row r="2123" spans="6:6" x14ac:dyDescent="0.3">
      <c r="F2123" s="14"/>
    </row>
    <row r="2124" spans="6:6" x14ac:dyDescent="0.3">
      <c r="F2124" s="14"/>
    </row>
    <row r="2125" spans="6:6" x14ac:dyDescent="0.3">
      <c r="F2125" s="14"/>
    </row>
    <row r="2126" spans="6:6" x14ac:dyDescent="0.3">
      <c r="F2126" s="14"/>
    </row>
    <row r="2127" spans="6:6" x14ac:dyDescent="0.3">
      <c r="F2127" s="14"/>
    </row>
    <row r="2128" spans="6:6" x14ac:dyDescent="0.3">
      <c r="F2128" s="14"/>
    </row>
    <row r="2129" spans="6:6" x14ac:dyDescent="0.3">
      <c r="F2129" s="14"/>
    </row>
    <row r="2130" spans="6:6" x14ac:dyDescent="0.3">
      <c r="F2130" s="14"/>
    </row>
    <row r="2131" spans="6:6" x14ac:dyDescent="0.3">
      <c r="F2131" s="14"/>
    </row>
    <row r="2132" spans="6:6" x14ac:dyDescent="0.3">
      <c r="F2132" s="14"/>
    </row>
    <row r="2133" spans="6:6" x14ac:dyDescent="0.3">
      <c r="F2133" s="14"/>
    </row>
    <row r="2134" spans="6:6" x14ac:dyDescent="0.3">
      <c r="F2134" s="14"/>
    </row>
    <row r="2135" spans="6:6" x14ac:dyDescent="0.3">
      <c r="F2135" s="14"/>
    </row>
    <row r="2136" spans="6:6" x14ac:dyDescent="0.3">
      <c r="F2136" s="14"/>
    </row>
    <row r="2137" spans="6:6" x14ac:dyDescent="0.3">
      <c r="F2137" s="14"/>
    </row>
    <row r="2138" spans="6:6" x14ac:dyDescent="0.3">
      <c r="F2138" s="14"/>
    </row>
    <row r="2139" spans="6:6" x14ac:dyDescent="0.3">
      <c r="F2139" s="14"/>
    </row>
    <row r="2140" spans="6:6" x14ac:dyDescent="0.3">
      <c r="F2140" s="14"/>
    </row>
    <row r="2141" spans="6:6" x14ac:dyDescent="0.3">
      <c r="F2141" s="14"/>
    </row>
    <row r="2142" spans="6:6" x14ac:dyDescent="0.3">
      <c r="F2142" s="14"/>
    </row>
    <row r="2143" spans="6:6" x14ac:dyDescent="0.3">
      <c r="F2143" s="14"/>
    </row>
    <row r="2144" spans="6:6" x14ac:dyDescent="0.3">
      <c r="F2144" s="14"/>
    </row>
    <row r="2145" spans="6:6" x14ac:dyDescent="0.3">
      <c r="F2145" s="14"/>
    </row>
    <row r="2146" spans="6:6" x14ac:dyDescent="0.3">
      <c r="F2146" s="14"/>
    </row>
    <row r="2147" spans="6:6" x14ac:dyDescent="0.3">
      <c r="F2147" s="14"/>
    </row>
    <row r="2148" spans="6:6" x14ac:dyDescent="0.3">
      <c r="F2148" s="14"/>
    </row>
    <row r="2149" spans="6:6" x14ac:dyDescent="0.3">
      <c r="F2149" s="14"/>
    </row>
    <row r="2150" spans="6:6" x14ac:dyDescent="0.3">
      <c r="F2150" s="14"/>
    </row>
    <row r="2151" spans="6:6" x14ac:dyDescent="0.3">
      <c r="F2151" s="14"/>
    </row>
    <row r="2152" spans="6:6" x14ac:dyDescent="0.3">
      <c r="F2152" s="14"/>
    </row>
    <row r="2153" spans="6:6" x14ac:dyDescent="0.3">
      <c r="F2153" s="14"/>
    </row>
    <row r="2154" spans="6:6" x14ac:dyDescent="0.3">
      <c r="F2154" s="14"/>
    </row>
    <row r="2155" spans="6:6" x14ac:dyDescent="0.3">
      <c r="F2155" s="14"/>
    </row>
    <row r="2156" spans="6:6" x14ac:dyDescent="0.3">
      <c r="F2156" s="14"/>
    </row>
    <row r="2157" spans="6:6" x14ac:dyDescent="0.3">
      <c r="F2157" s="14"/>
    </row>
    <row r="2158" spans="6:6" x14ac:dyDescent="0.3">
      <c r="F2158" s="14"/>
    </row>
    <row r="2159" spans="6:6" x14ac:dyDescent="0.3">
      <c r="F2159" s="14"/>
    </row>
    <row r="2160" spans="6:6" x14ac:dyDescent="0.3">
      <c r="F2160" s="14"/>
    </row>
    <row r="2161" spans="6:6" x14ac:dyDescent="0.3">
      <c r="F2161" s="14"/>
    </row>
    <row r="2162" spans="6:6" x14ac:dyDescent="0.3">
      <c r="F2162" s="14"/>
    </row>
    <row r="2163" spans="6:6" x14ac:dyDescent="0.3">
      <c r="F2163" s="14"/>
    </row>
    <row r="2164" spans="6:6" x14ac:dyDescent="0.3">
      <c r="F2164" s="14"/>
    </row>
    <row r="2165" spans="6:6" x14ac:dyDescent="0.3">
      <c r="F2165" s="14"/>
    </row>
    <row r="2166" spans="6:6" x14ac:dyDescent="0.3">
      <c r="F2166" s="14"/>
    </row>
    <row r="2167" spans="6:6" x14ac:dyDescent="0.3">
      <c r="F2167" s="14"/>
    </row>
    <row r="2168" spans="6:6" x14ac:dyDescent="0.3">
      <c r="F2168" s="14"/>
    </row>
    <row r="2169" spans="6:6" x14ac:dyDescent="0.3">
      <c r="F2169" s="14"/>
    </row>
    <row r="2170" spans="6:6" x14ac:dyDescent="0.3">
      <c r="F2170" s="14"/>
    </row>
    <row r="2171" spans="6:6" x14ac:dyDescent="0.3">
      <c r="F2171" s="14"/>
    </row>
    <row r="2172" spans="6:6" x14ac:dyDescent="0.3">
      <c r="F2172" s="14"/>
    </row>
    <row r="2173" spans="6:6" x14ac:dyDescent="0.3">
      <c r="F2173" s="14"/>
    </row>
    <row r="2174" spans="6:6" x14ac:dyDescent="0.3">
      <c r="F2174" s="14"/>
    </row>
    <row r="2175" spans="6:6" x14ac:dyDescent="0.3">
      <c r="F2175" s="14"/>
    </row>
    <row r="2176" spans="6:6" x14ac:dyDescent="0.3">
      <c r="F2176" s="14"/>
    </row>
    <row r="2177" spans="6:6" x14ac:dyDescent="0.3">
      <c r="F2177" s="14"/>
    </row>
    <row r="2178" spans="6:6" x14ac:dyDescent="0.3">
      <c r="F2178" s="14"/>
    </row>
    <row r="2179" spans="6:6" x14ac:dyDescent="0.3">
      <c r="F2179" s="14"/>
    </row>
    <row r="2180" spans="6:6" x14ac:dyDescent="0.3">
      <c r="F2180" s="14"/>
    </row>
    <row r="2181" spans="6:6" x14ac:dyDescent="0.3">
      <c r="F2181" s="14"/>
    </row>
    <row r="2182" spans="6:6" x14ac:dyDescent="0.3">
      <c r="F2182" s="14"/>
    </row>
    <row r="2183" spans="6:6" x14ac:dyDescent="0.3">
      <c r="F2183" s="14"/>
    </row>
    <row r="2184" spans="6:6" x14ac:dyDescent="0.3">
      <c r="F2184" s="14"/>
    </row>
    <row r="2185" spans="6:6" x14ac:dyDescent="0.3">
      <c r="F2185" s="14"/>
    </row>
    <row r="2186" spans="6:6" x14ac:dyDescent="0.3">
      <c r="F2186" s="14"/>
    </row>
    <row r="2187" spans="6:6" x14ac:dyDescent="0.3">
      <c r="F2187" s="14"/>
    </row>
    <row r="2188" spans="6:6" x14ac:dyDescent="0.3">
      <c r="F2188" s="14"/>
    </row>
    <row r="2189" spans="6:6" x14ac:dyDescent="0.3">
      <c r="F2189" s="14"/>
    </row>
    <row r="2190" spans="6:6" x14ac:dyDescent="0.3">
      <c r="F2190" s="14"/>
    </row>
    <row r="2191" spans="6:6" x14ac:dyDescent="0.3">
      <c r="F2191" s="14"/>
    </row>
    <row r="2192" spans="6:6" x14ac:dyDescent="0.3">
      <c r="F2192" s="14"/>
    </row>
    <row r="2193" spans="6:6" x14ac:dyDescent="0.3">
      <c r="F2193" s="14"/>
    </row>
    <row r="2194" spans="6:6" x14ac:dyDescent="0.3">
      <c r="F2194" s="14"/>
    </row>
    <row r="2195" spans="6:6" x14ac:dyDescent="0.3">
      <c r="F2195" s="14"/>
    </row>
    <row r="2196" spans="6:6" x14ac:dyDescent="0.3">
      <c r="F2196" s="14"/>
    </row>
    <row r="2197" spans="6:6" x14ac:dyDescent="0.3">
      <c r="F2197" s="14"/>
    </row>
    <row r="2198" spans="6:6" x14ac:dyDescent="0.3">
      <c r="F2198" s="14"/>
    </row>
    <row r="2199" spans="6:6" x14ac:dyDescent="0.3">
      <c r="F2199" s="14"/>
    </row>
    <row r="2200" spans="6:6" x14ac:dyDescent="0.3">
      <c r="F2200" s="14"/>
    </row>
    <row r="2201" spans="6:6" x14ac:dyDescent="0.3">
      <c r="F2201" s="14"/>
    </row>
    <row r="2202" spans="6:6" x14ac:dyDescent="0.3">
      <c r="F2202" s="14"/>
    </row>
    <row r="2203" spans="6:6" x14ac:dyDescent="0.3">
      <c r="F2203" s="14"/>
    </row>
    <row r="2204" spans="6:6" x14ac:dyDescent="0.3">
      <c r="F2204" s="14"/>
    </row>
    <row r="2205" spans="6:6" x14ac:dyDescent="0.3">
      <c r="F2205" s="14"/>
    </row>
    <row r="2206" spans="6:6" x14ac:dyDescent="0.3">
      <c r="F2206" s="14"/>
    </row>
    <row r="2207" spans="6:6" x14ac:dyDescent="0.3">
      <c r="F2207" s="14"/>
    </row>
    <row r="2208" spans="6:6" x14ac:dyDescent="0.3">
      <c r="F2208" s="14"/>
    </row>
    <row r="2209" spans="6:6" x14ac:dyDescent="0.3">
      <c r="F2209" s="14"/>
    </row>
    <row r="2210" spans="6:6" x14ac:dyDescent="0.3">
      <c r="F2210" s="14"/>
    </row>
    <row r="2211" spans="6:6" x14ac:dyDescent="0.3">
      <c r="F2211" s="14"/>
    </row>
    <row r="2212" spans="6:6" x14ac:dyDescent="0.3">
      <c r="F2212" s="14"/>
    </row>
    <row r="2213" spans="6:6" x14ac:dyDescent="0.3">
      <c r="F2213" s="14"/>
    </row>
    <row r="2214" spans="6:6" x14ac:dyDescent="0.3">
      <c r="F2214" s="14"/>
    </row>
    <row r="2215" spans="6:6" x14ac:dyDescent="0.3">
      <c r="F2215" s="14"/>
    </row>
    <row r="2216" spans="6:6" x14ac:dyDescent="0.3">
      <c r="F2216" s="14"/>
    </row>
    <row r="2217" spans="6:6" x14ac:dyDescent="0.3">
      <c r="F2217" s="14"/>
    </row>
    <row r="2218" spans="6:6" x14ac:dyDescent="0.3">
      <c r="F2218" s="14"/>
    </row>
    <row r="2219" spans="6:6" x14ac:dyDescent="0.3">
      <c r="F2219" s="14"/>
    </row>
    <row r="2220" spans="6:6" x14ac:dyDescent="0.3">
      <c r="F2220" s="14"/>
    </row>
    <row r="2221" spans="6:6" x14ac:dyDescent="0.3">
      <c r="F2221" s="14"/>
    </row>
    <row r="2222" spans="6:6" x14ac:dyDescent="0.3">
      <c r="F2222" s="14"/>
    </row>
    <row r="2223" spans="6:6" x14ac:dyDescent="0.3">
      <c r="F2223" s="14"/>
    </row>
    <row r="2224" spans="6:6" x14ac:dyDescent="0.3">
      <c r="F2224" s="14"/>
    </row>
    <row r="2225" spans="6:6" x14ac:dyDescent="0.3">
      <c r="F2225" s="14"/>
    </row>
    <row r="2226" spans="6:6" x14ac:dyDescent="0.3">
      <c r="F2226" s="14"/>
    </row>
    <row r="2227" spans="6:6" x14ac:dyDescent="0.3">
      <c r="F2227" s="14"/>
    </row>
    <row r="2228" spans="6:6" x14ac:dyDescent="0.3">
      <c r="F2228" s="14"/>
    </row>
    <row r="2229" spans="6:6" x14ac:dyDescent="0.3">
      <c r="F2229" s="14"/>
    </row>
    <row r="2230" spans="6:6" x14ac:dyDescent="0.3">
      <c r="F2230" s="14"/>
    </row>
    <row r="2231" spans="6:6" x14ac:dyDescent="0.3">
      <c r="F2231" s="14"/>
    </row>
    <row r="2232" spans="6:6" x14ac:dyDescent="0.3">
      <c r="F2232" s="14"/>
    </row>
    <row r="2233" spans="6:6" x14ac:dyDescent="0.3">
      <c r="F2233" s="14"/>
    </row>
    <row r="2234" spans="6:6" x14ac:dyDescent="0.3">
      <c r="F2234" s="14"/>
    </row>
    <row r="2235" spans="6:6" x14ac:dyDescent="0.3">
      <c r="F2235" s="14"/>
    </row>
    <row r="2236" spans="6:6" x14ac:dyDescent="0.3">
      <c r="F2236" s="14"/>
    </row>
    <row r="2237" spans="6:6" x14ac:dyDescent="0.3">
      <c r="F2237" s="14"/>
    </row>
    <row r="2238" spans="6:6" x14ac:dyDescent="0.3">
      <c r="F2238" s="14"/>
    </row>
    <row r="2239" spans="6:6" x14ac:dyDescent="0.3">
      <c r="F2239" s="14"/>
    </row>
    <row r="2240" spans="6:6" x14ac:dyDescent="0.3">
      <c r="F2240" s="14"/>
    </row>
    <row r="2241" spans="6:6" x14ac:dyDescent="0.3">
      <c r="F2241" s="14"/>
    </row>
    <row r="2242" spans="6:6" x14ac:dyDescent="0.3">
      <c r="F2242" s="14"/>
    </row>
    <row r="2243" spans="6:6" x14ac:dyDescent="0.3">
      <c r="F2243" s="14"/>
    </row>
    <row r="2244" spans="6:6" x14ac:dyDescent="0.3">
      <c r="F2244" s="14"/>
    </row>
    <row r="2245" spans="6:6" x14ac:dyDescent="0.3">
      <c r="F2245" s="14"/>
    </row>
    <row r="2246" spans="6:6" x14ac:dyDescent="0.3">
      <c r="F2246" s="14"/>
    </row>
    <row r="2247" spans="6:6" x14ac:dyDescent="0.3">
      <c r="F2247" s="14"/>
    </row>
    <row r="2248" spans="6:6" x14ac:dyDescent="0.3">
      <c r="F2248" s="14"/>
    </row>
    <row r="2249" spans="6:6" x14ac:dyDescent="0.3">
      <c r="F2249" s="14"/>
    </row>
    <row r="2250" spans="6:6" x14ac:dyDescent="0.3">
      <c r="F2250" s="14"/>
    </row>
    <row r="2251" spans="6:6" x14ac:dyDescent="0.3">
      <c r="F2251" s="14"/>
    </row>
    <row r="2252" spans="6:6" x14ac:dyDescent="0.3">
      <c r="F2252" s="14"/>
    </row>
    <row r="2253" spans="6:6" x14ac:dyDescent="0.3">
      <c r="F2253" s="14"/>
    </row>
    <row r="2254" spans="6:6" x14ac:dyDescent="0.3">
      <c r="F2254" s="14"/>
    </row>
    <row r="2255" spans="6:6" x14ac:dyDescent="0.3">
      <c r="F2255" s="14"/>
    </row>
    <row r="2256" spans="6:6" x14ac:dyDescent="0.3">
      <c r="F2256" s="14"/>
    </row>
    <row r="2257" spans="6:6" x14ac:dyDescent="0.3">
      <c r="F2257" s="14"/>
    </row>
    <row r="2258" spans="6:6" x14ac:dyDescent="0.3">
      <c r="F2258" s="14"/>
    </row>
    <row r="2259" spans="6:6" x14ac:dyDescent="0.3">
      <c r="F2259" s="14"/>
    </row>
    <row r="2260" spans="6:6" x14ac:dyDescent="0.3">
      <c r="F2260" s="14"/>
    </row>
    <row r="2261" spans="6:6" x14ac:dyDescent="0.3">
      <c r="F2261" s="14"/>
    </row>
    <row r="2262" spans="6:6" x14ac:dyDescent="0.3">
      <c r="F2262" s="14"/>
    </row>
    <row r="2263" spans="6:6" x14ac:dyDescent="0.3">
      <c r="F2263" s="14"/>
    </row>
    <row r="2264" spans="6:6" x14ac:dyDescent="0.3">
      <c r="F2264" s="14"/>
    </row>
    <row r="2265" spans="6:6" x14ac:dyDescent="0.3">
      <c r="F2265" s="14"/>
    </row>
    <row r="2266" spans="6:6" x14ac:dyDescent="0.3">
      <c r="F2266" s="14"/>
    </row>
    <row r="2267" spans="6:6" x14ac:dyDescent="0.3">
      <c r="F2267" s="14"/>
    </row>
    <row r="2268" spans="6:6" x14ac:dyDescent="0.3">
      <c r="F2268" s="14"/>
    </row>
    <row r="2269" spans="6:6" x14ac:dyDescent="0.3">
      <c r="F2269" s="14"/>
    </row>
    <row r="2270" spans="6:6" x14ac:dyDescent="0.3">
      <c r="F2270" s="14"/>
    </row>
    <row r="2271" spans="6:6" x14ac:dyDescent="0.3">
      <c r="F2271" s="14"/>
    </row>
    <row r="2272" spans="6:6" x14ac:dyDescent="0.3">
      <c r="F2272" s="14"/>
    </row>
    <row r="2273" spans="6:6" x14ac:dyDescent="0.3">
      <c r="F2273" s="14"/>
    </row>
    <row r="2274" spans="6:6" x14ac:dyDescent="0.3">
      <c r="F2274" s="14"/>
    </row>
    <row r="2275" spans="6:6" x14ac:dyDescent="0.3">
      <c r="F2275" s="14"/>
    </row>
    <row r="2276" spans="6:6" x14ac:dyDescent="0.3">
      <c r="F2276" s="14"/>
    </row>
    <row r="2277" spans="6:6" x14ac:dyDescent="0.3">
      <c r="F2277" s="14"/>
    </row>
    <row r="2278" spans="6:6" x14ac:dyDescent="0.3">
      <c r="F2278" s="14"/>
    </row>
    <row r="2279" spans="6:6" x14ac:dyDescent="0.3">
      <c r="F2279" s="14"/>
    </row>
    <row r="2280" spans="6:6" x14ac:dyDescent="0.3">
      <c r="F2280" s="14"/>
    </row>
    <row r="2281" spans="6:6" x14ac:dyDescent="0.3">
      <c r="F2281" s="14"/>
    </row>
    <row r="2282" spans="6:6" x14ac:dyDescent="0.3">
      <c r="F2282" s="14"/>
    </row>
    <row r="2283" spans="6:6" x14ac:dyDescent="0.3">
      <c r="F2283" s="14"/>
    </row>
    <row r="2284" spans="6:6" x14ac:dyDescent="0.3">
      <c r="F2284" s="14"/>
    </row>
    <row r="2285" spans="6:6" x14ac:dyDescent="0.3">
      <c r="F2285" s="14"/>
    </row>
    <row r="2286" spans="6:6" x14ac:dyDescent="0.3">
      <c r="F2286" s="14"/>
    </row>
    <row r="2287" spans="6:6" x14ac:dyDescent="0.3">
      <c r="F2287" s="14"/>
    </row>
    <row r="2288" spans="6:6" x14ac:dyDescent="0.3">
      <c r="F2288" s="14"/>
    </row>
    <row r="2289" spans="6:6" x14ac:dyDescent="0.3">
      <c r="F2289" s="14"/>
    </row>
    <row r="2290" spans="6:6" x14ac:dyDescent="0.3">
      <c r="F2290" s="14"/>
    </row>
    <row r="2291" spans="6:6" x14ac:dyDescent="0.3">
      <c r="F2291" s="14"/>
    </row>
    <row r="2292" spans="6:6" x14ac:dyDescent="0.3">
      <c r="F2292" s="14"/>
    </row>
    <row r="2293" spans="6:6" x14ac:dyDescent="0.3">
      <c r="F2293" s="14"/>
    </row>
    <row r="2294" spans="6:6" x14ac:dyDescent="0.3">
      <c r="F2294" s="14"/>
    </row>
    <row r="2295" spans="6:6" x14ac:dyDescent="0.3">
      <c r="F2295" s="14"/>
    </row>
    <row r="2296" spans="6:6" x14ac:dyDescent="0.3">
      <c r="F2296" s="14"/>
    </row>
    <row r="2297" spans="6:6" x14ac:dyDescent="0.3">
      <c r="F2297" s="14"/>
    </row>
    <row r="2298" spans="6:6" x14ac:dyDescent="0.3">
      <c r="F2298" s="14"/>
    </row>
    <row r="2299" spans="6:6" x14ac:dyDescent="0.3">
      <c r="F2299" s="14"/>
    </row>
    <row r="2300" spans="6:6" x14ac:dyDescent="0.3">
      <c r="F2300" s="14"/>
    </row>
    <row r="2301" spans="6:6" x14ac:dyDescent="0.3">
      <c r="F2301" s="14"/>
    </row>
    <row r="2302" spans="6:6" x14ac:dyDescent="0.3">
      <c r="F2302" s="14"/>
    </row>
    <row r="2303" spans="6:6" x14ac:dyDescent="0.3">
      <c r="F2303" s="14"/>
    </row>
    <row r="2304" spans="6:6" x14ac:dyDescent="0.3">
      <c r="F2304" s="14"/>
    </row>
    <row r="2305" spans="6:6" x14ac:dyDescent="0.3">
      <c r="F2305" s="14"/>
    </row>
    <row r="2306" spans="6:6" x14ac:dyDescent="0.3">
      <c r="F2306" s="14"/>
    </row>
    <row r="2307" spans="6:6" x14ac:dyDescent="0.3">
      <c r="F2307" s="14"/>
    </row>
    <row r="2308" spans="6:6" x14ac:dyDescent="0.3">
      <c r="F2308" s="14"/>
    </row>
    <row r="2309" spans="6:6" x14ac:dyDescent="0.3">
      <c r="F2309" s="14"/>
    </row>
    <row r="2310" spans="6:6" x14ac:dyDescent="0.3">
      <c r="F2310" s="14"/>
    </row>
    <row r="2311" spans="6:6" x14ac:dyDescent="0.3">
      <c r="F2311" s="14"/>
    </row>
    <row r="2312" spans="6:6" x14ac:dyDescent="0.3">
      <c r="F2312" s="14"/>
    </row>
    <row r="2313" spans="6:6" x14ac:dyDescent="0.3">
      <c r="F2313" s="14"/>
    </row>
    <row r="2314" spans="6:6" x14ac:dyDescent="0.3">
      <c r="F2314" s="14"/>
    </row>
    <row r="2315" spans="6:6" x14ac:dyDescent="0.3">
      <c r="F2315" s="14"/>
    </row>
    <row r="2316" spans="6:6" x14ac:dyDescent="0.3">
      <c r="F2316" s="14"/>
    </row>
    <row r="2317" spans="6:6" x14ac:dyDescent="0.3">
      <c r="F2317" s="14"/>
    </row>
    <row r="2318" spans="6:6" x14ac:dyDescent="0.3">
      <c r="F2318" s="14"/>
    </row>
    <row r="2319" spans="6:6" x14ac:dyDescent="0.3">
      <c r="F2319" s="14"/>
    </row>
    <row r="2320" spans="6:6" x14ac:dyDescent="0.3">
      <c r="F2320" s="14"/>
    </row>
    <row r="2321" spans="6:6" x14ac:dyDescent="0.3">
      <c r="F2321" s="14"/>
    </row>
    <row r="2322" spans="6:6" x14ac:dyDescent="0.3">
      <c r="F2322" s="14"/>
    </row>
    <row r="2323" spans="6:6" x14ac:dyDescent="0.3">
      <c r="F2323" s="14"/>
    </row>
    <row r="2324" spans="6:6" x14ac:dyDescent="0.3">
      <c r="F2324" s="14"/>
    </row>
    <row r="2325" spans="6:6" x14ac:dyDescent="0.3">
      <c r="F2325" s="14"/>
    </row>
    <row r="2326" spans="6:6" x14ac:dyDescent="0.3">
      <c r="F2326" s="14"/>
    </row>
    <row r="2327" spans="6:6" x14ac:dyDescent="0.3">
      <c r="F2327" s="14"/>
    </row>
    <row r="2328" spans="6:6" x14ac:dyDescent="0.3">
      <c r="F2328" s="14"/>
    </row>
    <row r="2329" spans="6:6" x14ac:dyDescent="0.3">
      <c r="F2329" s="14"/>
    </row>
    <row r="2330" spans="6:6" x14ac:dyDescent="0.3">
      <c r="F2330" s="14"/>
    </row>
    <row r="2331" spans="6:6" x14ac:dyDescent="0.3">
      <c r="F2331" s="14"/>
    </row>
    <row r="2332" spans="6:6" x14ac:dyDescent="0.3">
      <c r="F2332" s="14"/>
    </row>
    <row r="2333" spans="6:6" x14ac:dyDescent="0.3">
      <c r="F2333" s="14"/>
    </row>
    <row r="2334" spans="6:6" x14ac:dyDescent="0.3">
      <c r="F2334" s="14"/>
    </row>
    <row r="2335" spans="6:6" x14ac:dyDescent="0.3">
      <c r="F2335" s="14"/>
    </row>
    <row r="2336" spans="6:6" x14ac:dyDescent="0.3">
      <c r="F2336" s="14"/>
    </row>
    <row r="2337" spans="6:6" x14ac:dyDescent="0.3">
      <c r="F2337" s="14"/>
    </row>
    <row r="2338" spans="6:6" x14ac:dyDescent="0.3">
      <c r="F2338" s="14"/>
    </row>
    <row r="2339" spans="6:6" x14ac:dyDescent="0.3">
      <c r="F2339" s="14"/>
    </row>
    <row r="2340" spans="6:6" x14ac:dyDescent="0.3">
      <c r="F2340" s="14"/>
    </row>
    <row r="2341" spans="6:6" x14ac:dyDescent="0.3">
      <c r="F2341" s="14"/>
    </row>
    <row r="2342" spans="6:6" x14ac:dyDescent="0.3">
      <c r="F2342" s="14"/>
    </row>
    <row r="2343" spans="6:6" x14ac:dyDescent="0.3">
      <c r="F2343" s="14"/>
    </row>
    <row r="2344" spans="6:6" x14ac:dyDescent="0.3">
      <c r="F2344" s="14"/>
    </row>
    <row r="2345" spans="6:6" x14ac:dyDescent="0.3">
      <c r="F2345" s="14"/>
    </row>
    <row r="2346" spans="6:6" x14ac:dyDescent="0.3">
      <c r="F2346" s="14"/>
    </row>
    <row r="2347" spans="6:6" x14ac:dyDescent="0.3">
      <c r="F2347" s="14"/>
    </row>
    <row r="2348" spans="6:6" x14ac:dyDescent="0.3">
      <c r="F2348" s="14"/>
    </row>
    <row r="2349" spans="6:6" x14ac:dyDescent="0.3">
      <c r="F2349" s="14"/>
    </row>
    <row r="2350" spans="6:6" x14ac:dyDescent="0.3">
      <c r="F2350" s="14"/>
    </row>
    <row r="2351" spans="6:6" x14ac:dyDescent="0.3">
      <c r="F2351" s="14"/>
    </row>
    <row r="2352" spans="6:6" x14ac:dyDescent="0.3">
      <c r="F2352" s="14"/>
    </row>
    <row r="2353" spans="6:6" x14ac:dyDescent="0.3">
      <c r="F2353" s="14"/>
    </row>
    <row r="2354" spans="6:6" x14ac:dyDescent="0.3">
      <c r="F2354" s="14"/>
    </row>
    <row r="2355" spans="6:6" x14ac:dyDescent="0.3">
      <c r="F2355" s="14"/>
    </row>
    <row r="2356" spans="6:6" x14ac:dyDescent="0.3">
      <c r="F2356" s="14"/>
    </row>
    <row r="2357" spans="6:6" x14ac:dyDescent="0.3">
      <c r="F2357" s="14"/>
    </row>
    <row r="2358" spans="6:6" x14ac:dyDescent="0.3">
      <c r="F2358" s="14"/>
    </row>
    <row r="2359" spans="6:6" x14ac:dyDescent="0.3">
      <c r="F2359" s="14"/>
    </row>
    <row r="2360" spans="6:6" x14ac:dyDescent="0.3">
      <c r="F2360" s="14"/>
    </row>
    <row r="2361" spans="6:6" x14ac:dyDescent="0.3">
      <c r="F2361" s="14"/>
    </row>
    <row r="2362" spans="6:6" x14ac:dyDescent="0.3">
      <c r="F2362" s="14"/>
    </row>
    <row r="2363" spans="6:6" x14ac:dyDescent="0.3">
      <c r="F2363" s="14"/>
    </row>
    <row r="2364" spans="6:6" x14ac:dyDescent="0.3">
      <c r="F2364" s="14"/>
    </row>
    <row r="2365" spans="6:6" x14ac:dyDescent="0.3">
      <c r="F2365" s="14"/>
    </row>
    <row r="2366" spans="6:6" x14ac:dyDescent="0.3">
      <c r="F2366" s="14"/>
    </row>
    <row r="2367" spans="6:6" x14ac:dyDescent="0.3">
      <c r="F2367" s="14"/>
    </row>
    <row r="2368" spans="6:6" x14ac:dyDescent="0.3">
      <c r="F2368" s="14"/>
    </row>
    <row r="2369" spans="6:6" x14ac:dyDescent="0.3">
      <c r="F2369" s="14"/>
    </row>
    <row r="2370" spans="6:6" x14ac:dyDescent="0.3">
      <c r="F2370" s="14"/>
    </row>
    <row r="2371" spans="6:6" x14ac:dyDescent="0.3">
      <c r="F2371" s="14"/>
    </row>
    <row r="2372" spans="6:6" x14ac:dyDescent="0.3">
      <c r="F2372" s="14"/>
    </row>
    <row r="2373" spans="6:6" x14ac:dyDescent="0.3">
      <c r="F2373" s="14"/>
    </row>
    <row r="2374" spans="6:6" x14ac:dyDescent="0.3">
      <c r="F2374" s="14"/>
    </row>
    <row r="2375" spans="6:6" x14ac:dyDescent="0.3">
      <c r="F2375" s="14"/>
    </row>
    <row r="2376" spans="6:6" x14ac:dyDescent="0.3">
      <c r="F2376" s="14"/>
    </row>
    <row r="2377" spans="6:6" x14ac:dyDescent="0.3">
      <c r="F2377" s="14"/>
    </row>
    <row r="2378" spans="6:6" x14ac:dyDescent="0.3">
      <c r="F2378" s="14"/>
    </row>
    <row r="2379" spans="6:6" x14ac:dyDescent="0.3">
      <c r="F2379" s="14"/>
    </row>
    <row r="2380" spans="6:6" x14ac:dyDescent="0.3">
      <c r="F2380" s="14"/>
    </row>
    <row r="2381" spans="6:6" x14ac:dyDescent="0.3">
      <c r="F2381" s="14"/>
    </row>
    <row r="2382" spans="6:6" x14ac:dyDescent="0.3">
      <c r="F2382" s="14"/>
    </row>
    <row r="2383" spans="6:6" x14ac:dyDescent="0.3">
      <c r="F2383" s="14"/>
    </row>
    <row r="2384" spans="6:6" x14ac:dyDescent="0.3">
      <c r="F2384" s="14"/>
    </row>
    <row r="2385" spans="6:6" x14ac:dyDescent="0.3">
      <c r="F2385" s="14"/>
    </row>
    <row r="2386" spans="6:6" x14ac:dyDescent="0.3">
      <c r="F2386" s="14"/>
    </row>
    <row r="2387" spans="6:6" x14ac:dyDescent="0.3">
      <c r="F2387" s="14"/>
    </row>
    <row r="2388" spans="6:6" x14ac:dyDescent="0.3">
      <c r="F2388" s="14"/>
    </row>
    <row r="2389" spans="6:6" x14ac:dyDescent="0.3">
      <c r="F2389" s="14"/>
    </row>
    <row r="2390" spans="6:6" x14ac:dyDescent="0.3">
      <c r="F2390" s="14"/>
    </row>
    <row r="2391" spans="6:6" x14ac:dyDescent="0.3">
      <c r="F2391" s="14"/>
    </row>
    <row r="2392" spans="6:6" x14ac:dyDescent="0.3">
      <c r="F2392" s="14"/>
    </row>
    <row r="2393" spans="6:6" x14ac:dyDescent="0.3">
      <c r="F2393" s="14"/>
    </row>
    <row r="2394" spans="6:6" x14ac:dyDescent="0.3">
      <c r="F2394" s="14"/>
    </row>
    <row r="2395" spans="6:6" x14ac:dyDescent="0.3">
      <c r="F2395" s="14"/>
    </row>
    <row r="2396" spans="6:6" x14ac:dyDescent="0.3">
      <c r="F2396" s="14"/>
    </row>
    <row r="2397" spans="6:6" x14ac:dyDescent="0.3">
      <c r="F2397" s="14"/>
    </row>
    <row r="2398" spans="6:6" x14ac:dyDescent="0.3">
      <c r="F2398" s="14"/>
    </row>
    <row r="2399" spans="6:6" x14ac:dyDescent="0.3">
      <c r="F2399" s="14"/>
    </row>
    <row r="2400" spans="6:6" x14ac:dyDescent="0.3">
      <c r="F2400" s="14"/>
    </row>
    <row r="2401" spans="6:6" x14ac:dyDescent="0.3">
      <c r="F2401" s="14"/>
    </row>
    <row r="2402" spans="6:6" x14ac:dyDescent="0.3">
      <c r="F2402" s="14"/>
    </row>
    <row r="2403" spans="6:6" x14ac:dyDescent="0.3">
      <c r="F2403" s="14"/>
    </row>
    <row r="2404" spans="6:6" x14ac:dyDescent="0.3">
      <c r="F2404" s="14"/>
    </row>
    <row r="2405" spans="6:6" x14ac:dyDescent="0.3">
      <c r="F2405" s="14"/>
    </row>
    <row r="2406" spans="6:6" x14ac:dyDescent="0.3">
      <c r="F2406" s="14"/>
    </row>
    <row r="2407" spans="6:6" x14ac:dyDescent="0.3">
      <c r="F2407" s="14"/>
    </row>
    <row r="2408" spans="6:6" x14ac:dyDescent="0.3">
      <c r="F2408" s="14"/>
    </row>
    <row r="2409" spans="6:6" x14ac:dyDescent="0.3">
      <c r="F2409" s="14"/>
    </row>
    <row r="2410" spans="6:6" x14ac:dyDescent="0.3">
      <c r="F2410" s="14"/>
    </row>
    <row r="2411" spans="6:6" x14ac:dyDescent="0.3">
      <c r="F2411" s="14"/>
    </row>
    <row r="2412" spans="6:6" x14ac:dyDescent="0.3">
      <c r="F2412" s="14"/>
    </row>
    <row r="2413" spans="6:6" x14ac:dyDescent="0.3">
      <c r="F2413" s="14"/>
    </row>
    <row r="2414" spans="6:6" x14ac:dyDescent="0.3">
      <c r="F2414" s="14"/>
    </row>
    <row r="2415" spans="6:6" x14ac:dyDescent="0.3">
      <c r="F2415" s="14"/>
    </row>
    <row r="2416" spans="6:6" x14ac:dyDescent="0.3">
      <c r="F2416" s="14"/>
    </row>
    <row r="2417" spans="6:6" x14ac:dyDescent="0.3">
      <c r="F2417" s="14"/>
    </row>
    <row r="2418" spans="6:6" x14ac:dyDescent="0.3">
      <c r="F2418" s="14"/>
    </row>
    <row r="2419" spans="6:6" x14ac:dyDescent="0.3">
      <c r="F2419" s="14"/>
    </row>
    <row r="2420" spans="6:6" x14ac:dyDescent="0.3">
      <c r="F2420" s="14"/>
    </row>
    <row r="2421" spans="6:6" x14ac:dyDescent="0.3">
      <c r="F2421" s="14"/>
    </row>
    <row r="2422" spans="6:6" x14ac:dyDescent="0.3">
      <c r="F2422" s="14"/>
    </row>
    <row r="2423" spans="6:6" x14ac:dyDescent="0.3">
      <c r="F2423" s="14"/>
    </row>
    <row r="2424" spans="6:6" x14ac:dyDescent="0.3">
      <c r="F2424" s="14"/>
    </row>
    <row r="2425" spans="6:6" x14ac:dyDescent="0.3">
      <c r="F2425" s="14"/>
    </row>
    <row r="2426" spans="6:6" x14ac:dyDescent="0.3">
      <c r="F2426" s="14"/>
    </row>
    <row r="2427" spans="6:6" x14ac:dyDescent="0.3">
      <c r="F2427" s="14"/>
    </row>
    <row r="2428" spans="6:6" x14ac:dyDescent="0.3">
      <c r="F2428" s="14"/>
    </row>
    <row r="2429" spans="6:6" x14ac:dyDescent="0.3">
      <c r="F2429" s="14"/>
    </row>
    <row r="2430" spans="6:6" x14ac:dyDescent="0.3">
      <c r="F2430" s="14"/>
    </row>
    <row r="2431" spans="6:6" x14ac:dyDescent="0.3">
      <c r="F2431" s="14"/>
    </row>
    <row r="2432" spans="6:6" x14ac:dyDescent="0.3">
      <c r="F2432" s="14"/>
    </row>
    <row r="2433" spans="6:6" x14ac:dyDescent="0.3">
      <c r="F2433" s="14"/>
    </row>
    <row r="2434" spans="6:6" x14ac:dyDescent="0.3">
      <c r="F2434" s="14"/>
    </row>
    <row r="2435" spans="6:6" x14ac:dyDescent="0.3">
      <c r="F2435" s="14"/>
    </row>
    <row r="2436" spans="6:6" x14ac:dyDescent="0.3">
      <c r="F2436" s="14"/>
    </row>
    <row r="2437" spans="6:6" x14ac:dyDescent="0.3">
      <c r="F2437" s="14"/>
    </row>
    <row r="2438" spans="6:6" x14ac:dyDescent="0.3">
      <c r="F2438" s="14"/>
    </row>
    <row r="2439" spans="6:6" x14ac:dyDescent="0.3">
      <c r="F2439" s="14"/>
    </row>
    <row r="2440" spans="6:6" x14ac:dyDescent="0.3">
      <c r="F2440" s="14"/>
    </row>
    <row r="2441" spans="6:6" x14ac:dyDescent="0.3">
      <c r="F2441" s="14"/>
    </row>
    <row r="2442" spans="6:6" x14ac:dyDescent="0.3">
      <c r="F2442" s="14"/>
    </row>
    <row r="2443" spans="6:6" x14ac:dyDescent="0.3">
      <c r="F2443" s="14"/>
    </row>
    <row r="2444" spans="6:6" x14ac:dyDescent="0.3">
      <c r="F2444" s="14"/>
    </row>
    <row r="2445" spans="6:6" x14ac:dyDescent="0.3">
      <c r="F2445" s="14"/>
    </row>
    <row r="2446" spans="6:6" x14ac:dyDescent="0.3">
      <c r="F2446" s="14"/>
    </row>
    <row r="2447" spans="6:6" x14ac:dyDescent="0.3">
      <c r="F2447" s="14"/>
    </row>
    <row r="2448" spans="6:6" x14ac:dyDescent="0.3">
      <c r="F2448" s="14"/>
    </row>
    <row r="2449" spans="6:6" x14ac:dyDescent="0.3">
      <c r="F2449" s="14"/>
    </row>
    <row r="2450" spans="6:6" x14ac:dyDescent="0.3">
      <c r="F2450" s="14"/>
    </row>
    <row r="2451" spans="6:6" x14ac:dyDescent="0.3">
      <c r="F2451" s="14"/>
    </row>
    <row r="2452" spans="6:6" x14ac:dyDescent="0.3">
      <c r="F2452" s="14"/>
    </row>
    <row r="2453" spans="6:6" x14ac:dyDescent="0.3">
      <c r="F2453" s="14"/>
    </row>
    <row r="2454" spans="6:6" x14ac:dyDescent="0.3">
      <c r="F2454" s="14"/>
    </row>
    <row r="2455" spans="6:6" x14ac:dyDescent="0.3">
      <c r="F2455" s="14"/>
    </row>
    <row r="2456" spans="6:6" x14ac:dyDescent="0.3">
      <c r="F2456" s="14"/>
    </row>
    <row r="2457" spans="6:6" x14ac:dyDescent="0.3">
      <c r="F2457" s="14"/>
    </row>
    <row r="2458" spans="6:6" x14ac:dyDescent="0.3">
      <c r="F2458" s="14"/>
    </row>
    <row r="2459" spans="6:6" x14ac:dyDescent="0.3">
      <c r="F2459" s="14"/>
    </row>
    <row r="2460" spans="6:6" x14ac:dyDescent="0.3">
      <c r="F2460" s="14"/>
    </row>
    <row r="2461" spans="6:6" x14ac:dyDescent="0.3">
      <c r="F2461" s="14"/>
    </row>
    <row r="2462" spans="6:6" x14ac:dyDescent="0.3">
      <c r="F2462" s="14"/>
    </row>
    <row r="2463" spans="6:6" x14ac:dyDescent="0.3">
      <c r="F2463" s="14"/>
    </row>
    <row r="2464" spans="6:6" x14ac:dyDescent="0.3">
      <c r="F2464" s="14"/>
    </row>
    <row r="2465" spans="6:6" x14ac:dyDescent="0.3">
      <c r="F2465" s="14"/>
    </row>
    <row r="2466" spans="6:6" x14ac:dyDescent="0.3">
      <c r="F2466" s="14"/>
    </row>
    <row r="2467" spans="6:6" x14ac:dyDescent="0.3">
      <c r="F2467" s="14"/>
    </row>
    <row r="2468" spans="6:6" x14ac:dyDescent="0.3">
      <c r="F2468" s="14"/>
    </row>
    <row r="2469" spans="6:6" x14ac:dyDescent="0.3">
      <c r="F2469" s="14"/>
    </row>
    <row r="2470" spans="6:6" x14ac:dyDescent="0.3">
      <c r="F2470" s="14"/>
    </row>
    <row r="2471" spans="6:6" x14ac:dyDescent="0.3">
      <c r="F2471" s="14"/>
    </row>
    <row r="2472" spans="6:6" x14ac:dyDescent="0.3">
      <c r="F2472" s="14"/>
    </row>
    <row r="2473" spans="6:6" x14ac:dyDescent="0.3">
      <c r="F2473" s="14"/>
    </row>
    <row r="2474" spans="6:6" x14ac:dyDescent="0.3">
      <c r="F2474" s="14"/>
    </row>
    <row r="2475" spans="6:6" x14ac:dyDescent="0.3">
      <c r="F2475" s="14"/>
    </row>
    <row r="2476" spans="6:6" x14ac:dyDescent="0.3">
      <c r="F2476" s="14"/>
    </row>
    <row r="2477" spans="6:6" x14ac:dyDescent="0.3">
      <c r="F2477" s="14"/>
    </row>
    <row r="2478" spans="6:6" x14ac:dyDescent="0.3">
      <c r="F2478" s="14"/>
    </row>
    <row r="2479" spans="6:6" x14ac:dyDescent="0.3">
      <c r="F2479" s="14"/>
    </row>
    <row r="2480" spans="6:6" x14ac:dyDescent="0.3">
      <c r="F2480" s="14"/>
    </row>
    <row r="2481" spans="6:6" x14ac:dyDescent="0.3">
      <c r="F2481" s="14"/>
    </row>
    <row r="2482" spans="6:6" x14ac:dyDescent="0.3">
      <c r="F2482" s="14"/>
    </row>
    <row r="2483" spans="6:6" x14ac:dyDescent="0.3">
      <c r="F2483" s="14"/>
    </row>
    <row r="2484" spans="6:6" x14ac:dyDescent="0.3">
      <c r="F2484" s="14"/>
    </row>
    <row r="2485" spans="6:6" x14ac:dyDescent="0.3">
      <c r="F2485" s="14"/>
    </row>
    <row r="2486" spans="6:6" x14ac:dyDescent="0.3">
      <c r="F2486" s="14"/>
    </row>
    <row r="2487" spans="6:6" x14ac:dyDescent="0.3">
      <c r="F2487" s="14"/>
    </row>
    <row r="2488" spans="6:6" x14ac:dyDescent="0.3">
      <c r="F2488" s="14"/>
    </row>
    <row r="2489" spans="6:6" x14ac:dyDescent="0.3">
      <c r="F2489" s="14"/>
    </row>
    <row r="2490" spans="6:6" x14ac:dyDescent="0.3">
      <c r="F2490" s="14"/>
    </row>
    <row r="2491" spans="6:6" x14ac:dyDescent="0.3">
      <c r="F2491" s="14"/>
    </row>
    <row r="2492" spans="6:6" x14ac:dyDescent="0.3">
      <c r="F2492" s="14"/>
    </row>
    <row r="2493" spans="6:6" x14ac:dyDescent="0.3">
      <c r="F2493" s="14"/>
    </row>
    <row r="2494" spans="6:6" x14ac:dyDescent="0.3">
      <c r="F2494" s="14"/>
    </row>
    <row r="2495" spans="6:6" x14ac:dyDescent="0.3">
      <c r="F2495" s="14"/>
    </row>
    <row r="2496" spans="6:6" x14ac:dyDescent="0.3">
      <c r="F2496" s="14"/>
    </row>
    <row r="2497" spans="6:6" x14ac:dyDescent="0.3">
      <c r="F2497" s="14"/>
    </row>
    <row r="2498" spans="6:6" x14ac:dyDescent="0.3">
      <c r="F2498" s="14"/>
    </row>
    <row r="2499" spans="6:6" x14ac:dyDescent="0.3">
      <c r="F2499" s="14"/>
    </row>
    <row r="2500" spans="6:6" x14ac:dyDescent="0.3">
      <c r="F2500" s="14"/>
    </row>
    <row r="2501" spans="6:6" x14ac:dyDescent="0.3">
      <c r="F2501" s="14"/>
    </row>
    <row r="2502" spans="6:6" x14ac:dyDescent="0.3">
      <c r="F2502" s="14"/>
    </row>
    <row r="2503" spans="6:6" x14ac:dyDescent="0.3">
      <c r="F2503" s="14"/>
    </row>
    <row r="2504" spans="6:6" x14ac:dyDescent="0.3">
      <c r="F2504" s="14"/>
    </row>
    <row r="2505" spans="6:6" x14ac:dyDescent="0.3">
      <c r="F2505" s="14"/>
    </row>
    <row r="2506" spans="6:6" x14ac:dyDescent="0.3">
      <c r="F2506" s="14"/>
    </row>
    <row r="2507" spans="6:6" x14ac:dyDescent="0.3">
      <c r="F2507" s="14"/>
    </row>
    <row r="2508" spans="6:6" x14ac:dyDescent="0.3">
      <c r="F2508" s="14"/>
    </row>
    <row r="2509" spans="6:6" x14ac:dyDescent="0.3">
      <c r="F2509" s="14"/>
    </row>
    <row r="2510" spans="6:6" x14ac:dyDescent="0.3">
      <c r="F2510" s="14"/>
    </row>
    <row r="2511" spans="6:6" x14ac:dyDescent="0.3">
      <c r="F2511" s="14"/>
    </row>
    <row r="2512" spans="6:6" x14ac:dyDescent="0.3">
      <c r="F2512" s="14"/>
    </row>
    <row r="2513" spans="6:6" x14ac:dyDescent="0.3">
      <c r="F2513" s="14"/>
    </row>
    <row r="2514" spans="6:6" x14ac:dyDescent="0.3">
      <c r="F2514" s="14"/>
    </row>
    <row r="2515" spans="6:6" x14ac:dyDescent="0.3">
      <c r="F2515" s="14"/>
    </row>
    <row r="2516" spans="6:6" x14ac:dyDescent="0.3">
      <c r="F2516" s="14"/>
    </row>
    <row r="2517" spans="6:6" x14ac:dyDescent="0.3">
      <c r="F2517" s="14"/>
    </row>
    <row r="2518" spans="6:6" x14ac:dyDescent="0.3">
      <c r="F2518" s="14"/>
    </row>
    <row r="2519" spans="6:6" x14ac:dyDescent="0.3">
      <c r="F2519" s="14"/>
    </row>
    <row r="2520" spans="6:6" x14ac:dyDescent="0.3">
      <c r="F2520" s="14"/>
    </row>
    <row r="2521" spans="6:6" x14ac:dyDescent="0.3">
      <c r="F2521" s="14"/>
    </row>
    <row r="2522" spans="6:6" x14ac:dyDescent="0.3">
      <c r="F2522" s="14"/>
    </row>
    <row r="2523" spans="6:6" x14ac:dyDescent="0.3">
      <c r="F2523" s="14"/>
    </row>
    <row r="2524" spans="6:6" x14ac:dyDescent="0.3">
      <c r="F2524" s="14"/>
    </row>
    <row r="2525" spans="6:6" x14ac:dyDescent="0.3">
      <c r="F2525" s="14"/>
    </row>
    <row r="2526" spans="6:6" x14ac:dyDescent="0.3">
      <c r="F2526" s="14"/>
    </row>
    <row r="2527" spans="6:6" x14ac:dyDescent="0.3">
      <c r="F2527" s="14"/>
    </row>
    <row r="2528" spans="6:6" x14ac:dyDescent="0.3">
      <c r="F2528" s="14"/>
    </row>
    <row r="2529" spans="6:6" x14ac:dyDescent="0.3">
      <c r="F2529" s="14"/>
    </row>
    <row r="2530" spans="6:6" x14ac:dyDescent="0.3">
      <c r="F2530" s="14"/>
    </row>
    <row r="2531" spans="6:6" x14ac:dyDescent="0.3">
      <c r="F2531" s="14"/>
    </row>
    <row r="2532" spans="6:6" x14ac:dyDescent="0.3">
      <c r="F2532" s="14"/>
    </row>
    <row r="2533" spans="6:6" x14ac:dyDescent="0.3">
      <c r="F2533" s="14"/>
    </row>
    <row r="2534" spans="6:6" x14ac:dyDescent="0.3">
      <c r="F2534" s="14"/>
    </row>
    <row r="2535" spans="6:6" x14ac:dyDescent="0.3">
      <c r="F2535" s="14"/>
    </row>
    <row r="2536" spans="6:6" x14ac:dyDescent="0.3">
      <c r="F2536" s="14"/>
    </row>
    <row r="2537" spans="6:6" x14ac:dyDescent="0.3">
      <c r="F2537" s="14"/>
    </row>
    <row r="2538" spans="6:6" x14ac:dyDescent="0.3">
      <c r="F2538" s="14"/>
    </row>
    <row r="2539" spans="6:6" x14ac:dyDescent="0.3">
      <c r="F2539" s="14"/>
    </row>
    <row r="2540" spans="6:6" x14ac:dyDescent="0.3">
      <c r="F2540" s="14"/>
    </row>
    <row r="2541" spans="6:6" x14ac:dyDescent="0.3">
      <c r="F2541" s="14"/>
    </row>
    <row r="2542" spans="6:6" x14ac:dyDescent="0.3">
      <c r="F2542" s="14"/>
    </row>
    <row r="2543" spans="6:6" x14ac:dyDescent="0.3">
      <c r="F2543" s="14"/>
    </row>
    <row r="2544" spans="6:6" x14ac:dyDescent="0.3">
      <c r="F2544" s="14"/>
    </row>
    <row r="2545" spans="6:6" x14ac:dyDescent="0.3">
      <c r="F2545" s="14"/>
    </row>
    <row r="2546" spans="6:6" x14ac:dyDescent="0.3">
      <c r="F2546" s="14"/>
    </row>
    <row r="2547" spans="6:6" x14ac:dyDescent="0.3">
      <c r="F2547" s="14"/>
    </row>
    <row r="2548" spans="6:6" x14ac:dyDescent="0.3">
      <c r="F2548" s="14"/>
    </row>
    <row r="2549" spans="6:6" x14ac:dyDescent="0.3">
      <c r="F2549" s="14"/>
    </row>
    <row r="2550" spans="6:6" x14ac:dyDescent="0.3">
      <c r="F2550" s="14"/>
    </row>
    <row r="2551" spans="6:6" x14ac:dyDescent="0.3">
      <c r="F2551" s="14"/>
    </row>
    <row r="2552" spans="6:6" x14ac:dyDescent="0.3">
      <c r="F2552" s="14"/>
    </row>
    <row r="2553" spans="6:6" x14ac:dyDescent="0.3">
      <c r="F2553" s="14"/>
    </row>
    <row r="2554" spans="6:6" x14ac:dyDescent="0.3">
      <c r="F2554" s="14"/>
    </row>
    <row r="2555" spans="6:6" x14ac:dyDescent="0.3">
      <c r="F2555" s="14"/>
    </row>
    <row r="2556" spans="6:6" x14ac:dyDescent="0.3">
      <c r="F2556" s="14"/>
    </row>
    <row r="2557" spans="6:6" x14ac:dyDescent="0.3">
      <c r="F2557" s="14"/>
    </row>
    <row r="2558" spans="6:6" x14ac:dyDescent="0.3">
      <c r="F2558" s="14"/>
    </row>
    <row r="2559" spans="6:6" x14ac:dyDescent="0.3">
      <c r="F2559" s="14"/>
    </row>
    <row r="2560" spans="6:6" x14ac:dyDescent="0.3">
      <c r="F2560" s="14"/>
    </row>
    <row r="2561" spans="6:6" x14ac:dyDescent="0.3">
      <c r="F2561" s="14"/>
    </row>
    <row r="2562" spans="6:6" x14ac:dyDescent="0.3">
      <c r="F2562" s="14"/>
    </row>
    <row r="2563" spans="6:6" x14ac:dyDescent="0.3">
      <c r="F2563" s="14"/>
    </row>
    <row r="2564" spans="6:6" x14ac:dyDescent="0.3">
      <c r="F2564" s="14"/>
    </row>
    <row r="2565" spans="6:6" x14ac:dyDescent="0.3">
      <c r="F2565" s="14"/>
    </row>
    <row r="2566" spans="6:6" x14ac:dyDescent="0.3">
      <c r="F2566" s="14"/>
    </row>
    <row r="2567" spans="6:6" x14ac:dyDescent="0.3">
      <c r="F2567" s="14"/>
    </row>
    <row r="2568" spans="6:6" x14ac:dyDescent="0.3">
      <c r="F2568" s="14"/>
    </row>
    <row r="2569" spans="6:6" x14ac:dyDescent="0.3">
      <c r="F2569" s="14"/>
    </row>
    <row r="2570" spans="6:6" x14ac:dyDescent="0.3">
      <c r="F2570" s="14"/>
    </row>
    <row r="2571" spans="6:6" x14ac:dyDescent="0.3">
      <c r="F2571" s="14"/>
    </row>
    <row r="2572" spans="6:6" x14ac:dyDescent="0.3">
      <c r="F2572" s="14"/>
    </row>
    <row r="2573" spans="6:6" x14ac:dyDescent="0.3">
      <c r="F2573" s="14"/>
    </row>
    <row r="2574" spans="6:6" x14ac:dyDescent="0.3">
      <c r="F2574" s="14"/>
    </row>
    <row r="2575" spans="6:6" x14ac:dyDescent="0.3">
      <c r="F2575" s="14"/>
    </row>
    <row r="2576" spans="6:6" x14ac:dyDescent="0.3">
      <c r="F2576" s="14"/>
    </row>
    <row r="2577" spans="6:6" x14ac:dyDescent="0.3">
      <c r="F2577" s="14"/>
    </row>
    <row r="2578" spans="6:6" x14ac:dyDescent="0.3">
      <c r="F2578" s="14"/>
    </row>
    <row r="2579" spans="6:6" x14ac:dyDescent="0.3">
      <c r="F2579" s="14"/>
    </row>
    <row r="2580" spans="6:6" x14ac:dyDescent="0.3">
      <c r="F2580" s="14"/>
    </row>
    <row r="2581" spans="6:6" x14ac:dyDescent="0.3">
      <c r="F2581" s="14"/>
    </row>
    <row r="2582" spans="6:6" x14ac:dyDescent="0.3">
      <c r="F2582" s="14"/>
    </row>
    <row r="2583" spans="6:6" x14ac:dyDescent="0.3">
      <c r="F2583" s="14"/>
    </row>
    <row r="2584" spans="6:6" x14ac:dyDescent="0.3">
      <c r="F2584" s="14"/>
    </row>
    <row r="2585" spans="6:6" x14ac:dyDescent="0.3">
      <c r="F2585" s="14"/>
    </row>
    <row r="2586" spans="6:6" x14ac:dyDescent="0.3">
      <c r="F2586" s="14"/>
    </row>
    <row r="2587" spans="6:6" x14ac:dyDescent="0.3">
      <c r="F2587" s="14"/>
    </row>
    <row r="2588" spans="6:6" x14ac:dyDescent="0.3">
      <c r="F2588" s="14"/>
    </row>
    <row r="2589" spans="6:6" x14ac:dyDescent="0.3">
      <c r="F2589" s="14"/>
    </row>
    <row r="2590" spans="6:6" x14ac:dyDescent="0.3">
      <c r="F2590" s="14"/>
    </row>
    <row r="2591" spans="6:6" x14ac:dyDescent="0.3">
      <c r="F2591" s="14"/>
    </row>
    <row r="2592" spans="6:6" x14ac:dyDescent="0.3">
      <c r="F2592" s="14"/>
    </row>
    <row r="2593" spans="6:6" x14ac:dyDescent="0.3">
      <c r="F2593" s="14"/>
    </row>
    <row r="2594" spans="6:6" x14ac:dyDescent="0.3">
      <c r="F2594" s="14"/>
    </row>
    <row r="2595" spans="6:6" x14ac:dyDescent="0.3">
      <c r="F2595" s="14"/>
    </row>
    <row r="2596" spans="6:6" x14ac:dyDescent="0.3">
      <c r="F2596" s="14"/>
    </row>
    <row r="2597" spans="6:6" x14ac:dyDescent="0.3">
      <c r="F2597" s="14"/>
    </row>
    <row r="2598" spans="6:6" x14ac:dyDescent="0.3">
      <c r="F2598" s="14"/>
    </row>
    <row r="2599" spans="6:6" x14ac:dyDescent="0.3">
      <c r="F2599" s="14"/>
    </row>
    <row r="2600" spans="6:6" x14ac:dyDescent="0.3">
      <c r="F2600" s="14"/>
    </row>
    <row r="2601" spans="6:6" x14ac:dyDescent="0.3">
      <c r="F2601" s="14"/>
    </row>
    <row r="2602" spans="6:6" x14ac:dyDescent="0.3">
      <c r="F2602" s="14"/>
    </row>
    <row r="2603" spans="6:6" x14ac:dyDescent="0.3">
      <c r="F2603" s="14"/>
    </row>
    <row r="2604" spans="6:6" x14ac:dyDescent="0.3">
      <c r="F2604" s="14"/>
    </row>
    <row r="2605" spans="6:6" x14ac:dyDescent="0.3">
      <c r="F2605" s="14"/>
    </row>
    <row r="2606" spans="6:6" x14ac:dyDescent="0.3">
      <c r="F2606" s="14"/>
    </row>
    <row r="2607" spans="6:6" x14ac:dyDescent="0.3">
      <c r="F2607" s="14"/>
    </row>
    <row r="2608" spans="6:6" x14ac:dyDescent="0.3">
      <c r="F2608" s="14"/>
    </row>
    <row r="2609" spans="6:6" x14ac:dyDescent="0.3">
      <c r="F2609" s="14"/>
    </row>
    <row r="2610" spans="6:6" x14ac:dyDescent="0.3">
      <c r="F2610" s="14"/>
    </row>
    <row r="2611" spans="6:6" x14ac:dyDescent="0.3">
      <c r="F2611" s="14"/>
    </row>
    <row r="2612" spans="6:6" x14ac:dyDescent="0.3">
      <c r="F2612" s="14"/>
    </row>
    <row r="2613" spans="6:6" x14ac:dyDescent="0.3">
      <c r="F2613" s="14"/>
    </row>
    <row r="2614" spans="6:6" x14ac:dyDescent="0.3">
      <c r="F2614" s="14"/>
    </row>
    <row r="2615" spans="6:6" x14ac:dyDescent="0.3">
      <c r="F2615" s="14"/>
    </row>
    <row r="2616" spans="6:6" x14ac:dyDescent="0.3">
      <c r="F2616" s="14"/>
    </row>
    <row r="2617" spans="6:6" x14ac:dyDescent="0.3">
      <c r="F2617" s="14"/>
    </row>
    <row r="2618" spans="6:6" x14ac:dyDescent="0.3">
      <c r="F2618" s="14"/>
    </row>
    <row r="2619" spans="6:6" x14ac:dyDescent="0.3">
      <c r="F2619" s="14"/>
    </row>
    <row r="2620" spans="6:6" x14ac:dyDescent="0.3">
      <c r="F2620" s="14"/>
    </row>
    <row r="2621" spans="6:6" x14ac:dyDescent="0.3">
      <c r="F2621" s="14"/>
    </row>
    <row r="2622" spans="6:6" x14ac:dyDescent="0.3">
      <c r="F2622" s="14"/>
    </row>
    <row r="2623" spans="6:6" x14ac:dyDescent="0.3">
      <c r="F2623" s="14"/>
    </row>
    <row r="2624" spans="6:6" x14ac:dyDescent="0.3">
      <c r="F2624" s="14"/>
    </row>
    <row r="2625" spans="6:6" x14ac:dyDescent="0.3">
      <c r="F2625" s="14"/>
    </row>
    <row r="2626" spans="6:6" x14ac:dyDescent="0.3">
      <c r="F2626" s="14"/>
    </row>
    <row r="2627" spans="6:6" x14ac:dyDescent="0.3">
      <c r="F2627" s="14"/>
    </row>
    <row r="2628" spans="6:6" x14ac:dyDescent="0.3">
      <c r="F2628" s="14"/>
    </row>
    <row r="2629" spans="6:6" x14ac:dyDescent="0.3">
      <c r="F2629" s="14"/>
    </row>
    <row r="2630" spans="6:6" x14ac:dyDescent="0.3">
      <c r="F2630" s="14"/>
    </row>
    <row r="2631" spans="6:6" x14ac:dyDescent="0.3">
      <c r="F2631" s="14"/>
    </row>
    <row r="2632" spans="6:6" x14ac:dyDescent="0.3">
      <c r="F2632" s="14"/>
    </row>
    <row r="2633" spans="6:6" x14ac:dyDescent="0.3">
      <c r="F2633" s="14"/>
    </row>
    <row r="2634" spans="6:6" x14ac:dyDescent="0.3">
      <c r="F2634" s="14"/>
    </row>
    <row r="2635" spans="6:6" x14ac:dyDescent="0.3">
      <c r="F2635" s="14"/>
    </row>
    <row r="2636" spans="6:6" x14ac:dyDescent="0.3">
      <c r="F2636" s="14"/>
    </row>
    <row r="2637" spans="6:6" x14ac:dyDescent="0.3">
      <c r="F2637" s="14"/>
    </row>
    <row r="2638" spans="6:6" x14ac:dyDescent="0.3">
      <c r="F2638" s="14"/>
    </row>
    <row r="2639" spans="6:6" x14ac:dyDescent="0.3">
      <c r="F2639" s="14"/>
    </row>
    <row r="2640" spans="6:6" x14ac:dyDescent="0.3">
      <c r="F2640" s="14"/>
    </row>
    <row r="2641" spans="6:6" x14ac:dyDescent="0.3">
      <c r="F2641" s="14"/>
    </row>
    <row r="2642" spans="6:6" x14ac:dyDescent="0.3">
      <c r="F2642" s="14"/>
    </row>
    <row r="2643" spans="6:6" x14ac:dyDescent="0.3">
      <c r="F2643" s="14"/>
    </row>
    <row r="2644" spans="6:6" x14ac:dyDescent="0.3">
      <c r="F2644" s="14"/>
    </row>
    <row r="2645" spans="6:6" x14ac:dyDescent="0.3">
      <c r="F2645" s="14"/>
    </row>
    <row r="2646" spans="6:6" x14ac:dyDescent="0.3">
      <c r="F2646" s="14"/>
    </row>
    <row r="2647" spans="6:6" x14ac:dyDescent="0.3">
      <c r="F2647" s="14"/>
    </row>
    <row r="2648" spans="6:6" x14ac:dyDescent="0.3">
      <c r="F2648" s="14"/>
    </row>
    <row r="2649" spans="6:6" x14ac:dyDescent="0.3">
      <c r="F2649" s="14"/>
    </row>
    <row r="2650" spans="6:6" x14ac:dyDescent="0.3">
      <c r="F2650" s="14"/>
    </row>
    <row r="2651" spans="6:6" x14ac:dyDescent="0.3">
      <c r="F2651" s="14"/>
    </row>
    <row r="2652" spans="6:6" x14ac:dyDescent="0.3">
      <c r="F2652" s="14"/>
    </row>
    <row r="2653" spans="6:6" x14ac:dyDescent="0.3">
      <c r="F2653" s="14"/>
    </row>
    <row r="2654" spans="6:6" x14ac:dyDescent="0.3">
      <c r="F2654" s="14"/>
    </row>
    <row r="2655" spans="6:6" x14ac:dyDescent="0.3">
      <c r="F2655" s="14"/>
    </row>
    <row r="2656" spans="6:6" x14ac:dyDescent="0.3">
      <c r="F2656" s="14"/>
    </row>
    <row r="2657" spans="6:6" x14ac:dyDescent="0.3">
      <c r="F2657" s="14"/>
    </row>
    <row r="2658" spans="6:6" x14ac:dyDescent="0.3">
      <c r="F2658" s="14"/>
    </row>
    <row r="2659" spans="6:6" x14ac:dyDescent="0.3">
      <c r="F2659" s="14"/>
    </row>
    <row r="2660" spans="6:6" x14ac:dyDescent="0.3">
      <c r="F2660" s="14"/>
    </row>
    <row r="2661" spans="6:6" x14ac:dyDescent="0.3">
      <c r="F2661" s="14"/>
    </row>
    <row r="2662" spans="6:6" x14ac:dyDescent="0.3">
      <c r="F2662" s="14"/>
    </row>
    <row r="2663" spans="6:6" x14ac:dyDescent="0.3">
      <c r="F2663" s="14"/>
    </row>
    <row r="2664" spans="6:6" x14ac:dyDescent="0.3">
      <c r="F2664" s="14"/>
    </row>
    <row r="2665" spans="6:6" x14ac:dyDescent="0.3">
      <c r="F2665" s="14"/>
    </row>
    <row r="2666" spans="6:6" x14ac:dyDescent="0.3">
      <c r="F2666" s="14"/>
    </row>
    <row r="2667" spans="6:6" x14ac:dyDescent="0.3">
      <c r="F2667" s="14"/>
    </row>
    <row r="2668" spans="6:6" x14ac:dyDescent="0.3">
      <c r="F2668" s="14"/>
    </row>
    <row r="2669" spans="6:6" x14ac:dyDescent="0.3">
      <c r="F2669" s="14"/>
    </row>
    <row r="2670" spans="6:6" x14ac:dyDescent="0.3">
      <c r="F2670" s="14"/>
    </row>
    <row r="2671" spans="6:6" x14ac:dyDescent="0.3">
      <c r="F2671" s="14"/>
    </row>
    <row r="2672" spans="6:6" x14ac:dyDescent="0.3">
      <c r="F2672" s="14"/>
    </row>
    <row r="2673" spans="6:6" x14ac:dyDescent="0.3">
      <c r="F2673" s="14"/>
    </row>
    <row r="2674" spans="6:6" x14ac:dyDescent="0.3">
      <c r="F2674" s="14"/>
    </row>
    <row r="2675" spans="6:6" x14ac:dyDescent="0.3">
      <c r="F2675" s="14"/>
    </row>
    <row r="2676" spans="6:6" x14ac:dyDescent="0.3">
      <c r="F2676" s="14"/>
    </row>
    <row r="2677" spans="6:6" x14ac:dyDescent="0.3">
      <c r="F2677" s="14"/>
    </row>
    <row r="2678" spans="6:6" x14ac:dyDescent="0.3">
      <c r="F2678" s="14"/>
    </row>
    <row r="2679" spans="6:6" x14ac:dyDescent="0.3">
      <c r="F2679" s="14"/>
    </row>
    <row r="2680" spans="6:6" x14ac:dyDescent="0.3">
      <c r="F2680" s="14"/>
    </row>
    <row r="2681" spans="6:6" x14ac:dyDescent="0.3">
      <c r="F2681" s="14"/>
    </row>
    <row r="2682" spans="6:6" x14ac:dyDescent="0.3">
      <c r="F2682" s="14"/>
    </row>
    <row r="2683" spans="6:6" x14ac:dyDescent="0.3">
      <c r="F2683" s="14"/>
    </row>
    <row r="2684" spans="6:6" x14ac:dyDescent="0.3">
      <c r="F2684" s="14"/>
    </row>
    <row r="2685" spans="6:6" x14ac:dyDescent="0.3">
      <c r="F2685" s="14"/>
    </row>
    <row r="2686" spans="6:6" x14ac:dyDescent="0.3">
      <c r="F2686" s="14"/>
    </row>
    <row r="2687" spans="6:6" x14ac:dyDescent="0.3">
      <c r="F2687" s="14"/>
    </row>
    <row r="2688" spans="6:6" x14ac:dyDescent="0.3">
      <c r="F2688" s="14"/>
    </row>
    <row r="2689" spans="6:6" x14ac:dyDescent="0.3">
      <c r="F2689" s="14"/>
    </row>
    <row r="2690" spans="6:6" x14ac:dyDescent="0.3">
      <c r="F2690" s="14"/>
    </row>
    <row r="2691" spans="6:6" x14ac:dyDescent="0.3">
      <c r="F2691" s="14"/>
    </row>
    <row r="2692" spans="6:6" x14ac:dyDescent="0.3">
      <c r="F2692" s="14"/>
    </row>
    <row r="2693" spans="6:6" x14ac:dyDescent="0.3">
      <c r="F2693" s="14"/>
    </row>
    <row r="2694" spans="6:6" x14ac:dyDescent="0.3">
      <c r="F2694" s="14"/>
    </row>
    <row r="2695" spans="6:6" x14ac:dyDescent="0.3">
      <c r="F2695" s="14"/>
    </row>
    <row r="2696" spans="6:6" x14ac:dyDescent="0.3">
      <c r="F2696" s="14"/>
    </row>
    <row r="2697" spans="6:6" x14ac:dyDescent="0.3">
      <c r="F2697" s="14"/>
    </row>
    <row r="2698" spans="6:6" x14ac:dyDescent="0.3">
      <c r="F2698" s="14"/>
    </row>
    <row r="2699" spans="6:6" x14ac:dyDescent="0.3">
      <c r="F2699" s="14"/>
    </row>
    <row r="2700" spans="6:6" x14ac:dyDescent="0.3">
      <c r="F2700" s="14"/>
    </row>
    <row r="2701" spans="6:6" x14ac:dyDescent="0.3">
      <c r="F2701" s="14"/>
    </row>
    <row r="2702" spans="6:6" x14ac:dyDescent="0.3">
      <c r="F2702" s="14"/>
    </row>
    <row r="2703" spans="6:6" x14ac:dyDescent="0.3">
      <c r="F2703" s="14"/>
    </row>
    <row r="2704" spans="6:6" x14ac:dyDescent="0.3">
      <c r="F2704" s="14"/>
    </row>
    <row r="2705" spans="6:6" x14ac:dyDescent="0.3">
      <c r="F2705" s="14"/>
    </row>
    <row r="2706" spans="6:6" x14ac:dyDescent="0.3">
      <c r="F2706" s="14"/>
    </row>
    <row r="2707" spans="6:6" x14ac:dyDescent="0.3">
      <c r="F2707" s="14"/>
    </row>
    <row r="2708" spans="6:6" x14ac:dyDescent="0.3">
      <c r="F2708" s="14"/>
    </row>
    <row r="2709" spans="6:6" x14ac:dyDescent="0.3">
      <c r="F2709" s="14"/>
    </row>
    <row r="2710" spans="6:6" x14ac:dyDescent="0.3">
      <c r="F2710" s="14"/>
    </row>
    <row r="2711" spans="6:6" x14ac:dyDescent="0.3">
      <c r="F2711" s="14"/>
    </row>
    <row r="2712" spans="6:6" x14ac:dyDescent="0.3">
      <c r="F2712" s="14"/>
    </row>
    <row r="2713" spans="6:6" x14ac:dyDescent="0.3">
      <c r="F2713" s="14"/>
    </row>
    <row r="2714" spans="6:6" x14ac:dyDescent="0.3">
      <c r="F2714" s="14"/>
    </row>
    <row r="2715" spans="6:6" x14ac:dyDescent="0.3">
      <c r="F2715" s="14"/>
    </row>
    <row r="2716" spans="6:6" x14ac:dyDescent="0.3">
      <c r="F2716" s="14"/>
    </row>
    <row r="2717" spans="6:6" x14ac:dyDescent="0.3">
      <c r="F2717" s="14"/>
    </row>
    <row r="2718" spans="6:6" x14ac:dyDescent="0.3">
      <c r="F2718" s="14"/>
    </row>
    <row r="2719" spans="6:6" x14ac:dyDescent="0.3">
      <c r="F2719" s="14"/>
    </row>
    <row r="2720" spans="6:6" x14ac:dyDescent="0.3">
      <c r="F2720" s="14"/>
    </row>
    <row r="2721" spans="6:6" x14ac:dyDescent="0.3">
      <c r="F2721" s="14"/>
    </row>
    <row r="2722" spans="6:6" x14ac:dyDescent="0.3">
      <c r="F2722" s="14"/>
    </row>
    <row r="2723" spans="6:6" x14ac:dyDescent="0.3">
      <c r="F2723" s="14"/>
    </row>
    <row r="2724" spans="6:6" x14ac:dyDescent="0.3">
      <c r="F2724" s="14"/>
    </row>
    <row r="2725" spans="6:6" x14ac:dyDescent="0.3">
      <c r="F2725" s="14"/>
    </row>
    <row r="2726" spans="6:6" x14ac:dyDescent="0.3">
      <c r="F2726" s="14"/>
    </row>
    <row r="2727" spans="6:6" x14ac:dyDescent="0.3">
      <c r="F2727" s="14"/>
    </row>
    <row r="2728" spans="6:6" x14ac:dyDescent="0.3">
      <c r="F2728" s="14"/>
    </row>
    <row r="2729" spans="6:6" x14ac:dyDescent="0.3">
      <c r="F2729" s="14"/>
    </row>
    <row r="2730" spans="6:6" x14ac:dyDescent="0.3">
      <c r="F2730" s="14"/>
    </row>
    <row r="2731" spans="6:6" x14ac:dyDescent="0.3">
      <c r="F2731" s="14"/>
    </row>
    <row r="2732" spans="6:6" x14ac:dyDescent="0.3">
      <c r="F2732" s="14"/>
    </row>
    <row r="2733" spans="6:6" x14ac:dyDescent="0.3">
      <c r="F2733" s="14"/>
    </row>
    <row r="2734" spans="6:6" x14ac:dyDescent="0.3">
      <c r="F2734" s="14"/>
    </row>
    <row r="2735" spans="6:6" x14ac:dyDescent="0.3">
      <c r="F2735" s="14"/>
    </row>
    <row r="2736" spans="6:6" x14ac:dyDescent="0.3">
      <c r="F2736" s="14"/>
    </row>
    <row r="2737" spans="6:6" x14ac:dyDescent="0.3">
      <c r="F2737" s="14"/>
    </row>
    <row r="2738" spans="6:6" x14ac:dyDescent="0.3">
      <c r="F2738" s="14"/>
    </row>
    <row r="2739" spans="6:6" x14ac:dyDescent="0.3">
      <c r="F2739" s="14"/>
    </row>
    <row r="2740" spans="6:6" x14ac:dyDescent="0.3">
      <c r="F2740" s="14"/>
    </row>
    <row r="2741" spans="6:6" x14ac:dyDescent="0.3">
      <c r="F2741" s="14"/>
    </row>
    <row r="2742" spans="6:6" x14ac:dyDescent="0.3">
      <c r="F2742" s="14"/>
    </row>
    <row r="2743" spans="6:6" x14ac:dyDescent="0.3">
      <c r="F2743" s="14"/>
    </row>
    <row r="2744" spans="6:6" x14ac:dyDescent="0.3">
      <c r="F2744" s="14"/>
    </row>
    <row r="2745" spans="6:6" x14ac:dyDescent="0.3">
      <c r="F2745" s="14"/>
    </row>
    <row r="2746" spans="6:6" x14ac:dyDescent="0.3">
      <c r="F2746" s="14"/>
    </row>
    <row r="2747" spans="6:6" x14ac:dyDescent="0.3">
      <c r="F2747" s="14"/>
    </row>
    <row r="2748" spans="6:6" x14ac:dyDescent="0.3">
      <c r="F2748" s="14"/>
    </row>
    <row r="2749" spans="6:6" x14ac:dyDescent="0.3">
      <c r="F2749" s="14"/>
    </row>
    <row r="2750" spans="6:6" x14ac:dyDescent="0.3">
      <c r="F2750" s="14"/>
    </row>
    <row r="2751" spans="6:6" x14ac:dyDescent="0.3">
      <c r="F2751" s="14"/>
    </row>
    <row r="2752" spans="6:6" x14ac:dyDescent="0.3">
      <c r="F2752" s="14"/>
    </row>
    <row r="2753" spans="6:6" x14ac:dyDescent="0.3">
      <c r="F2753" s="14"/>
    </row>
    <row r="2754" spans="6:6" x14ac:dyDescent="0.3">
      <c r="F2754" s="14"/>
    </row>
    <row r="2755" spans="6:6" x14ac:dyDescent="0.3">
      <c r="F2755" s="14"/>
    </row>
    <row r="2756" spans="6:6" x14ac:dyDescent="0.3">
      <c r="F2756" s="14"/>
    </row>
    <row r="2757" spans="6:6" x14ac:dyDescent="0.3">
      <c r="F2757" s="14"/>
    </row>
    <row r="2758" spans="6:6" x14ac:dyDescent="0.3">
      <c r="F2758" s="14"/>
    </row>
    <row r="2759" spans="6:6" x14ac:dyDescent="0.3">
      <c r="F2759" s="14"/>
    </row>
    <row r="2760" spans="6:6" x14ac:dyDescent="0.3">
      <c r="F2760" s="14"/>
    </row>
    <row r="2761" spans="6:6" x14ac:dyDescent="0.3">
      <c r="F2761" s="14"/>
    </row>
    <row r="2762" spans="6:6" x14ac:dyDescent="0.3">
      <c r="F2762" s="14"/>
    </row>
    <row r="2763" spans="6:6" x14ac:dyDescent="0.3">
      <c r="F2763" s="14"/>
    </row>
    <row r="2764" spans="6:6" x14ac:dyDescent="0.3">
      <c r="F2764" s="14"/>
    </row>
    <row r="2765" spans="6:6" x14ac:dyDescent="0.3">
      <c r="F2765" s="14"/>
    </row>
    <row r="2766" spans="6:6" x14ac:dyDescent="0.3">
      <c r="F2766" s="14"/>
    </row>
    <row r="2767" spans="6:6" x14ac:dyDescent="0.3">
      <c r="F2767" s="14"/>
    </row>
    <row r="2768" spans="6:6" x14ac:dyDescent="0.3">
      <c r="F2768" s="14"/>
    </row>
    <row r="2769" spans="6:6" x14ac:dyDescent="0.3">
      <c r="F2769" s="14"/>
    </row>
    <row r="2770" spans="6:6" x14ac:dyDescent="0.3">
      <c r="F2770" s="14"/>
    </row>
    <row r="2771" spans="6:6" x14ac:dyDescent="0.3">
      <c r="F2771" s="14"/>
    </row>
    <row r="2772" spans="6:6" x14ac:dyDescent="0.3">
      <c r="F2772" s="14"/>
    </row>
    <row r="2773" spans="6:6" x14ac:dyDescent="0.3">
      <c r="F2773" s="14"/>
    </row>
    <row r="2774" spans="6:6" x14ac:dyDescent="0.3">
      <c r="F2774" s="14"/>
    </row>
    <row r="2775" spans="6:6" x14ac:dyDescent="0.3">
      <c r="F2775" s="14"/>
    </row>
    <row r="2776" spans="6:6" x14ac:dyDescent="0.3">
      <c r="F2776" s="14"/>
    </row>
    <row r="2777" spans="6:6" x14ac:dyDescent="0.3">
      <c r="F2777" s="14"/>
    </row>
    <row r="2778" spans="6:6" x14ac:dyDescent="0.3">
      <c r="F2778" s="14"/>
    </row>
    <row r="2779" spans="6:6" x14ac:dyDescent="0.3">
      <c r="F2779" s="14"/>
    </row>
    <row r="2780" spans="6:6" x14ac:dyDescent="0.3">
      <c r="F2780" s="14"/>
    </row>
    <row r="2781" spans="6:6" x14ac:dyDescent="0.3">
      <c r="F2781" s="14"/>
    </row>
    <row r="2782" spans="6:6" x14ac:dyDescent="0.3">
      <c r="F2782" s="14"/>
    </row>
    <row r="2783" spans="6:6" x14ac:dyDescent="0.3">
      <c r="F2783" s="14"/>
    </row>
    <row r="2784" spans="6:6" x14ac:dyDescent="0.3">
      <c r="F2784" s="14"/>
    </row>
    <row r="2785" spans="6:6" x14ac:dyDescent="0.3">
      <c r="F2785" s="14"/>
    </row>
    <row r="2786" spans="6:6" x14ac:dyDescent="0.3">
      <c r="F2786" s="14"/>
    </row>
    <row r="2787" spans="6:6" x14ac:dyDescent="0.3">
      <c r="F2787" s="14"/>
    </row>
    <row r="2788" spans="6:6" x14ac:dyDescent="0.3">
      <c r="F2788" s="14"/>
    </row>
    <row r="2789" spans="6:6" x14ac:dyDescent="0.3">
      <c r="F2789" s="14"/>
    </row>
    <row r="2790" spans="6:6" x14ac:dyDescent="0.3">
      <c r="F2790" s="14"/>
    </row>
    <row r="2791" spans="6:6" x14ac:dyDescent="0.3">
      <c r="F2791" s="14"/>
    </row>
    <row r="2792" spans="6:6" x14ac:dyDescent="0.3">
      <c r="F2792" s="14"/>
    </row>
    <row r="2793" spans="6:6" x14ac:dyDescent="0.3">
      <c r="F2793" s="14"/>
    </row>
    <row r="2794" spans="6:6" x14ac:dyDescent="0.3">
      <c r="F2794" s="14"/>
    </row>
    <row r="2795" spans="6:6" x14ac:dyDescent="0.3">
      <c r="F2795" s="14"/>
    </row>
    <row r="2796" spans="6:6" x14ac:dyDescent="0.3">
      <c r="F2796" s="14"/>
    </row>
    <row r="2797" spans="6:6" x14ac:dyDescent="0.3">
      <c r="F2797" s="14"/>
    </row>
    <row r="2798" spans="6:6" x14ac:dyDescent="0.3">
      <c r="F2798" s="14"/>
    </row>
    <row r="2799" spans="6:6" x14ac:dyDescent="0.3">
      <c r="F2799" s="14"/>
    </row>
    <row r="2800" spans="6:6" x14ac:dyDescent="0.3">
      <c r="F2800" s="14"/>
    </row>
    <row r="2801" spans="6:6" x14ac:dyDescent="0.3">
      <c r="F2801" s="14"/>
    </row>
    <row r="2802" spans="6:6" x14ac:dyDescent="0.3">
      <c r="F2802" s="14"/>
    </row>
    <row r="2803" spans="6:6" x14ac:dyDescent="0.3">
      <c r="F2803" s="14"/>
    </row>
    <row r="2804" spans="6:6" x14ac:dyDescent="0.3">
      <c r="F2804" s="14"/>
    </row>
    <row r="2805" spans="6:6" x14ac:dyDescent="0.3">
      <c r="F2805" s="14"/>
    </row>
    <row r="2806" spans="6:6" x14ac:dyDescent="0.3">
      <c r="F2806" s="14"/>
    </row>
    <row r="2807" spans="6:6" x14ac:dyDescent="0.3">
      <c r="F2807" s="14"/>
    </row>
    <row r="2808" spans="6:6" x14ac:dyDescent="0.3">
      <c r="F2808" s="14"/>
    </row>
    <row r="2809" spans="6:6" x14ac:dyDescent="0.3">
      <c r="F2809" s="14"/>
    </row>
    <row r="2810" spans="6:6" x14ac:dyDescent="0.3">
      <c r="F2810" s="14"/>
    </row>
    <row r="2811" spans="6:6" x14ac:dyDescent="0.3">
      <c r="F2811" s="14"/>
    </row>
    <row r="2812" spans="6:6" x14ac:dyDescent="0.3">
      <c r="F2812" s="14"/>
    </row>
    <row r="2813" spans="6:6" x14ac:dyDescent="0.3">
      <c r="F2813" s="14"/>
    </row>
    <row r="2814" spans="6:6" x14ac:dyDescent="0.3">
      <c r="F2814" s="14"/>
    </row>
    <row r="2815" spans="6:6" x14ac:dyDescent="0.3">
      <c r="F2815" s="14"/>
    </row>
    <row r="2816" spans="6:6" x14ac:dyDescent="0.3">
      <c r="F2816" s="14"/>
    </row>
    <row r="2817" spans="6:6" x14ac:dyDescent="0.3">
      <c r="F2817" s="14"/>
    </row>
    <row r="2818" spans="6:6" x14ac:dyDescent="0.3">
      <c r="F2818" s="14"/>
    </row>
    <row r="2819" spans="6:6" x14ac:dyDescent="0.3">
      <c r="F2819" s="14"/>
    </row>
    <row r="2820" spans="6:6" x14ac:dyDescent="0.3">
      <c r="F2820" s="14"/>
    </row>
    <row r="2821" spans="6:6" x14ac:dyDescent="0.3">
      <c r="F2821" s="14"/>
    </row>
    <row r="2822" spans="6:6" x14ac:dyDescent="0.3">
      <c r="F2822" s="14"/>
    </row>
    <row r="2823" spans="6:6" x14ac:dyDescent="0.3">
      <c r="F2823" s="14"/>
    </row>
    <row r="2824" spans="6:6" x14ac:dyDescent="0.3">
      <c r="F2824" s="14"/>
    </row>
    <row r="2825" spans="6:6" x14ac:dyDescent="0.3">
      <c r="F2825" s="14"/>
    </row>
    <row r="2826" spans="6:6" x14ac:dyDescent="0.3">
      <c r="F2826" s="14"/>
    </row>
    <row r="2827" spans="6:6" x14ac:dyDescent="0.3">
      <c r="F2827" s="14"/>
    </row>
    <row r="2828" spans="6:6" x14ac:dyDescent="0.3">
      <c r="F2828" s="14"/>
    </row>
    <row r="2829" spans="6:6" x14ac:dyDescent="0.3">
      <c r="F2829" s="14"/>
    </row>
    <row r="2830" spans="6:6" x14ac:dyDescent="0.3">
      <c r="F2830" s="14"/>
    </row>
    <row r="2831" spans="6:6" x14ac:dyDescent="0.3">
      <c r="F2831" s="14"/>
    </row>
    <row r="2832" spans="6:6" x14ac:dyDescent="0.3">
      <c r="F2832" s="14"/>
    </row>
    <row r="2833" spans="6:6" x14ac:dyDescent="0.3">
      <c r="F2833" s="14"/>
    </row>
    <row r="2834" spans="6:6" x14ac:dyDescent="0.3">
      <c r="F2834" s="14"/>
    </row>
    <row r="2835" spans="6:6" x14ac:dyDescent="0.3">
      <c r="F2835" s="14"/>
    </row>
    <row r="2836" spans="6:6" x14ac:dyDescent="0.3">
      <c r="F2836" s="14"/>
    </row>
    <row r="2837" spans="6:6" x14ac:dyDescent="0.3">
      <c r="F2837" s="14"/>
    </row>
    <row r="2838" spans="6:6" x14ac:dyDescent="0.3">
      <c r="F2838" s="14"/>
    </row>
    <row r="2839" spans="6:6" x14ac:dyDescent="0.3">
      <c r="F2839" s="14"/>
    </row>
    <row r="2840" spans="6:6" x14ac:dyDescent="0.3">
      <c r="F2840" s="14"/>
    </row>
    <row r="2841" spans="6:6" x14ac:dyDescent="0.3">
      <c r="F2841" s="14"/>
    </row>
    <row r="2842" spans="6:6" x14ac:dyDescent="0.3">
      <c r="F2842" s="14"/>
    </row>
    <row r="2843" spans="6:6" x14ac:dyDescent="0.3">
      <c r="F2843" s="14"/>
    </row>
    <row r="2844" spans="6:6" x14ac:dyDescent="0.3">
      <c r="F2844" s="14"/>
    </row>
    <row r="2845" spans="6:6" x14ac:dyDescent="0.3">
      <c r="F2845" s="14"/>
    </row>
    <row r="2846" spans="6:6" x14ac:dyDescent="0.3">
      <c r="F2846" s="14"/>
    </row>
    <row r="2847" spans="6:6" x14ac:dyDescent="0.3">
      <c r="F2847" s="14"/>
    </row>
    <row r="2848" spans="6:6" x14ac:dyDescent="0.3">
      <c r="F2848" s="14"/>
    </row>
    <row r="2849" spans="6:6" x14ac:dyDescent="0.3">
      <c r="F2849" s="14"/>
    </row>
    <row r="2850" spans="6:6" x14ac:dyDescent="0.3">
      <c r="F2850" s="14"/>
    </row>
    <row r="2851" spans="6:6" x14ac:dyDescent="0.3">
      <c r="F2851" s="14"/>
    </row>
    <row r="2852" spans="6:6" x14ac:dyDescent="0.3">
      <c r="F2852" s="14"/>
    </row>
    <row r="2853" spans="6:6" x14ac:dyDescent="0.3">
      <c r="F2853" s="14"/>
    </row>
    <row r="2854" spans="6:6" x14ac:dyDescent="0.3">
      <c r="F2854" s="14"/>
    </row>
    <row r="2855" spans="6:6" x14ac:dyDescent="0.3">
      <c r="F2855" s="14"/>
    </row>
    <row r="2856" spans="6:6" x14ac:dyDescent="0.3">
      <c r="F2856" s="14"/>
    </row>
    <row r="2857" spans="6:6" x14ac:dyDescent="0.3">
      <c r="F2857" s="14"/>
    </row>
    <row r="2858" spans="6:6" x14ac:dyDescent="0.3">
      <c r="F2858" s="14"/>
    </row>
    <row r="2859" spans="6:6" x14ac:dyDescent="0.3">
      <c r="F2859" s="14"/>
    </row>
    <row r="2860" spans="6:6" x14ac:dyDescent="0.3">
      <c r="F2860" s="14"/>
    </row>
    <row r="2861" spans="6:6" x14ac:dyDescent="0.3">
      <c r="F2861" s="14"/>
    </row>
    <row r="2862" spans="6:6" x14ac:dyDescent="0.3">
      <c r="F2862" s="14"/>
    </row>
    <row r="2863" spans="6:6" x14ac:dyDescent="0.3">
      <c r="F2863" s="14"/>
    </row>
    <row r="2864" spans="6:6" x14ac:dyDescent="0.3">
      <c r="F2864" s="14"/>
    </row>
    <row r="2865" spans="6:6" x14ac:dyDescent="0.3">
      <c r="F2865" s="14"/>
    </row>
    <row r="2866" spans="6:6" x14ac:dyDescent="0.3">
      <c r="F2866" s="14"/>
    </row>
    <row r="2867" spans="6:6" x14ac:dyDescent="0.3">
      <c r="F2867" s="14"/>
    </row>
    <row r="2868" spans="6:6" x14ac:dyDescent="0.3">
      <c r="F2868" s="14"/>
    </row>
    <row r="2869" spans="6:6" x14ac:dyDescent="0.3">
      <c r="F2869" s="14"/>
    </row>
    <row r="2870" spans="6:6" x14ac:dyDescent="0.3">
      <c r="F2870" s="14"/>
    </row>
    <row r="2871" spans="6:6" x14ac:dyDescent="0.3">
      <c r="F2871" s="14"/>
    </row>
    <row r="2872" spans="6:6" x14ac:dyDescent="0.3">
      <c r="F2872" s="14"/>
    </row>
    <row r="2873" spans="6:6" x14ac:dyDescent="0.3">
      <c r="F2873" s="14"/>
    </row>
    <row r="2874" spans="6:6" x14ac:dyDescent="0.3">
      <c r="F2874" s="14"/>
    </row>
    <row r="2875" spans="6:6" x14ac:dyDescent="0.3">
      <c r="F2875" s="14"/>
    </row>
    <row r="2876" spans="6:6" x14ac:dyDescent="0.3">
      <c r="F2876" s="14"/>
    </row>
    <row r="2877" spans="6:6" x14ac:dyDescent="0.3">
      <c r="F2877" s="14"/>
    </row>
    <row r="2878" spans="6:6" x14ac:dyDescent="0.3">
      <c r="F2878" s="14"/>
    </row>
    <row r="2879" spans="6:6" x14ac:dyDescent="0.3">
      <c r="F2879" s="14"/>
    </row>
    <row r="2880" spans="6:6" x14ac:dyDescent="0.3">
      <c r="F2880" s="14"/>
    </row>
    <row r="2881" spans="6:6" x14ac:dyDescent="0.3">
      <c r="F2881" s="14"/>
    </row>
    <row r="2882" spans="6:6" x14ac:dyDescent="0.3">
      <c r="F2882" s="14"/>
    </row>
    <row r="2883" spans="6:6" x14ac:dyDescent="0.3">
      <c r="F2883" s="14"/>
    </row>
    <row r="2884" spans="6:6" x14ac:dyDescent="0.3">
      <c r="F2884" s="14"/>
    </row>
    <row r="2885" spans="6:6" x14ac:dyDescent="0.3">
      <c r="F2885" s="14"/>
    </row>
    <row r="2886" spans="6:6" x14ac:dyDescent="0.3">
      <c r="F2886" s="14"/>
    </row>
    <row r="2887" spans="6:6" x14ac:dyDescent="0.3">
      <c r="F2887" s="14"/>
    </row>
    <row r="2888" spans="6:6" x14ac:dyDescent="0.3">
      <c r="F2888" s="14"/>
    </row>
    <row r="2889" spans="6:6" x14ac:dyDescent="0.3">
      <c r="F2889" s="14"/>
    </row>
    <row r="2890" spans="6:6" x14ac:dyDescent="0.3">
      <c r="F2890" s="14"/>
    </row>
    <row r="2891" spans="6:6" x14ac:dyDescent="0.3">
      <c r="F2891" s="14"/>
    </row>
    <row r="2892" spans="6:6" x14ac:dyDescent="0.3">
      <c r="F2892" s="14"/>
    </row>
    <row r="2893" spans="6:6" x14ac:dyDescent="0.3">
      <c r="F2893" s="14"/>
    </row>
    <row r="2894" spans="6:6" x14ac:dyDescent="0.3">
      <c r="F2894" s="14"/>
    </row>
    <row r="2895" spans="6:6" x14ac:dyDescent="0.3">
      <c r="F2895" s="14"/>
    </row>
    <row r="2896" spans="6:6" x14ac:dyDescent="0.3">
      <c r="F2896" s="14"/>
    </row>
    <row r="2897" spans="6:6" x14ac:dyDescent="0.3">
      <c r="F2897" s="14"/>
    </row>
    <row r="2898" spans="6:6" x14ac:dyDescent="0.3">
      <c r="F2898" s="14"/>
    </row>
    <row r="2899" spans="6:6" x14ac:dyDescent="0.3">
      <c r="F2899" s="14"/>
    </row>
    <row r="2900" spans="6:6" x14ac:dyDescent="0.3">
      <c r="F2900" s="14"/>
    </row>
    <row r="2901" spans="6:6" x14ac:dyDescent="0.3">
      <c r="F2901" s="14"/>
    </row>
    <row r="2902" spans="6:6" x14ac:dyDescent="0.3">
      <c r="F2902" s="14"/>
    </row>
    <row r="2903" spans="6:6" x14ac:dyDescent="0.3">
      <c r="F2903" s="14"/>
    </row>
    <row r="2904" spans="6:6" x14ac:dyDescent="0.3">
      <c r="F2904" s="14"/>
    </row>
    <row r="2905" spans="6:6" x14ac:dyDescent="0.3">
      <c r="F2905" s="14"/>
    </row>
    <row r="2906" spans="6:6" x14ac:dyDescent="0.3">
      <c r="F2906" s="14"/>
    </row>
    <row r="2907" spans="6:6" x14ac:dyDescent="0.3">
      <c r="F2907" s="14"/>
    </row>
    <row r="2908" spans="6:6" x14ac:dyDescent="0.3">
      <c r="F2908" s="14"/>
    </row>
    <row r="2909" spans="6:6" x14ac:dyDescent="0.3">
      <c r="F2909" s="14"/>
    </row>
    <row r="2910" spans="6:6" x14ac:dyDescent="0.3">
      <c r="F2910" s="14"/>
    </row>
    <row r="2911" spans="6:6" x14ac:dyDescent="0.3">
      <c r="F2911" s="14"/>
    </row>
    <row r="2912" spans="6:6" x14ac:dyDescent="0.3">
      <c r="F2912" s="14"/>
    </row>
    <row r="2913" spans="6:6" x14ac:dyDescent="0.3">
      <c r="F2913" s="14"/>
    </row>
    <row r="2914" spans="6:6" x14ac:dyDescent="0.3">
      <c r="F2914" s="14"/>
    </row>
    <row r="2915" spans="6:6" x14ac:dyDescent="0.3">
      <c r="F2915" s="14"/>
    </row>
    <row r="2916" spans="6:6" x14ac:dyDescent="0.3">
      <c r="F2916" s="14"/>
    </row>
    <row r="2917" spans="6:6" x14ac:dyDescent="0.3">
      <c r="F2917" s="14"/>
    </row>
    <row r="2918" spans="6:6" x14ac:dyDescent="0.3">
      <c r="F2918" s="14"/>
    </row>
    <row r="2919" spans="6:6" x14ac:dyDescent="0.3">
      <c r="F2919" s="14"/>
    </row>
    <row r="2920" spans="6:6" x14ac:dyDescent="0.3">
      <c r="F2920" s="14"/>
    </row>
    <row r="2921" spans="6:6" x14ac:dyDescent="0.3">
      <c r="F2921" s="14"/>
    </row>
    <row r="2922" spans="6:6" x14ac:dyDescent="0.3">
      <c r="F2922" s="14"/>
    </row>
    <row r="2923" spans="6:6" x14ac:dyDescent="0.3">
      <c r="F2923" s="14"/>
    </row>
    <row r="2924" spans="6:6" x14ac:dyDescent="0.3">
      <c r="F2924" s="14"/>
    </row>
    <row r="2925" spans="6:6" x14ac:dyDescent="0.3">
      <c r="F2925" s="14"/>
    </row>
    <row r="2926" spans="6:6" x14ac:dyDescent="0.3">
      <c r="F2926" s="14"/>
    </row>
    <row r="2927" spans="6:6" x14ac:dyDescent="0.3">
      <c r="F2927" s="14"/>
    </row>
    <row r="2928" spans="6:6" x14ac:dyDescent="0.3">
      <c r="F2928" s="14"/>
    </row>
    <row r="2929" spans="6:6" x14ac:dyDescent="0.3">
      <c r="F2929" s="14"/>
    </row>
    <row r="2930" spans="6:6" x14ac:dyDescent="0.3">
      <c r="F2930" s="14"/>
    </row>
    <row r="2931" spans="6:6" x14ac:dyDescent="0.3">
      <c r="F2931" s="14"/>
    </row>
    <row r="2932" spans="6:6" x14ac:dyDescent="0.3">
      <c r="F2932" s="14"/>
    </row>
    <row r="2933" spans="6:6" x14ac:dyDescent="0.3">
      <c r="F2933" s="14"/>
    </row>
    <row r="2934" spans="6:6" x14ac:dyDescent="0.3">
      <c r="F2934" s="14"/>
    </row>
    <row r="2935" spans="6:6" x14ac:dyDescent="0.3">
      <c r="F2935" s="14"/>
    </row>
    <row r="2936" spans="6:6" x14ac:dyDescent="0.3">
      <c r="F2936" s="14"/>
    </row>
    <row r="2937" spans="6:6" x14ac:dyDescent="0.3">
      <c r="F2937" s="14"/>
    </row>
    <row r="2938" spans="6:6" x14ac:dyDescent="0.3">
      <c r="F2938" s="14"/>
    </row>
    <row r="2939" spans="6:6" x14ac:dyDescent="0.3">
      <c r="F2939" s="14"/>
    </row>
    <row r="2940" spans="6:6" x14ac:dyDescent="0.3">
      <c r="F2940" s="14"/>
    </row>
    <row r="2941" spans="6:6" x14ac:dyDescent="0.3">
      <c r="F2941" s="14"/>
    </row>
    <row r="2942" spans="6:6" x14ac:dyDescent="0.3">
      <c r="F2942" s="14"/>
    </row>
    <row r="2943" spans="6:6" x14ac:dyDescent="0.3">
      <c r="F2943" s="14"/>
    </row>
    <row r="2944" spans="6:6" x14ac:dyDescent="0.3">
      <c r="F2944" s="14"/>
    </row>
    <row r="2945" spans="6:6" x14ac:dyDescent="0.3">
      <c r="F2945" s="14"/>
    </row>
    <row r="2946" spans="6:6" x14ac:dyDescent="0.3">
      <c r="F2946" s="14"/>
    </row>
    <row r="2947" spans="6:6" x14ac:dyDescent="0.3">
      <c r="F2947" s="14"/>
    </row>
    <row r="2948" spans="6:6" x14ac:dyDescent="0.3">
      <c r="F2948" s="14"/>
    </row>
    <row r="2949" spans="6:6" x14ac:dyDescent="0.3">
      <c r="F2949" s="14"/>
    </row>
    <row r="2950" spans="6:6" x14ac:dyDescent="0.3">
      <c r="F2950" s="14"/>
    </row>
    <row r="2951" spans="6:6" x14ac:dyDescent="0.3">
      <c r="F2951" s="14"/>
    </row>
    <row r="2952" spans="6:6" x14ac:dyDescent="0.3">
      <c r="F2952" s="14"/>
    </row>
    <row r="2953" spans="6:6" x14ac:dyDescent="0.3">
      <c r="F2953" s="14"/>
    </row>
    <row r="2954" spans="6:6" x14ac:dyDescent="0.3">
      <c r="F2954" s="14"/>
    </row>
    <row r="2955" spans="6:6" x14ac:dyDescent="0.3">
      <c r="F2955" s="14"/>
    </row>
    <row r="2956" spans="6:6" x14ac:dyDescent="0.3">
      <c r="F2956" s="14"/>
    </row>
    <row r="2957" spans="6:6" x14ac:dyDescent="0.3">
      <c r="F2957" s="14"/>
    </row>
    <row r="2958" spans="6:6" x14ac:dyDescent="0.3">
      <c r="F2958" s="14"/>
    </row>
    <row r="2959" spans="6:6" x14ac:dyDescent="0.3">
      <c r="F2959" s="14"/>
    </row>
    <row r="2960" spans="6:6" x14ac:dyDescent="0.3">
      <c r="F2960" s="14"/>
    </row>
    <row r="2961" spans="6:6" x14ac:dyDescent="0.3">
      <c r="F2961" s="14"/>
    </row>
    <row r="2962" spans="6:6" x14ac:dyDescent="0.3">
      <c r="F2962" s="14"/>
    </row>
    <row r="2963" spans="6:6" x14ac:dyDescent="0.3">
      <c r="F2963" s="14"/>
    </row>
    <row r="2964" spans="6:6" x14ac:dyDescent="0.3">
      <c r="F2964" s="14"/>
    </row>
    <row r="2965" spans="6:6" x14ac:dyDescent="0.3">
      <c r="F2965" s="14"/>
    </row>
    <row r="2966" spans="6:6" x14ac:dyDescent="0.3">
      <c r="F2966" s="14"/>
    </row>
    <row r="2967" spans="6:6" x14ac:dyDescent="0.3">
      <c r="F2967" s="14"/>
    </row>
    <row r="2968" spans="6:6" x14ac:dyDescent="0.3">
      <c r="F2968" s="14"/>
    </row>
    <row r="2969" spans="6:6" x14ac:dyDescent="0.3">
      <c r="F2969" s="14"/>
    </row>
    <row r="2970" spans="6:6" x14ac:dyDescent="0.3">
      <c r="F2970" s="14"/>
    </row>
    <row r="2971" spans="6:6" x14ac:dyDescent="0.3">
      <c r="F2971" s="14"/>
    </row>
    <row r="2972" spans="6:6" x14ac:dyDescent="0.3">
      <c r="F2972" s="14"/>
    </row>
    <row r="2973" spans="6:6" x14ac:dyDescent="0.3">
      <c r="F2973" s="14"/>
    </row>
    <row r="2974" spans="6:6" x14ac:dyDescent="0.3">
      <c r="F2974" s="14"/>
    </row>
    <row r="2975" spans="6:6" x14ac:dyDescent="0.3">
      <c r="F2975" s="14"/>
    </row>
    <row r="2976" spans="6:6" x14ac:dyDescent="0.3">
      <c r="F2976" s="14"/>
    </row>
    <row r="2977" spans="6:6" x14ac:dyDescent="0.3">
      <c r="F2977" s="14"/>
    </row>
    <row r="2978" spans="6:6" x14ac:dyDescent="0.3">
      <c r="F2978" s="14"/>
    </row>
    <row r="2979" spans="6:6" x14ac:dyDescent="0.3">
      <c r="F2979" s="14"/>
    </row>
    <row r="2980" spans="6:6" x14ac:dyDescent="0.3">
      <c r="F2980" s="14"/>
    </row>
    <row r="2981" spans="6:6" x14ac:dyDescent="0.3">
      <c r="F2981" s="14"/>
    </row>
    <row r="2982" spans="6:6" x14ac:dyDescent="0.3">
      <c r="F2982" s="14"/>
    </row>
    <row r="2983" spans="6:6" x14ac:dyDescent="0.3">
      <c r="F2983" s="14"/>
    </row>
    <row r="2984" spans="6:6" x14ac:dyDescent="0.3">
      <c r="F2984" s="14"/>
    </row>
    <row r="2985" spans="6:6" x14ac:dyDescent="0.3">
      <c r="F2985" s="14"/>
    </row>
    <row r="2986" spans="6:6" x14ac:dyDescent="0.3">
      <c r="F2986" s="14"/>
    </row>
    <row r="2987" spans="6:6" x14ac:dyDescent="0.3">
      <c r="F2987" s="14"/>
    </row>
    <row r="2988" spans="6:6" x14ac:dyDescent="0.3">
      <c r="F2988" s="14"/>
    </row>
    <row r="2989" spans="6:6" x14ac:dyDescent="0.3">
      <c r="F2989" s="14"/>
    </row>
    <row r="2990" spans="6:6" x14ac:dyDescent="0.3">
      <c r="F2990" s="14"/>
    </row>
    <row r="2991" spans="6:6" x14ac:dyDescent="0.3">
      <c r="F2991" s="14"/>
    </row>
    <row r="2992" spans="6:6" x14ac:dyDescent="0.3">
      <c r="F2992" s="14"/>
    </row>
    <row r="2993" spans="6:6" x14ac:dyDescent="0.3">
      <c r="F2993" s="14"/>
    </row>
    <row r="2994" spans="6:6" x14ac:dyDescent="0.3">
      <c r="F2994" s="14"/>
    </row>
    <row r="2995" spans="6:6" x14ac:dyDescent="0.3">
      <c r="F2995" s="14"/>
    </row>
    <row r="2996" spans="6:6" x14ac:dyDescent="0.3">
      <c r="F2996" s="14"/>
    </row>
    <row r="2997" spans="6:6" x14ac:dyDescent="0.3">
      <c r="F2997" s="14"/>
    </row>
    <row r="2998" spans="6:6" x14ac:dyDescent="0.3">
      <c r="F2998" s="14"/>
    </row>
    <row r="2999" spans="6:6" x14ac:dyDescent="0.3">
      <c r="F2999" s="14"/>
    </row>
    <row r="3000" spans="6:6" x14ac:dyDescent="0.3">
      <c r="F3000" s="14"/>
    </row>
    <row r="3001" spans="6:6" x14ac:dyDescent="0.3">
      <c r="F3001" s="14"/>
    </row>
    <row r="3002" spans="6:6" x14ac:dyDescent="0.3">
      <c r="F3002" s="14"/>
    </row>
    <row r="3003" spans="6:6" x14ac:dyDescent="0.3">
      <c r="F3003" s="14"/>
    </row>
    <row r="3004" spans="6:6" x14ac:dyDescent="0.3">
      <c r="F3004" s="14"/>
    </row>
    <row r="3005" spans="6:6" x14ac:dyDescent="0.3">
      <c r="F3005" s="14"/>
    </row>
    <row r="3006" spans="6:6" x14ac:dyDescent="0.3">
      <c r="F3006" s="14"/>
    </row>
    <row r="3007" spans="6:6" x14ac:dyDescent="0.3">
      <c r="F3007" s="14"/>
    </row>
    <row r="3008" spans="6:6" x14ac:dyDescent="0.3">
      <c r="F3008" s="14"/>
    </row>
    <row r="3009" spans="6:6" x14ac:dyDescent="0.3">
      <c r="F3009" s="14"/>
    </row>
    <row r="3010" spans="6:6" x14ac:dyDescent="0.3">
      <c r="F3010" s="14"/>
    </row>
    <row r="3011" spans="6:6" x14ac:dyDescent="0.3">
      <c r="F3011" s="14"/>
    </row>
    <row r="3012" spans="6:6" x14ac:dyDescent="0.3">
      <c r="F3012" s="14"/>
    </row>
    <row r="3013" spans="6:6" x14ac:dyDescent="0.3">
      <c r="F3013" s="14"/>
    </row>
    <row r="3014" spans="6:6" x14ac:dyDescent="0.3">
      <c r="F3014" s="14"/>
    </row>
    <row r="3015" spans="6:6" x14ac:dyDescent="0.3">
      <c r="F3015" s="14"/>
    </row>
    <row r="3016" spans="6:6" x14ac:dyDescent="0.3">
      <c r="F3016" s="14"/>
    </row>
    <row r="3017" spans="6:6" x14ac:dyDescent="0.3">
      <c r="F3017" s="14"/>
    </row>
    <row r="3018" spans="6:6" x14ac:dyDescent="0.3">
      <c r="F3018" s="14"/>
    </row>
    <row r="3019" spans="6:6" x14ac:dyDescent="0.3">
      <c r="F3019" s="14"/>
    </row>
    <row r="3020" spans="6:6" x14ac:dyDescent="0.3">
      <c r="F3020" s="14"/>
    </row>
    <row r="3021" spans="6:6" x14ac:dyDescent="0.3">
      <c r="F3021" s="14"/>
    </row>
    <row r="3022" spans="6:6" x14ac:dyDescent="0.3">
      <c r="F3022" s="14"/>
    </row>
    <row r="3023" spans="6:6" x14ac:dyDescent="0.3">
      <c r="F3023" s="14"/>
    </row>
    <row r="3024" spans="6:6" x14ac:dyDescent="0.3">
      <c r="F3024" s="14"/>
    </row>
    <row r="3025" spans="6:6" x14ac:dyDescent="0.3">
      <c r="F3025" s="14"/>
    </row>
    <row r="3026" spans="6:6" x14ac:dyDescent="0.3">
      <c r="F3026" s="14"/>
    </row>
    <row r="3027" spans="6:6" x14ac:dyDescent="0.3">
      <c r="F3027" s="14"/>
    </row>
    <row r="3028" spans="6:6" x14ac:dyDescent="0.3">
      <c r="F3028" s="14"/>
    </row>
    <row r="3029" spans="6:6" x14ac:dyDescent="0.3">
      <c r="F3029" s="14"/>
    </row>
    <row r="3030" spans="6:6" x14ac:dyDescent="0.3">
      <c r="F3030" s="14"/>
    </row>
    <row r="3031" spans="6:6" x14ac:dyDescent="0.3">
      <c r="F3031" s="14"/>
    </row>
    <row r="3032" spans="6:6" x14ac:dyDescent="0.3">
      <c r="F3032" s="14"/>
    </row>
    <row r="3033" spans="6:6" x14ac:dyDescent="0.3">
      <c r="F3033" s="14"/>
    </row>
    <row r="3034" spans="6:6" x14ac:dyDescent="0.3">
      <c r="F3034" s="14"/>
    </row>
    <row r="3035" spans="6:6" x14ac:dyDescent="0.3">
      <c r="F3035" s="14"/>
    </row>
    <row r="3036" spans="6:6" x14ac:dyDescent="0.3">
      <c r="F3036" s="14"/>
    </row>
    <row r="3037" spans="6:6" x14ac:dyDescent="0.3">
      <c r="F3037" s="14"/>
    </row>
    <row r="3038" spans="6:6" x14ac:dyDescent="0.3">
      <c r="F3038" s="14"/>
    </row>
    <row r="3039" spans="6:6" x14ac:dyDescent="0.3">
      <c r="F3039" s="14"/>
    </row>
    <row r="3040" spans="6:6" x14ac:dyDescent="0.3">
      <c r="F3040" s="14"/>
    </row>
    <row r="3041" spans="6:6" x14ac:dyDescent="0.3">
      <c r="F3041" s="14"/>
    </row>
    <row r="3042" spans="6:6" x14ac:dyDescent="0.3">
      <c r="F3042" s="14"/>
    </row>
    <row r="3043" spans="6:6" x14ac:dyDescent="0.3">
      <c r="F3043" s="14"/>
    </row>
    <row r="3044" spans="6:6" x14ac:dyDescent="0.3">
      <c r="F3044" s="14"/>
    </row>
    <row r="3045" spans="6:6" x14ac:dyDescent="0.3">
      <c r="F3045" s="14"/>
    </row>
    <row r="3046" spans="6:6" x14ac:dyDescent="0.3">
      <c r="F3046" s="14"/>
    </row>
    <row r="3047" spans="6:6" x14ac:dyDescent="0.3">
      <c r="F3047" s="14"/>
    </row>
    <row r="3048" spans="6:6" x14ac:dyDescent="0.3">
      <c r="F3048" s="14"/>
    </row>
    <row r="3049" spans="6:6" x14ac:dyDescent="0.3">
      <c r="F3049" s="14"/>
    </row>
    <row r="3050" spans="6:6" x14ac:dyDescent="0.3">
      <c r="F3050" s="14"/>
    </row>
    <row r="3051" spans="6:6" x14ac:dyDescent="0.3">
      <c r="F3051" s="14"/>
    </row>
    <row r="3052" spans="6:6" x14ac:dyDescent="0.3">
      <c r="F3052" s="14"/>
    </row>
    <row r="3053" spans="6:6" x14ac:dyDescent="0.3">
      <c r="F3053" s="14"/>
    </row>
    <row r="3054" spans="6:6" x14ac:dyDescent="0.3">
      <c r="F3054" s="14"/>
    </row>
    <row r="3055" spans="6:6" x14ac:dyDescent="0.3">
      <c r="F3055" s="14"/>
    </row>
    <row r="3056" spans="6:6" x14ac:dyDescent="0.3">
      <c r="F3056" s="14"/>
    </row>
    <row r="3057" spans="6:6" x14ac:dyDescent="0.3">
      <c r="F3057" s="14"/>
    </row>
    <row r="3058" spans="6:6" x14ac:dyDescent="0.3">
      <c r="F3058" s="14"/>
    </row>
    <row r="3059" spans="6:6" x14ac:dyDescent="0.3">
      <c r="F3059" s="14"/>
    </row>
    <row r="3060" spans="6:6" x14ac:dyDescent="0.3">
      <c r="F3060" s="14"/>
    </row>
    <row r="3061" spans="6:6" x14ac:dyDescent="0.3">
      <c r="F3061" s="14"/>
    </row>
    <row r="3062" spans="6:6" x14ac:dyDescent="0.3">
      <c r="F3062" s="14"/>
    </row>
    <row r="3063" spans="6:6" x14ac:dyDescent="0.3">
      <c r="F3063" s="14"/>
    </row>
    <row r="3064" spans="6:6" x14ac:dyDescent="0.3">
      <c r="F3064" s="14"/>
    </row>
    <row r="3065" spans="6:6" x14ac:dyDescent="0.3">
      <c r="F3065" s="14"/>
    </row>
    <row r="3066" spans="6:6" x14ac:dyDescent="0.3">
      <c r="F3066" s="14"/>
    </row>
    <row r="3067" spans="6:6" x14ac:dyDescent="0.3">
      <c r="F3067" s="14"/>
    </row>
    <row r="3068" spans="6:6" x14ac:dyDescent="0.3">
      <c r="F3068" s="14"/>
    </row>
    <row r="3069" spans="6:6" x14ac:dyDescent="0.3">
      <c r="F3069" s="14"/>
    </row>
    <row r="3070" spans="6:6" x14ac:dyDescent="0.3">
      <c r="F3070" s="14"/>
    </row>
    <row r="3071" spans="6:6" x14ac:dyDescent="0.3">
      <c r="F3071" s="14"/>
    </row>
    <row r="3072" spans="6:6" x14ac:dyDescent="0.3">
      <c r="F3072" s="14"/>
    </row>
    <row r="3073" spans="6:6" x14ac:dyDescent="0.3">
      <c r="F3073" s="14"/>
    </row>
    <row r="3074" spans="6:6" x14ac:dyDescent="0.3">
      <c r="F3074" s="14"/>
    </row>
    <row r="3075" spans="6:6" x14ac:dyDescent="0.3">
      <c r="F3075" s="14"/>
    </row>
    <row r="3076" spans="6:6" x14ac:dyDescent="0.3">
      <c r="F3076" s="14"/>
    </row>
    <row r="3077" spans="6:6" x14ac:dyDescent="0.3">
      <c r="F3077" s="14"/>
    </row>
    <row r="3078" spans="6:6" x14ac:dyDescent="0.3">
      <c r="F3078" s="14"/>
    </row>
    <row r="3079" spans="6:6" x14ac:dyDescent="0.3">
      <c r="F3079" s="14"/>
    </row>
    <row r="3080" spans="6:6" x14ac:dyDescent="0.3">
      <c r="F3080" s="14"/>
    </row>
    <row r="3081" spans="6:6" x14ac:dyDescent="0.3">
      <c r="F3081" s="14"/>
    </row>
    <row r="3082" spans="6:6" x14ac:dyDescent="0.3">
      <c r="F3082" s="14"/>
    </row>
    <row r="3083" spans="6:6" x14ac:dyDescent="0.3">
      <c r="F3083" s="14"/>
    </row>
    <row r="3084" spans="6:6" x14ac:dyDescent="0.3">
      <c r="F3084" s="14"/>
    </row>
    <row r="3085" spans="6:6" x14ac:dyDescent="0.3">
      <c r="F3085" s="14"/>
    </row>
    <row r="3086" spans="6:6" x14ac:dyDescent="0.3">
      <c r="F3086" s="14"/>
    </row>
    <row r="3087" spans="6:6" x14ac:dyDescent="0.3">
      <c r="F3087" s="14"/>
    </row>
    <row r="3088" spans="6:6" x14ac:dyDescent="0.3">
      <c r="F3088" s="14"/>
    </row>
    <row r="3089" spans="6:6" x14ac:dyDescent="0.3">
      <c r="F3089" s="14"/>
    </row>
    <row r="3090" spans="6:6" x14ac:dyDescent="0.3">
      <c r="F3090" s="14"/>
    </row>
    <row r="3091" spans="6:6" x14ac:dyDescent="0.3">
      <c r="F3091" s="14"/>
    </row>
    <row r="3092" spans="6:6" x14ac:dyDescent="0.3">
      <c r="F3092" s="14"/>
    </row>
    <row r="3093" spans="6:6" x14ac:dyDescent="0.3">
      <c r="F3093" s="14"/>
    </row>
    <row r="3094" spans="6:6" x14ac:dyDescent="0.3">
      <c r="F3094" s="14"/>
    </row>
    <row r="3095" spans="6:6" x14ac:dyDescent="0.3">
      <c r="F3095" s="14"/>
    </row>
    <row r="3096" spans="6:6" x14ac:dyDescent="0.3">
      <c r="F3096" s="14"/>
    </row>
    <row r="3097" spans="6:6" x14ac:dyDescent="0.3">
      <c r="F3097" s="14"/>
    </row>
    <row r="3098" spans="6:6" x14ac:dyDescent="0.3">
      <c r="F3098" s="14"/>
    </row>
    <row r="3099" spans="6:6" x14ac:dyDescent="0.3">
      <c r="F3099" s="14"/>
    </row>
    <row r="3100" spans="6:6" x14ac:dyDescent="0.3">
      <c r="F3100" s="14"/>
    </row>
    <row r="3101" spans="6:6" x14ac:dyDescent="0.3">
      <c r="F3101" s="14"/>
    </row>
    <row r="3102" spans="6:6" x14ac:dyDescent="0.3">
      <c r="F3102" s="14"/>
    </row>
    <row r="3103" spans="6:6" x14ac:dyDescent="0.3">
      <c r="F3103" s="14"/>
    </row>
    <row r="3104" spans="6:6" x14ac:dyDescent="0.3">
      <c r="F3104" s="14"/>
    </row>
    <row r="3105" spans="6:6" x14ac:dyDescent="0.3">
      <c r="F3105" s="14"/>
    </row>
    <row r="3106" spans="6:6" x14ac:dyDescent="0.3">
      <c r="F3106" s="14"/>
    </row>
    <row r="3107" spans="6:6" x14ac:dyDescent="0.3">
      <c r="F3107" s="14"/>
    </row>
    <row r="3108" spans="6:6" x14ac:dyDescent="0.3">
      <c r="F3108" s="14"/>
    </row>
    <row r="3109" spans="6:6" x14ac:dyDescent="0.3">
      <c r="F3109" s="14"/>
    </row>
    <row r="3110" spans="6:6" x14ac:dyDescent="0.3">
      <c r="F3110" s="14"/>
    </row>
    <row r="3111" spans="6:6" x14ac:dyDescent="0.3">
      <c r="F3111" s="14"/>
    </row>
    <row r="3112" spans="6:6" x14ac:dyDescent="0.3">
      <c r="F3112" s="14"/>
    </row>
    <row r="3113" spans="6:6" x14ac:dyDescent="0.3">
      <c r="F3113" s="14"/>
    </row>
    <row r="3114" spans="6:6" x14ac:dyDescent="0.3">
      <c r="F3114" s="14"/>
    </row>
    <row r="3115" spans="6:6" x14ac:dyDescent="0.3">
      <c r="F3115" s="14"/>
    </row>
    <row r="3116" spans="6:6" x14ac:dyDescent="0.3">
      <c r="F3116" s="14"/>
    </row>
    <row r="3117" spans="6:6" x14ac:dyDescent="0.3">
      <c r="F3117" s="14"/>
    </row>
    <row r="3118" spans="6:6" x14ac:dyDescent="0.3">
      <c r="F3118" s="14"/>
    </row>
    <row r="3119" spans="6:6" x14ac:dyDescent="0.3">
      <c r="F3119" s="14"/>
    </row>
    <row r="3120" spans="6:6" x14ac:dyDescent="0.3">
      <c r="F3120" s="14"/>
    </row>
    <row r="3121" spans="6:6" x14ac:dyDescent="0.3">
      <c r="F3121" s="14"/>
    </row>
    <row r="3122" spans="6:6" x14ac:dyDescent="0.3">
      <c r="F3122" s="14"/>
    </row>
    <row r="3123" spans="6:6" x14ac:dyDescent="0.3">
      <c r="F3123" s="14"/>
    </row>
    <row r="3124" spans="6:6" x14ac:dyDescent="0.3">
      <c r="F3124" s="14"/>
    </row>
    <row r="3125" spans="6:6" x14ac:dyDescent="0.3">
      <c r="F3125" s="14"/>
    </row>
    <row r="3126" spans="6:6" x14ac:dyDescent="0.3">
      <c r="F3126" s="14"/>
    </row>
    <row r="3127" spans="6:6" x14ac:dyDescent="0.3">
      <c r="F3127" s="14"/>
    </row>
    <row r="3128" spans="6:6" x14ac:dyDescent="0.3">
      <c r="F3128" s="14"/>
    </row>
    <row r="3129" spans="6:6" x14ac:dyDescent="0.3">
      <c r="F3129" s="14"/>
    </row>
    <row r="3130" spans="6:6" x14ac:dyDescent="0.3">
      <c r="F3130" s="14"/>
    </row>
    <row r="3131" spans="6:6" x14ac:dyDescent="0.3">
      <c r="F3131" s="14"/>
    </row>
    <row r="3132" spans="6:6" x14ac:dyDescent="0.3">
      <c r="F3132" s="14"/>
    </row>
    <row r="3133" spans="6:6" x14ac:dyDescent="0.3">
      <c r="F3133" s="14"/>
    </row>
    <row r="3134" spans="6:6" x14ac:dyDescent="0.3">
      <c r="F3134" s="14"/>
    </row>
    <row r="3135" spans="6:6" x14ac:dyDescent="0.3">
      <c r="F3135" s="14"/>
    </row>
    <row r="3136" spans="6:6" x14ac:dyDescent="0.3">
      <c r="F3136" s="14"/>
    </row>
    <row r="3137" spans="6:6" x14ac:dyDescent="0.3">
      <c r="F3137" s="14"/>
    </row>
    <row r="3138" spans="6:6" x14ac:dyDescent="0.3">
      <c r="F3138" s="14"/>
    </row>
    <row r="3139" spans="6:6" x14ac:dyDescent="0.3">
      <c r="F3139" s="14"/>
    </row>
    <row r="3140" spans="6:6" x14ac:dyDescent="0.3">
      <c r="F3140" s="14"/>
    </row>
    <row r="3141" spans="6:6" x14ac:dyDescent="0.3">
      <c r="F3141" s="14"/>
    </row>
    <row r="3142" spans="6:6" x14ac:dyDescent="0.3">
      <c r="F3142" s="14"/>
    </row>
    <row r="3143" spans="6:6" x14ac:dyDescent="0.3">
      <c r="F3143" s="14"/>
    </row>
    <row r="3144" spans="6:6" x14ac:dyDescent="0.3">
      <c r="F3144" s="14"/>
    </row>
    <row r="3145" spans="6:6" x14ac:dyDescent="0.3">
      <c r="F3145" s="14"/>
    </row>
    <row r="3146" spans="6:6" x14ac:dyDescent="0.3">
      <c r="F3146" s="14"/>
    </row>
    <row r="3147" spans="6:6" x14ac:dyDescent="0.3">
      <c r="F3147" s="14"/>
    </row>
    <row r="3148" spans="6:6" x14ac:dyDescent="0.3">
      <c r="F3148" s="14"/>
    </row>
    <row r="3149" spans="6:6" x14ac:dyDescent="0.3">
      <c r="F3149" s="14"/>
    </row>
    <row r="3150" spans="6:6" x14ac:dyDescent="0.3">
      <c r="F3150" s="14"/>
    </row>
    <row r="3151" spans="6:6" x14ac:dyDescent="0.3">
      <c r="F3151" s="14"/>
    </row>
    <row r="3152" spans="6:6" x14ac:dyDescent="0.3">
      <c r="F3152" s="14"/>
    </row>
    <row r="3153" spans="6:6" x14ac:dyDescent="0.3">
      <c r="F3153" s="14"/>
    </row>
    <row r="3154" spans="6:6" x14ac:dyDescent="0.3">
      <c r="F3154" s="14"/>
    </row>
    <row r="3155" spans="6:6" x14ac:dyDescent="0.3">
      <c r="F3155" s="14"/>
    </row>
    <row r="3156" spans="6:6" x14ac:dyDescent="0.3">
      <c r="F3156" s="14"/>
    </row>
    <row r="3157" spans="6:6" x14ac:dyDescent="0.3">
      <c r="F3157" s="14"/>
    </row>
    <row r="3158" spans="6:6" x14ac:dyDescent="0.3">
      <c r="F3158" s="14"/>
    </row>
    <row r="3159" spans="6:6" x14ac:dyDescent="0.3">
      <c r="F3159" s="14"/>
    </row>
    <row r="3160" spans="6:6" x14ac:dyDescent="0.3">
      <c r="F3160" s="14"/>
    </row>
    <row r="3161" spans="6:6" x14ac:dyDescent="0.3">
      <c r="F3161" s="14"/>
    </row>
    <row r="3162" spans="6:6" x14ac:dyDescent="0.3">
      <c r="F3162" s="14"/>
    </row>
    <row r="3163" spans="6:6" x14ac:dyDescent="0.3">
      <c r="F3163" s="14"/>
    </row>
    <row r="3164" spans="6:6" x14ac:dyDescent="0.3">
      <c r="F3164" s="14"/>
    </row>
    <row r="3165" spans="6:6" x14ac:dyDescent="0.3">
      <c r="F3165" s="14"/>
    </row>
    <row r="3166" spans="6:6" x14ac:dyDescent="0.3">
      <c r="F3166" s="14"/>
    </row>
    <row r="3167" spans="6:6" x14ac:dyDescent="0.3">
      <c r="F3167" s="14"/>
    </row>
    <row r="3168" spans="6:6" x14ac:dyDescent="0.3">
      <c r="F3168" s="14"/>
    </row>
    <row r="3169" spans="6:6" x14ac:dyDescent="0.3">
      <c r="F3169" s="14"/>
    </row>
    <row r="3170" spans="6:6" x14ac:dyDescent="0.3">
      <c r="F3170" s="14"/>
    </row>
    <row r="3171" spans="6:6" x14ac:dyDescent="0.3">
      <c r="F3171" s="14"/>
    </row>
    <row r="3172" spans="6:6" x14ac:dyDescent="0.3">
      <c r="F3172" s="14"/>
    </row>
    <row r="3173" spans="6:6" x14ac:dyDescent="0.3">
      <c r="F3173" s="14"/>
    </row>
    <row r="3174" spans="6:6" x14ac:dyDescent="0.3">
      <c r="F3174" s="14"/>
    </row>
    <row r="3175" spans="6:6" x14ac:dyDescent="0.3">
      <c r="F3175" s="14"/>
    </row>
    <row r="3176" spans="6:6" x14ac:dyDescent="0.3">
      <c r="F3176" s="14"/>
    </row>
    <row r="3177" spans="6:6" x14ac:dyDescent="0.3">
      <c r="F3177" s="14"/>
    </row>
    <row r="3178" spans="6:6" x14ac:dyDescent="0.3">
      <c r="F3178" s="14"/>
    </row>
    <row r="3179" spans="6:6" x14ac:dyDescent="0.3">
      <c r="F3179" s="14"/>
    </row>
    <row r="3180" spans="6:6" x14ac:dyDescent="0.3">
      <c r="F3180" s="14"/>
    </row>
    <row r="3181" spans="6:6" x14ac:dyDescent="0.3">
      <c r="F3181" s="14"/>
    </row>
    <row r="3182" spans="6:6" x14ac:dyDescent="0.3">
      <c r="F3182" s="14"/>
    </row>
    <row r="3183" spans="6:6" x14ac:dyDescent="0.3">
      <c r="F3183" s="14"/>
    </row>
    <row r="3184" spans="6:6" x14ac:dyDescent="0.3">
      <c r="F3184" s="14"/>
    </row>
    <row r="3185" spans="6:6" x14ac:dyDescent="0.3">
      <c r="F3185" s="14"/>
    </row>
    <row r="3186" spans="6:6" x14ac:dyDescent="0.3">
      <c r="F3186" s="14"/>
    </row>
    <row r="3187" spans="6:6" x14ac:dyDescent="0.3">
      <c r="F3187" s="14"/>
    </row>
    <row r="3188" spans="6:6" x14ac:dyDescent="0.3">
      <c r="F3188" s="14"/>
    </row>
    <row r="3189" spans="6:6" x14ac:dyDescent="0.3">
      <c r="F3189" s="14"/>
    </row>
    <row r="3190" spans="6:6" x14ac:dyDescent="0.3">
      <c r="F3190" s="14"/>
    </row>
    <row r="3191" spans="6:6" x14ac:dyDescent="0.3">
      <c r="F3191" s="14"/>
    </row>
    <row r="3192" spans="6:6" x14ac:dyDescent="0.3">
      <c r="F3192" s="14"/>
    </row>
    <row r="3193" spans="6:6" x14ac:dyDescent="0.3">
      <c r="F3193" s="14"/>
    </row>
    <row r="3194" spans="6:6" x14ac:dyDescent="0.3">
      <c r="F3194" s="14"/>
    </row>
    <row r="3195" spans="6:6" x14ac:dyDescent="0.3">
      <c r="F3195" s="14"/>
    </row>
    <row r="3196" spans="6:6" x14ac:dyDescent="0.3">
      <c r="F3196" s="14"/>
    </row>
    <row r="3197" spans="6:6" x14ac:dyDescent="0.3">
      <c r="F3197" s="14"/>
    </row>
    <row r="3198" spans="6:6" x14ac:dyDescent="0.3">
      <c r="F3198" s="14"/>
    </row>
    <row r="3199" spans="6:6" x14ac:dyDescent="0.3">
      <c r="F3199" s="14"/>
    </row>
    <row r="3200" spans="6:6" x14ac:dyDescent="0.3">
      <c r="F3200" s="14"/>
    </row>
    <row r="3201" spans="6:6" x14ac:dyDescent="0.3">
      <c r="F3201" s="14"/>
    </row>
    <row r="3202" spans="6:6" x14ac:dyDescent="0.3">
      <c r="F3202" s="14"/>
    </row>
    <row r="3203" spans="6:6" x14ac:dyDescent="0.3">
      <c r="F3203" s="14"/>
    </row>
    <row r="3204" spans="6:6" x14ac:dyDescent="0.3">
      <c r="F3204" s="14"/>
    </row>
    <row r="3205" spans="6:6" x14ac:dyDescent="0.3">
      <c r="F3205" s="14"/>
    </row>
    <row r="3206" spans="6:6" x14ac:dyDescent="0.3">
      <c r="F3206" s="14"/>
    </row>
    <row r="3207" spans="6:6" x14ac:dyDescent="0.3">
      <c r="F3207" s="14"/>
    </row>
    <row r="3208" spans="6:6" x14ac:dyDescent="0.3">
      <c r="F3208" s="14"/>
    </row>
    <row r="3209" spans="6:6" x14ac:dyDescent="0.3">
      <c r="F3209" s="14"/>
    </row>
    <row r="3210" spans="6:6" x14ac:dyDescent="0.3">
      <c r="F3210" s="14"/>
    </row>
    <row r="3211" spans="6:6" x14ac:dyDescent="0.3">
      <c r="F3211" s="14"/>
    </row>
    <row r="3212" spans="6:6" x14ac:dyDescent="0.3">
      <c r="F3212" s="14"/>
    </row>
    <row r="3213" spans="6:6" x14ac:dyDescent="0.3">
      <c r="F3213" s="14"/>
    </row>
    <row r="3214" spans="6:6" x14ac:dyDescent="0.3">
      <c r="F3214" s="14"/>
    </row>
    <row r="3215" spans="6:6" x14ac:dyDescent="0.3">
      <c r="F3215" s="14"/>
    </row>
    <row r="3216" spans="6:6" x14ac:dyDescent="0.3">
      <c r="F3216" s="14"/>
    </row>
    <row r="3217" spans="6:6" x14ac:dyDescent="0.3">
      <c r="F3217" s="14"/>
    </row>
    <row r="3218" spans="6:6" x14ac:dyDescent="0.3">
      <c r="F3218" s="14"/>
    </row>
    <row r="3219" spans="6:6" x14ac:dyDescent="0.3">
      <c r="F3219" s="14"/>
    </row>
    <row r="3220" spans="6:6" x14ac:dyDescent="0.3">
      <c r="F3220" s="14"/>
    </row>
    <row r="3221" spans="6:6" x14ac:dyDescent="0.3">
      <c r="F3221" s="14"/>
    </row>
    <row r="3222" spans="6:6" x14ac:dyDescent="0.3">
      <c r="F3222" s="14"/>
    </row>
    <row r="3223" spans="6:6" x14ac:dyDescent="0.3">
      <c r="F3223" s="14"/>
    </row>
    <row r="3224" spans="6:6" x14ac:dyDescent="0.3">
      <c r="F3224" s="14"/>
    </row>
    <row r="3225" spans="6:6" x14ac:dyDescent="0.3">
      <c r="F3225" s="14"/>
    </row>
    <row r="3226" spans="6:6" x14ac:dyDescent="0.3">
      <c r="F3226" s="14"/>
    </row>
    <row r="3227" spans="6:6" x14ac:dyDescent="0.3">
      <c r="F3227" s="14"/>
    </row>
    <row r="3228" spans="6:6" x14ac:dyDescent="0.3">
      <c r="F3228" s="14"/>
    </row>
    <row r="3229" spans="6:6" x14ac:dyDescent="0.3">
      <c r="F3229" s="14"/>
    </row>
    <row r="3230" spans="6:6" x14ac:dyDescent="0.3">
      <c r="F3230" s="14"/>
    </row>
    <row r="3231" spans="6:6" x14ac:dyDescent="0.3">
      <c r="F3231" s="14"/>
    </row>
    <row r="3232" spans="6:6" x14ac:dyDescent="0.3">
      <c r="F3232" s="14"/>
    </row>
    <row r="3233" spans="6:6" x14ac:dyDescent="0.3">
      <c r="F3233" s="14"/>
    </row>
    <row r="3234" spans="6:6" x14ac:dyDescent="0.3">
      <c r="F3234" s="14"/>
    </row>
    <row r="3235" spans="6:6" x14ac:dyDescent="0.3">
      <c r="F3235" s="14"/>
    </row>
    <row r="3236" spans="6:6" x14ac:dyDescent="0.3">
      <c r="F3236" s="14"/>
    </row>
    <row r="3237" spans="6:6" x14ac:dyDescent="0.3">
      <c r="F3237" s="14"/>
    </row>
    <row r="3238" spans="6:6" x14ac:dyDescent="0.3">
      <c r="F3238" s="14"/>
    </row>
    <row r="3239" spans="6:6" x14ac:dyDescent="0.3">
      <c r="F3239" s="14"/>
    </row>
    <row r="3240" spans="6:6" x14ac:dyDescent="0.3">
      <c r="F3240" s="14"/>
    </row>
    <row r="3241" spans="6:6" x14ac:dyDescent="0.3">
      <c r="F3241" s="14"/>
    </row>
    <row r="3242" spans="6:6" x14ac:dyDescent="0.3">
      <c r="F3242" s="14"/>
    </row>
    <row r="3243" spans="6:6" x14ac:dyDescent="0.3">
      <c r="F3243" s="14"/>
    </row>
    <row r="3244" spans="6:6" x14ac:dyDescent="0.3">
      <c r="F3244" s="14"/>
    </row>
    <row r="3245" spans="6:6" x14ac:dyDescent="0.3">
      <c r="F3245" s="14"/>
    </row>
    <row r="3246" spans="6:6" x14ac:dyDescent="0.3">
      <c r="F3246" s="14"/>
    </row>
    <row r="3247" spans="6:6" x14ac:dyDescent="0.3">
      <c r="F3247" s="14"/>
    </row>
    <row r="3248" spans="6:6" x14ac:dyDescent="0.3">
      <c r="F3248" s="14"/>
    </row>
    <row r="3249" spans="6:6" x14ac:dyDescent="0.3">
      <c r="F3249" s="14"/>
    </row>
    <row r="3250" spans="6:6" x14ac:dyDescent="0.3">
      <c r="F3250" s="14"/>
    </row>
    <row r="3251" spans="6:6" x14ac:dyDescent="0.3">
      <c r="F3251" s="14"/>
    </row>
    <row r="3252" spans="6:6" x14ac:dyDescent="0.3">
      <c r="F3252" s="14"/>
    </row>
    <row r="3253" spans="6:6" x14ac:dyDescent="0.3">
      <c r="F3253" s="14"/>
    </row>
    <row r="3254" spans="6:6" x14ac:dyDescent="0.3">
      <c r="F3254" s="14"/>
    </row>
    <row r="3255" spans="6:6" x14ac:dyDescent="0.3">
      <c r="F3255" s="14"/>
    </row>
    <row r="3256" spans="6:6" x14ac:dyDescent="0.3">
      <c r="F3256" s="14"/>
    </row>
    <row r="3257" spans="6:6" x14ac:dyDescent="0.3">
      <c r="F3257" s="14"/>
    </row>
    <row r="3258" spans="6:6" x14ac:dyDescent="0.3">
      <c r="F3258" s="14"/>
    </row>
    <row r="3259" spans="6:6" x14ac:dyDescent="0.3">
      <c r="F3259" s="14"/>
    </row>
    <row r="3260" spans="6:6" x14ac:dyDescent="0.3">
      <c r="F3260" s="14"/>
    </row>
    <row r="3261" spans="6:6" x14ac:dyDescent="0.3">
      <c r="F3261" s="14"/>
    </row>
    <row r="3262" spans="6:6" x14ac:dyDescent="0.3">
      <c r="F3262" s="14"/>
    </row>
    <row r="3263" spans="6:6" x14ac:dyDescent="0.3">
      <c r="F3263" s="14"/>
    </row>
    <row r="3264" spans="6:6" x14ac:dyDescent="0.3">
      <c r="F3264" s="14"/>
    </row>
    <row r="3265" spans="6:6" x14ac:dyDescent="0.3">
      <c r="F3265" s="14"/>
    </row>
    <row r="3266" spans="6:6" x14ac:dyDescent="0.3">
      <c r="F3266" s="14"/>
    </row>
    <row r="3267" spans="6:6" x14ac:dyDescent="0.3">
      <c r="F3267" s="14"/>
    </row>
    <row r="3268" spans="6:6" x14ac:dyDescent="0.3">
      <c r="F3268" s="14"/>
    </row>
    <row r="3269" spans="6:6" x14ac:dyDescent="0.3">
      <c r="F3269" s="14"/>
    </row>
    <row r="3270" spans="6:6" x14ac:dyDescent="0.3">
      <c r="F3270" s="14"/>
    </row>
    <row r="3271" spans="6:6" x14ac:dyDescent="0.3">
      <c r="F3271" s="14"/>
    </row>
    <row r="3272" spans="6:6" x14ac:dyDescent="0.3">
      <c r="F3272" s="14"/>
    </row>
    <row r="3273" spans="6:6" x14ac:dyDescent="0.3">
      <c r="F3273" s="14"/>
    </row>
    <row r="3274" spans="6:6" x14ac:dyDescent="0.3">
      <c r="F3274" s="14"/>
    </row>
    <row r="3275" spans="6:6" x14ac:dyDescent="0.3">
      <c r="F3275" s="14"/>
    </row>
    <row r="3276" spans="6:6" x14ac:dyDescent="0.3">
      <c r="F3276" s="14"/>
    </row>
    <row r="3277" spans="6:6" x14ac:dyDescent="0.3">
      <c r="F3277" s="14"/>
    </row>
    <row r="3278" spans="6:6" x14ac:dyDescent="0.3">
      <c r="F3278" s="14"/>
    </row>
    <row r="3279" spans="6:6" x14ac:dyDescent="0.3">
      <c r="F3279" s="14"/>
    </row>
    <row r="3280" spans="6:6" x14ac:dyDescent="0.3">
      <c r="F3280" s="14"/>
    </row>
    <row r="3281" spans="6:6" x14ac:dyDescent="0.3">
      <c r="F3281" s="14"/>
    </row>
    <row r="3282" spans="6:6" x14ac:dyDescent="0.3">
      <c r="F3282" s="14"/>
    </row>
    <row r="3283" spans="6:6" x14ac:dyDescent="0.3">
      <c r="F3283" s="14"/>
    </row>
    <row r="3284" spans="6:6" x14ac:dyDescent="0.3">
      <c r="F3284" s="14"/>
    </row>
    <row r="3285" spans="6:6" x14ac:dyDescent="0.3">
      <c r="F3285" s="14"/>
    </row>
    <row r="3286" spans="6:6" x14ac:dyDescent="0.3">
      <c r="F3286" s="14"/>
    </row>
    <row r="3287" spans="6:6" x14ac:dyDescent="0.3">
      <c r="F3287" s="14"/>
    </row>
    <row r="3288" spans="6:6" x14ac:dyDescent="0.3">
      <c r="F3288" s="14"/>
    </row>
    <row r="3289" spans="6:6" x14ac:dyDescent="0.3">
      <c r="F3289" s="14"/>
    </row>
    <row r="3290" spans="6:6" x14ac:dyDescent="0.3">
      <c r="F3290" s="14"/>
    </row>
    <row r="3291" spans="6:6" x14ac:dyDescent="0.3">
      <c r="F3291" s="14"/>
    </row>
    <row r="3292" spans="6:6" x14ac:dyDescent="0.3">
      <c r="F3292" s="14"/>
    </row>
    <row r="3293" spans="6:6" x14ac:dyDescent="0.3">
      <c r="F3293" s="14"/>
    </row>
    <row r="3294" spans="6:6" x14ac:dyDescent="0.3">
      <c r="F3294" s="14"/>
    </row>
    <row r="3295" spans="6:6" x14ac:dyDescent="0.3">
      <c r="F3295" s="14"/>
    </row>
    <row r="3296" spans="6:6" x14ac:dyDescent="0.3">
      <c r="F3296" s="14"/>
    </row>
    <row r="3297" spans="6:6" x14ac:dyDescent="0.3">
      <c r="F3297" s="14"/>
    </row>
    <row r="3298" spans="6:6" x14ac:dyDescent="0.3">
      <c r="F3298" s="14"/>
    </row>
    <row r="3299" spans="6:6" x14ac:dyDescent="0.3">
      <c r="F3299" s="14"/>
    </row>
    <row r="3300" spans="6:6" x14ac:dyDescent="0.3">
      <c r="F3300" s="14"/>
    </row>
    <row r="3301" spans="6:6" x14ac:dyDescent="0.3">
      <c r="F3301" s="14"/>
    </row>
    <row r="3302" spans="6:6" x14ac:dyDescent="0.3">
      <c r="F3302" s="14"/>
    </row>
    <row r="3303" spans="6:6" x14ac:dyDescent="0.3">
      <c r="F3303" s="14"/>
    </row>
    <row r="3304" spans="6:6" x14ac:dyDescent="0.3">
      <c r="F3304" s="14"/>
    </row>
    <row r="3305" spans="6:6" x14ac:dyDescent="0.3">
      <c r="F3305" s="14"/>
    </row>
    <row r="3306" spans="6:6" x14ac:dyDescent="0.3">
      <c r="F3306" s="14"/>
    </row>
    <row r="3307" spans="6:6" x14ac:dyDescent="0.3">
      <c r="F3307" s="14"/>
    </row>
    <row r="3308" spans="6:6" x14ac:dyDescent="0.3">
      <c r="F3308" s="14"/>
    </row>
    <row r="3309" spans="6:6" x14ac:dyDescent="0.3">
      <c r="F3309" s="14"/>
    </row>
    <row r="3310" spans="6:6" x14ac:dyDescent="0.3">
      <c r="F3310" s="14"/>
    </row>
    <row r="3311" spans="6:6" x14ac:dyDescent="0.3">
      <c r="F3311" s="14"/>
    </row>
    <row r="3312" spans="6:6" x14ac:dyDescent="0.3">
      <c r="F3312" s="14"/>
    </row>
    <row r="3313" spans="6:6" x14ac:dyDescent="0.3">
      <c r="F3313" s="14"/>
    </row>
    <row r="3314" spans="6:6" x14ac:dyDescent="0.3">
      <c r="F3314" s="14"/>
    </row>
    <row r="3315" spans="6:6" x14ac:dyDescent="0.3">
      <c r="F3315" s="14"/>
    </row>
    <row r="3316" spans="6:6" x14ac:dyDescent="0.3">
      <c r="F3316" s="14"/>
    </row>
    <row r="3317" spans="6:6" x14ac:dyDescent="0.3">
      <c r="F3317" s="14"/>
    </row>
    <row r="3318" spans="6:6" x14ac:dyDescent="0.3">
      <c r="F3318" s="14"/>
    </row>
    <row r="3319" spans="6:6" x14ac:dyDescent="0.3">
      <c r="F3319" s="14"/>
    </row>
    <row r="3320" spans="6:6" x14ac:dyDescent="0.3">
      <c r="F3320" s="14"/>
    </row>
    <row r="3321" spans="6:6" x14ac:dyDescent="0.3">
      <c r="F3321" s="14"/>
    </row>
    <row r="3322" spans="6:6" x14ac:dyDescent="0.3">
      <c r="F3322" s="14"/>
    </row>
    <row r="3323" spans="6:6" x14ac:dyDescent="0.3">
      <c r="F3323" s="14"/>
    </row>
    <row r="3324" spans="6:6" x14ac:dyDescent="0.3">
      <c r="F3324" s="14"/>
    </row>
    <row r="3325" spans="6:6" x14ac:dyDescent="0.3">
      <c r="F3325" s="14"/>
    </row>
    <row r="3326" spans="6:6" x14ac:dyDescent="0.3">
      <c r="F3326" s="14"/>
    </row>
    <row r="3327" spans="6:6" x14ac:dyDescent="0.3">
      <c r="F3327" s="14"/>
    </row>
    <row r="3328" spans="6:6" x14ac:dyDescent="0.3">
      <c r="F3328" s="14"/>
    </row>
    <row r="3329" spans="6:6" x14ac:dyDescent="0.3">
      <c r="F3329" s="14"/>
    </row>
    <row r="3330" spans="6:6" x14ac:dyDescent="0.3">
      <c r="F3330" s="14"/>
    </row>
    <row r="3331" spans="6:6" x14ac:dyDescent="0.3">
      <c r="F3331" s="14"/>
    </row>
    <row r="3332" spans="6:6" x14ac:dyDescent="0.3">
      <c r="F3332" s="14"/>
    </row>
    <row r="3333" spans="6:6" x14ac:dyDescent="0.3">
      <c r="F3333" s="14"/>
    </row>
    <row r="3334" spans="6:6" x14ac:dyDescent="0.3">
      <c r="F3334" s="14"/>
    </row>
    <row r="3335" spans="6:6" x14ac:dyDescent="0.3">
      <c r="F3335" s="14"/>
    </row>
    <row r="3336" spans="6:6" x14ac:dyDescent="0.3">
      <c r="F3336" s="14"/>
    </row>
    <row r="3337" spans="6:6" x14ac:dyDescent="0.3">
      <c r="F3337" s="14"/>
    </row>
    <row r="3338" spans="6:6" x14ac:dyDescent="0.3">
      <c r="F3338" s="14"/>
    </row>
    <row r="3339" spans="6:6" x14ac:dyDescent="0.3">
      <c r="F3339" s="14"/>
    </row>
    <row r="3340" spans="6:6" x14ac:dyDescent="0.3">
      <c r="F3340" s="14"/>
    </row>
    <row r="3341" spans="6:6" x14ac:dyDescent="0.3">
      <c r="F3341" s="14"/>
    </row>
    <row r="3342" spans="6:6" x14ac:dyDescent="0.3">
      <c r="F3342" s="14"/>
    </row>
    <row r="3343" spans="6:6" x14ac:dyDescent="0.3">
      <c r="F3343" s="14"/>
    </row>
    <row r="3344" spans="6:6" x14ac:dyDescent="0.3">
      <c r="F3344" s="14"/>
    </row>
    <row r="3345" spans="6:6" x14ac:dyDescent="0.3">
      <c r="F3345" s="14"/>
    </row>
    <row r="3346" spans="6:6" x14ac:dyDescent="0.3">
      <c r="F3346" s="14"/>
    </row>
    <row r="3347" spans="6:6" x14ac:dyDescent="0.3">
      <c r="F3347" s="14"/>
    </row>
    <row r="3348" spans="6:6" x14ac:dyDescent="0.3">
      <c r="F3348" s="14"/>
    </row>
    <row r="3349" spans="6:6" x14ac:dyDescent="0.3">
      <c r="F3349" s="14"/>
    </row>
    <row r="3350" spans="6:6" x14ac:dyDescent="0.3">
      <c r="F3350" s="14"/>
    </row>
    <row r="3351" spans="6:6" x14ac:dyDescent="0.3">
      <c r="F3351" s="14"/>
    </row>
    <row r="3352" spans="6:6" x14ac:dyDescent="0.3">
      <c r="F3352" s="14"/>
    </row>
    <row r="3353" spans="6:6" x14ac:dyDescent="0.3">
      <c r="F3353" s="14"/>
    </row>
    <row r="3354" spans="6:6" x14ac:dyDescent="0.3">
      <c r="F3354" s="14"/>
    </row>
    <row r="3355" spans="6:6" x14ac:dyDescent="0.3">
      <c r="F3355" s="14"/>
    </row>
    <row r="3356" spans="6:6" x14ac:dyDescent="0.3">
      <c r="F3356" s="14"/>
    </row>
    <row r="3357" spans="6:6" x14ac:dyDescent="0.3">
      <c r="F3357" s="14"/>
    </row>
    <row r="3358" spans="6:6" x14ac:dyDescent="0.3">
      <c r="F3358" s="14"/>
    </row>
    <row r="3359" spans="6:6" x14ac:dyDescent="0.3">
      <c r="F3359" s="14"/>
    </row>
    <row r="3360" spans="6:6" x14ac:dyDescent="0.3">
      <c r="F3360" s="14"/>
    </row>
    <row r="3361" spans="6:6" x14ac:dyDescent="0.3">
      <c r="F3361" s="14"/>
    </row>
    <row r="3362" spans="6:6" x14ac:dyDescent="0.3">
      <c r="F3362" s="14"/>
    </row>
    <row r="3363" spans="6:6" x14ac:dyDescent="0.3">
      <c r="F3363" s="14"/>
    </row>
    <row r="3364" spans="6:6" x14ac:dyDescent="0.3">
      <c r="F3364" s="14"/>
    </row>
    <row r="3365" spans="6:6" x14ac:dyDescent="0.3">
      <c r="F3365" s="14"/>
    </row>
    <row r="3366" spans="6:6" x14ac:dyDescent="0.3">
      <c r="F3366" s="14"/>
    </row>
    <row r="3367" spans="6:6" x14ac:dyDescent="0.3">
      <c r="F3367" s="14"/>
    </row>
    <row r="3368" spans="6:6" x14ac:dyDescent="0.3">
      <c r="F3368" s="14"/>
    </row>
    <row r="3369" spans="6:6" x14ac:dyDescent="0.3">
      <c r="F3369" s="14"/>
    </row>
    <row r="3370" spans="6:6" x14ac:dyDescent="0.3">
      <c r="F3370" s="14"/>
    </row>
    <row r="3371" spans="6:6" x14ac:dyDescent="0.3">
      <c r="F3371" s="14"/>
    </row>
    <row r="3372" spans="6:6" x14ac:dyDescent="0.3">
      <c r="F3372" s="14"/>
    </row>
    <row r="3373" spans="6:6" x14ac:dyDescent="0.3">
      <c r="F3373" s="14"/>
    </row>
    <row r="3374" spans="6:6" x14ac:dyDescent="0.3">
      <c r="F3374" s="14"/>
    </row>
    <row r="3375" spans="6:6" x14ac:dyDescent="0.3">
      <c r="F3375" s="14"/>
    </row>
    <row r="3376" spans="6:6" x14ac:dyDescent="0.3">
      <c r="F3376" s="14"/>
    </row>
    <row r="3377" spans="6:6" x14ac:dyDescent="0.3">
      <c r="F3377" s="14"/>
    </row>
    <row r="3378" spans="6:6" x14ac:dyDescent="0.3">
      <c r="F3378" s="14"/>
    </row>
    <row r="3379" spans="6:6" x14ac:dyDescent="0.3">
      <c r="F3379" s="14"/>
    </row>
    <row r="3380" spans="6:6" x14ac:dyDescent="0.3">
      <c r="F3380" s="14"/>
    </row>
    <row r="3381" spans="6:6" x14ac:dyDescent="0.3">
      <c r="F3381" s="14"/>
    </row>
    <row r="3382" spans="6:6" x14ac:dyDescent="0.3">
      <c r="F3382" s="14"/>
    </row>
    <row r="3383" spans="6:6" x14ac:dyDescent="0.3">
      <c r="F3383" s="14"/>
    </row>
    <row r="3384" spans="6:6" x14ac:dyDescent="0.3">
      <c r="F3384" s="14"/>
    </row>
    <row r="3385" spans="6:6" x14ac:dyDescent="0.3">
      <c r="F3385" s="14"/>
    </row>
    <row r="3386" spans="6:6" x14ac:dyDescent="0.3">
      <c r="F3386" s="14"/>
    </row>
    <row r="3387" spans="6:6" x14ac:dyDescent="0.3">
      <c r="F3387" s="14"/>
    </row>
    <row r="3388" spans="6:6" x14ac:dyDescent="0.3">
      <c r="F3388" s="14"/>
    </row>
    <row r="3389" spans="6:6" x14ac:dyDescent="0.3">
      <c r="F3389" s="14"/>
    </row>
    <row r="3390" spans="6:6" x14ac:dyDescent="0.3">
      <c r="F3390" s="14"/>
    </row>
    <row r="3391" spans="6:6" x14ac:dyDescent="0.3">
      <c r="F3391" s="14"/>
    </row>
    <row r="3392" spans="6:6" x14ac:dyDescent="0.3">
      <c r="F3392" s="14"/>
    </row>
    <row r="3393" spans="6:6" x14ac:dyDescent="0.3">
      <c r="F3393" s="14"/>
    </row>
    <row r="3394" spans="6:6" x14ac:dyDescent="0.3">
      <c r="F3394" s="14"/>
    </row>
    <row r="3395" spans="6:6" x14ac:dyDescent="0.3">
      <c r="F3395" s="14"/>
    </row>
    <row r="3396" spans="6:6" x14ac:dyDescent="0.3">
      <c r="F3396" s="14"/>
    </row>
    <row r="3397" spans="6:6" x14ac:dyDescent="0.3">
      <c r="F3397" s="14"/>
    </row>
    <row r="3398" spans="6:6" x14ac:dyDescent="0.3">
      <c r="F3398" s="14"/>
    </row>
    <row r="3399" spans="6:6" x14ac:dyDescent="0.3">
      <c r="F3399" s="14"/>
    </row>
    <row r="3400" spans="6:6" x14ac:dyDescent="0.3">
      <c r="F3400" s="14"/>
    </row>
    <row r="3401" spans="6:6" x14ac:dyDescent="0.3">
      <c r="F3401" s="14"/>
    </row>
    <row r="3402" spans="6:6" x14ac:dyDescent="0.3">
      <c r="F3402" s="14"/>
    </row>
    <row r="3403" spans="6:6" x14ac:dyDescent="0.3">
      <c r="F3403" s="14"/>
    </row>
    <row r="3404" spans="6:6" x14ac:dyDescent="0.3">
      <c r="F3404" s="14"/>
    </row>
    <row r="3405" spans="6:6" x14ac:dyDescent="0.3">
      <c r="F3405" s="14"/>
    </row>
    <row r="3406" spans="6:6" x14ac:dyDescent="0.3">
      <c r="F3406" s="14"/>
    </row>
    <row r="3407" spans="6:6" x14ac:dyDescent="0.3">
      <c r="F3407" s="14"/>
    </row>
    <row r="3408" spans="6:6" x14ac:dyDescent="0.3">
      <c r="F3408" s="14"/>
    </row>
    <row r="3409" spans="6:6" x14ac:dyDescent="0.3">
      <c r="F3409" s="14"/>
    </row>
    <row r="3410" spans="6:6" x14ac:dyDescent="0.3">
      <c r="F3410" s="14"/>
    </row>
    <row r="3411" spans="6:6" x14ac:dyDescent="0.3">
      <c r="F3411" s="14"/>
    </row>
    <row r="3412" spans="6:6" x14ac:dyDescent="0.3">
      <c r="F3412" s="14"/>
    </row>
    <row r="3413" spans="6:6" x14ac:dyDescent="0.3">
      <c r="F3413" s="14"/>
    </row>
    <row r="3414" spans="6:6" x14ac:dyDescent="0.3">
      <c r="F3414" s="14"/>
    </row>
    <row r="3415" spans="6:6" x14ac:dyDescent="0.3">
      <c r="F3415" s="14"/>
    </row>
    <row r="3416" spans="6:6" x14ac:dyDescent="0.3">
      <c r="F3416" s="14"/>
    </row>
    <row r="3417" spans="6:6" x14ac:dyDescent="0.3">
      <c r="F3417" s="14"/>
    </row>
    <row r="3418" spans="6:6" x14ac:dyDescent="0.3">
      <c r="F3418" s="14"/>
    </row>
    <row r="3419" spans="6:6" x14ac:dyDescent="0.3">
      <c r="F3419" s="14"/>
    </row>
    <row r="3420" spans="6:6" x14ac:dyDescent="0.3">
      <c r="F3420" s="14"/>
    </row>
    <row r="3421" spans="6:6" x14ac:dyDescent="0.3">
      <c r="F3421" s="14"/>
    </row>
    <row r="3422" spans="6:6" x14ac:dyDescent="0.3">
      <c r="F3422" s="14"/>
    </row>
    <row r="3423" spans="6:6" x14ac:dyDescent="0.3">
      <c r="F3423" s="14"/>
    </row>
    <row r="3424" spans="6:6" x14ac:dyDescent="0.3">
      <c r="F3424" s="14"/>
    </row>
    <row r="3425" spans="6:6" x14ac:dyDescent="0.3">
      <c r="F3425" s="14"/>
    </row>
    <row r="3426" spans="6:6" x14ac:dyDescent="0.3">
      <c r="F3426" s="14"/>
    </row>
    <row r="3427" spans="6:6" x14ac:dyDescent="0.3">
      <c r="F3427" s="14"/>
    </row>
    <row r="3428" spans="6:6" x14ac:dyDescent="0.3">
      <c r="F3428" s="14"/>
    </row>
    <row r="3429" spans="6:6" x14ac:dyDescent="0.3">
      <c r="F3429" s="14"/>
    </row>
    <row r="3430" spans="6:6" x14ac:dyDescent="0.3">
      <c r="F3430" s="14"/>
    </row>
    <row r="3431" spans="6:6" x14ac:dyDescent="0.3">
      <c r="F3431" s="14"/>
    </row>
    <row r="3432" spans="6:6" x14ac:dyDescent="0.3">
      <c r="F3432" s="14"/>
    </row>
    <row r="3433" spans="6:6" x14ac:dyDescent="0.3">
      <c r="F3433" s="14"/>
    </row>
    <row r="3434" spans="6:6" x14ac:dyDescent="0.3">
      <c r="F3434" s="14"/>
    </row>
    <row r="3435" spans="6:6" x14ac:dyDescent="0.3">
      <c r="F3435" s="14"/>
    </row>
    <row r="3436" spans="6:6" x14ac:dyDescent="0.3">
      <c r="F3436" s="14"/>
    </row>
    <row r="3437" spans="6:6" x14ac:dyDescent="0.3">
      <c r="F3437" s="14"/>
    </row>
    <row r="3438" spans="6:6" x14ac:dyDescent="0.3">
      <c r="F3438" s="14"/>
    </row>
    <row r="3439" spans="6:6" x14ac:dyDescent="0.3">
      <c r="F3439" s="14"/>
    </row>
    <row r="3440" spans="6:6" x14ac:dyDescent="0.3">
      <c r="F3440" s="14"/>
    </row>
    <row r="3441" spans="6:6" x14ac:dyDescent="0.3">
      <c r="F3441" s="14"/>
    </row>
    <row r="3442" spans="6:6" x14ac:dyDescent="0.3">
      <c r="F3442" s="14"/>
    </row>
    <row r="3443" spans="6:6" x14ac:dyDescent="0.3">
      <c r="F3443" s="14"/>
    </row>
    <row r="3444" spans="6:6" x14ac:dyDescent="0.3">
      <c r="F3444" s="14"/>
    </row>
    <row r="3445" spans="6:6" x14ac:dyDescent="0.3">
      <c r="F3445" s="14"/>
    </row>
    <row r="3446" spans="6:6" x14ac:dyDescent="0.3">
      <c r="F3446" s="14"/>
    </row>
    <row r="3447" spans="6:6" x14ac:dyDescent="0.3">
      <c r="F3447" s="14"/>
    </row>
    <row r="3448" spans="6:6" x14ac:dyDescent="0.3">
      <c r="F3448" s="14"/>
    </row>
    <row r="3449" spans="6:6" x14ac:dyDescent="0.3">
      <c r="F3449" s="14"/>
    </row>
    <row r="3450" spans="6:6" x14ac:dyDescent="0.3">
      <c r="F3450" s="14"/>
    </row>
    <row r="3451" spans="6:6" x14ac:dyDescent="0.3">
      <c r="F3451" s="14"/>
    </row>
    <row r="3452" spans="6:6" x14ac:dyDescent="0.3">
      <c r="F3452" s="14"/>
    </row>
    <row r="3453" spans="6:6" x14ac:dyDescent="0.3">
      <c r="F3453" s="14"/>
    </row>
    <row r="3454" spans="6:6" x14ac:dyDescent="0.3">
      <c r="F3454" s="14"/>
    </row>
    <row r="3455" spans="6:6" x14ac:dyDescent="0.3">
      <c r="F3455" s="14"/>
    </row>
    <row r="3456" spans="6:6" x14ac:dyDescent="0.3">
      <c r="F3456" s="14"/>
    </row>
    <row r="3457" spans="6:6" x14ac:dyDescent="0.3">
      <c r="F3457" s="14"/>
    </row>
    <row r="3458" spans="6:6" x14ac:dyDescent="0.3">
      <c r="F3458" s="14"/>
    </row>
    <row r="3459" spans="6:6" x14ac:dyDescent="0.3">
      <c r="F3459" s="14"/>
    </row>
    <row r="3460" spans="6:6" x14ac:dyDescent="0.3">
      <c r="F3460" s="14"/>
    </row>
    <row r="3461" spans="6:6" x14ac:dyDescent="0.3">
      <c r="F3461" s="14"/>
    </row>
    <row r="3462" spans="6:6" x14ac:dyDescent="0.3">
      <c r="F3462" s="14"/>
    </row>
    <row r="3463" spans="6:6" x14ac:dyDescent="0.3">
      <c r="F3463" s="14"/>
    </row>
    <row r="3464" spans="6:6" x14ac:dyDescent="0.3">
      <c r="F3464" s="14"/>
    </row>
    <row r="3465" spans="6:6" x14ac:dyDescent="0.3">
      <c r="F3465" s="14"/>
    </row>
    <row r="3466" spans="6:6" x14ac:dyDescent="0.3">
      <c r="F3466" s="14"/>
    </row>
    <row r="3467" spans="6:6" x14ac:dyDescent="0.3">
      <c r="F3467" s="14"/>
    </row>
    <row r="3468" spans="6:6" x14ac:dyDescent="0.3">
      <c r="F3468" s="14"/>
    </row>
    <row r="3469" spans="6:6" x14ac:dyDescent="0.3">
      <c r="F3469" s="14"/>
    </row>
    <row r="3470" spans="6:6" x14ac:dyDescent="0.3">
      <c r="F3470" s="14"/>
    </row>
    <row r="3471" spans="6:6" x14ac:dyDescent="0.3">
      <c r="F3471" s="14"/>
    </row>
    <row r="3472" spans="6:6" x14ac:dyDescent="0.3">
      <c r="F3472" s="14"/>
    </row>
    <row r="3473" spans="6:6" x14ac:dyDescent="0.3">
      <c r="F3473" s="14"/>
    </row>
    <row r="3474" spans="6:6" x14ac:dyDescent="0.3">
      <c r="F3474" s="14"/>
    </row>
    <row r="3475" spans="6:6" x14ac:dyDescent="0.3">
      <c r="F3475" s="14"/>
    </row>
    <row r="3476" spans="6:6" x14ac:dyDescent="0.3">
      <c r="F3476" s="14"/>
    </row>
    <row r="3477" spans="6:6" x14ac:dyDescent="0.3">
      <c r="F3477" s="14"/>
    </row>
    <row r="3478" spans="6:6" x14ac:dyDescent="0.3">
      <c r="F3478" s="14"/>
    </row>
    <row r="3479" spans="6:6" x14ac:dyDescent="0.3">
      <c r="F3479" s="14"/>
    </row>
    <row r="3480" spans="6:6" x14ac:dyDescent="0.3">
      <c r="F3480" s="14"/>
    </row>
    <row r="3481" spans="6:6" x14ac:dyDescent="0.3">
      <c r="F3481" s="14"/>
    </row>
    <row r="3482" spans="6:6" x14ac:dyDescent="0.3">
      <c r="F3482" s="14"/>
    </row>
    <row r="3483" spans="6:6" x14ac:dyDescent="0.3">
      <c r="F3483" s="14"/>
    </row>
    <row r="3484" spans="6:6" x14ac:dyDescent="0.3">
      <c r="F3484" s="14"/>
    </row>
    <row r="3485" spans="6:6" x14ac:dyDescent="0.3">
      <c r="F3485" s="14"/>
    </row>
    <row r="3486" spans="6:6" x14ac:dyDescent="0.3">
      <c r="F3486" s="14"/>
    </row>
    <row r="3487" spans="6:6" x14ac:dyDescent="0.3">
      <c r="F3487" s="14"/>
    </row>
    <row r="3488" spans="6:6" x14ac:dyDescent="0.3">
      <c r="F3488" s="14"/>
    </row>
    <row r="3489" spans="6:6" x14ac:dyDescent="0.3">
      <c r="F3489" s="14"/>
    </row>
    <row r="3490" spans="6:6" x14ac:dyDescent="0.3">
      <c r="F3490" s="14"/>
    </row>
    <row r="3491" spans="6:6" x14ac:dyDescent="0.3">
      <c r="F3491" s="14"/>
    </row>
    <row r="3492" spans="6:6" x14ac:dyDescent="0.3">
      <c r="F3492" s="14"/>
    </row>
    <row r="3493" spans="6:6" x14ac:dyDescent="0.3">
      <c r="F3493" s="14"/>
    </row>
    <row r="3494" spans="6:6" x14ac:dyDescent="0.3">
      <c r="F3494" s="14"/>
    </row>
    <row r="3495" spans="6:6" x14ac:dyDescent="0.3">
      <c r="F3495" s="14"/>
    </row>
    <row r="3496" spans="6:6" x14ac:dyDescent="0.3">
      <c r="F3496" s="14"/>
    </row>
    <row r="3497" spans="6:6" x14ac:dyDescent="0.3">
      <c r="F3497" s="14"/>
    </row>
    <row r="3498" spans="6:6" x14ac:dyDescent="0.3">
      <c r="F3498" s="14"/>
    </row>
    <row r="3499" spans="6:6" x14ac:dyDescent="0.3">
      <c r="F3499" s="14"/>
    </row>
    <row r="3500" spans="6:6" x14ac:dyDescent="0.3">
      <c r="F3500" s="14"/>
    </row>
    <row r="3501" spans="6:6" x14ac:dyDescent="0.3">
      <c r="F3501" s="14"/>
    </row>
    <row r="3502" spans="6:6" x14ac:dyDescent="0.3">
      <c r="F3502" s="14"/>
    </row>
    <row r="3503" spans="6:6" x14ac:dyDescent="0.3">
      <c r="F3503" s="14"/>
    </row>
    <row r="3504" spans="6:6" x14ac:dyDescent="0.3">
      <c r="F3504" s="14"/>
    </row>
    <row r="3505" spans="6:6" x14ac:dyDescent="0.3">
      <c r="F3505" s="14"/>
    </row>
    <row r="3506" spans="6:6" x14ac:dyDescent="0.3">
      <c r="F3506" s="14"/>
    </row>
    <row r="3507" spans="6:6" x14ac:dyDescent="0.3">
      <c r="F3507" s="14"/>
    </row>
    <row r="3508" spans="6:6" x14ac:dyDescent="0.3">
      <c r="F3508" s="14"/>
    </row>
    <row r="3509" spans="6:6" x14ac:dyDescent="0.3">
      <c r="F3509" s="14"/>
    </row>
    <row r="3510" spans="6:6" x14ac:dyDescent="0.3">
      <c r="F3510" s="14"/>
    </row>
    <row r="3511" spans="6:6" x14ac:dyDescent="0.3">
      <c r="F3511" s="14"/>
    </row>
    <row r="3512" spans="6:6" x14ac:dyDescent="0.3">
      <c r="F3512" s="14"/>
    </row>
    <row r="3513" spans="6:6" x14ac:dyDescent="0.3">
      <c r="F3513" s="14"/>
    </row>
    <row r="3514" spans="6:6" x14ac:dyDescent="0.3">
      <c r="F3514" s="14"/>
    </row>
    <row r="3515" spans="6:6" x14ac:dyDescent="0.3">
      <c r="F3515" s="14"/>
    </row>
    <row r="3516" spans="6:6" x14ac:dyDescent="0.3">
      <c r="F3516" s="14"/>
    </row>
    <row r="3517" spans="6:6" x14ac:dyDescent="0.3">
      <c r="F3517" s="14"/>
    </row>
    <row r="3518" spans="6:6" x14ac:dyDescent="0.3">
      <c r="F3518" s="14"/>
    </row>
    <row r="3519" spans="6:6" x14ac:dyDescent="0.3">
      <c r="F3519" s="14"/>
    </row>
    <row r="3520" spans="6:6" x14ac:dyDescent="0.3">
      <c r="F3520" s="14"/>
    </row>
    <row r="3521" spans="6:6" x14ac:dyDescent="0.3">
      <c r="F3521" s="14"/>
    </row>
    <row r="3522" spans="6:6" x14ac:dyDescent="0.3">
      <c r="F3522" s="14"/>
    </row>
    <row r="3523" spans="6:6" x14ac:dyDescent="0.3">
      <c r="F3523" s="14"/>
    </row>
    <row r="3524" spans="6:6" x14ac:dyDescent="0.3">
      <c r="F3524" s="14"/>
    </row>
    <row r="3525" spans="6:6" x14ac:dyDescent="0.3">
      <c r="F3525" s="14"/>
    </row>
    <row r="3526" spans="6:6" x14ac:dyDescent="0.3">
      <c r="F3526" s="14"/>
    </row>
    <row r="3527" spans="6:6" x14ac:dyDescent="0.3">
      <c r="F3527" s="14"/>
    </row>
    <row r="3528" spans="6:6" x14ac:dyDescent="0.3">
      <c r="F3528" s="14"/>
    </row>
    <row r="3529" spans="6:6" x14ac:dyDescent="0.3">
      <c r="F3529" s="14"/>
    </row>
    <row r="3530" spans="6:6" x14ac:dyDescent="0.3">
      <c r="F3530" s="14"/>
    </row>
    <row r="3531" spans="6:6" x14ac:dyDescent="0.3">
      <c r="F3531" s="14"/>
    </row>
    <row r="3532" spans="6:6" x14ac:dyDescent="0.3">
      <c r="F3532" s="14"/>
    </row>
    <row r="3533" spans="6:6" x14ac:dyDescent="0.3">
      <c r="F3533" s="14"/>
    </row>
    <row r="3534" spans="6:6" x14ac:dyDescent="0.3">
      <c r="F3534" s="14"/>
    </row>
    <row r="3535" spans="6:6" x14ac:dyDescent="0.3">
      <c r="F3535" s="14"/>
    </row>
    <row r="3536" spans="6:6" x14ac:dyDescent="0.3">
      <c r="F3536" s="14"/>
    </row>
    <row r="3537" spans="6:6" x14ac:dyDescent="0.3">
      <c r="F3537" s="14"/>
    </row>
    <row r="3538" spans="6:6" x14ac:dyDescent="0.3">
      <c r="F3538" s="14"/>
    </row>
    <row r="3539" spans="6:6" x14ac:dyDescent="0.3">
      <c r="F3539" s="14"/>
    </row>
    <row r="3540" spans="6:6" x14ac:dyDescent="0.3">
      <c r="F3540" s="14"/>
    </row>
    <row r="3541" spans="6:6" x14ac:dyDescent="0.3">
      <c r="F3541" s="14"/>
    </row>
    <row r="3542" spans="6:6" x14ac:dyDescent="0.3">
      <c r="F3542" s="14"/>
    </row>
    <row r="3543" spans="6:6" x14ac:dyDescent="0.3">
      <c r="F3543" s="14"/>
    </row>
    <row r="3544" spans="6:6" x14ac:dyDescent="0.3">
      <c r="F3544" s="14"/>
    </row>
    <row r="3545" spans="6:6" x14ac:dyDescent="0.3">
      <c r="F3545" s="14"/>
    </row>
    <row r="3546" spans="6:6" x14ac:dyDescent="0.3">
      <c r="F3546" s="14"/>
    </row>
    <row r="3547" spans="6:6" x14ac:dyDescent="0.3">
      <c r="F3547" s="14"/>
    </row>
    <row r="3548" spans="6:6" x14ac:dyDescent="0.3">
      <c r="F3548" s="14"/>
    </row>
    <row r="3549" spans="6:6" x14ac:dyDescent="0.3">
      <c r="F3549" s="14"/>
    </row>
    <row r="3550" spans="6:6" x14ac:dyDescent="0.3">
      <c r="F3550" s="14"/>
    </row>
    <row r="3551" spans="6:6" x14ac:dyDescent="0.3">
      <c r="F3551" s="14"/>
    </row>
    <row r="3552" spans="6:6" x14ac:dyDescent="0.3">
      <c r="F3552" s="14"/>
    </row>
    <row r="3553" spans="6:6" x14ac:dyDescent="0.3">
      <c r="F3553" s="14"/>
    </row>
    <row r="3554" spans="6:6" x14ac:dyDescent="0.3">
      <c r="F3554" s="14"/>
    </row>
    <row r="3555" spans="6:6" x14ac:dyDescent="0.3">
      <c r="F3555" s="14"/>
    </row>
    <row r="3556" spans="6:6" x14ac:dyDescent="0.3">
      <c r="F3556" s="14"/>
    </row>
    <row r="3557" spans="6:6" x14ac:dyDescent="0.3">
      <c r="F3557" s="14"/>
    </row>
    <row r="3558" spans="6:6" x14ac:dyDescent="0.3">
      <c r="F3558" s="14"/>
    </row>
    <row r="3559" spans="6:6" x14ac:dyDescent="0.3">
      <c r="F3559" s="14"/>
    </row>
    <row r="3560" spans="6:6" x14ac:dyDescent="0.3">
      <c r="F3560" s="14"/>
    </row>
    <row r="3561" spans="6:6" x14ac:dyDescent="0.3">
      <c r="F3561" s="14"/>
    </row>
    <row r="3562" spans="6:6" x14ac:dyDescent="0.3">
      <c r="F3562" s="14"/>
    </row>
    <row r="3563" spans="6:6" x14ac:dyDescent="0.3">
      <c r="F3563" s="14"/>
    </row>
    <row r="3564" spans="6:6" x14ac:dyDescent="0.3">
      <c r="F3564" s="14"/>
    </row>
    <row r="3565" spans="6:6" x14ac:dyDescent="0.3">
      <c r="F3565" s="14"/>
    </row>
    <row r="3566" spans="6:6" x14ac:dyDescent="0.3">
      <c r="F3566" s="14"/>
    </row>
    <row r="3567" spans="6:6" x14ac:dyDescent="0.3">
      <c r="F3567" s="14"/>
    </row>
    <row r="3568" spans="6:6" x14ac:dyDescent="0.3">
      <c r="F3568" s="14"/>
    </row>
    <row r="3569" spans="6:6" x14ac:dyDescent="0.3">
      <c r="F3569" s="14"/>
    </row>
    <row r="3570" spans="6:6" x14ac:dyDescent="0.3">
      <c r="F3570" s="14"/>
    </row>
    <row r="3571" spans="6:6" x14ac:dyDescent="0.3">
      <c r="F3571" s="14"/>
    </row>
    <row r="3572" spans="6:6" x14ac:dyDescent="0.3">
      <c r="F3572" s="14"/>
    </row>
    <row r="3573" spans="6:6" x14ac:dyDescent="0.3">
      <c r="F3573" s="14"/>
    </row>
    <row r="3574" spans="6:6" x14ac:dyDescent="0.3">
      <c r="F3574" s="14"/>
    </row>
    <row r="3575" spans="6:6" x14ac:dyDescent="0.3">
      <c r="F3575" s="14"/>
    </row>
    <row r="3576" spans="6:6" x14ac:dyDescent="0.3">
      <c r="F3576" s="14"/>
    </row>
    <row r="3577" spans="6:6" x14ac:dyDescent="0.3">
      <c r="F3577" s="14"/>
    </row>
    <row r="3578" spans="6:6" x14ac:dyDescent="0.3">
      <c r="F3578" s="14"/>
    </row>
    <row r="3579" spans="6:6" x14ac:dyDescent="0.3">
      <c r="F3579" s="14"/>
    </row>
    <row r="3580" spans="6:6" x14ac:dyDescent="0.3">
      <c r="F3580" s="14"/>
    </row>
    <row r="3581" spans="6:6" x14ac:dyDescent="0.3">
      <c r="F3581" s="14"/>
    </row>
    <row r="3582" spans="6:6" x14ac:dyDescent="0.3">
      <c r="F3582" s="14"/>
    </row>
    <row r="3583" spans="6:6" x14ac:dyDescent="0.3">
      <c r="F3583" s="14"/>
    </row>
    <row r="3584" spans="6:6" x14ac:dyDescent="0.3">
      <c r="F3584" s="14"/>
    </row>
    <row r="3585" spans="6:6" x14ac:dyDescent="0.3">
      <c r="F3585" s="14"/>
    </row>
    <row r="3586" spans="6:6" x14ac:dyDescent="0.3">
      <c r="F3586" s="14"/>
    </row>
    <row r="3587" spans="6:6" x14ac:dyDescent="0.3">
      <c r="F3587" s="14"/>
    </row>
    <row r="3588" spans="6:6" x14ac:dyDescent="0.3">
      <c r="F3588" s="14"/>
    </row>
    <row r="3589" spans="6:6" x14ac:dyDescent="0.3">
      <c r="F3589" s="14"/>
    </row>
    <row r="3590" spans="6:6" x14ac:dyDescent="0.3">
      <c r="F3590" s="14"/>
    </row>
    <row r="3591" spans="6:6" x14ac:dyDescent="0.3">
      <c r="F3591" s="14"/>
    </row>
    <row r="3592" spans="6:6" x14ac:dyDescent="0.3">
      <c r="F3592" s="14"/>
    </row>
    <row r="3593" spans="6:6" x14ac:dyDescent="0.3">
      <c r="F3593" s="14"/>
    </row>
    <row r="3594" spans="6:6" x14ac:dyDescent="0.3">
      <c r="F3594" s="14"/>
    </row>
    <row r="3595" spans="6:6" x14ac:dyDescent="0.3">
      <c r="F3595" s="14"/>
    </row>
    <row r="3596" spans="6:6" x14ac:dyDescent="0.3">
      <c r="F3596" s="14"/>
    </row>
    <row r="3597" spans="6:6" x14ac:dyDescent="0.3">
      <c r="F3597" s="14"/>
    </row>
    <row r="3598" spans="6:6" x14ac:dyDescent="0.3">
      <c r="F3598" s="14"/>
    </row>
    <row r="3599" spans="6:6" x14ac:dyDescent="0.3">
      <c r="F3599" s="14"/>
    </row>
    <row r="3600" spans="6:6" x14ac:dyDescent="0.3">
      <c r="F3600" s="14"/>
    </row>
    <row r="3601" spans="6:6" x14ac:dyDescent="0.3">
      <c r="F3601" s="14"/>
    </row>
    <row r="3602" spans="6:6" x14ac:dyDescent="0.3">
      <c r="F3602" s="14"/>
    </row>
    <row r="3603" spans="6:6" x14ac:dyDescent="0.3">
      <c r="F3603" s="14"/>
    </row>
    <row r="3604" spans="6:6" x14ac:dyDescent="0.3">
      <c r="F3604" s="14"/>
    </row>
    <row r="3605" spans="6:6" x14ac:dyDescent="0.3">
      <c r="F3605" s="14"/>
    </row>
    <row r="3606" spans="6:6" x14ac:dyDescent="0.3">
      <c r="F3606" s="14"/>
    </row>
    <row r="3607" spans="6:6" x14ac:dyDescent="0.3">
      <c r="F3607" s="14"/>
    </row>
    <row r="3608" spans="6:6" x14ac:dyDescent="0.3">
      <c r="F3608" s="14"/>
    </row>
    <row r="3609" spans="6:6" x14ac:dyDescent="0.3">
      <c r="F3609" s="14"/>
    </row>
    <row r="3610" spans="6:6" x14ac:dyDescent="0.3">
      <c r="F3610" s="14"/>
    </row>
    <row r="3611" spans="6:6" x14ac:dyDescent="0.3">
      <c r="F3611" s="14"/>
    </row>
    <row r="3612" spans="6:6" x14ac:dyDescent="0.3">
      <c r="F3612" s="14"/>
    </row>
    <row r="3613" spans="6:6" x14ac:dyDescent="0.3">
      <c r="F3613" s="14"/>
    </row>
    <row r="3614" spans="6:6" x14ac:dyDescent="0.3">
      <c r="F3614" s="14"/>
    </row>
    <row r="3615" spans="6:6" x14ac:dyDescent="0.3">
      <c r="F3615" s="14"/>
    </row>
    <row r="3616" spans="6:6" x14ac:dyDescent="0.3">
      <c r="F3616" s="14"/>
    </row>
    <row r="3617" spans="6:6" x14ac:dyDescent="0.3">
      <c r="F3617" s="14"/>
    </row>
    <row r="3618" spans="6:6" x14ac:dyDescent="0.3">
      <c r="F3618" s="14"/>
    </row>
    <row r="3619" spans="6:6" x14ac:dyDescent="0.3">
      <c r="F3619" s="14"/>
    </row>
    <row r="3620" spans="6:6" x14ac:dyDescent="0.3">
      <c r="F3620" s="14"/>
    </row>
    <row r="3621" spans="6:6" x14ac:dyDescent="0.3">
      <c r="F3621" s="14"/>
    </row>
    <row r="3622" spans="6:6" x14ac:dyDescent="0.3">
      <c r="F3622" s="14"/>
    </row>
    <row r="3623" spans="6:6" x14ac:dyDescent="0.3">
      <c r="F3623" s="14"/>
    </row>
    <row r="3624" spans="6:6" x14ac:dyDescent="0.3">
      <c r="F3624" s="14"/>
    </row>
    <row r="3625" spans="6:6" x14ac:dyDescent="0.3">
      <c r="F3625" s="14"/>
    </row>
    <row r="3626" spans="6:6" x14ac:dyDescent="0.3">
      <c r="F3626" s="14"/>
    </row>
    <row r="3627" spans="6:6" x14ac:dyDescent="0.3">
      <c r="F3627" s="14"/>
    </row>
    <row r="3628" spans="6:6" x14ac:dyDescent="0.3">
      <c r="F3628" s="14"/>
    </row>
    <row r="3629" spans="6:6" x14ac:dyDescent="0.3">
      <c r="F3629" s="14"/>
    </row>
    <row r="3630" spans="6:6" x14ac:dyDescent="0.3">
      <c r="F3630" s="14"/>
    </row>
    <row r="3631" spans="6:6" x14ac:dyDescent="0.3">
      <c r="F3631" s="14"/>
    </row>
    <row r="3632" spans="6:6" x14ac:dyDescent="0.3">
      <c r="F3632" s="14"/>
    </row>
    <row r="3633" spans="6:6" x14ac:dyDescent="0.3">
      <c r="F3633" s="14"/>
    </row>
    <row r="3634" spans="6:6" x14ac:dyDescent="0.3">
      <c r="F3634" s="14"/>
    </row>
    <row r="3635" spans="6:6" x14ac:dyDescent="0.3">
      <c r="F3635" s="14"/>
    </row>
    <row r="3636" spans="6:6" x14ac:dyDescent="0.3">
      <c r="F3636" s="14"/>
    </row>
    <row r="3637" spans="6:6" x14ac:dyDescent="0.3">
      <c r="F3637" s="14"/>
    </row>
    <row r="3638" spans="6:6" x14ac:dyDescent="0.3">
      <c r="F3638" s="14"/>
    </row>
    <row r="3639" spans="6:6" x14ac:dyDescent="0.3">
      <c r="F3639" s="14"/>
    </row>
    <row r="3640" spans="6:6" x14ac:dyDescent="0.3">
      <c r="F3640" s="14"/>
    </row>
    <row r="3641" spans="6:6" x14ac:dyDescent="0.3">
      <c r="F3641" s="14"/>
    </row>
    <row r="3642" spans="6:6" x14ac:dyDescent="0.3">
      <c r="F3642" s="14"/>
    </row>
    <row r="3643" spans="6:6" x14ac:dyDescent="0.3">
      <c r="F3643" s="14"/>
    </row>
    <row r="3644" spans="6:6" x14ac:dyDescent="0.3">
      <c r="F3644" s="14"/>
    </row>
    <row r="3645" spans="6:6" x14ac:dyDescent="0.3">
      <c r="F3645" s="14"/>
    </row>
    <row r="3646" spans="6:6" x14ac:dyDescent="0.3">
      <c r="F3646" s="14"/>
    </row>
    <row r="3647" spans="6:6" x14ac:dyDescent="0.3">
      <c r="F3647" s="14"/>
    </row>
    <row r="3648" spans="6:6" x14ac:dyDescent="0.3">
      <c r="F3648" s="14"/>
    </row>
    <row r="3649" spans="6:6" x14ac:dyDescent="0.3">
      <c r="F3649" s="14"/>
    </row>
    <row r="3650" spans="6:6" x14ac:dyDescent="0.3">
      <c r="F3650" s="14"/>
    </row>
    <row r="3651" spans="6:6" x14ac:dyDescent="0.3">
      <c r="F3651" s="14"/>
    </row>
    <row r="3652" spans="6:6" x14ac:dyDescent="0.3">
      <c r="F3652" s="14"/>
    </row>
    <row r="3653" spans="6:6" x14ac:dyDescent="0.3">
      <c r="F3653" s="14"/>
    </row>
    <row r="3654" spans="6:6" x14ac:dyDescent="0.3">
      <c r="F3654" s="14"/>
    </row>
    <row r="3655" spans="6:6" x14ac:dyDescent="0.3">
      <c r="F3655" s="14"/>
    </row>
    <row r="3656" spans="6:6" x14ac:dyDescent="0.3">
      <c r="F3656" s="14"/>
    </row>
    <row r="3657" spans="6:6" x14ac:dyDescent="0.3">
      <c r="F3657" s="14"/>
    </row>
    <row r="3658" spans="6:6" x14ac:dyDescent="0.3">
      <c r="F3658" s="14"/>
    </row>
    <row r="3659" spans="6:6" x14ac:dyDescent="0.3">
      <c r="F3659" s="14"/>
    </row>
    <row r="3660" spans="6:6" x14ac:dyDescent="0.3">
      <c r="F3660" s="14"/>
    </row>
    <row r="3661" spans="6:6" x14ac:dyDescent="0.3">
      <c r="F3661" s="14"/>
    </row>
    <row r="3662" spans="6:6" x14ac:dyDescent="0.3">
      <c r="F3662" s="14"/>
    </row>
    <row r="3663" spans="6:6" x14ac:dyDescent="0.3">
      <c r="F3663" s="14"/>
    </row>
    <row r="3664" spans="6:6" x14ac:dyDescent="0.3">
      <c r="F3664" s="14"/>
    </row>
    <row r="3665" spans="6:6" x14ac:dyDescent="0.3">
      <c r="F3665" s="14"/>
    </row>
    <row r="3666" spans="6:6" x14ac:dyDescent="0.3">
      <c r="F3666" s="14"/>
    </row>
    <row r="3667" spans="6:6" x14ac:dyDescent="0.3">
      <c r="F3667" s="14"/>
    </row>
    <row r="3668" spans="6:6" x14ac:dyDescent="0.3">
      <c r="F3668" s="14"/>
    </row>
    <row r="3669" spans="6:6" x14ac:dyDescent="0.3">
      <c r="F3669" s="14"/>
    </row>
    <row r="3670" spans="6:6" x14ac:dyDescent="0.3">
      <c r="F3670" s="14"/>
    </row>
    <row r="3671" spans="6:6" x14ac:dyDescent="0.3">
      <c r="F3671" s="14"/>
    </row>
    <row r="3672" spans="6:6" x14ac:dyDescent="0.3">
      <c r="F3672" s="14"/>
    </row>
    <row r="3673" spans="6:6" x14ac:dyDescent="0.3">
      <c r="F3673" s="14"/>
    </row>
    <row r="3674" spans="6:6" x14ac:dyDescent="0.3">
      <c r="F3674" s="14"/>
    </row>
    <row r="3675" spans="6:6" x14ac:dyDescent="0.3">
      <c r="F3675" s="14"/>
    </row>
    <row r="3676" spans="6:6" x14ac:dyDescent="0.3">
      <c r="F3676" s="14"/>
    </row>
    <row r="3677" spans="6:6" x14ac:dyDescent="0.3">
      <c r="F3677" s="14"/>
    </row>
    <row r="3678" spans="6:6" x14ac:dyDescent="0.3">
      <c r="F3678" s="14"/>
    </row>
    <row r="3679" spans="6:6" x14ac:dyDescent="0.3">
      <c r="F3679" s="14"/>
    </row>
    <row r="3680" spans="6:6" x14ac:dyDescent="0.3">
      <c r="F3680" s="14"/>
    </row>
    <row r="3681" spans="6:6" x14ac:dyDescent="0.3">
      <c r="F3681" s="14"/>
    </row>
    <row r="3682" spans="6:6" x14ac:dyDescent="0.3">
      <c r="F3682" s="14"/>
    </row>
    <row r="3683" spans="6:6" x14ac:dyDescent="0.3">
      <c r="F3683" s="14"/>
    </row>
    <row r="3684" spans="6:6" x14ac:dyDescent="0.3">
      <c r="F3684" s="14"/>
    </row>
    <row r="3685" spans="6:6" x14ac:dyDescent="0.3">
      <c r="F3685" s="14"/>
    </row>
    <row r="3686" spans="6:6" x14ac:dyDescent="0.3">
      <c r="F3686" s="14"/>
    </row>
    <row r="3687" spans="6:6" x14ac:dyDescent="0.3">
      <c r="F3687" s="14"/>
    </row>
    <row r="3688" spans="6:6" x14ac:dyDescent="0.3">
      <c r="F3688" s="14"/>
    </row>
    <row r="3689" spans="6:6" x14ac:dyDescent="0.3">
      <c r="F3689" s="14"/>
    </row>
    <row r="3690" spans="6:6" x14ac:dyDescent="0.3">
      <c r="F3690" s="14"/>
    </row>
    <row r="3691" spans="6:6" x14ac:dyDescent="0.3">
      <c r="F3691" s="14"/>
    </row>
    <row r="3692" spans="6:6" x14ac:dyDescent="0.3">
      <c r="F3692" s="14"/>
    </row>
    <row r="3693" spans="6:6" x14ac:dyDescent="0.3">
      <c r="F3693" s="14"/>
    </row>
    <row r="3694" spans="6:6" x14ac:dyDescent="0.3">
      <c r="F3694" s="14"/>
    </row>
    <row r="3695" spans="6:6" x14ac:dyDescent="0.3">
      <c r="F3695" s="14"/>
    </row>
    <row r="3696" spans="6:6" x14ac:dyDescent="0.3">
      <c r="F3696" s="14"/>
    </row>
    <row r="3697" spans="6:6" x14ac:dyDescent="0.3">
      <c r="F3697" s="14"/>
    </row>
    <row r="3698" spans="6:6" x14ac:dyDescent="0.3">
      <c r="F3698" s="14"/>
    </row>
    <row r="3699" spans="6:6" x14ac:dyDescent="0.3">
      <c r="F3699" s="14"/>
    </row>
    <row r="3700" spans="6:6" x14ac:dyDescent="0.3">
      <c r="F3700" s="14"/>
    </row>
    <row r="3701" spans="6:6" x14ac:dyDescent="0.3">
      <c r="F3701" s="14"/>
    </row>
    <row r="3702" spans="6:6" x14ac:dyDescent="0.3">
      <c r="F3702" s="14"/>
    </row>
    <row r="3703" spans="6:6" x14ac:dyDescent="0.3">
      <c r="F3703" s="14"/>
    </row>
    <row r="3704" spans="6:6" x14ac:dyDescent="0.3">
      <c r="F3704" s="14"/>
    </row>
    <row r="3705" spans="6:6" x14ac:dyDescent="0.3">
      <c r="F3705" s="14"/>
    </row>
    <row r="3706" spans="6:6" x14ac:dyDescent="0.3">
      <c r="F3706" s="14"/>
    </row>
    <row r="3707" spans="6:6" x14ac:dyDescent="0.3">
      <c r="F3707" s="14"/>
    </row>
    <row r="3708" spans="6:6" x14ac:dyDescent="0.3">
      <c r="F3708" s="14"/>
    </row>
    <row r="3709" spans="6:6" x14ac:dyDescent="0.3">
      <c r="F3709" s="14"/>
    </row>
    <row r="3710" spans="6:6" x14ac:dyDescent="0.3">
      <c r="F3710" s="14"/>
    </row>
    <row r="3711" spans="6:6" x14ac:dyDescent="0.3">
      <c r="F3711" s="14"/>
    </row>
    <row r="3712" spans="6:6" x14ac:dyDescent="0.3">
      <c r="F3712" s="14"/>
    </row>
    <row r="3713" spans="6:6" x14ac:dyDescent="0.3">
      <c r="F3713" s="14"/>
    </row>
    <row r="3714" spans="6:6" x14ac:dyDescent="0.3">
      <c r="F3714" s="14"/>
    </row>
    <row r="3715" spans="6:6" x14ac:dyDescent="0.3">
      <c r="F3715" s="14"/>
    </row>
    <row r="3716" spans="6:6" x14ac:dyDescent="0.3">
      <c r="F3716" s="14"/>
    </row>
    <row r="3717" spans="6:6" x14ac:dyDescent="0.3">
      <c r="F3717" s="14"/>
    </row>
    <row r="3718" spans="6:6" x14ac:dyDescent="0.3">
      <c r="F3718" s="14"/>
    </row>
    <row r="3719" spans="6:6" x14ac:dyDescent="0.3">
      <c r="F3719" s="14"/>
    </row>
    <row r="3720" spans="6:6" x14ac:dyDescent="0.3">
      <c r="F3720" s="14"/>
    </row>
    <row r="3721" spans="6:6" x14ac:dyDescent="0.3">
      <c r="F3721" s="14"/>
    </row>
    <row r="3722" spans="6:6" x14ac:dyDescent="0.3">
      <c r="F3722" s="14"/>
    </row>
    <row r="3723" spans="6:6" x14ac:dyDescent="0.3">
      <c r="F3723" s="14"/>
    </row>
    <row r="3724" spans="6:6" x14ac:dyDescent="0.3">
      <c r="F3724" s="14"/>
    </row>
    <row r="3725" spans="6:6" x14ac:dyDescent="0.3">
      <c r="F3725" s="14"/>
    </row>
    <row r="3726" spans="6:6" x14ac:dyDescent="0.3">
      <c r="F3726" s="14"/>
    </row>
    <row r="3727" spans="6:6" x14ac:dyDescent="0.3">
      <c r="F3727" s="14"/>
    </row>
    <row r="3728" spans="6:6" x14ac:dyDescent="0.3">
      <c r="F3728" s="14"/>
    </row>
    <row r="3729" spans="6:6" x14ac:dyDescent="0.3">
      <c r="F3729" s="14"/>
    </row>
    <row r="3730" spans="6:6" x14ac:dyDescent="0.3">
      <c r="F3730" s="14"/>
    </row>
    <row r="3731" spans="6:6" x14ac:dyDescent="0.3">
      <c r="F3731" s="14"/>
    </row>
    <row r="3732" spans="6:6" x14ac:dyDescent="0.3">
      <c r="F3732" s="14"/>
    </row>
    <row r="3733" spans="6:6" x14ac:dyDescent="0.3">
      <c r="F3733" s="14"/>
    </row>
    <row r="3734" spans="6:6" x14ac:dyDescent="0.3">
      <c r="F3734" s="14"/>
    </row>
    <row r="3735" spans="6:6" x14ac:dyDescent="0.3">
      <c r="F3735" s="14"/>
    </row>
    <row r="3736" spans="6:6" x14ac:dyDescent="0.3">
      <c r="F3736" s="14"/>
    </row>
    <row r="3737" spans="6:6" x14ac:dyDescent="0.3">
      <c r="F3737" s="14"/>
    </row>
    <row r="3738" spans="6:6" x14ac:dyDescent="0.3">
      <c r="F3738" s="14"/>
    </row>
    <row r="3739" spans="6:6" x14ac:dyDescent="0.3">
      <c r="F3739" s="14"/>
    </row>
    <row r="3740" spans="6:6" x14ac:dyDescent="0.3">
      <c r="F3740" s="14"/>
    </row>
    <row r="3741" spans="6:6" x14ac:dyDescent="0.3">
      <c r="F3741" s="14"/>
    </row>
    <row r="3742" spans="6:6" x14ac:dyDescent="0.3">
      <c r="F3742" s="14"/>
    </row>
    <row r="3743" spans="6:6" x14ac:dyDescent="0.3">
      <c r="F3743" s="14"/>
    </row>
    <row r="3744" spans="6:6" x14ac:dyDescent="0.3">
      <c r="F3744" s="14"/>
    </row>
    <row r="3745" spans="6:6" x14ac:dyDescent="0.3">
      <c r="F3745" s="14"/>
    </row>
    <row r="3746" spans="6:6" x14ac:dyDescent="0.3">
      <c r="F3746" s="14"/>
    </row>
    <row r="3747" spans="6:6" x14ac:dyDescent="0.3">
      <c r="F3747" s="14"/>
    </row>
    <row r="3748" spans="6:6" x14ac:dyDescent="0.3">
      <c r="F3748" s="14"/>
    </row>
    <row r="3749" spans="6:6" x14ac:dyDescent="0.3">
      <c r="F3749" s="14"/>
    </row>
    <row r="3750" spans="6:6" x14ac:dyDescent="0.3">
      <c r="F3750" s="14"/>
    </row>
    <row r="3751" spans="6:6" x14ac:dyDescent="0.3">
      <c r="F3751" s="14"/>
    </row>
    <row r="3752" spans="6:6" x14ac:dyDescent="0.3">
      <c r="F3752" s="14"/>
    </row>
    <row r="3753" spans="6:6" x14ac:dyDescent="0.3">
      <c r="F3753" s="14"/>
    </row>
    <row r="3754" spans="6:6" x14ac:dyDescent="0.3">
      <c r="F3754" s="14"/>
    </row>
    <row r="3755" spans="6:6" x14ac:dyDescent="0.3">
      <c r="F3755" s="14"/>
    </row>
    <row r="3756" spans="6:6" x14ac:dyDescent="0.3">
      <c r="F3756" s="14"/>
    </row>
    <row r="3757" spans="6:6" x14ac:dyDescent="0.3">
      <c r="F3757" s="14"/>
    </row>
    <row r="3758" spans="6:6" x14ac:dyDescent="0.3">
      <c r="F3758" s="14"/>
    </row>
    <row r="3759" spans="6:6" x14ac:dyDescent="0.3">
      <c r="F3759" s="14"/>
    </row>
    <row r="3760" spans="6:6" x14ac:dyDescent="0.3">
      <c r="F3760" s="14"/>
    </row>
    <row r="3761" spans="6:6" x14ac:dyDescent="0.3">
      <c r="F3761" s="14"/>
    </row>
    <row r="3762" spans="6:6" x14ac:dyDescent="0.3">
      <c r="F3762" s="14"/>
    </row>
    <row r="3763" spans="6:6" x14ac:dyDescent="0.3">
      <c r="F3763" s="14"/>
    </row>
    <row r="3764" spans="6:6" x14ac:dyDescent="0.3">
      <c r="F3764" s="14"/>
    </row>
    <row r="3765" spans="6:6" x14ac:dyDescent="0.3">
      <c r="F3765" s="14"/>
    </row>
    <row r="3766" spans="6:6" x14ac:dyDescent="0.3">
      <c r="F3766" s="14"/>
    </row>
    <row r="3767" spans="6:6" x14ac:dyDescent="0.3">
      <c r="F3767" s="14"/>
    </row>
    <row r="3768" spans="6:6" x14ac:dyDescent="0.3">
      <c r="F3768" s="14"/>
    </row>
    <row r="3769" spans="6:6" x14ac:dyDescent="0.3">
      <c r="F3769" s="14"/>
    </row>
    <row r="3770" spans="6:6" x14ac:dyDescent="0.3">
      <c r="F3770" s="14"/>
    </row>
    <row r="3771" spans="6:6" x14ac:dyDescent="0.3">
      <c r="F3771" s="14"/>
    </row>
    <row r="3772" spans="6:6" x14ac:dyDescent="0.3">
      <c r="F3772" s="14"/>
    </row>
    <row r="3773" spans="6:6" x14ac:dyDescent="0.3">
      <c r="F3773" s="14"/>
    </row>
    <row r="3774" spans="6:6" x14ac:dyDescent="0.3">
      <c r="F3774" s="14"/>
    </row>
    <row r="3775" spans="6:6" x14ac:dyDescent="0.3">
      <c r="F3775" s="14"/>
    </row>
    <row r="3776" spans="6:6" x14ac:dyDescent="0.3">
      <c r="F3776" s="14"/>
    </row>
    <row r="3777" spans="6:6" x14ac:dyDescent="0.3">
      <c r="F3777" s="14"/>
    </row>
    <row r="3778" spans="6:6" x14ac:dyDescent="0.3">
      <c r="F3778" s="14"/>
    </row>
    <row r="3779" spans="6:6" x14ac:dyDescent="0.3">
      <c r="F3779" s="14"/>
    </row>
    <row r="3780" spans="6:6" x14ac:dyDescent="0.3">
      <c r="F3780" s="14"/>
    </row>
    <row r="3781" spans="6:6" x14ac:dyDescent="0.3">
      <c r="F3781" s="14"/>
    </row>
    <row r="3782" spans="6:6" x14ac:dyDescent="0.3">
      <c r="F3782" s="14"/>
    </row>
    <row r="3783" spans="6:6" x14ac:dyDescent="0.3">
      <c r="F3783" s="14"/>
    </row>
    <row r="3784" spans="6:6" x14ac:dyDescent="0.3">
      <c r="F3784" s="14"/>
    </row>
    <row r="3785" spans="6:6" x14ac:dyDescent="0.3">
      <c r="F3785" s="14"/>
    </row>
    <row r="3786" spans="6:6" x14ac:dyDescent="0.3">
      <c r="F3786" s="14"/>
    </row>
    <row r="3787" spans="6:6" x14ac:dyDescent="0.3">
      <c r="F3787" s="14"/>
    </row>
    <row r="3788" spans="6:6" x14ac:dyDescent="0.3">
      <c r="F3788" s="14"/>
    </row>
    <row r="3789" spans="6:6" x14ac:dyDescent="0.3">
      <c r="F3789" s="14"/>
    </row>
    <row r="3790" spans="6:6" x14ac:dyDescent="0.3">
      <c r="F3790" s="14"/>
    </row>
    <row r="3791" spans="6:6" x14ac:dyDescent="0.3">
      <c r="F3791" s="14"/>
    </row>
    <row r="3792" spans="6:6" x14ac:dyDescent="0.3">
      <c r="F3792" s="14"/>
    </row>
    <row r="3793" spans="6:6" x14ac:dyDescent="0.3">
      <c r="F3793" s="14"/>
    </row>
    <row r="3794" spans="6:6" x14ac:dyDescent="0.3">
      <c r="F3794" s="14"/>
    </row>
    <row r="3795" spans="6:6" x14ac:dyDescent="0.3">
      <c r="F3795" s="14"/>
    </row>
    <row r="3796" spans="6:6" x14ac:dyDescent="0.3">
      <c r="F3796" s="14"/>
    </row>
    <row r="3797" spans="6:6" x14ac:dyDescent="0.3">
      <c r="F3797" s="14"/>
    </row>
    <row r="3798" spans="6:6" x14ac:dyDescent="0.3">
      <c r="F3798" s="14"/>
    </row>
    <row r="3799" spans="6:6" x14ac:dyDescent="0.3">
      <c r="F3799" s="14"/>
    </row>
    <row r="3800" spans="6:6" x14ac:dyDescent="0.3">
      <c r="F3800" s="14"/>
    </row>
    <row r="3801" spans="6:6" x14ac:dyDescent="0.3">
      <c r="F3801" s="14"/>
    </row>
    <row r="3802" spans="6:6" x14ac:dyDescent="0.3">
      <c r="F3802" s="14"/>
    </row>
    <row r="3803" spans="6:6" x14ac:dyDescent="0.3">
      <c r="F3803" s="14"/>
    </row>
    <row r="3804" spans="6:6" x14ac:dyDescent="0.3">
      <c r="F3804" s="14"/>
    </row>
    <row r="3805" spans="6:6" x14ac:dyDescent="0.3">
      <c r="F3805" s="14"/>
    </row>
    <row r="3806" spans="6:6" x14ac:dyDescent="0.3">
      <c r="F3806" s="14"/>
    </row>
    <row r="3807" spans="6:6" x14ac:dyDescent="0.3">
      <c r="F3807" s="14"/>
    </row>
    <row r="3808" spans="6:6" x14ac:dyDescent="0.3">
      <c r="F3808" s="14"/>
    </row>
    <row r="3809" spans="6:6" x14ac:dyDescent="0.3">
      <c r="F3809" s="14"/>
    </row>
    <row r="3810" spans="6:6" x14ac:dyDescent="0.3">
      <c r="F3810" s="14"/>
    </row>
    <row r="3811" spans="6:6" x14ac:dyDescent="0.3">
      <c r="F3811" s="14"/>
    </row>
    <row r="3812" spans="6:6" x14ac:dyDescent="0.3">
      <c r="F3812" s="14"/>
    </row>
    <row r="3813" spans="6:6" x14ac:dyDescent="0.3">
      <c r="F3813" s="14"/>
    </row>
    <row r="3814" spans="6:6" x14ac:dyDescent="0.3">
      <c r="F3814" s="14"/>
    </row>
    <row r="3815" spans="6:6" x14ac:dyDescent="0.3">
      <c r="F3815" s="14"/>
    </row>
    <row r="3816" spans="6:6" x14ac:dyDescent="0.3">
      <c r="F3816" s="14"/>
    </row>
    <row r="3817" spans="6:6" x14ac:dyDescent="0.3">
      <c r="F3817" s="14"/>
    </row>
    <row r="3818" spans="6:6" x14ac:dyDescent="0.3">
      <c r="F3818" s="14"/>
    </row>
    <row r="3819" spans="6:6" x14ac:dyDescent="0.3">
      <c r="F3819" s="14"/>
    </row>
    <row r="3820" spans="6:6" x14ac:dyDescent="0.3">
      <c r="F3820" s="14"/>
    </row>
    <row r="3821" spans="6:6" x14ac:dyDescent="0.3">
      <c r="F3821" s="14"/>
    </row>
    <row r="3822" spans="6:6" x14ac:dyDescent="0.3">
      <c r="F3822" s="14"/>
    </row>
    <row r="3823" spans="6:6" x14ac:dyDescent="0.3">
      <c r="F3823" s="14"/>
    </row>
    <row r="3824" spans="6:6" x14ac:dyDescent="0.3">
      <c r="F3824" s="14"/>
    </row>
    <row r="3825" spans="6:6" x14ac:dyDescent="0.3">
      <c r="F3825" s="14"/>
    </row>
    <row r="3826" spans="6:6" x14ac:dyDescent="0.3">
      <c r="F3826" s="14"/>
    </row>
    <row r="3827" spans="6:6" x14ac:dyDescent="0.3">
      <c r="F3827" s="14"/>
    </row>
    <row r="3828" spans="6:6" x14ac:dyDescent="0.3">
      <c r="F3828" s="14"/>
    </row>
    <row r="3829" spans="6:6" x14ac:dyDescent="0.3">
      <c r="F3829" s="14"/>
    </row>
    <row r="3830" spans="6:6" x14ac:dyDescent="0.3">
      <c r="F3830" s="14"/>
    </row>
    <row r="3831" spans="6:6" x14ac:dyDescent="0.3">
      <c r="F3831" s="14"/>
    </row>
    <row r="3832" spans="6:6" x14ac:dyDescent="0.3">
      <c r="F3832" s="14"/>
    </row>
    <row r="3833" spans="6:6" x14ac:dyDescent="0.3">
      <c r="F3833" s="14"/>
    </row>
    <row r="3834" spans="6:6" x14ac:dyDescent="0.3">
      <c r="F3834" s="14"/>
    </row>
    <row r="3835" spans="6:6" x14ac:dyDescent="0.3">
      <c r="F3835" s="14"/>
    </row>
    <row r="3836" spans="6:6" x14ac:dyDescent="0.3">
      <c r="F3836" s="14"/>
    </row>
    <row r="3837" spans="6:6" x14ac:dyDescent="0.3">
      <c r="F3837" s="14"/>
    </row>
    <row r="3838" spans="6:6" x14ac:dyDescent="0.3">
      <c r="F3838" s="14"/>
    </row>
    <row r="3839" spans="6:6" x14ac:dyDescent="0.3">
      <c r="F3839" s="14"/>
    </row>
    <row r="3840" spans="6:6" x14ac:dyDescent="0.3">
      <c r="F3840" s="14"/>
    </row>
    <row r="3841" spans="6:6" x14ac:dyDescent="0.3">
      <c r="F3841" s="14"/>
    </row>
    <row r="3842" spans="6:6" x14ac:dyDescent="0.3">
      <c r="F3842" s="14"/>
    </row>
    <row r="3843" spans="6:6" x14ac:dyDescent="0.3">
      <c r="F3843" s="14"/>
    </row>
    <row r="3844" spans="6:6" x14ac:dyDescent="0.3">
      <c r="F3844" s="14"/>
    </row>
    <row r="3845" spans="6:6" x14ac:dyDescent="0.3">
      <c r="F3845" s="14"/>
    </row>
    <row r="3846" spans="6:6" x14ac:dyDescent="0.3">
      <c r="F3846" s="14"/>
    </row>
    <row r="3847" spans="6:6" x14ac:dyDescent="0.3">
      <c r="F3847" s="14"/>
    </row>
    <row r="3848" spans="6:6" x14ac:dyDescent="0.3">
      <c r="F3848" s="14"/>
    </row>
    <row r="3849" spans="6:6" x14ac:dyDescent="0.3">
      <c r="F3849" s="14"/>
    </row>
    <row r="3850" spans="6:6" x14ac:dyDescent="0.3">
      <c r="F3850" s="14"/>
    </row>
    <row r="3851" spans="6:6" x14ac:dyDescent="0.3">
      <c r="F3851" s="14"/>
    </row>
    <row r="3852" spans="6:6" x14ac:dyDescent="0.3">
      <c r="F3852" s="14"/>
    </row>
    <row r="3853" spans="6:6" x14ac:dyDescent="0.3">
      <c r="F3853" s="14"/>
    </row>
    <row r="3854" spans="6:6" x14ac:dyDescent="0.3">
      <c r="F3854" s="14"/>
    </row>
    <row r="3855" spans="6:6" x14ac:dyDescent="0.3">
      <c r="F3855" s="14"/>
    </row>
    <row r="3856" spans="6:6" x14ac:dyDescent="0.3">
      <c r="F3856" s="14"/>
    </row>
    <row r="3857" spans="6:6" x14ac:dyDescent="0.3">
      <c r="F3857" s="14"/>
    </row>
    <row r="3858" spans="6:6" x14ac:dyDescent="0.3">
      <c r="F3858" s="14"/>
    </row>
    <row r="3859" spans="6:6" x14ac:dyDescent="0.3">
      <c r="F3859" s="14"/>
    </row>
    <row r="3860" spans="6:6" x14ac:dyDescent="0.3">
      <c r="F3860" s="14"/>
    </row>
    <row r="3861" spans="6:6" x14ac:dyDescent="0.3">
      <c r="F3861" s="14"/>
    </row>
    <row r="3862" spans="6:6" x14ac:dyDescent="0.3">
      <c r="F3862" s="14"/>
    </row>
    <row r="3863" spans="6:6" x14ac:dyDescent="0.3">
      <c r="F3863" s="14"/>
    </row>
    <row r="3864" spans="6:6" x14ac:dyDescent="0.3">
      <c r="F3864" s="14"/>
    </row>
    <row r="3865" spans="6:6" x14ac:dyDescent="0.3">
      <c r="F3865" s="14"/>
    </row>
    <row r="3866" spans="6:6" x14ac:dyDescent="0.3">
      <c r="F3866" s="14"/>
    </row>
    <row r="3867" spans="6:6" x14ac:dyDescent="0.3">
      <c r="F3867" s="14"/>
    </row>
    <row r="3868" spans="6:6" x14ac:dyDescent="0.3">
      <c r="F3868" s="14"/>
    </row>
    <row r="3869" spans="6:6" x14ac:dyDescent="0.3">
      <c r="F3869" s="14"/>
    </row>
    <row r="3870" spans="6:6" x14ac:dyDescent="0.3">
      <c r="F3870" s="14"/>
    </row>
    <row r="3871" spans="6:6" x14ac:dyDescent="0.3">
      <c r="F3871" s="14"/>
    </row>
    <row r="3872" spans="6:6" x14ac:dyDescent="0.3">
      <c r="F3872" s="14"/>
    </row>
    <row r="3873" spans="6:6" x14ac:dyDescent="0.3">
      <c r="F3873" s="14"/>
    </row>
    <row r="3874" spans="6:6" x14ac:dyDescent="0.3">
      <c r="F3874" s="14"/>
    </row>
    <row r="3875" spans="6:6" x14ac:dyDescent="0.3">
      <c r="F3875" s="14"/>
    </row>
    <row r="3876" spans="6:6" x14ac:dyDescent="0.3">
      <c r="F3876" s="14"/>
    </row>
    <row r="3877" spans="6:6" x14ac:dyDescent="0.3">
      <c r="F3877" s="14"/>
    </row>
    <row r="3878" spans="6:6" x14ac:dyDescent="0.3">
      <c r="F3878" s="14"/>
    </row>
    <row r="3879" spans="6:6" x14ac:dyDescent="0.3">
      <c r="F3879" s="14"/>
    </row>
    <row r="3880" spans="6:6" x14ac:dyDescent="0.3">
      <c r="F3880" s="14"/>
    </row>
    <row r="3881" spans="6:6" x14ac:dyDescent="0.3">
      <c r="F3881" s="14"/>
    </row>
    <row r="3882" spans="6:6" x14ac:dyDescent="0.3">
      <c r="F3882" s="14"/>
    </row>
    <row r="3883" spans="6:6" x14ac:dyDescent="0.3">
      <c r="F3883" s="14"/>
    </row>
    <row r="3884" spans="6:6" x14ac:dyDescent="0.3">
      <c r="F3884" s="14"/>
    </row>
    <row r="3885" spans="6:6" x14ac:dyDescent="0.3">
      <c r="F3885" s="14"/>
    </row>
    <row r="3886" spans="6:6" x14ac:dyDescent="0.3">
      <c r="F3886" s="14"/>
    </row>
    <row r="3887" spans="6:6" x14ac:dyDescent="0.3">
      <c r="F3887" s="14"/>
    </row>
    <row r="3888" spans="6:6" x14ac:dyDescent="0.3">
      <c r="F3888" s="14"/>
    </row>
    <row r="3889" spans="6:6" x14ac:dyDescent="0.3">
      <c r="F3889" s="14"/>
    </row>
    <row r="3890" spans="6:6" x14ac:dyDescent="0.3">
      <c r="F3890" s="14"/>
    </row>
    <row r="3891" spans="6:6" x14ac:dyDescent="0.3">
      <c r="F3891" s="14"/>
    </row>
    <row r="3892" spans="6:6" x14ac:dyDescent="0.3">
      <c r="F3892" s="14"/>
    </row>
    <row r="3893" spans="6:6" x14ac:dyDescent="0.3">
      <c r="F3893" s="14"/>
    </row>
    <row r="3894" spans="6:6" x14ac:dyDescent="0.3">
      <c r="F3894" s="14"/>
    </row>
    <row r="3895" spans="6:6" x14ac:dyDescent="0.3">
      <c r="F3895" s="14"/>
    </row>
    <row r="3896" spans="6:6" x14ac:dyDescent="0.3">
      <c r="F3896" s="14"/>
    </row>
    <row r="3897" spans="6:6" x14ac:dyDescent="0.3">
      <c r="F3897" s="14"/>
    </row>
    <row r="3898" spans="6:6" x14ac:dyDescent="0.3">
      <c r="F3898" s="14"/>
    </row>
    <row r="3899" spans="6:6" x14ac:dyDescent="0.3">
      <c r="F3899" s="14"/>
    </row>
    <row r="3900" spans="6:6" x14ac:dyDescent="0.3">
      <c r="F3900" s="14"/>
    </row>
    <row r="3901" spans="6:6" x14ac:dyDescent="0.3">
      <c r="F3901" s="14"/>
    </row>
    <row r="3902" spans="6:6" x14ac:dyDescent="0.3">
      <c r="F3902" s="14"/>
    </row>
    <row r="3903" spans="6:6" x14ac:dyDescent="0.3">
      <c r="F3903" s="14"/>
    </row>
    <row r="3904" spans="6:6" x14ac:dyDescent="0.3">
      <c r="F3904" s="14"/>
    </row>
    <row r="3905" spans="6:6" x14ac:dyDescent="0.3">
      <c r="F3905" s="14"/>
    </row>
    <row r="3906" spans="6:6" x14ac:dyDescent="0.3">
      <c r="F3906" s="14"/>
    </row>
    <row r="3907" spans="6:6" x14ac:dyDescent="0.3">
      <c r="F3907" s="14"/>
    </row>
    <row r="3908" spans="6:6" x14ac:dyDescent="0.3">
      <c r="F3908" s="14"/>
    </row>
    <row r="3909" spans="6:6" x14ac:dyDescent="0.3">
      <c r="F3909" s="14"/>
    </row>
    <row r="3910" spans="6:6" x14ac:dyDescent="0.3">
      <c r="F3910" s="14"/>
    </row>
    <row r="3911" spans="6:6" x14ac:dyDescent="0.3">
      <c r="F3911" s="14"/>
    </row>
    <row r="3912" spans="6:6" x14ac:dyDescent="0.3">
      <c r="F3912" s="14"/>
    </row>
    <row r="3913" spans="6:6" x14ac:dyDescent="0.3">
      <c r="F3913" s="14"/>
    </row>
    <row r="3914" spans="6:6" x14ac:dyDescent="0.3">
      <c r="F3914" s="14"/>
    </row>
    <row r="3915" spans="6:6" x14ac:dyDescent="0.3">
      <c r="F3915" s="14"/>
    </row>
    <row r="3916" spans="6:6" x14ac:dyDescent="0.3">
      <c r="F3916" s="14"/>
    </row>
    <row r="3917" spans="6:6" x14ac:dyDescent="0.3">
      <c r="F3917" s="14"/>
    </row>
    <row r="3918" spans="6:6" x14ac:dyDescent="0.3">
      <c r="F3918" s="14"/>
    </row>
    <row r="3919" spans="6:6" x14ac:dyDescent="0.3">
      <c r="F3919" s="14"/>
    </row>
    <row r="3920" spans="6:6" x14ac:dyDescent="0.3">
      <c r="F3920" s="14"/>
    </row>
    <row r="3921" spans="6:6" x14ac:dyDescent="0.3">
      <c r="F3921" s="14"/>
    </row>
    <row r="3922" spans="6:6" x14ac:dyDescent="0.3">
      <c r="F3922" s="14"/>
    </row>
    <row r="3923" spans="6:6" x14ac:dyDescent="0.3">
      <c r="F3923" s="14"/>
    </row>
    <row r="3924" spans="6:6" x14ac:dyDescent="0.3">
      <c r="F3924" s="14"/>
    </row>
    <row r="3925" spans="6:6" x14ac:dyDescent="0.3">
      <c r="F3925" s="14"/>
    </row>
    <row r="3926" spans="6:6" x14ac:dyDescent="0.3">
      <c r="F3926" s="14"/>
    </row>
    <row r="3927" spans="6:6" x14ac:dyDescent="0.3">
      <c r="F3927" s="14"/>
    </row>
    <row r="3928" spans="6:6" x14ac:dyDescent="0.3">
      <c r="F3928" s="14"/>
    </row>
    <row r="3929" spans="6:6" x14ac:dyDescent="0.3">
      <c r="F3929" s="14"/>
    </row>
    <row r="3930" spans="6:6" x14ac:dyDescent="0.3">
      <c r="F3930" s="14"/>
    </row>
    <row r="3931" spans="6:6" x14ac:dyDescent="0.3">
      <c r="F3931" s="14"/>
    </row>
    <row r="3932" spans="6:6" x14ac:dyDescent="0.3">
      <c r="F3932" s="14"/>
    </row>
    <row r="3933" spans="6:6" x14ac:dyDescent="0.3">
      <c r="F3933" s="14"/>
    </row>
    <row r="3934" spans="6:6" x14ac:dyDescent="0.3">
      <c r="F3934" s="14"/>
    </row>
    <row r="3935" spans="6:6" x14ac:dyDescent="0.3">
      <c r="F3935" s="14"/>
    </row>
    <row r="3936" spans="6:6" x14ac:dyDescent="0.3">
      <c r="F3936" s="14"/>
    </row>
    <row r="3937" spans="6:6" x14ac:dyDescent="0.3">
      <c r="F3937" s="14"/>
    </row>
    <row r="3938" spans="6:6" x14ac:dyDescent="0.3">
      <c r="F3938" s="14"/>
    </row>
    <row r="3939" spans="6:6" x14ac:dyDescent="0.3">
      <c r="F3939" s="14"/>
    </row>
    <row r="3940" spans="6:6" x14ac:dyDescent="0.3">
      <c r="F3940" s="14"/>
    </row>
    <row r="3941" spans="6:6" x14ac:dyDescent="0.3">
      <c r="F3941" s="14"/>
    </row>
    <row r="3942" spans="6:6" x14ac:dyDescent="0.3">
      <c r="F3942" s="14"/>
    </row>
    <row r="3943" spans="6:6" x14ac:dyDescent="0.3">
      <c r="F3943" s="14"/>
    </row>
    <row r="3944" spans="6:6" x14ac:dyDescent="0.3">
      <c r="F3944" s="14"/>
    </row>
    <row r="3945" spans="6:6" x14ac:dyDescent="0.3">
      <c r="F3945" s="14"/>
    </row>
    <row r="3946" spans="6:6" x14ac:dyDescent="0.3">
      <c r="F3946" s="14"/>
    </row>
    <row r="3947" spans="6:6" x14ac:dyDescent="0.3">
      <c r="F3947" s="14"/>
    </row>
    <row r="3948" spans="6:6" x14ac:dyDescent="0.3">
      <c r="F3948" s="14"/>
    </row>
    <row r="3949" spans="6:6" x14ac:dyDescent="0.3">
      <c r="F3949" s="14"/>
    </row>
    <row r="3950" spans="6:6" x14ac:dyDescent="0.3">
      <c r="F3950" s="14"/>
    </row>
    <row r="3951" spans="6:6" x14ac:dyDescent="0.3">
      <c r="F3951" s="14"/>
    </row>
    <row r="3952" spans="6:6" x14ac:dyDescent="0.3">
      <c r="F3952" s="14"/>
    </row>
    <row r="3953" spans="6:6" x14ac:dyDescent="0.3">
      <c r="F3953" s="14"/>
    </row>
    <row r="3954" spans="6:6" x14ac:dyDescent="0.3">
      <c r="F3954" s="14"/>
    </row>
    <row r="3955" spans="6:6" x14ac:dyDescent="0.3">
      <c r="F3955" s="14"/>
    </row>
    <row r="3956" spans="6:6" x14ac:dyDescent="0.3">
      <c r="F3956" s="14"/>
    </row>
    <row r="3957" spans="6:6" x14ac:dyDescent="0.3">
      <c r="F3957" s="14"/>
    </row>
    <row r="3958" spans="6:6" x14ac:dyDescent="0.3">
      <c r="F3958" s="14"/>
    </row>
    <row r="3959" spans="6:6" x14ac:dyDescent="0.3">
      <c r="F3959" s="14"/>
    </row>
    <row r="3960" spans="6:6" x14ac:dyDescent="0.3">
      <c r="F3960" s="14"/>
    </row>
    <row r="3961" spans="6:6" x14ac:dyDescent="0.3">
      <c r="F3961" s="14"/>
    </row>
    <row r="3962" spans="6:6" x14ac:dyDescent="0.3">
      <c r="F3962" s="14"/>
    </row>
    <row r="3963" spans="6:6" x14ac:dyDescent="0.3">
      <c r="F3963" s="14"/>
    </row>
    <row r="3964" spans="6:6" x14ac:dyDescent="0.3">
      <c r="F3964" s="14"/>
    </row>
    <row r="3965" spans="6:6" x14ac:dyDescent="0.3">
      <c r="F3965" s="14"/>
    </row>
    <row r="3966" spans="6:6" x14ac:dyDescent="0.3">
      <c r="F3966" s="14"/>
    </row>
    <row r="3967" spans="6:6" x14ac:dyDescent="0.3">
      <c r="F3967" s="14"/>
    </row>
    <row r="3968" spans="6:6" x14ac:dyDescent="0.3">
      <c r="F3968" s="14"/>
    </row>
    <row r="3969" spans="6:6" x14ac:dyDescent="0.3">
      <c r="F3969" s="14"/>
    </row>
    <row r="3970" spans="6:6" x14ac:dyDescent="0.3">
      <c r="F3970" s="14"/>
    </row>
    <row r="3971" spans="6:6" x14ac:dyDescent="0.3">
      <c r="F3971" s="14"/>
    </row>
    <row r="3972" spans="6:6" x14ac:dyDescent="0.3">
      <c r="F3972" s="14"/>
    </row>
    <row r="3973" spans="6:6" x14ac:dyDescent="0.3">
      <c r="F3973" s="14"/>
    </row>
    <row r="3974" spans="6:6" x14ac:dyDescent="0.3">
      <c r="F3974" s="14"/>
    </row>
    <row r="3975" spans="6:6" x14ac:dyDescent="0.3">
      <c r="F3975" s="14"/>
    </row>
    <row r="3976" spans="6:6" x14ac:dyDescent="0.3">
      <c r="F3976" s="14"/>
    </row>
    <row r="3977" spans="6:6" x14ac:dyDescent="0.3">
      <c r="F3977" s="14"/>
    </row>
    <row r="3978" spans="6:6" x14ac:dyDescent="0.3">
      <c r="F3978" s="14"/>
    </row>
    <row r="3979" spans="6:6" x14ac:dyDescent="0.3">
      <c r="F3979" s="14"/>
    </row>
    <row r="3980" spans="6:6" x14ac:dyDescent="0.3">
      <c r="F3980" s="14"/>
    </row>
    <row r="3981" spans="6:6" x14ac:dyDescent="0.3">
      <c r="F3981" s="14"/>
    </row>
    <row r="3982" spans="6:6" x14ac:dyDescent="0.3">
      <c r="F3982" s="14"/>
    </row>
    <row r="3983" spans="6:6" x14ac:dyDescent="0.3">
      <c r="F3983" s="14"/>
    </row>
    <row r="3984" spans="6:6" x14ac:dyDescent="0.3">
      <c r="F3984" s="14"/>
    </row>
    <row r="3985" spans="6:6" x14ac:dyDescent="0.3">
      <c r="F3985" s="14"/>
    </row>
    <row r="3986" spans="6:6" x14ac:dyDescent="0.3">
      <c r="F3986" s="14"/>
    </row>
    <row r="3987" spans="6:6" x14ac:dyDescent="0.3">
      <c r="F3987" s="14"/>
    </row>
    <row r="3988" spans="6:6" x14ac:dyDescent="0.3">
      <c r="F3988" s="14"/>
    </row>
    <row r="3989" spans="6:6" x14ac:dyDescent="0.3">
      <c r="F3989" s="14"/>
    </row>
    <row r="3990" spans="6:6" x14ac:dyDescent="0.3">
      <c r="F3990" s="14"/>
    </row>
    <row r="3991" spans="6:6" x14ac:dyDescent="0.3">
      <c r="F3991" s="14"/>
    </row>
    <row r="3992" spans="6:6" x14ac:dyDescent="0.3">
      <c r="F3992" s="14"/>
    </row>
    <row r="3993" spans="6:6" x14ac:dyDescent="0.3">
      <c r="F3993" s="14"/>
    </row>
    <row r="3994" spans="6:6" x14ac:dyDescent="0.3">
      <c r="F3994" s="14"/>
    </row>
    <row r="3995" spans="6:6" x14ac:dyDescent="0.3">
      <c r="F3995" s="14"/>
    </row>
    <row r="3996" spans="6:6" x14ac:dyDescent="0.3">
      <c r="F3996" s="14"/>
    </row>
    <row r="3997" spans="6:6" x14ac:dyDescent="0.3">
      <c r="F3997" s="14"/>
    </row>
    <row r="3998" spans="6:6" x14ac:dyDescent="0.3">
      <c r="F3998" s="14"/>
    </row>
    <row r="3999" spans="6:6" x14ac:dyDescent="0.3">
      <c r="F3999" s="14"/>
    </row>
    <row r="4000" spans="6:6" x14ac:dyDescent="0.3">
      <c r="F4000" s="14"/>
    </row>
    <row r="4001" spans="6:6" x14ac:dyDescent="0.3">
      <c r="F4001" s="14"/>
    </row>
    <row r="4002" spans="6:6" x14ac:dyDescent="0.3">
      <c r="F4002" s="14"/>
    </row>
    <row r="4003" spans="6:6" x14ac:dyDescent="0.3">
      <c r="F4003" s="14"/>
    </row>
    <row r="4004" spans="6:6" x14ac:dyDescent="0.3">
      <c r="F4004" s="14"/>
    </row>
    <row r="4005" spans="6:6" x14ac:dyDescent="0.3">
      <c r="F4005" s="14"/>
    </row>
    <row r="4006" spans="6:6" x14ac:dyDescent="0.3">
      <c r="F4006" s="14"/>
    </row>
    <row r="4007" spans="6:6" x14ac:dyDescent="0.3">
      <c r="F4007" s="14"/>
    </row>
    <row r="4008" spans="6:6" x14ac:dyDescent="0.3">
      <c r="F4008" s="14"/>
    </row>
    <row r="4009" spans="6:6" x14ac:dyDescent="0.3">
      <c r="F4009" s="14"/>
    </row>
    <row r="4010" spans="6:6" x14ac:dyDescent="0.3">
      <c r="F4010" s="14"/>
    </row>
    <row r="4011" spans="6:6" x14ac:dyDescent="0.3">
      <c r="F4011" s="14"/>
    </row>
    <row r="4012" spans="6:6" x14ac:dyDescent="0.3">
      <c r="F4012" s="14"/>
    </row>
    <row r="4013" spans="6:6" x14ac:dyDescent="0.3">
      <c r="F4013" s="14"/>
    </row>
    <row r="4014" spans="6:6" x14ac:dyDescent="0.3">
      <c r="F4014" s="14"/>
    </row>
    <row r="4015" spans="6:6" x14ac:dyDescent="0.3">
      <c r="F4015" s="14"/>
    </row>
    <row r="4016" spans="6:6" x14ac:dyDescent="0.3">
      <c r="F4016" s="14"/>
    </row>
    <row r="4017" spans="6:6" x14ac:dyDescent="0.3">
      <c r="F4017" s="14"/>
    </row>
    <row r="4018" spans="6:6" x14ac:dyDescent="0.3">
      <c r="F4018" s="14"/>
    </row>
    <row r="4019" spans="6:6" x14ac:dyDescent="0.3">
      <c r="F4019" s="14"/>
    </row>
    <row r="4020" spans="6:6" x14ac:dyDescent="0.3">
      <c r="F4020" s="14"/>
    </row>
    <row r="4021" spans="6:6" x14ac:dyDescent="0.3">
      <c r="F4021" s="14"/>
    </row>
    <row r="4022" spans="6:6" x14ac:dyDescent="0.3">
      <c r="F4022" s="14"/>
    </row>
    <row r="4023" spans="6:6" x14ac:dyDescent="0.3">
      <c r="F4023" s="14"/>
    </row>
    <row r="4024" spans="6:6" x14ac:dyDescent="0.3">
      <c r="F4024" s="14"/>
    </row>
    <row r="4025" spans="6:6" x14ac:dyDescent="0.3">
      <c r="F4025" s="14"/>
    </row>
    <row r="4026" spans="6:6" x14ac:dyDescent="0.3">
      <c r="F4026" s="14"/>
    </row>
    <row r="4027" spans="6:6" x14ac:dyDescent="0.3">
      <c r="F4027" s="14"/>
    </row>
    <row r="4028" spans="6:6" x14ac:dyDescent="0.3">
      <c r="F4028" s="14"/>
    </row>
    <row r="4029" spans="6:6" x14ac:dyDescent="0.3">
      <c r="F4029" s="14"/>
    </row>
    <row r="4030" spans="6:6" x14ac:dyDescent="0.3">
      <c r="F4030" s="14"/>
    </row>
    <row r="4031" spans="6:6" x14ac:dyDescent="0.3">
      <c r="F4031" s="14"/>
    </row>
    <row r="4032" spans="6:6" x14ac:dyDescent="0.3">
      <c r="F4032" s="14"/>
    </row>
    <row r="4033" spans="6:6" x14ac:dyDescent="0.3">
      <c r="F4033" s="14"/>
    </row>
    <row r="4034" spans="6:6" x14ac:dyDescent="0.3">
      <c r="F4034" s="14"/>
    </row>
    <row r="4035" spans="6:6" x14ac:dyDescent="0.3">
      <c r="F4035" s="14"/>
    </row>
    <row r="4036" spans="6:6" x14ac:dyDescent="0.3">
      <c r="F4036" s="14"/>
    </row>
    <row r="4037" spans="6:6" x14ac:dyDescent="0.3">
      <c r="F4037" s="14"/>
    </row>
    <row r="4038" spans="6:6" x14ac:dyDescent="0.3">
      <c r="F4038" s="14"/>
    </row>
    <row r="4039" spans="6:6" x14ac:dyDescent="0.3">
      <c r="F4039" s="14"/>
    </row>
    <row r="4040" spans="6:6" x14ac:dyDescent="0.3">
      <c r="F4040" s="14"/>
    </row>
    <row r="4041" spans="6:6" x14ac:dyDescent="0.3">
      <c r="F4041" s="14"/>
    </row>
    <row r="4042" spans="6:6" x14ac:dyDescent="0.3">
      <c r="F4042" s="14"/>
    </row>
    <row r="4043" spans="6:6" x14ac:dyDescent="0.3">
      <c r="F4043" s="14"/>
    </row>
    <row r="4044" spans="6:6" x14ac:dyDescent="0.3">
      <c r="F4044" s="14"/>
    </row>
    <row r="4045" spans="6:6" x14ac:dyDescent="0.3">
      <c r="F4045" s="14"/>
    </row>
    <row r="4046" spans="6:6" x14ac:dyDescent="0.3">
      <c r="F4046" s="14"/>
    </row>
    <row r="4047" spans="6:6" x14ac:dyDescent="0.3">
      <c r="F4047" s="14"/>
    </row>
    <row r="4048" spans="6:6" x14ac:dyDescent="0.3">
      <c r="F4048" s="14"/>
    </row>
    <row r="4049" spans="6:6" x14ac:dyDescent="0.3">
      <c r="F4049" s="14"/>
    </row>
    <row r="4050" spans="6:6" x14ac:dyDescent="0.3">
      <c r="F4050" s="14"/>
    </row>
    <row r="4051" spans="6:6" x14ac:dyDescent="0.3">
      <c r="F4051" s="14"/>
    </row>
    <row r="4052" spans="6:6" x14ac:dyDescent="0.3">
      <c r="F4052" s="14"/>
    </row>
    <row r="4053" spans="6:6" x14ac:dyDescent="0.3">
      <c r="F4053" s="14"/>
    </row>
    <row r="4054" spans="6:6" x14ac:dyDescent="0.3">
      <c r="F4054" s="14"/>
    </row>
    <row r="4055" spans="6:6" x14ac:dyDescent="0.3">
      <c r="F4055" s="14"/>
    </row>
    <row r="4056" spans="6:6" x14ac:dyDescent="0.3">
      <c r="F4056" s="14"/>
    </row>
    <row r="4057" spans="6:6" x14ac:dyDescent="0.3">
      <c r="F4057" s="14"/>
    </row>
    <row r="4058" spans="6:6" x14ac:dyDescent="0.3">
      <c r="F4058" s="14"/>
    </row>
    <row r="4059" spans="6:6" x14ac:dyDescent="0.3">
      <c r="F4059" s="14"/>
    </row>
    <row r="4060" spans="6:6" x14ac:dyDescent="0.3">
      <c r="F4060" s="14"/>
    </row>
    <row r="4061" spans="6:6" x14ac:dyDescent="0.3">
      <c r="F4061" s="14"/>
    </row>
    <row r="4062" spans="6:6" x14ac:dyDescent="0.3">
      <c r="F4062" s="14"/>
    </row>
    <row r="4063" spans="6:6" x14ac:dyDescent="0.3">
      <c r="F4063" s="14"/>
    </row>
    <row r="4064" spans="6:6" x14ac:dyDescent="0.3">
      <c r="F4064" s="14"/>
    </row>
    <row r="4065" spans="6:6" x14ac:dyDescent="0.3">
      <c r="F4065" s="14"/>
    </row>
    <row r="4066" spans="6:6" x14ac:dyDescent="0.3">
      <c r="F4066" s="14"/>
    </row>
    <row r="4067" spans="6:6" x14ac:dyDescent="0.3">
      <c r="F4067" s="14"/>
    </row>
    <row r="4068" spans="6:6" x14ac:dyDescent="0.3">
      <c r="F4068" s="14"/>
    </row>
    <row r="4069" spans="6:6" x14ac:dyDescent="0.3">
      <c r="F4069" s="14"/>
    </row>
    <row r="4070" spans="6:6" x14ac:dyDescent="0.3">
      <c r="F4070" s="14"/>
    </row>
    <row r="4071" spans="6:6" x14ac:dyDescent="0.3">
      <c r="F4071" s="14"/>
    </row>
    <row r="4072" spans="6:6" x14ac:dyDescent="0.3">
      <c r="F4072" s="14"/>
    </row>
    <row r="4073" spans="6:6" x14ac:dyDescent="0.3">
      <c r="F4073" s="14"/>
    </row>
    <row r="4074" spans="6:6" x14ac:dyDescent="0.3">
      <c r="F4074" s="14"/>
    </row>
    <row r="4075" spans="6:6" x14ac:dyDescent="0.3">
      <c r="F4075" s="14"/>
    </row>
    <row r="4076" spans="6:6" x14ac:dyDescent="0.3">
      <c r="F4076" s="14"/>
    </row>
    <row r="4077" spans="6:6" x14ac:dyDescent="0.3">
      <c r="F4077" s="14"/>
    </row>
    <row r="4078" spans="6:6" x14ac:dyDescent="0.3">
      <c r="F4078" s="14"/>
    </row>
    <row r="4079" spans="6:6" x14ac:dyDescent="0.3">
      <c r="F4079" s="14"/>
    </row>
    <row r="4080" spans="6:6" x14ac:dyDescent="0.3">
      <c r="F4080" s="14"/>
    </row>
    <row r="4081" spans="6:6" x14ac:dyDescent="0.3">
      <c r="F4081" s="14"/>
    </row>
    <row r="4082" spans="6:6" x14ac:dyDescent="0.3">
      <c r="F4082" s="14"/>
    </row>
    <row r="4083" spans="6:6" x14ac:dyDescent="0.3">
      <c r="F4083" s="14"/>
    </row>
    <row r="4084" spans="6:6" x14ac:dyDescent="0.3">
      <c r="F4084" s="14"/>
    </row>
    <row r="4085" spans="6:6" x14ac:dyDescent="0.3">
      <c r="F4085" s="14"/>
    </row>
    <row r="4086" spans="6:6" x14ac:dyDescent="0.3">
      <c r="F4086" s="14"/>
    </row>
    <row r="4087" spans="6:6" x14ac:dyDescent="0.3">
      <c r="F4087" s="14"/>
    </row>
    <row r="4088" spans="6:6" x14ac:dyDescent="0.3">
      <c r="F4088" s="14"/>
    </row>
    <row r="4089" spans="6:6" x14ac:dyDescent="0.3">
      <c r="F4089" s="14"/>
    </row>
    <row r="4090" spans="6:6" x14ac:dyDescent="0.3">
      <c r="F4090" s="14"/>
    </row>
    <row r="4091" spans="6:6" x14ac:dyDescent="0.3">
      <c r="F4091" s="14"/>
    </row>
    <row r="4092" spans="6:6" x14ac:dyDescent="0.3">
      <c r="F4092" s="14"/>
    </row>
    <row r="4093" spans="6:6" x14ac:dyDescent="0.3">
      <c r="F4093" s="14"/>
    </row>
    <row r="4094" spans="6:6" x14ac:dyDescent="0.3">
      <c r="F4094" s="14"/>
    </row>
    <row r="4095" spans="6:6" x14ac:dyDescent="0.3">
      <c r="F4095" s="14"/>
    </row>
    <row r="4096" spans="6:6" x14ac:dyDescent="0.3">
      <c r="F4096" s="14"/>
    </row>
    <row r="4097" spans="6:6" x14ac:dyDescent="0.3">
      <c r="F4097" s="14"/>
    </row>
    <row r="4098" spans="6:6" x14ac:dyDescent="0.3">
      <c r="F4098" s="14"/>
    </row>
    <row r="4099" spans="6:6" x14ac:dyDescent="0.3">
      <c r="F4099" s="14"/>
    </row>
    <row r="4100" spans="6:6" x14ac:dyDescent="0.3">
      <c r="F4100" s="14"/>
    </row>
    <row r="4101" spans="6:6" x14ac:dyDescent="0.3">
      <c r="F4101" s="14"/>
    </row>
    <row r="4102" spans="6:6" x14ac:dyDescent="0.3">
      <c r="F4102" s="14"/>
    </row>
    <row r="4103" spans="6:6" x14ac:dyDescent="0.3">
      <c r="F4103" s="14"/>
    </row>
    <row r="4104" spans="6:6" x14ac:dyDescent="0.3">
      <c r="F4104" s="14"/>
    </row>
    <row r="4105" spans="6:6" x14ac:dyDescent="0.3">
      <c r="F4105" s="14"/>
    </row>
    <row r="4106" spans="6:6" x14ac:dyDescent="0.3">
      <c r="F4106" s="14"/>
    </row>
    <row r="4107" spans="6:6" x14ac:dyDescent="0.3">
      <c r="F4107" s="14"/>
    </row>
    <row r="4108" spans="6:6" x14ac:dyDescent="0.3">
      <c r="F4108" s="14"/>
    </row>
    <row r="4109" spans="6:6" x14ac:dyDescent="0.3">
      <c r="F4109" s="14"/>
    </row>
    <row r="4110" spans="6:6" x14ac:dyDescent="0.3">
      <c r="F4110" s="14"/>
    </row>
    <row r="4111" spans="6:6" x14ac:dyDescent="0.3">
      <c r="F4111" s="14"/>
    </row>
    <row r="4112" spans="6:6" x14ac:dyDescent="0.3">
      <c r="F4112" s="14"/>
    </row>
    <row r="4113" spans="6:6" x14ac:dyDescent="0.3">
      <c r="F4113" s="14"/>
    </row>
    <row r="4114" spans="6:6" x14ac:dyDescent="0.3">
      <c r="F4114" s="14"/>
    </row>
    <row r="4115" spans="6:6" x14ac:dyDescent="0.3">
      <c r="F4115" s="14"/>
    </row>
    <row r="4116" spans="6:6" x14ac:dyDescent="0.3">
      <c r="F4116" s="14"/>
    </row>
    <row r="4117" spans="6:6" x14ac:dyDescent="0.3">
      <c r="F4117" s="14"/>
    </row>
    <row r="4118" spans="6:6" x14ac:dyDescent="0.3">
      <c r="F4118" s="14"/>
    </row>
    <row r="4119" spans="6:6" x14ac:dyDescent="0.3">
      <c r="F4119" s="14"/>
    </row>
    <row r="4120" spans="6:6" x14ac:dyDescent="0.3">
      <c r="F4120" s="14"/>
    </row>
    <row r="4121" spans="6:6" x14ac:dyDescent="0.3">
      <c r="F4121" s="14"/>
    </row>
    <row r="4122" spans="6:6" x14ac:dyDescent="0.3">
      <c r="F4122" s="14"/>
    </row>
    <row r="4123" spans="6:6" x14ac:dyDescent="0.3">
      <c r="F4123" s="14"/>
    </row>
    <row r="4124" spans="6:6" x14ac:dyDescent="0.3">
      <c r="F4124" s="14"/>
    </row>
    <row r="4125" spans="6:6" x14ac:dyDescent="0.3">
      <c r="F4125" s="14"/>
    </row>
    <row r="4126" spans="6:6" x14ac:dyDescent="0.3">
      <c r="F4126" s="14"/>
    </row>
    <row r="4127" spans="6:6" x14ac:dyDescent="0.3">
      <c r="F4127" s="14"/>
    </row>
    <row r="4128" spans="6:6" x14ac:dyDescent="0.3">
      <c r="F4128" s="14"/>
    </row>
    <row r="4129" spans="6:6" x14ac:dyDescent="0.3">
      <c r="F4129" s="14"/>
    </row>
    <row r="4130" spans="6:6" x14ac:dyDescent="0.3">
      <c r="F4130" s="14"/>
    </row>
    <row r="4131" spans="6:6" x14ac:dyDescent="0.3">
      <c r="F4131" s="14"/>
    </row>
    <row r="4132" spans="6:6" x14ac:dyDescent="0.3">
      <c r="F4132" s="14"/>
    </row>
    <row r="4133" spans="6:6" x14ac:dyDescent="0.3">
      <c r="F4133" s="14"/>
    </row>
    <row r="4134" spans="6:6" x14ac:dyDescent="0.3">
      <c r="F4134" s="14"/>
    </row>
    <row r="4135" spans="6:6" x14ac:dyDescent="0.3">
      <c r="F4135" s="14"/>
    </row>
    <row r="4136" spans="6:6" x14ac:dyDescent="0.3">
      <c r="F4136" s="14"/>
    </row>
    <row r="4137" spans="6:6" x14ac:dyDescent="0.3">
      <c r="F4137" s="14"/>
    </row>
    <row r="4138" spans="6:6" x14ac:dyDescent="0.3">
      <c r="F4138" s="14"/>
    </row>
    <row r="4139" spans="6:6" x14ac:dyDescent="0.3">
      <c r="F4139" s="14"/>
    </row>
    <row r="4140" spans="6:6" x14ac:dyDescent="0.3">
      <c r="F4140" s="14"/>
    </row>
    <row r="4141" spans="6:6" x14ac:dyDescent="0.3">
      <c r="F4141" s="14"/>
    </row>
    <row r="4142" spans="6:6" x14ac:dyDescent="0.3">
      <c r="F4142" s="14"/>
    </row>
    <row r="4143" spans="6:6" x14ac:dyDescent="0.3">
      <c r="F4143" s="14"/>
    </row>
    <row r="4144" spans="6:6" x14ac:dyDescent="0.3">
      <c r="F4144" s="14"/>
    </row>
    <row r="4145" spans="6:6" x14ac:dyDescent="0.3">
      <c r="F4145" s="14"/>
    </row>
    <row r="4146" spans="6:6" x14ac:dyDescent="0.3">
      <c r="F4146" s="14"/>
    </row>
    <row r="4147" spans="6:6" x14ac:dyDescent="0.3">
      <c r="F4147" s="14"/>
    </row>
    <row r="4148" spans="6:6" x14ac:dyDescent="0.3">
      <c r="F4148" s="14"/>
    </row>
    <row r="4149" spans="6:6" x14ac:dyDescent="0.3">
      <c r="F4149" s="14"/>
    </row>
    <row r="4150" spans="6:6" x14ac:dyDescent="0.3">
      <c r="F4150" s="14"/>
    </row>
    <row r="4151" spans="6:6" x14ac:dyDescent="0.3">
      <c r="F4151" s="14"/>
    </row>
    <row r="4152" spans="6:6" x14ac:dyDescent="0.3">
      <c r="F4152" s="14"/>
    </row>
    <row r="4153" spans="6:6" x14ac:dyDescent="0.3">
      <c r="F4153" s="14"/>
    </row>
    <row r="4154" spans="6:6" x14ac:dyDescent="0.3">
      <c r="F4154" s="14"/>
    </row>
    <row r="4155" spans="6:6" x14ac:dyDescent="0.3">
      <c r="F4155" s="14"/>
    </row>
    <row r="4156" spans="6:6" x14ac:dyDescent="0.3">
      <c r="F4156" s="14"/>
    </row>
    <row r="4157" spans="6:6" x14ac:dyDescent="0.3">
      <c r="F4157" s="14"/>
    </row>
    <row r="4158" spans="6:6" x14ac:dyDescent="0.3">
      <c r="F4158" s="14"/>
    </row>
    <row r="4159" spans="6:6" x14ac:dyDescent="0.3">
      <c r="F4159" s="14"/>
    </row>
    <row r="4160" spans="6:6" x14ac:dyDescent="0.3">
      <c r="F4160" s="14"/>
    </row>
    <row r="4161" spans="6:6" x14ac:dyDescent="0.3">
      <c r="F4161" s="14"/>
    </row>
    <row r="4162" spans="6:6" x14ac:dyDescent="0.3">
      <c r="F4162" s="14"/>
    </row>
    <row r="4163" spans="6:6" x14ac:dyDescent="0.3">
      <c r="F4163" s="14"/>
    </row>
    <row r="4164" spans="6:6" x14ac:dyDescent="0.3">
      <c r="F4164" s="14"/>
    </row>
    <row r="4165" spans="6:6" x14ac:dyDescent="0.3">
      <c r="F4165" s="14"/>
    </row>
    <row r="4166" spans="6:6" x14ac:dyDescent="0.3">
      <c r="F4166" s="14"/>
    </row>
    <row r="4167" spans="6:6" x14ac:dyDescent="0.3">
      <c r="F4167" s="14"/>
    </row>
    <row r="4168" spans="6:6" x14ac:dyDescent="0.3">
      <c r="F4168" s="14"/>
    </row>
    <row r="4169" spans="6:6" x14ac:dyDescent="0.3">
      <c r="F4169" s="14"/>
    </row>
    <row r="4170" spans="6:6" x14ac:dyDescent="0.3">
      <c r="F4170" s="14"/>
    </row>
    <row r="4171" spans="6:6" x14ac:dyDescent="0.3">
      <c r="F4171" s="14"/>
    </row>
    <row r="4172" spans="6:6" x14ac:dyDescent="0.3">
      <c r="F4172" s="14"/>
    </row>
    <row r="4173" spans="6:6" x14ac:dyDescent="0.3">
      <c r="F4173" s="14"/>
    </row>
    <row r="4174" spans="6:6" x14ac:dyDescent="0.3">
      <c r="F4174" s="14"/>
    </row>
    <row r="4175" spans="6:6" x14ac:dyDescent="0.3">
      <c r="F4175" s="14"/>
    </row>
    <row r="4176" spans="6:6" x14ac:dyDescent="0.3">
      <c r="F4176" s="14"/>
    </row>
    <row r="4177" spans="6:6" x14ac:dyDescent="0.3">
      <c r="F4177" s="14"/>
    </row>
    <row r="4178" spans="6:6" x14ac:dyDescent="0.3">
      <c r="F4178" s="14"/>
    </row>
    <row r="4179" spans="6:6" x14ac:dyDescent="0.3">
      <c r="F4179" s="14"/>
    </row>
    <row r="4180" spans="6:6" x14ac:dyDescent="0.3">
      <c r="F4180" s="14"/>
    </row>
    <row r="4181" spans="6:6" x14ac:dyDescent="0.3">
      <c r="F4181" s="14"/>
    </row>
    <row r="4182" spans="6:6" x14ac:dyDescent="0.3">
      <c r="F4182" s="14"/>
    </row>
    <row r="4183" spans="6:6" x14ac:dyDescent="0.3">
      <c r="F4183" s="14"/>
    </row>
    <row r="4184" spans="6:6" x14ac:dyDescent="0.3">
      <c r="F4184" s="14"/>
    </row>
    <row r="4185" spans="6:6" x14ac:dyDescent="0.3">
      <c r="F4185" s="14"/>
    </row>
    <row r="4186" spans="6:6" x14ac:dyDescent="0.3">
      <c r="F4186" s="14"/>
    </row>
    <row r="4187" spans="6:6" x14ac:dyDescent="0.3">
      <c r="F4187" s="14"/>
    </row>
    <row r="4188" spans="6:6" x14ac:dyDescent="0.3">
      <c r="F4188" s="14"/>
    </row>
    <row r="4189" spans="6:6" x14ac:dyDescent="0.3">
      <c r="F4189" s="14"/>
    </row>
    <row r="4190" spans="6:6" x14ac:dyDescent="0.3">
      <c r="F4190" s="14"/>
    </row>
    <row r="4191" spans="6:6" x14ac:dyDescent="0.3">
      <c r="F4191" s="14"/>
    </row>
    <row r="4192" spans="6:6" x14ac:dyDescent="0.3">
      <c r="F4192" s="14"/>
    </row>
    <row r="4193" spans="6:6" x14ac:dyDescent="0.3">
      <c r="F4193" s="14"/>
    </row>
    <row r="4194" spans="6:6" x14ac:dyDescent="0.3">
      <c r="F4194" s="14"/>
    </row>
    <row r="4195" spans="6:6" x14ac:dyDescent="0.3">
      <c r="F4195" s="14"/>
    </row>
    <row r="4196" spans="6:6" x14ac:dyDescent="0.3">
      <c r="F4196" s="14"/>
    </row>
    <row r="4197" spans="6:6" x14ac:dyDescent="0.3">
      <c r="F4197" s="14"/>
    </row>
    <row r="4198" spans="6:6" x14ac:dyDescent="0.3">
      <c r="F4198" s="14"/>
    </row>
    <row r="4199" spans="6:6" x14ac:dyDescent="0.3">
      <c r="F4199" s="14"/>
    </row>
    <row r="4200" spans="6:6" x14ac:dyDescent="0.3">
      <c r="F4200" s="14"/>
    </row>
    <row r="4201" spans="6:6" x14ac:dyDescent="0.3">
      <c r="F4201" s="14"/>
    </row>
    <row r="4202" spans="6:6" x14ac:dyDescent="0.3">
      <c r="F4202" s="14"/>
    </row>
    <row r="4203" spans="6:6" x14ac:dyDescent="0.3">
      <c r="F4203" s="14"/>
    </row>
    <row r="4204" spans="6:6" x14ac:dyDescent="0.3">
      <c r="F4204" s="14"/>
    </row>
    <row r="4205" spans="6:6" x14ac:dyDescent="0.3">
      <c r="F4205" s="14"/>
    </row>
    <row r="4206" spans="6:6" x14ac:dyDescent="0.3">
      <c r="F4206" s="14"/>
    </row>
    <row r="4207" spans="6:6" x14ac:dyDescent="0.3">
      <c r="F4207" s="14"/>
    </row>
    <row r="4208" spans="6:6" x14ac:dyDescent="0.3">
      <c r="F4208" s="14"/>
    </row>
    <row r="4209" spans="6:6" x14ac:dyDescent="0.3">
      <c r="F4209" s="14"/>
    </row>
    <row r="4210" spans="6:6" x14ac:dyDescent="0.3">
      <c r="F4210" s="14"/>
    </row>
    <row r="4211" spans="6:6" x14ac:dyDescent="0.3">
      <c r="F4211" s="14"/>
    </row>
    <row r="4212" spans="6:6" x14ac:dyDescent="0.3">
      <c r="F4212" s="14"/>
    </row>
    <row r="4213" spans="6:6" x14ac:dyDescent="0.3">
      <c r="F4213" s="14"/>
    </row>
    <row r="4214" spans="6:6" x14ac:dyDescent="0.3">
      <c r="F4214" s="14"/>
    </row>
    <row r="4215" spans="6:6" x14ac:dyDescent="0.3">
      <c r="F4215" s="14"/>
    </row>
    <row r="4216" spans="6:6" x14ac:dyDescent="0.3">
      <c r="F4216" s="14"/>
    </row>
    <row r="4217" spans="6:6" x14ac:dyDescent="0.3">
      <c r="F4217" s="14"/>
    </row>
    <row r="4218" spans="6:6" x14ac:dyDescent="0.3">
      <c r="F4218" s="14"/>
    </row>
    <row r="4219" spans="6:6" x14ac:dyDescent="0.3">
      <c r="F4219" s="14"/>
    </row>
    <row r="4220" spans="6:6" x14ac:dyDescent="0.3">
      <c r="F4220" s="14"/>
    </row>
    <row r="4221" spans="6:6" x14ac:dyDescent="0.3">
      <c r="F4221" s="14"/>
    </row>
    <row r="4222" spans="6:6" x14ac:dyDescent="0.3">
      <c r="F4222" s="14"/>
    </row>
    <row r="4223" spans="6:6" x14ac:dyDescent="0.3">
      <c r="F4223" s="14"/>
    </row>
    <row r="4224" spans="6:6" x14ac:dyDescent="0.3">
      <c r="F4224" s="14"/>
    </row>
    <row r="4225" spans="6:6" x14ac:dyDescent="0.3">
      <c r="F4225" s="14"/>
    </row>
    <row r="4226" spans="6:6" x14ac:dyDescent="0.3">
      <c r="F4226" s="14"/>
    </row>
    <row r="4227" spans="6:6" x14ac:dyDescent="0.3">
      <c r="F4227" s="14"/>
    </row>
    <row r="4228" spans="6:6" x14ac:dyDescent="0.3">
      <c r="F4228" s="14"/>
    </row>
    <row r="4229" spans="6:6" x14ac:dyDescent="0.3">
      <c r="F4229" s="14"/>
    </row>
    <row r="4230" spans="6:6" x14ac:dyDescent="0.3">
      <c r="F4230" s="14"/>
    </row>
    <row r="4231" spans="6:6" x14ac:dyDescent="0.3">
      <c r="F4231" s="14"/>
    </row>
    <row r="4232" spans="6:6" x14ac:dyDescent="0.3">
      <c r="F4232" s="14"/>
    </row>
    <row r="4233" spans="6:6" x14ac:dyDescent="0.3">
      <c r="F4233" s="14"/>
    </row>
    <row r="4234" spans="6:6" x14ac:dyDescent="0.3">
      <c r="F4234" s="14"/>
    </row>
    <row r="4235" spans="6:6" x14ac:dyDescent="0.3">
      <c r="F4235" s="14"/>
    </row>
    <row r="4236" spans="6:6" x14ac:dyDescent="0.3">
      <c r="F4236" s="14"/>
    </row>
    <row r="4237" spans="6:6" x14ac:dyDescent="0.3">
      <c r="F4237" s="14"/>
    </row>
    <row r="4238" spans="6:6" x14ac:dyDescent="0.3">
      <c r="F4238" s="14"/>
    </row>
    <row r="4239" spans="6:6" x14ac:dyDescent="0.3">
      <c r="F4239" s="14"/>
    </row>
    <row r="4240" spans="6:6" x14ac:dyDescent="0.3">
      <c r="F4240" s="14"/>
    </row>
    <row r="4241" spans="6:6" x14ac:dyDescent="0.3">
      <c r="F4241" s="14"/>
    </row>
    <row r="4242" spans="6:6" x14ac:dyDescent="0.3">
      <c r="F4242" s="14"/>
    </row>
    <row r="4243" spans="6:6" x14ac:dyDescent="0.3">
      <c r="F4243" s="14"/>
    </row>
    <row r="4244" spans="6:6" x14ac:dyDescent="0.3">
      <c r="F4244" s="14"/>
    </row>
    <row r="4245" spans="6:6" x14ac:dyDescent="0.3">
      <c r="F4245" s="14"/>
    </row>
    <row r="4246" spans="6:6" x14ac:dyDescent="0.3">
      <c r="F4246" s="14"/>
    </row>
    <row r="4247" spans="6:6" x14ac:dyDescent="0.3">
      <c r="F4247" s="14"/>
    </row>
    <row r="4248" spans="6:6" x14ac:dyDescent="0.3">
      <c r="F4248" s="14"/>
    </row>
    <row r="4249" spans="6:6" x14ac:dyDescent="0.3">
      <c r="F4249" s="14"/>
    </row>
    <row r="4250" spans="6:6" x14ac:dyDescent="0.3">
      <c r="F4250" s="14"/>
    </row>
    <row r="4251" spans="6:6" x14ac:dyDescent="0.3">
      <c r="F4251" s="14"/>
    </row>
    <row r="4252" spans="6:6" x14ac:dyDescent="0.3">
      <c r="F4252" s="14"/>
    </row>
    <row r="4253" spans="6:6" x14ac:dyDescent="0.3">
      <c r="F4253" s="14"/>
    </row>
    <row r="4254" spans="6:6" x14ac:dyDescent="0.3">
      <c r="F4254" s="14"/>
    </row>
    <row r="4255" spans="6:6" x14ac:dyDescent="0.3">
      <c r="F4255" s="14"/>
    </row>
    <row r="4256" spans="6:6" x14ac:dyDescent="0.3">
      <c r="F4256" s="14"/>
    </row>
    <row r="4257" spans="6:6" x14ac:dyDescent="0.3">
      <c r="F4257" s="14"/>
    </row>
    <row r="4258" spans="6:6" x14ac:dyDescent="0.3">
      <c r="F4258" s="14"/>
    </row>
    <row r="4259" spans="6:6" x14ac:dyDescent="0.3">
      <c r="F4259" s="14"/>
    </row>
    <row r="4260" spans="6:6" x14ac:dyDescent="0.3">
      <c r="F4260" s="14"/>
    </row>
    <row r="4261" spans="6:6" x14ac:dyDescent="0.3">
      <c r="F4261" s="14"/>
    </row>
    <row r="4262" spans="6:6" x14ac:dyDescent="0.3">
      <c r="F4262" s="14"/>
    </row>
    <row r="4263" spans="6:6" x14ac:dyDescent="0.3">
      <c r="F4263" s="14"/>
    </row>
    <row r="4264" spans="6:6" x14ac:dyDescent="0.3">
      <c r="F4264" s="14"/>
    </row>
    <row r="4265" spans="6:6" x14ac:dyDescent="0.3">
      <c r="F4265" s="14"/>
    </row>
    <row r="4266" spans="6:6" x14ac:dyDescent="0.3">
      <c r="F4266" s="14"/>
    </row>
    <row r="4267" spans="6:6" x14ac:dyDescent="0.3">
      <c r="F4267" s="14"/>
    </row>
    <row r="4268" spans="6:6" x14ac:dyDescent="0.3">
      <c r="F4268" s="14"/>
    </row>
    <row r="4269" spans="6:6" x14ac:dyDescent="0.3">
      <c r="F4269" s="14"/>
    </row>
    <row r="4270" spans="6:6" x14ac:dyDescent="0.3">
      <c r="F4270" s="14"/>
    </row>
    <row r="4271" spans="6:6" x14ac:dyDescent="0.3">
      <c r="F4271" s="14"/>
    </row>
    <row r="4272" spans="6:6" x14ac:dyDescent="0.3">
      <c r="F4272" s="14"/>
    </row>
    <row r="4273" spans="6:6" x14ac:dyDescent="0.3">
      <c r="F4273" s="14"/>
    </row>
    <row r="4274" spans="6:6" x14ac:dyDescent="0.3">
      <c r="F4274" s="14"/>
    </row>
    <row r="4275" spans="6:6" x14ac:dyDescent="0.3">
      <c r="F4275" s="14"/>
    </row>
    <row r="4276" spans="6:6" x14ac:dyDescent="0.3">
      <c r="F4276" s="14"/>
    </row>
    <row r="4277" spans="6:6" x14ac:dyDescent="0.3">
      <c r="F4277" s="14"/>
    </row>
    <row r="4278" spans="6:6" x14ac:dyDescent="0.3">
      <c r="F4278" s="14"/>
    </row>
    <row r="4279" spans="6:6" x14ac:dyDescent="0.3">
      <c r="F4279" s="14"/>
    </row>
    <row r="4280" spans="6:6" x14ac:dyDescent="0.3">
      <c r="F4280" s="14"/>
    </row>
    <row r="4281" spans="6:6" x14ac:dyDescent="0.3">
      <c r="F4281" s="14"/>
    </row>
    <row r="4282" spans="6:6" x14ac:dyDescent="0.3">
      <c r="F4282" s="14"/>
    </row>
    <row r="4283" spans="6:6" x14ac:dyDescent="0.3">
      <c r="F4283" s="14"/>
    </row>
    <row r="4284" spans="6:6" x14ac:dyDescent="0.3">
      <c r="F4284" s="14"/>
    </row>
    <row r="4285" spans="6:6" x14ac:dyDescent="0.3">
      <c r="F4285" s="14"/>
    </row>
    <row r="4286" spans="6:6" x14ac:dyDescent="0.3">
      <c r="F4286" s="14"/>
    </row>
    <row r="4287" spans="6:6" x14ac:dyDescent="0.3">
      <c r="F4287" s="14"/>
    </row>
    <row r="4288" spans="6:6" x14ac:dyDescent="0.3">
      <c r="F4288" s="14"/>
    </row>
    <row r="4289" spans="6:6" x14ac:dyDescent="0.3">
      <c r="F4289" s="14"/>
    </row>
    <row r="4290" spans="6:6" x14ac:dyDescent="0.3">
      <c r="F4290" s="14"/>
    </row>
    <row r="4291" spans="6:6" x14ac:dyDescent="0.3">
      <c r="F4291" s="14"/>
    </row>
    <row r="4292" spans="6:6" x14ac:dyDescent="0.3">
      <c r="F4292" s="14"/>
    </row>
    <row r="4293" spans="6:6" x14ac:dyDescent="0.3">
      <c r="F4293" s="14"/>
    </row>
    <row r="4294" spans="6:6" x14ac:dyDescent="0.3">
      <c r="F4294" s="14"/>
    </row>
    <row r="4295" spans="6:6" x14ac:dyDescent="0.3">
      <c r="F4295" s="14"/>
    </row>
    <row r="4296" spans="6:6" x14ac:dyDescent="0.3">
      <c r="F4296" s="14"/>
    </row>
    <row r="4297" spans="6:6" x14ac:dyDescent="0.3">
      <c r="F4297" s="14"/>
    </row>
    <row r="4298" spans="6:6" x14ac:dyDescent="0.3">
      <c r="F4298" s="14"/>
    </row>
    <row r="4299" spans="6:6" x14ac:dyDescent="0.3">
      <c r="F4299" s="14"/>
    </row>
    <row r="4300" spans="6:6" x14ac:dyDescent="0.3">
      <c r="F4300" s="14"/>
    </row>
    <row r="4301" spans="6:6" x14ac:dyDescent="0.3">
      <c r="F4301" s="14"/>
    </row>
    <row r="4302" spans="6:6" x14ac:dyDescent="0.3">
      <c r="F4302" s="14"/>
    </row>
    <row r="4303" spans="6:6" x14ac:dyDescent="0.3">
      <c r="F4303" s="14"/>
    </row>
    <row r="4304" spans="6:6" x14ac:dyDescent="0.3">
      <c r="F4304" s="14"/>
    </row>
    <row r="4305" spans="6:6" x14ac:dyDescent="0.3">
      <c r="F4305" s="14"/>
    </row>
    <row r="4306" spans="6:6" x14ac:dyDescent="0.3">
      <c r="F4306" s="14"/>
    </row>
    <row r="4307" spans="6:6" x14ac:dyDescent="0.3">
      <c r="F4307" s="14"/>
    </row>
    <row r="4308" spans="6:6" x14ac:dyDescent="0.3">
      <c r="F4308" s="14"/>
    </row>
    <row r="4309" spans="6:6" x14ac:dyDescent="0.3">
      <c r="F4309" s="14"/>
    </row>
    <row r="4310" spans="6:6" x14ac:dyDescent="0.3">
      <c r="F4310" s="14"/>
    </row>
    <row r="4311" spans="6:6" x14ac:dyDescent="0.3">
      <c r="F4311" s="14"/>
    </row>
    <row r="4312" spans="6:6" x14ac:dyDescent="0.3">
      <c r="F4312" s="14"/>
    </row>
    <row r="4313" spans="6:6" x14ac:dyDescent="0.3">
      <c r="F4313" s="14"/>
    </row>
    <row r="4314" spans="6:6" x14ac:dyDescent="0.3">
      <c r="F4314" s="14"/>
    </row>
    <row r="4315" spans="6:6" x14ac:dyDescent="0.3">
      <c r="F4315" s="14"/>
    </row>
    <row r="4316" spans="6:6" x14ac:dyDescent="0.3">
      <c r="F4316" s="14"/>
    </row>
    <row r="4317" spans="6:6" x14ac:dyDescent="0.3">
      <c r="F4317" s="14"/>
    </row>
    <row r="4318" spans="6:6" x14ac:dyDescent="0.3">
      <c r="F4318" s="14"/>
    </row>
    <row r="4319" spans="6:6" x14ac:dyDescent="0.3">
      <c r="F4319" s="14"/>
    </row>
    <row r="4320" spans="6:6" x14ac:dyDescent="0.3">
      <c r="F4320" s="14"/>
    </row>
    <row r="4321" spans="6:6" x14ac:dyDescent="0.3">
      <c r="F4321" s="14"/>
    </row>
    <row r="4322" spans="6:6" x14ac:dyDescent="0.3">
      <c r="F4322" s="14"/>
    </row>
    <row r="4323" spans="6:6" x14ac:dyDescent="0.3">
      <c r="F4323" s="14"/>
    </row>
    <row r="4324" spans="6:6" x14ac:dyDescent="0.3">
      <c r="F4324" s="14"/>
    </row>
    <row r="4325" spans="6:6" x14ac:dyDescent="0.3">
      <c r="F4325" s="14"/>
    </row>
    <row r="4326" spans="6:6" x14ac:dyDescent="0.3">
      <c r="F4326" s="14"/>
    </row>
    <row r="4327" spans="6:6" x14ac:dyDescent="0.3">
      <c r="F4327" s="14"/>
    </row>
    <row r="4328" spans="6:6" x14ac:dyDescent="0.3">
      <c r="F4328" s="14"/>
    </row>
    <row r="4329" spans="6:6" x14ac:dyDescent="0.3">
      <c r="F4329" s="14"/>
    </row>
    <row r="4330" spans="6:6" x14ac:dyDescent="0.3">
      <c r="F4330" s="14"/>
    </row>
    <row r="4331" spans="6:6" x14ac:dyDescent="0.3">
      <c r="F4331" s="14"/>
    </row>
    <row r="4332" spans="6:6" x14ac:dyDescent="0.3">
      <c r="F4332" s="14"/>
    </row>
    <row r="4333" spans="6:6" x14ac:dyDescent="0.3">
      <c r="F4333" s="14"/>
    </row>
    <row r="4334" spans="6:6" x14ac:dyDescent="0.3">
      <c r="F4334" s="14"/>
    </row>
    <row r="4335" spans="6:6" x14ac:dyDescent="0.3">
      <c r="F4335" s="14"/>
    </row>
    <row r="4336" spans="6:6" x14ac:dyDescent="0.3">
      <c r="F4336" s="14"/>
    </row>
    <row r="4337" spans="6:6" x14ac:dyDescent="0.3">
      <c r="F4337" s="14"/>
    </row>
    <row r="4338" spans="6:6" x14ac:dyDescent="0.3">
      <c r="F4338" s="14"/>
    </row>
    <row r="4339" spans="6:6" x14ac:dyDescent="0.3">
      <c r="F4339" s="14"/>
    </row>
    <row r="4340" spans="6:6" x14ac:dyDescent="0.3">
      <c r="F4340" s="14"/>
    </row>
    <row r="4341" spans="6:6" x14ac:dyDescent="0.3">
      <c r="F4341" s="14"/>
    </row>
    <row r="4342" spans="6:6" x14ac:dyDescent="0.3">
      <c r="F4342" s="14"/>
    </row>
    <row r="4343" spans="6:6" x14ac:dyDescent="0.3">
      <c r="F4343" s="14"/>
    </row>
    <row r="4344" spans="6:6" x14ac:dyDescent="0.3">
      <c r="F4344" s="14"/>
    </row>
    <row r="4345" spans="6:6" x14ac:dyDescent="0.3">
      <c r="F4345" s="14"/>
    </row>
    <row r="4346" spans="6:6" x14ac:dyDescent="0.3">
      <c r="F4346" s="14"/>
    </row>
    <row r="4347" spans="6:6" x14ac:dyDescent="0.3">
      <c r="F4347" s="14"/>
    </row>
    <row r="4348" spans="6:6" x14ac:dyDescent="0.3">
      <c r="F4348" s="14"/>
    </row>
    <row r="4349" spans="6:6" x14ac:dyDescent="0.3">
      <c r="F4349" s="14"/>
    </row>
    <row r="4350" spans="6:6" x14ac:dyDescent="0.3">
      <c r="F4350" s="14"/>
    </row>
    <row r="4351" spans="6:6" x14ac:dyDescent="0.3">
      <c r="F4351" s="14"/>
    </row>
    <row r="4352" spans="6:6" x14ac:dyDescent="0.3">
      <c r="F4352" s="14"/>
    </row>
    <row r="4353" spans="6:6" x14ac:dyDescent="0.3">
      <c r="F4353" s="14"/>
    </row>
    <row r="4354" spans="6:6" x14ac:dyDescent="0.3">
      <c r="F4354" s="14"/>
    </row>
    <row r="4355" spans="6:6" x14ac:dyDescent="0.3">
      <c r="F4355" s="14"/>
    </row>
    <row r="4356" spans="6:6" x14ac:dyDescent="0.3">
      <c r="F4356" s="14"/>
    </row>
    <row r="4357" spans="6:6" x14ac:dyDescent="0.3">
      <c r="F4357" s="14"/>
    </row>
    <row r="4358" spans="6:6" x14ac:dyDescent="0.3">
      <c r="F4358" s="14"/>
    </row>
    <row r="4359" spans="6:6" x14ac:dyDescent="0.3">
      <c r="F4359" s="14"/>
    </row>
    <row r="4360" spans="6:6" x14ac:dyDescent="0.3">
      <c r="F4360" s="14"/>
    </row>
    <row r="4361" spans="6:6" x14ac:dyDescent="0.3">
      <c r="F4361" s="14"/>
    </row>
    <row r="4362" spans="6:6" x14ac:dyDescent="0.3">
      <c r="F4362" s="14"/>
    </row>
    <row r="4363" spans="6:6" x14ac:dyDescent="0.3">
      <c r="F4363" s="14"/>
    </row>
    <row r="4364" spans="6:6" x14ac:dyDescent="0.3">
      <c r="F4364" s="14"/>
    </row>
    <row r="4365" spans="6:6" x14ac:dyDescent="0.3">
      <c r="F4365" s="14"/>
    </row>
    <row r="4366" spans="6:6" x14ac:dyDescent="0.3">
      <c r="F4366" s="14"/>
    </row>
    <row r="4367" spans="6:6" x14ac:dyDescent="0.3">
      <c r="F4367" s="14"/>
    </row>
    <row r="4368" spans="6:6" x14ac:dyDescent="0.3">
      <c r="F4368" s="14"/>
    </row>
    <row r="4369" spans="6:6" x14ac:dyDescent="0.3">
      <c r="F4369" s="14"/>
    </row>
    <row r="4370" spans="6:6" x14ac:dyDescent="0.3">
      <c r="F4370" s="14"/>
    </row>
    <row r="4371" spans="6:6" x14ac:dyDescent="0.3">
      <c r="F4371" s="14"/>
    </row>
    <row r="4372" spans="6:6" x14ac:dyDescent="0.3">
      <c r="F4372" s="14"/>
    </row>
    <row r="4373" spans="6:6" x14ac:dyDescent="0.3">
      <c r="F4373" s="14"/>
    </row>
    <row r="4374" spans="6:6" x14ac:dyDescent="0.3">
      <c r="F4374" s="14"/>
    </row>
    <row r="4375" spans="6:6" x14ac:dyDescent="0.3">
      <c r="F4375" s="14"/>
    </row>
    <row r="4376" spans="6:6" x14ac:dyDescent="0.3">
      <c r="F4376" s="14"/>
    </row>
    <row r="4377" spans="6:6" x14ac:dyDescent="0.3">
      <c r="F4377" s="14"/>
    </row>
    <row r="4378" spans="6:6" x14ac:dyDescent="0.3">
      <c r="F4378" s="14"/>
    </row>
    <row r="4379" spans="6:6" x14ac:dyDescent="0.3">
      <c r="F4379" s="14"/>
    </row>
    <row r="4380" spans="6:6" x14ac:dyDescent="0.3">
      <c r="F4380" s="14"/>
    </row>
    <row r="4381" spans="6:6" x14ac:dyDescent="0.3">
      <c r="F4381" s="14"/>
    </row>
    <row r="4382" spans="6:6" x14ac:dyDescent="0.3">
      <c r="F4382" s="14"/>
    </row>
    <row r="4383" spans="6:6" x14ac:dyDescent="0.3">
      <c r="F4383" s="14"/>
    </row>
    <row r="4384" spans="6:6" x14ac:dyDescent="0.3">
      <c r="F4384" s="14"/>
    </row>
    <row r="4385" spans="6:6" x14ac:dyDescent="0.3">
      <c r="F4385" s="14"/>
    </row>
    <row r="4386" spans="6:6" x14ac:dyDescent="0.3">
      <c r="F4386" s="14"/>
    </row>
    <row r="4387" spans="6:6" x14ac:dyDescent="0.3">
      <c r="F4387" s="14"/>
    </row>
    <row r="4388" spans="6:6" x14ac:dyDescent="0.3">
      <c r="F4388" s="14"/>
    </row>
    <row r="4389" spans="6:6" x14ac:dyDescent="0.3">
      <c r="F4389" s="14"/>
    </row>
    <row r="4390" spans="6:6" x14ac:dyDescent="0.3">
      <c r="F4390" s="14"/>
    </row>
    <row r="4391" spans="6:6" x14ac:dyDescent="0.3">
      <c r="F4391" s="14"/>
    </row>
    <row r="4392" spans="6:6" x14ac:dyDescent="0.3">
      <c r="F4392" s="14"/>
    </row>
    <row r="4393" spans="6:6" x14ac:dyDescent="0.3">
      <c r="F4393" s="14"/>
    </row>
    <row r="4394" spans="6:6" x14ac:dyDescent="0.3">
      <c r="F4394" s="14"/>
    </row>
    <row r="4395" spans="6:6" x14ac:dyDescent="0.3">
      <c r="F4395" s="14"/>
    </row>
    <row r="4396" spans="6:6" x14ac:dyDescent="0.3">
      <c r="F4396" s="14"/>
    </row>
    <row r="4397" spans="6:6" x14ac:dyDescent="0.3">
      <c r="F4397" s="14"/>
    </row>
    <row r="4398" spans="6:6" x14ac:dyDescent="0.3">
      <c r="F4398" s="14"/>
    </row>
    <row r="4399" spans="6:6" x14ac:dyDescent="0.3">
      <c r="F4399" s="14"/>
    </row>
    <row r="4400" spans="6:6" x14ac:dyDescent="0.3">
      <c r="F4400" s="14"/>
    </row>
    <row r="4401" spans="6:6" x14ac:dyDescent="0.3">
      <c r="F4401" s="14"/>
    </row>
    <row r="4402" spans="6:6" x14ac:dyDescent="0.3">
      <c r="F4402" s="14"/>
    </row>
    <row r="4403" spans="6:6" x14ac:dyDescent="0.3">
      <c r="F4403" s="14"/>
    </row>
    <row r="4404" spans="6:6" x14ac:dyDescent="0.3">
      <c r="F4404" s="14"/>
    </row>
    <row r="4405" spans="6:6" x14ac:dyDescent="0.3">
      <c r="F4405" s="14"/>
    </row>
    <row r="4406" spans="6:6" x14ac:dyDescent="0.3">
      <c r="F4406" s="14"/>
    </row>
    <row r="4407" spans="6:6" x14ac:dyDescent="0.3">
      <c r="F4407" s="14"/>
    </row>
    <row r="4408" spans="6:6" x14ac:dyDescent="0.3">
      <c r="F4408" s="14"/>
    </row>
    <row r="4409" spans="6:6" x14ac:dyDescent="0.3">
      <c r="F4409" s="14"/>
    </row>
    <row r="4410" spans="6:6" x14ac:dyDescent="0.3">
      <c r="F4410" s="14"/>
    </row>
    <row r="4411" spans="6:6" x14ac:dyDescent="0.3">
      <c r="F4411" s="14"/>
    </row>
    <row r="4412" spans="6:6" x14ac:dyDescent="0.3">
      <c r="F4412" s="14"/>
    </row>
    <row r="4413" spans="6:6" x14ac:dyDescent="0.3">
      <c r="F4413" s="14"/>
    </row>
    <row r="4414" spans="6:6" x14ac:dyDescent="0.3">
      <c r="F4414" s="14"/>
    </row>
    <row r="4415" spans="6:6" x14ac:dyDescent="0.3">
      <c r="F4415" s="14"/>
    </row>
    <row r="4416" spans="6:6" x14ac:dyDescent="0.3">
      <c r="F4416" s="14"/>
    </row>
    <row r="4417" spans="6:6" x14ac:dyDescent="0.3">
      <c r="F4417" s="14"/>
    </row>
    <row r="4418" spans="6:6" x14ac:dyDescent="0.3">
      <c r="F4418" s="14"/>
    </row>
    <row r="4419" spans="6:6" x14ac:dyDescent="0.3">
      <c r="F4419" s="14"/>
    </row>
    <row r="4420" spans="6:6" x14ac:dyDescent="0.3">
      <c r="F4420" s="14"/>
    </row>
    <row r="4421" spans="6:6" x14ac:dyDescent="0.3">
      <c r="F4421" s="14"/>
    </row>
    <row r="4422" spans="6:6" x14ac:dyDescent="0.3">
      <c r="F4422" s="14"/>
    </row>
    <row r="4423" spans="6:6" x14ac:dyDescent="0.3">
      <c r="F4423" s="14"/>
    </row>
    <row r="4424" spans="6:6" x14ac:dyDescent="0.3">
      <c r="F4424" s="14"/>
    </row>
    <row r="4425" spans="6:6" x14ac:dyDescent="0.3">
      <c r="F4425" s="14"/>
    </row>
    <row r="4426" spans="6:6" x14ac:dyDescent="0.3">
      <c r="F4426" s="14"/>
    </row>
    <row r="4427" spans="6:6" x14ac:dyDescent="0.3">
      <c r="F4427" s="14"/>
    </row>
    <row r="4428" spans="6:6" x14ac:dyDescent="0.3">
      <c r="F4428" s="14"/>
    </row>
    <row r="4429" spans="6:6" x14ac:dyDescent="0.3">
      <c r="F4429" s="14"/>
    </row>
    <row r="4430" spans="6:6" x14ac:dyDescent="0.3">
      <c r="F4430" s="14"/>
    </row>
    <row r="4431" spans="6:6" x14ac:dyDescent="0.3">
      <c r="F4431" s="14"/>
    </row>
    <row r="4432" spans="6:6" x14ac:dyDescent="0.3">
      <c r="F4432" s="14"/>
    </row>
    <row r="4433" spans="6:6" x14ac:dyDescent="0.3">
      <c r="F4433" s="14"/>
    </row>
    <row r="4434" spans="6:6" x14ac:dyDescent="0.3">
      <c r="F4434" s="14"/>
    </row>
    <row r="4435" spans="6:6" x14ac:dyDescent="0.3">
      <c r="F4435" s="14"/>
    </row>
    <row r="4436" spans="6:6" x14ac:dyDescent="0.3">
      <c r="F4436" s="14"/>
    </row>
    <row r="4437" spans="6:6" x14ac:dyDescent="0.3">
      <c r="F4437" s="14"/>
    </row>
    <row r="4438" spans="6:6" x14ac:dyDescent="0.3">
      <c r="F4438" s="14"/>
    </row>
    <row r="4439" spans="6:6" x14ac:dyDescent="0.3">
      <c r="F4439" s="14"/>
    </row>
    <row r="4440" spans="6:6" x14ac:dyDescent="0.3">
      <c r="F4440" s="14"/>
    </row>
    <row r="4441" spans="6:6" x14ac:dyDescent="0.3">
      <c r="F4441" s="14"/>
    </row>
    <row r="4442" spans="6:6" x14ac:dyDescent="0.3">
      <c r="F4442" s="14"/>
    </row>
    <row r="4443" spans="6:6" x14ac:dyDescent="0.3">
      <c r="F4443" s="14"/>
    </row>
    <row r="4444" spans="6:6" x14ac:dyDescent="0.3">
      <c r="F4444" s="14"/>
    </row>
    <row r="4445" spans="6:6" x14ac:dyDescent="0.3">
      <c r="F4445" s="14"/>
    </row>
    <row r="4446" spans="6:6" x14ac:dyDescent="0.3">
      <c r="F4446" s="14"/>
    </row>
    <row r="4447" spans="6:6" x14ac:dyDescent="0.3">
      <c r="F4447" s="14"/>
    </row>
    <row r="4448" spans="6:6" x14ac:dyDescent="0.3">
      <c r="F4448" s="14"/>
    </row>
    <row r="4449" spans="6:6" x14ac:dyDescent="0.3">
      <c r="F4449" s="14"/>
    </row>
    <row r="4450" spans="6:6" x14ac:dyDescent="0.3">
      <c r="F4450" s="14"/>
    </row>
    <row r="4451" spans="6:6" x14ac:dyDescent="0.3">
      <c r="F4451" s="14"/>
    </row>
    <row r="4452" spans="6:6" x14ac:dyDescent="0.3">
      <c r="F4452" s="14"/>
    </row>
    <row r="4453" spans="6:6" x14ac:dyDescent="0.3">
      <c r="F4453" s="14"/>
    </row>
    <row r="4454" spans="6:6" x14ac:dyDescent="0.3">
      <c r="F4454" s="14"/>
    </row>
    <row r="4455" spans="6:6" x14ac:dyDescent="0.3">
      <c r="F4455" s="14"/>
    </row>
    <row r="4456" spans="6:6" x14ac:dyDescent="0.3">
      <c r="F4456" s="14"/>
    </row>
    <row r="4457" spans="6:6" x14ac:dyDescent="0.3">
      <c r="F4457" s="14"/>
    </row>
    <row r="4458" spans="6:6" x14ac:dyDescent="0.3">
      <c r="F4458" s="14"/>
    </row>
    <row r="4459" spans="6:6" x14ac:dyDescent="0.3">
      <c r="F4459" s="14"/>
    </row>
    <row r="4460" spans="6:6" x14ac:dyDescent="0.3">
      <c r="F4460" s="14"/>
    </row>
    <row r="4461" spans="6:6" x14ac:dyDescent="0.3">
      <c r="F4461" s="14"/>
    </row>
    <row r="4462" spans="6:6" x14ac:dyDescent="0.3">
      <c r="F4462" s="14"/>
    </row>
    <row r="4463" spans="6:6" x14ac:dyDescent="0.3">
      <c r="F4463" s="14"/>
    </row>
    <row r="4464" spans="6:6" x14ac:dyDescent="0.3">
      <c r="F4464" s="14"/>
    </row>
    <row r="4465" spans="6:6" x14ac:dyDescent="0.3">
      <c r="F4465" s="14"/>
    </row>
    <row r="4466" spans="6:6" x14ac:dyDescent="0.3">
      <c r="F4466" s="14"/>
    </row>
    <row r="4467" spans="6:6" x14ac:dyDescent="0.3">
      <c r="F4467" s="14"/>
    </row>
    <row r="4468" spans="6:6" x14ac:dyDescent="0.3">
      <c r="F4468" s="14"/>
    </row>
    <row r="4469" spans="6:6" x14ac:dyDescent="0.3">
      <c r="F4469" s="14"/>
    </row>
    <row r="4470" spans="6:6" x14ac:dyDescent="0.3">
      <c r="F4470" s="14"/>
    </row>
    <row r="4471" spans="6:6" x14ac:dyDescent="0.3">
      <c r="F4471" s="14"/>
    </row>
    <row r="4472" spans="6:6" x14ac:dyDescent="0.3">
      <c r="F4472" s="14"/>
    </row>
    <row r="4473" spans="6:6" x14ac:dyDescent="0.3">
      <c r="F4473" s="14"/>
    </row>
    <row r="4474" spans="6:6" x14ac:dyDescent="0.3">
      <c r="F4474" s="14"/>
    </row>
    <row r="4475" spans="6:6" x14ac:dyDescent="0.3">
      <c r="F4475" s="14"/>
    </row>
    <row r="4476" spans="6:6" x14ac:dyDescent="0.3">
      <c r="F4476" s="14"/>
    </row>
    <row r="4477" spans="6:6" x14ac:dyDescent="0.3">
      <c r="F4477" s="14"/>
    </row>
    <row r="4478" spans="6:6" x14ac:dyDescent="0.3">
      <c r="F4478" s="14"/>
    </row>
    <row r="4479" spans="6:6" x14ac:dyDescent="0.3">
      <c r="F4479" s="14"/>
    </row>
    <row r="4480" spans="6:6" x14ac:dyDescent="0.3">
      <c r="F4480" s="14"/>
    </row>
    <row r="4481" spans="6:6" x14ac:dyDescent="0.3">
      <c r="F4481" s="14"/>
    </row>
    <row r="4482" spans="6:6" x14ac:dyDescent="0.3">
      <c r="F4482" s="14"/>
    </row>
    <row r="4483" spans="6:6" x14ac:dyDescent="0.3">
      <c r="F4483" s="14"/>
    </row>
    <row r="4484" spans="6:6" x14ac:dyDescent="0.3">
      <c r="F4484" s="14"/>
    </row>
    <row r="4485" spans="6:6" x14ac:dyDescent="0.3">
      <c r="F4485" s="14"/>
    </row>
    <row r="4486" spans="6:6" x14ac:dyDescent="0.3">
      <c r="F4486" s="14"/>
    </row>
    <row r="4487" spans="6:6" x14ac:dyDescent="0.3">
      <c r="F4487" s="14"/>
    </row>
    <row r="4488" spans="6:6" x14ac:dyDescent="0.3">
      <c r="F4488" s="14"/>
    </row>
    <row r="4489" spans="6:6" x14ac:dyDescent="0.3">
      <c r="F4489" s="14"/>
    </row>
    <row r="4490" spans="6:6" x14ac:dyDescent="0.3">
      <c r="F4490" s="14"/>
    </row>
    <row r="4491" spans="6:6" x14ac:dyDescent="0.3">
      <c r="F4491" s="14"/>
    </row>
    <row r="4492" spans="6:6" x14ac:dyDescent="0.3">
      <c r="F4492" s="14"/>
    </row>
    <row r="4493" spans="6:6" x14ac:dyDescent="0.3">
      <c r="F4493" s="14"/>
    </row>
    <row r="4494" spans="6:6" x14ac:dyDescent="0.3">
      <c r="F4494" s="14"/>
    </row>
    <row r="4495" spans="6:6" x14ac:dyDescent="0.3">
      <c r="F4495" s="14"/>
    </row>
    <row r="4496" spans="6:6" x14ac:dyDescent="0.3">
      <c r="F4496" s="14"/>
    </row>
    <row r="4497" spans="6:6" x14ac:dyDescent="0.3">
      <c r="F4497" s="14"/>
    </row>
    <row r="4498" spans="6:6" x14ac:dyDescent="0.3">
      <c r="F4498" s="14"/>
    </row>
    <row r="4499" spans="6:6" x14ac:dyDescent="0.3">
      <c r="F4499" s="14"/>
    </row>
    <row r="4500" spans="6:6" x14ac:dyDescent="0.3">
      <c r="F4500" s="14"/>
    </row>
    <row r="4501" spans="6:6" x14ac:dyDescent="0.3">
      <c r="F4501" s="14"/>
    </row>
    <row r="4502" spans="6:6" x14ac:dyDescent="0.3">
      <c r="F4502" s="14"/>
    </row>
    <row r="4503" spans="6:6" x14ac:dyDescent="0.3">
      <c r="F4503" s="14"/>
    </row>
    <row r="4504" spans="6:6" x14ac:dyDescent="0.3">
      <c r="F4504" s="14"/>
    </row>
    <row r="4505" spans="6:6" x14ac:dyDescent="0.3">
      <c r="F4505" s="14"/>
    </row>
    <row r="4506" spans="6:6" x14ac:dyDescent="0.3">
      <c r="F4506" s="14"/>
    </row>
    <row r="4507" spans="6:6" x14ac:dyDescent="0.3">
      <c r="F4507" s="14"/>
    </row>
    <row r="4508" spans="6:6" x14ac:dyDescent="0.3">
      <c r="F4508" s="14"/>
    </row>
    <row r="4509" spans="6:6" x14ac:dyDescent="0.3">
      <c r="F4509" s="14"/>
    </row>
    <row r="4510" spans="6:6" x14ac:dyDescent="0.3">
      <c r="F4510" s="14"/>
    </row>
    <row r="4511" spans="6:6" x14ac:dyDescent="0.3">
      <c r="F4511" s="14"/>
    </row>
    <row r="4512" spans="6:6" x14ac:dyDescent="0.3">
      <c r="F4512" s="14"/>
    </row>
    <row r="4513" spans="6:6" x14ac:dyDescent="0.3">
      <c r="F4513" s="14"/>
    </row>
    <row r="4514" spans="6:6" x14ac:dyDescent="0.3">
      <c r="F4514" s="14"/>
    </row>
    <row r="4515" spans="6:6" x14ac:dyDescent="0.3">
      <c r="F4515" s="14"/>
    </row>
    <row r="4516" spans="6:6" x14ac:dyDescent="0.3">
      <c r="F4516" s="14"/>
    </row>
    <row r="4517" spans="6:6" x14ac:dyDescent="0.3">
      <c r="F4517" s="14"/>
    </row>
    <row r="4518" spans="6:6" x14ac:dyDescent="0.3">
      <c r="F4518" s="14"/>
    </row>
    <row r="4519" spans="6:6" x14ac:dyDescent="0.3">
      <c r="F4519" s="14"/>
    </row>
    <row r="4520" spans="6:6" x14ac:dyDescent="0.3">
      <c r="F4520" s="14"/>
    </row>
    <row r="4521" spans="6:6" x14ac:dyDescent="0.3">
      <c r="F4521" s="14"/>
    </row>
    <row r="4522" spans="6:6" x14ac:dyDescent="0.3">
      <c r="F4522" s="14"/>
    </row>
    <row r="4523" spans="6:6" x14ac:dyDescent="0.3">
      <c r="F4523" s="14"/>
    </row>
    <row r="4524" spans="6:6" x14ac:dyDescent="0.3">
      <c r="F4524" s="14"/>
    </row>
    <row r="4525" spans="6:6" x14ac:dyDescent="0.3">
      <c r="F4525" s="14"/>
    </row>
    <row r="4526" spans="6:6" x14ac:dyDescent="0.3">
      <c r="F4526" s="14"/>
    </row>
    <row r="4527" spans="6:6" x14ac:dyDescent="0.3">
      <c r="F4527" s="14"/>
    </row>
    <row r="4528" spans="6:6" x14ac:dyDescent="0.3">
      <c r="F4528" s="14"/>
    </row>
    <row r="4529" spans="6:6" x14ac:dyDescent="0.3">
      <c r="F4529" s="14"/>
    </row>
    <row r="4530" spans="6:6" x14ac:dyDescent="0.3">
      <c r="F4530" s="14"/>
    </row>
    <row r="4531" spans="6:6" x14ac:dyDescent="0.3">
      <c r="F4531" s="14"/>
    </row>
    <row r="4532" spans="6:6" x14ac:dyDescent="0.3">
      <c r="F4532" s="14"/>
    </row>
    <row r="4533" spans="6:6" x14ac:dyDescent="0.3">
      <c r="F4533" s="14"/>
    </row>
    <row r="4534" spans="6:6" x14ac:dyDescent="0.3">
      <c r="F4534" s="14"/>
    </row>
    <row r="4535" spans="6:6" x14ac:dyDescent="0.3">
      <c r="F4535" s="14"/>
    </row>
    <row r="4536" spans="6:6" x14ac:dyDescent="0.3">
      <c r="F4536" s="14"/>
    </row>
    <row r="4537" spans="6:6" x14ac:dyDescent="0.3">
      <c r="F4537" s="14"/>
    </row>
    <row r="4538" spans="6:6" x14ac:dyDescent="0.3">
      <c r="F4538" s="14"/>
    </row>
    <row r="4539" spans="6:6" x14ac:dyDescent="0.3">
      <c r="F4539" s="14"/>
    </row>
    <row r="4540" spans="6:6" x14ac:dyDescent="0.3">
      <c r="F4540" s="14"/>
    </row>
    <row r="4541" spans="6:6" x14ac:dyDescent="0.3">
      <c r="F4541" s="14"/>
    </row>
    <row r="4542" spans="6:6" x14ac:dyDescent="0.3">
      <c r="F4542" s="14"/>
    </row>
    <row r="4543" spans="6:6" x14ac:dyDescent="0.3">
      <c r="F4543" s="14"/>
    </row>
    <row r="4544" spans="6:6" x14ac:dyDescent="0.3">
      <c r="F4544" s="14"/>
    </row>
    <row r="4545" spans="6:6" x14ac:dyDescent="0.3">
      <c r="F4545" s="14"/>
    </row>
    <row r="4546" spans="6:6" x14ac:dyDescent="0.3">
      <c r="F4546" s="14"/>
    </row>
    <row r="4547" spans="6:6" x14ac:dyDescent="0.3">
      <c r="F4547" s="14"/>
    </row>
    <row r="4548" spans="6:6" x14ac:dyDescent="0.3">
      <c r="F4548" s="14"/>
    </row>
    <row r="4549" spans="6:6" x14ac:dyDescent="0.3">
      <c r="F4549" s="14"/>
    </row>
    <row r="4550" spans="6:6" x14ac:dyDescent="0.3">
      <c r="F4550" s="14"/>
    </row>
    <row r="4551" spans="6:6" x14ac:dyDescent="0.3">
      <c r="F4551" s="14"/>
    </row>
    <row r="4552" spans="6:6" x14ac:dyDescent="0.3">
      <c r="F4552" s="14"/>
    </row>
    <row r="4553" spans="6:6" x14ac:dyDescent="0.3">
      <c r="F4553" s="14"/>
    </row>
    <row r="4554" spans="6:6" x14ac:dyDescent="0.3">
      <c r="F4554" s="14"/>
    </row>
    <row r="4555" spans="6:6" x14ac:dyDescent="0.3">
      <c r="F4555" s="14"/>
    </row>
    <row r="4556" spans="6:6" x14ac:dyDescent="0.3">
      <c r="F4556" s="14"/>
    </row>
    <row r="4557" spans="6:6" x14ac:dyDescent="0.3">
      <c r="F4557" s="14"/>
    </row>
    <row r="4558" spans="6:6" x14ac:dyDescent="0.3">
      <c r="F4558" s="14"/>
    </row>
    <row r="4559" spans="6:6" x14ac:dyDescent="0.3">
      <c r="F4559" s="14"/>
    </row>
    <row r="4560" spans="6:6" x14ac:dyDescent="0.3">
      <c r="F4560" s="14"/>
    </row>
    <row r="4561" spans="6:6" x14ac:dyDescent="0.3">
      <c r="F4561" s="14"/>
    </row>
    <row r="4562" spans="6:6" x14ac:dyDescent="0.3">
      <c r="F4562" s="14"/>
    </row>
    <row r="4563" spans="6:6" x14ac:dyDescent="0.3">
      <c r="F4563" s="14"/>
    </row>
    <row r="4564" spans="6:6" x14ac:dyDescent="0.3">
      <c r="F4564" s="14"/>
    </row>
    <row r="4565" spans="6:6" x14ac:dyDescent="0.3">
      <c r="F4565" s="14"/>
    </row>
    <row r="4566" spans="6:6" x14ac:dyDescent="0.3">
      <c r="F4566" s="14"/>
    </row>
    <row r="4567" spans="6:6" x14ac:dyDescent="0.3">
      <c r="F4567" s="14"/>
    </row>
    <row r="4568" spans="6:6" x14ac:dyDescent="0.3">
      <c r="F4568" s="14"/>
    </row>
    <row r="4569" spans="6:6" x14ac:dyDescent="0.3">
      <c r="F4569" s="14"/>
    </row>
    <row r="4570" spans="6:6" x14ac:dyDescent="0.3">
      <c r="F4570" s="14"/>
    </row>
    <row r="4571" spans="6:6" x14ac:dyDescent="0.3">
      <c r="F4571" s="14"/>
    </row>
    <row r="4572" spans="6:6" x14ac:dyDescent="0.3">
      <c r="F4572" s="14"/>
    </row>
    <row r="4573" spans="6:6" x14ac:dyDescent="0.3">
      <c r="F4573" s="14"/>
    </row>
    <row r="4574" spans="6:6" x14ac:dyDescent="0.3">
      <c r="F4574" s="14"/>
    </row>
    <row r="4575" spans="6:6" x14ac:dyDescent="0.3">
      <c r="F4575" s="14"/>
    </row>
    <row r="4576" spans="6:6" x14ac:dyDescent="0.3">
      <c r="F4576" s="14"/>
    </row>
    <row r="4577" spans="6:6" x14ac:dyDescent="0.3">
      <c r="F4577" s="14"/>
    </row>
    <row r="4578" spans="6:6" x14ac:dyDescent="0.3">
      <c r="F4578" s="14"/>
    </row>
    <row r="4579" spans="6:6" x14ac:dyDescent="0.3">
      <c r="F4579" s="14"/>
    </row>
    <row r="4580" spans="6:6" x14ac:dyDescent="0.3">
      <c r="F4580" s="14"/>
    </row>
    <row r="4581" spans="6:6" x14ac:dyDescent="0.3">
      <c r="F4581" s="14"/>
    </row>
    <row r="4582" spans="6:6" x14ac:dyDescent="0.3">
      <c r="F4582" s="14"/>
    </row>
    <row r="4583" spans="6:6" x14ac:dyDescent="0.3">
      <c r="F4583" s="14"/>
    </row>
    <row r="4584" spans="6:6" x14ac:dyDescent="0.3">
      <c r="F4584" s="14"/>
    </row>
    <row r="4585" spans="6:6" x14ac:dyDescent="0.3">
      <c r="F4585" s="14"/>
    </row>
    <row r="4586" spans="6:6" x14ac:dyDescent="0.3">
      <c r="F4586" s="14"/>
    </row>
    <row r="4587" spans="6:6" x14ac:dyDescent="0.3">
      <c r="F4587" s="14"/>
    </row>
    <row r="4588" spans="6:6" x14ac:dyDescent="0.3">
      <c r="F4588" s="14"/>
    </row>
    <row r="4589" spans="6:6" x14ac:dyDescent="0.3">
      <c r="F4589" s="14"/>
    </row>
    <row r="4590" spans="6:6" x14ac:dyDescent="0.3">
      <c r="F4590" s="14"/>
    </row>
    <row r="4591" spans="6:6" x14ac:dyDescent="0.3">
      <c r="F4591" s="14"/>
    </row>
    <row r="4592" spans="6:6" x14ac:dyDescent="0.3">
      <c r="F4592" s="14"/>
    </row>
    <row r="4593" spans="6:6" x14ac:dyDescent="0.3">
      <c r="F4593" s="14"/>
    </row>
    <row r="4594" spans="6:6" x14ac:dyDescent="0.3">
      <c r="F4594" s="14"/>
    </row>
    <row r="4595" spans="6:6" x14ac:dyDescent="0.3">
      <c r="F4595" s="14"/>
    </row>
    <row r="4596" spans="6:6" x14ac:dyDescent="0.3">
      <c r="F4596" s="14"/>
    </row>
    <row r="4597" spans="6:6" x14ac:dyDescent="0.3">
      <c r="F4597" s="14"/>
    </row>
    <row r="4598" spans="6:6" x14ac:dyDescent="0.3">
      <c r="F4598" s="14"/>
    </row>
    <row r="4599" spans="6:6" x14ac:dyDescent="0.3">
      <c r="F4599" s="14"/>
    </row>
    <row r="4600" spans="6:6" x14ac:dyDescent="0.3">
      <c r="F4600" s="14"/>
    </row>
    <row r="4601" spans="6:6" x14ac:dyDescent="0.3">
      <c r="F4601" s="14"/>
    </row>
    <row r="4602" spans="6:6" x14ac:dyDescent="0.3">
      <c r="F4602" s="14"/>
    </row>
    <row r="4603" spans="6:6" x14ac:dyDescent="0.3">
      <c r="F4603" s="14"/>
    </row>
    <row r="4604" spans="6:6" x14ac:dyDescent="0.3">
      <c r="F4604" s="14"/>
    </row>
    <row r="4605" spans="6:6" x14ac:dyDescent="0.3">
      <c r="F4605" s="14"/>
    </row>
    <row r="4606" spans="6:6" x14ac:dyDescent="0.3">
      <c r="F4606" s="14"/>
    </row>
    <row r="4607" spans="6:6" x14ac:dyDescent="0.3">
      <c r="F4607" s="14"/>
    </row>
    <row r="4608" spans="6:6" x14ac:dyDescent="0.3">
      <c r="F4608" s="14"/>
    </row>
    <row r="4609" spans="6:6" x14ac:dyDescent="0.3">
      <c r="F4609" s="14"/>
    </row>
    <row r="4610" spans="6:6" x14ac:dyDescent="0.3">
      <c r="F4610" s="14"/>
    </row>
    <row r="4611" spans="6:6" x14ac:dyDescent="0.3">
      <c r="F4611" s="14"/>
    </row>
    <row r="4612" spans="6:6" x14ac:dyDescent="0.3">
      <c r="F4612" s="14"/>
    </row>
    <row r="4613" spans="6:6" x14ac:dyDescent="0.3">
      <c r="F4613" s="14"/>
    </row>
    <row r="4614" spans="6:6" x14ac:dyDescent="0.3">
      <c r="F4614" s="14"/>
    </row>
    <row r="4615" spans="6:6" x14ac:dyDescent="0.3">
      <c r="F4615" s="14"/>
    </row>
    <row r="4616" spans="6:6" x14ac:dyDescent="0.3">
      <c r="F4616" s="14"/>
    </row>
    <row r="4617" spans="6:6" x14ac:dyDescent="0.3">
      <c r="F4617" s="14"/>
    </row>
    <row r="4618" spans="6:6" x14ac:dyDescent="0.3">
      <c r="F4618" s="14"/>
    </row>
    <row r="4619" spans="6:6" x14ac:dyDescent="0.3">
      <c r="F4619" s="14"/>
    </row>
    <row r="4620" spans="6:6" x14ac:dyDescent="0.3">
      <c r="F4620" s="14"/>
    </row>
    <row r="4621" spans="6:6" x14ac:dyDescent="0.3">
      <c r="F4621" s="14"/>
    </row>
    <row r="4622" spans="6:6" x14ac:dyDescent="0.3">
      <c r="F4622" s="14"/>
    </row>
    <row r="4623" spans="6:6" x14ac:dyDescent="0.3">
      <c r="F4623" s="14"/>
    </row>
    <row r="4624" spans="6:6" x14ac:dyDescent="0.3">
      <c r="F4624" s="14"/>
    </row>
    <row r="4625" spans="6:6" x14ac:dyDescent="0.3">
      <c r="F4625" s="14"/>
    </row>
    <row r="4626" spans="6:6" x14ac:dyDescent="0.3">
      <c r="F4626" s="14"/>
    </row>
    <row r="4627" spans="6:6" x14ac:dyDescent="0.3">
      <c r="F4627" s="14"/>
    </row>
    <row r="4628" spans="6:6" x14ac:dyDescent="0.3">
      <c r="F4628" s="14"/>
    </row>
    <row r="4629" spans="6:6" x14ac:dyDescent="0.3">
      <c r="F4629" s="14"/>
    </row>
    <row r="4630" spans="6:6" x14ac:dyDescent="0.3">
      <c r="F4630" s="14"/>
    </row>
    <row r="4631" spans="6:6" x14ac:dyDescent="0.3">
      <c r="F4631" s="14"/>
    </row>
    <row r="4632" spans="6:6" x14ac:dyDescent="0.3">
      <c r="F4632" s="14"/>
    </row>
    <row r="4633" spans="6:6" x14ac:dyDescent="0.3">
      <c r="F4633" s="14"/>
    </row>
    <row r="4634" spans="6:6" x14ac:dyDescent="0.3">
      <c r="F4634" s="14"/>
    </row>
    <row r="4635" spans="6:6" x14ac:dyDescent="0.3">
      <c r="F4635" s="14"/>
    </row>
    <row r="4636" spans="6:6" x14ac:dyDescent="0.3">
      <c r="F4636" s="14"/>
    </row>
    <row r="4637" spans="6:6" x14ac:dyDescent="0.3">
      <c r="F4637" s="14"/>
    </row>
    <row r="4638" spans="6:6" x14ac:dyDescent="0.3">
      <c r="F4638" s="14"/>
    </row>
    <row r="4639" spans="6:6" x14ac:dyDescent="0.3">
      <c r="F4639" s="14"/>
    </row>
    <row r="4640" spans="6:6" x14ac:dyDescent="0.3">
      <c r="F4640" s="14"/>
    </row>
    <row r="4641" spans="6:6" x14ac:dyDescent="0.3">
      <c r="F4641" s="14"/>
    </row>
    <row r="4642" spans="6:6" x14ac:dyDescent="0.3">
      <c r="F4642" s="14"/>
    </row>
    <row r="4643" spans="6:6" x14ac:dyDescent="0.3">
      <c r="F4643" s="14"/>
    </row>
    <row r="4644" spans="6:6" x14ac:dyDescent="0.3">
      <c r="F4644" s="14"/>
    </row>
    <row r="4645" spans="6:6" x14ac:dyDescent="0.3">
      <c r="F4645" s="14"/>
    </row>
    <row r="4646" spans="6:6" x14ac:dyDescent="0.3">
      <c r="F4646" s="14"/>
    </row>
    <row r="4647" spans="6:6" x14ac:dyDescent="0.3">
      <c r="F4647" s="14"/>
    </row>
    <row r="4648" spans="6:6" x14ac:dyDescent="0.3">
      <c r="F4648" s="14"/>
    </row>
    <row r="4649" spans="6:6" x14ac:dyDescent="0.3">
      <c r="F4649" s="14"/>
    </row>
    <row r="4650" spans="6:6" x14ac:dyDescent="0.3">
      <c r="F4650" s="14"/>
    </row>
    <row r="4651" spans="6:6" x14ac:dyDescent="0.3">
      <c r="F4651" s="14"/>
    </row>
    <row r="4652" spans="6:6" x14ac:dyDescent="0.3">
      <c r="F4652" s="14"/>
    </row>
    <row r="4653" spans="6:6" x14ac:dyDescent="0.3">
      <c r="F4653" s="14"/>
    </row>
    <row r="4654" spans="6:6" x14ac:dyDescent="0.3">
      <c r="F4654" s="14"/>
    </row>
    <row r="4655" spans="6:6" x14ac:dyDescent="0.3">
      <c r="F4655" s="14"/>
    </row>
    <row r="4656" spans="6:6" x14ac:dyDescent="0.3">
      <c r="F4656" s="14"/>
    </row>
    <row r="4657" spans="6:6" x14ac:dyDescent="0.3">
      <c r="F4657" s="14"/>
    </row>
    <row r="4658" spans="6:6" x14ac:dyDescent="0.3">
      <c r="F4658" s="14"/>
    </row>
    <row r="4659" spans="6:6" x14ac:dyDescent="0.3">
      <c r="F4659" s="14"/>
    </row>
    <row r="4660" spans="6:6" x14ac:dyDescent="0.3">
      <c r="F4660" s="14"/>
    </row>
    <row r="4661" spans="6:6" x14ac:dyDescent="0.3">
      <c r="F4661" s="14"/>
    </row>
    <row r="4662" spans="6:6" x14ac:dyDescent="0.3">
      <c r="F4662" s="14"/>
    </row>
    <row r="4663" spans="6:6" x14ac:dyDescent="0.3">
      <c r="F4663" s="14"/>
    </row>
    <row r="4664" spans="6:6" x14ac:dyDescent="0.3">
      <c r="F4664" s="14"/>
    </row>
    <row r="4665" spans="6:6" x14ac:dyDescent="0.3">
      <c r="F4665" s="14"/>
    </row>
    <row r="4666" spans="6:6" x14ac:dyDescent="0.3">
      <c r="F4666" s="14"/>
    </row>
    <row r="4667" spans="6:6" x14ac:dyDescent="0.3">
      <c r="F4667" s="14"/>
    </row>
    <row r="4668" spans="6:6" x14ac:dyDescent="0.3">
      <c r="F4668" s="14"/>
    </row>
    <row r="4669" spans="6:6" x14ac:dyDescent="0.3">
      <c r="F4669" s="14"/>
    </row>
    <row r="4670" spans="6:6" x14ac:dyDescent="0.3">
      <c r="F4670" s="14"/>
    </row>
    <row r="4671" spans="6:6" x14ac:dyDescent="0.3">
      <c r="F4671" s="14"/>
    </row>
    <row r="4672" spans="6:6" x14ac:dyDescent="0.3">
      <c r="F4672" s="14"/>
    </row>
    <row r="4673" spans="6:6" x14ac:dyDescent="0.3">
      <c r="F4673" s="14"/>
    </row>
    <row r="4674" spans="6:6" x14ac:dyDescent="0.3">
      <c r="F4674" s="14"/>
    </row>
    <row r="4675" spans="6:6" x14ac:dyDescent="0.3">
      <c r="F4675" s="14"/>
    </row>
    <row r="4676" spans="6:6" x14ac:dyDescent="0.3">
      <c r="F4676" s="14"/>
    </row>
    <row r="4677" spans="6:6" x14ac:dyDescent="0.3">
      <c r="F4677" s="14"/>
    </row>
    <row r="4678" spans="6:6" x14ac:dyDescent="0.3">
      <c r="F4678" s="14"/>
    </row>
    <row r="4679" spans="6:6" x14ac:dyDescent="0.3">
      <c r="F4679" s="14"/>
    </row>
    <row r="4680" spans="6:6" x14ac:dyDescent="0.3">
      <c r="F4680" s="14"/>
    </row>
    <row r="4681" spans="6:6" x14ac:dyDescent="0.3">
      <c r="F4681" s="14"/>
    </row>
    <row r="4682" spans="6:6" x14ac:dyDescent="0.3">
      <c r="F4682" s="14"/>
    </row>
    <row r="4683" spans="6:6" x14ac:dyDescent="0.3">
      <c r="F4683" s="14"/>
    </row>
    <row r="4684" spans="6:6" x14ac:dyDescent="0.3">
      <c r="F4684" s="14"/>
    </row>
    <row r="4685" spans="6:6" x14ac:dyDescent="0.3">
      <c r="F4685" s="14"/>
    </row>
    <row r="4686" spans="6:6" x14ac:dyDescent="0.3">
      <c r="F4686" s="14"/>
    </row>
    <row r="4687" spans="6:6" x14ac:dyDescent="0.3">
      <c r="F4687" s="14"/>
    </row>
    <row r="4688" spans="6:6" x14ac:dyDescent="0.3">
      <c r="F4688" s="14"/>
    </row>
    <row r="4689" spans="6:6" x14ac:dyDescent="0.3">
      <c r="F4689" s="14"/>
    </row>
    <row r="4690" spans="6:6" x14ac:dyDescent="0.3">
      <c r="F4690" s="14"/>
    </row>
    <row r="4691" spans="6:6" x14ac:dyDescent="0.3">
      <c r="F4691" s="14"/>
    </row>
    <row r="4692" spans="6:6" x14ac:dyDescent="0.3">
      <c r="F4692" s="14"/>
    </row>
    <row r="4693" spans="6:6" x14ac:dyDescent="0.3">
      <c r="F4693" s="14"/>
    </row>
    <row r="4694" spans="6:6" x14ac:dyDescent="0.3">
      <c r="F4694" s="14"/>
    </row>
    <row r="4695" spans="6:6" x14ac:dyDescent="0.3">
      <c r="F4695" s="14"/>
    </row>
    <row r="4696" spans="6:6" x14ac:dyDescent="0.3">
      <c r="F4696" s="14"/>
    </row>
    <row r="4697" spans="6:6" x14ac:dyDescent="0.3">
      <c r="F4697" s="14"/>
    </row>
    <row r="4698" spans="6:6" x14ac:dyDescent="0.3">
      <c r="F4698" s="14"/>
    </row>
    <row r="4699" spans="6:6" x14ac:dyDescent="0.3">
      <c r="F4699" s="14"/>
    </row>
    <row r="4700" spans="6:6" x14ac:dyDescent="0.3">
      <c r="F4700" s="14"/>
    </row>
    <row r="4701" spans="6:6" x14ac:dyDescent="0.3">
      <c r="F4701" s="14"/>
    </row>
    <row r="4702" spans="6:6" x14ac:dyDescent="0.3">
      <c r="F4702" s="14"/>
    </row>
    <row r="4703" spans="6:6" x14ac:dyDescent="0.3">
      <c r="F4703" s="14"/>
    </row>
    <row r="4704" spans="6:6" x14ac:dyDescent="0.3">
      <c r="F4704" s="14"/>
    </row>
    <row r="4705" spans="6:6" x14ac:dyDescent="0.3">
      <c r="F4705" s="14"/>
    </row>
    <row r="4706" spans="6:6" x14ac:dyDescent="0.3">
      <c r="F4706" s="14"/>
    </row>
    <row r="4707" spans="6:6" x14ac:dyDescent="0.3">
      <c r="F4707" s="14"/>
    </row>
    <row r="4708" spans="6:6" x14ac:dyDescent="0.3">
      <c r="F4708" s="14"/>
    </row>
    <row r="4709" spans="6:6" x14ac:dyDescent="0.3">
      <c r="F4709" s="14"/>
    </row>
    <row r="4710" spans="6:6" x14ac:dyDescent="0.3">
      <c r="F4710" s="14"/>
    </row>
    <row r="4711" spans="6:6" x14ac:dyDescent="0.3">
      <c r="F4711" s="14"/>
    </row>
    <row r="4712" spans="6:6" x14ac:dyDescent="0.3">
      <c r="F4712" s="14"/>
    </row>
    <row r="4713" spans="6:6" x14ac:dyDescent="0.3">
      <c r="F4713" s="14"/>
    </row>
    <row r="4714" spans="6:6" x14ac:dyDescent="0.3">
      <c r="F4714" s="14"/>
    </row>
    <row r="4715" spans="6:6" x14ac:dyDescent="0.3">
      <c r="F4715" s="14"/>
    </row>
    <row r="4716" spans="6:6" x14ac:dyDescent="0.3">
      <c r="F4716" s="14"/>
    </row>
    <row r="4717" spans="6:6" x14ac:dyDescent="0.3">
      <c r="F4717" s="14"/>
    </row>
    <row r="4718" spans="6:6" x14ac:dyDescent="0.3">
      <c r="F4718" s="14"/>
    </row>
    <row r="4719" spans="6:6" x14ac:dyDescent="0.3">
      <c r="F4719" s="14"/>
    </row>
    <row r="4720" spans="6:6" x14ac:dyDescent="0.3">
      <c r="F4720" s="14"/>
    </row>
    <row r="4721" spans="6:6" x14ac:dyDescent="0.3">
      <c r="F4721" s="14"/>
    </row>
    <row r="4722" spans="6:6" x14ac:dyDescent="0.3">
      <c r="F4722" s="14"/>
    </row>
    <row r="4723" spans="6:6" x14ac:dyDescent="0.3">
      <c r="F4723" s="14"/>
    </row>
    <row r="4724" spans="6:6" x14ac:dyDescent="0.3">
      <c r="F4724" s="14"/>
    </row>
    <row r="4725" spans="6:6" x14ac:dyDescent="0.3">
      <c r="F4725" s="14"/>
    </row>
    <row r="4726" spans="6:6" x14ac:dyDescent="0.3">
      <c r="F4726" s="14"/>
    </row>
    <row r="4727" spans="6:6" x14ac:dyDescent="0.3">
      <c r="F4727" s="14"/>
    </row>
    <row r="4728" spans="6:6" x14ac:dyDescent="0.3">
      <c r="F4728" s="14"/>
    </row>
    <row r="4729" spans="6:6" x14ac:dyDescent="0.3">
      <c r="F4729" s="14"/>
    </row>
    <row r="4730" spans="6:6" x14ac:dyDescent="0.3">
      <c r="F4730" s="14"/>
    </row>
    <row r="4731" spans="6:6" x14ac:dyDescent="0.3">
      <c r="F4731" s="14"/>
    </row>
    <row r="4732" spans="6:6" x14ac:dyDescent="0.3">
      <c r="F4732" s="14"/>
    </row>
    <row r="4733" spans="6:6" x14ac:dyDescent="0.3">
      <c r="F4733" s="14"/>
    </row>
    <row r="4734" spans="6:6" x14ac:dyDescent="0.3">
      <c r="F4734" s="14"/>
    </row>
    <row r="4735" spans="6:6" x14ac:dyDescent="0.3">
      <c r="F4735" s="14"/>
    </row>
    <row r="4736" spans="6:6" x14ac:dyDescent="0.3">
      <c r="F4736" s="14"/>
    </row>
    <row r="4737" spans="6:6" x14ac:dyDescent="0.3">
      <c r="F4737" s="14"/>
    </row>
    <row r="4738" spans="6:6" x14ac:dyDescent="0.3">
      <c r="F4738" s="14"/>
    </row>
    <row r="4739" spans="6:6" x14ac:dyDescent="0.3">
      <c r="F4739" s="14"/>
    </row>
    <row r="4740" spans="6:6" x14ac:dyDescent="0.3">
      <c r="F4740" s="14"/>
    </row>
    <row r="4741" spans="6:6" x14ac:dyDescent="0.3">
      <c r="F4741" s="14"/>
    </row>
    <row r="4742" spans="6:6" x14ac:dyDescent="0.3">
      <c r="F4742" s="14"/>
    </row>
    <row r="4743" spans="6:6" x14ac:dyDescent="0.3">
      <c r="F4743" s="14"/>
    </row>
    <row r="4744" spans="6:6" x14ac:dyDescent="0.3">
      <c r="F4744" s="14"/>
    </row>
    <row r="4745" spans="6:6" x14ac:dyDescent="0.3">
      <c r="F4745" s="14"/>
    </row>
    <row r="4746" spans="6:6" x14ac:dyDescent="0.3">
      <c r="F4746" s="14"/>
    </row>
    <row r="4747" spans="6:6" x14ac:dyDescent="0.3">
      <c r="F4747" s="14"/>
    </row>
    <row r="4748" spans="6:6" x14ac:dyDescent="0.3">
      <c r="F4748" s="14"/>
    </row>
    <row r="4749" spans="6:6" x14ac:dyDescent="0.3">
      <c r="F4749" s="14"/>
    </row>
    <row r="4750" spans="6:6" x14ac:dyDescent="0.3">
      <c r="F4750" s="14"/>
    </row>
    <row r="4751" spans="6:6" x14ac:dyDescent="0.3">
      <c r="F4751" s="14"/>
    </row>
    <row r="4752" spans="6:6" x14ac:dyDescent="0.3">
      <c r="F4752" s="14"/>
    </row>
    <row r="4753" spans="6:6" x14ac:dyDescent="0.3">
      <c r="F4753" s="14"/>
    </row>
    <row r="4754" spans="6:6" x14ac:dyDescent="0.3">
      <c r="F4754" s="14"/>
    </row>
    <row r="4755" spans="6:6" x14ac:dyDescent="0.3">
      <c r="F4755" s="14"/>
    </row>
    <row r="4756" spans="6:6" x14ac:dyDescent="0.3">
      <c r="F4756" s="14"/>
    </row>
    <row r="4757" spans="6:6" x14ac:dyDescent="0.3">
      <c r="F4757" s="14"/>
    </row>
    <row r="4758" spans="6:6" x14ac:dyDescent="0.3">
      <c r="F4758" s="14"/>
    </row>
    <row r="4759" spans="6:6" x14ac:dyDescent="0.3">
      <c r="F4759" s="14"/>
    </row>
    <row r="4760" spans="6:6" x14ac:dyDescent="0.3">
      <c r="F4760" s="14"/>
    </row>
    <row r="4761" spans="6:6" x14ac:dyDescent="0.3">
      <c r="F4761" s="14"/>
    </row>
    <row r="4762" spans="6:6" x14ac:dyDescent="0.3">
      <c r="F4762" s="14"/>
    </row>
    <row r="4763" spans="6:6" x14ac:dyDescent="0.3">
      <c r="F4763" s="14"/>
    </row>
    <row r="4764" spans="6:6" x14ac:dyDescent="0.3">
      <c r="F4764" s="14"/>
    </row>
    <row r="4765" spans="6:6" x14ac:dyDescent="0.3">
      <c r="F4765" s="14"/>
    </row>
    <row r="4766" spans="6:6" x14ac:dyDescent="0.3">
      <c r="F4766" s="14"/>
    </row>
    <row r="4767" spans="6:6" x14ac:dyDescent="0.3">
      <c r="F4767" s="14"/>
    </row>
    <row r="4768" spans="6:6" x14ac:dyDescent="0.3">
      <c r="F4768" s="14"/>
    </row>
    <row r="4769" spans="6:6" x14ac:dyDescent="0.3">
      <c r="F4769" s="14"/>
    </row>
    <row r="4770" spans="6:6" x14ac:dyDescent="0.3">
      <c r="F4770" s="14"/>
    </row>
    <row r="4771" spans="6:6" x14ac:dyDescent="0.3">
      <c r="F4771" s="14"/>
    </row>
    <row r="4772" spans="6:6" x14ac:dyDescent="0.3">
      <c r="F4772" s="14"/>
    </row>
    <row r="4773" spans="6:6" x14ac:dyDescent="0.3">
      <c r="F4773" s="14"/>
    </row>
    <row r="4774" spans="6:6" x14ac:dyDescent="0.3">
      <c r="F4774" s="14"/>
    </row>
    <row r="4775" spans="6:6" x14ac:dyDescent="0.3">
      <c r="F4775" s="14"/>
    </row>
    <row r="4776" spans="6:6" x14ac:dyDescent="0.3">
      <c r="F4776" s="14"/>
    </row>
    <row r="4777" spans="6:6" x14ac:dyDescent="0.3">
      <c r="F4777" s="14"/>
    </row>
    <row r="4778" spans="6:6" x14ac:dyDescent="0.3">
      <c r="F4778" s="14"/>
    </row>
    <row r="4779" spans="6:6" x14ac:dyDescent="0.3">
      <c r="F4779" s="14"/>
    </row>
    <row r="4780" spans="6:6" x14ac:dyDescent="0.3">
      <c r="F4780" s="14"/>
    </row>
    <row r="4781" spans="6:6" x14ac:dyDescent="0.3">
      <c r="F4781" s="14"/>
    </row>
    <row r="4782" spans="6:6" x14ac:dyDescent="0.3">
      <c r="F4782" s="14"/>
    </row>
    <row r="4783" spans="6:6" x14ac:dyDescent="0.3">
      <c r="F4783" s="14"/>
    </row>
    <row r="4784" spans="6:6" x14ac:dyDescent="0.3">
      <c r="F4784" s="14"/>
    </row>
    <row r="4785" spans="6:6" x14ac:dyDescent="0.3">
      <c r="F4785" s="14"/>
    </row>
    <row r="4786" spans="6:6" x14ac:dyDescent="0.3">
      <c r="F4786" s="14"/>
    </row>
    <row r="4787" spans="6:6" x14ac:dyDescent="0.3">
      <c r="F4787" s="14"/>
    </row>
    <row r="4788" spans="6:6" x14ac:dyDescent="0.3">
      <c r="F4788" s="14"/>
    </row>
    <row r="4789" spans="6:6" x14ac:dyDescent="0.3">
      <c r="F4789" s="14"/>
    </row>
    <row r="4790" spans="6:6" x14ac:dyDescent="0.3">
      <c r="F4790" s="14"/>
    </row>
    <row r="4791" spans="6:6" x14ac:dyDescent="0.3">
      <c r="F4791" s="14"/>
    </row>
    <row r="4792" spans="6:6" x14ac:dyDescent="0.3">
      <c r="F4792" s="14"/>
    </row>
    <row r="4793" spans="6:6" x14ac:dyDescent="0.3">
      <c r="F4793" s="14"/>
    </row>
    <row r="4794" spans="6:6" x14ac:dyDescent="0.3">
      <c r="F4794" s="14"/>
    </row>
    <row r="4795" spans="6:6" x14ac:dyDescent="0.3">
      <c r="F4795" s="14"/>
    </row>
    <row r="4796" spans="6:6" x14ac:dyDescent="0.3">
      <c r="F4796" s="14"/>
    </row>
    <row r="4797" spans="6:6" x14ac:dyDescent="0.3">
      <c r="F4797" s="14"/>
    </row>
    <row r="4798" spans="6:6" x14ac:dyDescent="0.3">
      <c r="F4798" s="14"/>
    </row>
    <row r="4799" spans="6:6" x14ac:dyDescent="0.3">
      <c r="F4799" s="14"/>
    </row>
    <row r="4800" spans="6:6" x14ac:dyDescent="0.3">
      <c r="F4800" s="14"/>
    </row>
    <row r="4801" spans="6:6" x14ac:dyDescent="0.3">
      <c r="F4801" s="14"/>
    </row>
    <row r="4802" spans="6:6" x14ac:dyDescent="0.3">
      <c r="F4802" s="14"/>
    </row>
    <row r="4803" spans="6:6" x14ac:dyDescent="0.3">
      <c r="F4803" s="14"/>
    </row>
    <row r="4804" spans="6:6" x14ac:dyDescent="0.3">
      <c r="F4804" s="14"/>
    </row>
    <row r="4805" spans="6:6" x14ac:dyDescent="0.3">
      <c r="F4805" s="14"/>
    </row>
    <row r="4806" spans="6:6" x14ac:dyDescent="0.3">
      <c r="F4806" s="14"/>
    </row>
    <row r="4807" spans="6:6" x14ac:dyDescent="0.3">
      <c r="F4807" s="14"/>
    </row>
    <row r="4808" spans="6:6" x14ac:dyDescent="0.3">
      <c r="F4808" s="14"/>
    </row>
    <row r="4809" spans="6:6" x14ac:dyDescent="0.3">
      <c r="F4809" s="14"/>
    </row>
    <row r="4810" spans="6:6" x14ac:dyDescent="0.3">
      <c r="F4810" s="14"/>
    </row>
    <row r="4811" spans="6:6" x14ac:dyDescent="0.3">
      <c r="F4811" s="14"/>
    </row>
    <row r="4812" spans="6:6" x14ac:dyDescent="0.3">
      <c r="F4812" s="14"/>
    </row>
    <row r="4813" spans="6:6" x14ac:dyDescent="0.3">
      <c r="F4813" s="14"/>
    </row>
    <row r="4814" spans="6:6" x14ac:dyDescent="0.3">
      <c r="F4814" s="14"/>
    </row>
    <row r="4815" spans="6:6" x14ac:dyDescent="0.3">
      <c r="F4815" s="14"/>
    </row>
    <row r="4816" spans="6:6" x14ac:dyDescent="0.3">
      <c r="F4816" s="14"/>
    </row>
    <row r="4817" spans="6:6" x14ac:dyDescent="0.3">
      <c r="F4817" s="14"/>
    </row>
    <row r="4818" spans="6:6" x14ac:dyDescent="0.3">
      <c r="F4818" s="14"/>
    </row>
    <row r="4819" spans="6:6" x14ac:dyDescent="0.3">
      <c r="F4819" s="14"/>
    </row>
    <row r="4820" spans="6:6" x14ac:dyDescent="0.3">
      <c r="F4820" s="14"/>
    </row>
    <row r="4821" spans="6:6" x14ac:dyDescent="0.3">
      <c r="F4821" s="14"/>
    </row>
    <row r="4822" spans="6:6" x14ac:dyDescent="0.3">
      <c r="F4822" s="14"/>
    </row>
    <row r="4823" spans="6:6" x14ac:dyDescent="0.3">
      <c r="F4823" s="14"/>
    </row>
    <row r="4824" spans="6:6" x14ac:dyDescent="0.3">
      <c r="F4824" s="14"/>
    </row>
    <row r="4825" spans="6:6" x14ac:dyDescent="0.3">
      <c r="F4825" s="14"/>
    </row>
    <row r="4826" spans="6:6" x14ac:dyDescent="0.3">
      <c r="F4826" s="14"/>
    </row>
    <row r="4827" spans="6:6" x14ac:dyDescent="0.3">
      <c r="F4827" s="14"/>
    </row>
    <row r="4828" spans="6:6" x14ac:dyDescent="0.3">
      <c r="F4828" s="14"/>
    </row>
    <row r="4829" spans="6:6" x14ac:dyDescent="0.3">
      <c r="F4829" s="14"/>
    </row>
    <row r="4830" spans="6:6" x14ac:dyDescent="0.3">
      <c r="F4830" s="14"/>
    </row>
    <row r="4831" spans="6:6" x14ac:dyDescent="0.3">
      <c r="F4831" s="14"/>
    </row>
    <row r="4832" spans="6:6" x14ac:dyDescent="0.3">
      <c r="F4832" s="14"/>
    </row>
    <row r="4833" spans="6:6" x14ac:dyDescent="0.3">
      <c r="F4833" s="14"/>
    </row>
    <row r="4834" spans="6:6" x14ac:dyDescent="0.3">
      <c r="F4834" s="14"/>
    </row>
    <row r="4835" spans="6:6" x14ac:dyDescent="0.3">
      <c r="F4835" s="14"/>
    </row>
    <row r="4836" spans="6:6" x14ac:dyDescent="0.3">
      <c r="F4836" s="14"/>
    </row>
    <row r="4837" spans="6:6" x14ac:dyDescent="0.3">
      <c r="F4837" s="14"/>
    </row>
    <row r="4838" spans="6:6" x14ac:dyDescent="0.3">
      <c r="F4838" s="14"/>
    </row>
    <row r="4839" spans="6:6" x14ac:dyDescent="0.3">
      <c r="F4839" s="14"/>
    </row>
    <row r="4840" spans="6:6" x14ac:dyDescent="0.3">
      <c r="F4840" s="14"/>
    </row>
    <row r="4841" spans="6:6" x14ac:dyDescent="0.3">
      <c r="F4841" s="14"/>
    </row>
    <row r="4842" spans="6:6" x14ac:dyDescent="0.3">
      <c r="F4842" s="14"/>
    </row>
    <row r="4843" spans="6:6" x14ac:dyDescent="0.3">
      <c r="F4843" s="14"/>
    </row>
    <row r="4844" spans="6:6" x14ac:dyDescent="0.3">
      <c r="F4844" s="14"/>
    </row>
    <row r="4845" spans="6:6" x14ac:dyDescent="0.3">
      <c r="F4845" s="14"/>
    </row>
    <row r="4846" spans="6:6" x14ac:dyDescent="0.3">
      <c r="F4846" s="14"/>
    </row>
    <row r="4847" spans="6:6" x14ac:dyDescent="0.3">
      <c r="F4847" s="14"/>
    </row>
    <row r="4848" spans="6:6" x14ac:dyDescent="0.3">
      <c r="F4848" s="14"/>
    </row>
    <row r="4849" spans="6:6" x14ac:dyDescent="0.3">
      <c r="F4849" s="14"/>
    </row>
    <row r="4850" spans="6:6" x14ac:dyDescent="0.3">
      <c r="F4850" s="14"/>
    </row>
    <row r="4851" spans="6:6" x14ac:dyDescent="0.3">
      <c r="F4851" s="14"/>
    </row>
    <row r="4852" spans="6:6" x14ac:dyDescent="0.3">
      <c r="F4852" s="14"/>
    </row>
    <row r="4853" spans="6:6" x14ac:dyDescent="0.3">
      <c r="F4853" s="14"/>
    </row>
    <row r="4854" spans="6:6" x14ac:dyDescent="0.3">
      <c r="F4854" s="14"/>
    </row>
    <row r="4855" spans="6:6" x14ac:dyDescent="0.3">
      <c r="F4855" s="14"/>
    </row>
    <row r="4856" spans="6:6" x14ac:dyDescent="0.3">
      <c r="F4856" s="14"/>
    </row>
    <row r="4857" spans="6:6" x14ac:dyDescent="0.3">
      <c r="F4857" s="14"/>
    </row>
    <row r="4858" spans="6:6" x14ac:dyDescent="0.3">
      <c r="F4858" s="14"/>
    </row>
    <row r="4859" spans="6:6" x14ac:dyDescent="0.3">
      <c r="F4859" s="14"/>
    </row>
    <row r="4860" spans="6:6" x14ac:dyDescent="0.3">
      <c r="F4860" s="14"/>
    </row>
    <row r="4861" spans="6:6" x14ac:dyDescent="0.3">
      <c r="F4861" s="14"/>
    </row>
    <row r="4862" spans="6:6" x14ac:dyDescent="0.3">
      <c r="F4862" s="14"/>
    </row>
    <row r="4863" spans="6:6" x14ac:dyDescent="0.3">
      <c r="F4863" s="14"/>
    </row>
    <row r="4864" spans="6:6" x14ac:dyDescent="0.3">
      <c r="F4864" s="14"/>
    </row>
    <row r="4865" spans="6:6" x14ac:dyDescent="0.3">
      <c r="F4865" s="14"/>
    </row>
    <row r="4866" spans="6:6" x14ac:dyDescent="0.3">
      <c r="F4866" s="14"/>
    </row>
    <row r="4867" spans="6:6" x14ac:dyDescent="0.3">
      <c r="F4867" s="14"/>
    </row>
    <row r="4868" spans="6:6" x14ac:dyDescent="0.3">
      <c r="F4868" s="14"/>
    </row>
    <row r="4869" spans="6:6" x14ac:dyDescent="0.3">
      <c r="F4869" s="14"/>
    </row>
    <row r="4870" spans="6:6" x14ac:dyDescent="0.3">
      <c r="F4870" s="14"/>
    </row>
    <row r="4871" spans="6:6" x14ac:dyDescent="0.3">
      <c r="F4871" s="14"/>
    </row>
    <row r="4872" spans="6:6" x14ac:dyDescent="0.3">
      <c r="F4872" s="14"/>
    </row>
    <row r="4873" spans="6:6" x14ac:dyDescent="0.3">
      <c r="F4873" s="14"/>
    </row>
    <row r="4874" spans="6:6" x14ac:dyDescent="0.3">
      <c r="F4874" s="14"/>
    </row>
    <row r="4875" spans="6:6" x14ac:dyDescent="0.3">
      <c r="F4875" s="14"/>
    </row>
    <row r="4876" spans="6:6" x14ac:dyDescent="0.3">
      <c r="F4876" s="14"/>
    </row>
    <row r="4877" spans="6:6" x14ac:dyDescent="0.3">
      <c r="F4877" s="14"/>
    </row>
    <row r="4878" spans="6:6" x14ac:dyDescent="0.3">
      <c r="F4878" s="14"/>
    </row>
    <row r="4879" spans="6:6" x14ac:dyDescent="0.3">
      <c r="F4879" s="14"/>
    </row>
    <row r="4880" spans="6:6" x14ac:dyDescent="0.3">
      <c r="F4880" s="14"/>
    </row>
    <row r="4881" spans="6:6" x14ac:dyDescent="0.3">
      <c r="F4881" s="14"/>
    </row>
    <row r="4882" spans="6:6" x14ac:dyDescent="0.3">
      <c r="F4882" s="14"/>
    </row>
    <row r="4883" spans="6:6" x14ac:dyDescent="0.3">
      <c r="F4883" s="14"/>
    </row>
    <row r="4884" spans="6:6" x14ac:dyDescent="0.3">
      <c r="F4884" s="14"/>
    </row>
    <row r="4885" spans="6:6" x14ac:dyDescent="0.3">
      <c r="F4885" s="14"/>
    </row>
    <row r="4886" spans="6:6" x14ac:dyDescent="0.3">
      <c r="F4886" s="14"/>
    </row>
    <row r="4887" spans="6:6" x14ac:dyDescent="0.3">
      <c r="F4887" s="14"/>
    </row>
    <row r="4888" spans="6:6" x14ac:dyDescent="0.3">
      <c r="F4888" s="14"/>
    </row>
    <row r="4889" spans="6:6" x14ac:dyDescent="0.3">
      <c r="F4889" s="14"/>
    </row>
    <row r="4890" spans="6:6" x14ac:dyDescent="0.3">
      <c r="F4890" s="14"/>
    </row>
    <row r="4891" spans="6:6" x14ac:dyDescent="0.3">
      <c r="F4891" s="14"/>
    </row>
    <row r="4892" spans="6:6" x14ac:dyDescent="0.3">
      <c r="F4892" s="14"/>
    </row>
    <row r="4893" spans="6:6" x14ac:dyDescent="0.3">
      <c r="F4893" s="14"/>
    </row>
    <row r="4894" spans="6:6" x14ac:dyDescent="0.3">
      <c r="F4894" s="14"/>
    </row>
    <row r="4895" spans="6:6" x14ac:dyDescent="0.3">
      <c r="F4895" s="14"/>
    </row>
    <row r="4896" spans="6:6" x14ac:dyDescent="0.3">
      <c r="F4896" s="14"/>
    </row>
    <row r="4897" spans="6:6" x14ac:dyDescent="0.3">
      <c r="F4897" s="14"/>
    </row>
    <row r="4898" spans="6:6" x14ac:dyDescent="0.3">
      <c r="F4898" s="14"/>
    </row>
    <row r="4899" spans="6:6" x14ac:dyDescent="0.3">
      <c r="F4899" s="14"/>
    </row>
    <row r="4900" spans="6:6" x14ac:dyDescent="0.3">
      <c r="F4900" s="14"/>
    </row>
    <row r="4901" spans="6:6" x14ac:dyDescent="0.3">
      <c r="F4901" s="14"/>
    </row>
    <row r="4902" spans="6:6" x14ac:dyDescent="0.3">
      <c r="F4902" s="14"/>
    </row>
    <row r="4903" spans="6:6" x14ac:dyDescent="0.3">
      <c r="F4903" s="14"/>
    </row>
    <row r="4904" spans="6:6" x14ac:dyDescent="0.3">
      <c r="F4904" s="14"/>
    </row>
    <row r="4905" spans="6:6" x14ac:dyDescent="0.3">
      <c r="F4905" s="14"/>
    </row>
    <row r="4906" spans="6:6" x14ac:dyDescent="0.3">
      <c r="F4906" s="14"/>
    </row>
    <row r="4907" spans="6:6" x14ac:dyDescent="0.3">
      <c r="F4907" s="14"/>
    </row>
    <row r="4908" spans="6:6" x14ac:dyDescent="0.3">
      <c r="F4908" s="14"/>
    </row>
    <row r="4909" spans="6:6" x14ac:dyDescent="0.3">
      <c r="F4909" s="14"/>
    </row>
    <row r="4910" spans="6:6" x14ac:dyDescent="0.3">
      <c r="F4910" s="14"/>
    </row>
    <row r="4911" spans="6:6" x14ac:dyDescent="0.3">
      <c r="F4911" s="14"/>
    </row>
    <row r="4912" spans="6:6" x14ac:dyDescent="0.3">
      <c r="F4912" s="14"/>
    </row>
    <row r="4913" spans="6:6" x14ac:dyDescent="0.3">
      <c r="F4913" s="14"/>
    </row>
    <row r="4914" spans="6:6" x14ac:dyDescent="0.3">
      <c r="F4914" s="14"/>
    </row>
    <row r="4915" spans="6:6" x14ac:dyDescent="0.3">
      <c r="F4915" s="14"/>
    </row>
    <row r="4916" spans="6:6" x14ac:dyDescent="0.3">
      <c r="F4916" s="14"/>
    </row>
    <row r="4917" spans="6:6" x14ac:dyDescent="0.3">
      <c r="F4917" s="14"/>
    </row>
    <row r="4918" spans="6:6" x14ac:dyDescent="0.3">
      <c r="F4918" s="14"/>
    </row>
    <row r="4919" spans="6:6" x14ac:dyDescent="0.3">
      <c r="F4919" s="14"/>
    </row>
    <row r="4920" spans="6:6" x14ac:dyDescent="0.3">
      <c r="F4920" s="14"/>
    </row>
    <row r="4921" spans="6:6" x14ac:dyDescent="0.3">
      <c r="F4921" s="14"/>
    </row>
    <row r="4922" spans="6:6" x14ac:dyDescent="0.3">
      <c r="F4922" s="14"/>
    </row>
    <row r="4923" spans="6:6" x14ac:dyDescent="0.3">
      <c r="F4923" s="14"/>
    </row>
    <row r="4924" spans="6:6" x14ac:dyDescent="0.3">
      <c r="F4924" s="14"/>
    </row>
    <row r="4925" spans="6:6" x14ac:dyDescent="0.3">
      <c r="F4925" s="14"/>
    </row>
    <row r="4926" spans="6:6" x14ac:dyDescent="0.3">
      <c r="F4926" s="14"/>
    </row>
    <row r="4927" spans="6:6" x14ac:dyDescent="0.3">
      <c r="F4927" s="14"/>
    </row>
    <row r="4928" spans="6:6" x14ac:dyDescent="0.3">
      <c r="F4928" s="14"/>
    </row>
    <row r="4929" spans="6:6" x14ac:dyDescent="0.3">
      <c r="F4929" s="14"/>
    </row>
    <row r="4930" spans="6:6" x14ac:dyDescent="0.3">
      <c r="F4930" s="14"/>
    </row>
    <row r="4931" spans="6:6" x14ac:dyDescent="0.3">
      <c r="F4931" s="14"/>
    </row>
    <row r="4932" spans="6:6" x14ac:dyDescent="0.3">
      <c r="F4932" s="14"/>
    </row>
    <row r="4933" spans="6:6" x14ac:dyDescent="0.3">
      <c r="F4933" s="14"/>
    </row>
    <row r="4934" spans="6:6" x14ac:dyDescent="0.3">
      <c r="F4934" s="14"/>
    </row>
    <row r="4935" spans="6:6" x14ac:dyDescent="0.3">
      <c r="F4935" s="14"/>
    </row>
    <row r="4936" spans="6:6" x14ac:dyDescent="0.3">
      <c r="F4936" s="14"/>
    </row>
    <row r="4937" spans="6:6" x14ac:dyDescent="0.3">
      <c r="F4937" s="14"/>
    </row>
    <row r="4938" spans="6:6" x14ac:dyDescent="0.3">
      <c r="F4938" s="14"/>
    </row>
    <row r="4939" spans="6:6" x14ac:dyDescent="0.3">
      <c r="F4939" s="14"/>
    </row>
    <row r="4940" spans="6:6" x14ac:dyDescent="0.3">
      <c r="F4940" s="14"/>
    </row>
    <row r="4941" spans="6:6" x14ac:dyDescent="0.3">
      <c r="F4941" s="14"/>
    </row>
    <row r="4942" spans="6:6" x14ac:dyDescent="0.3">
      <c r="F4942" s="14"/>
    </row>
    <row r="4943" spans="6:6" x14ac:dyDescent="0.3">
      <c r="F4943" s="14"/>
    </row>
    <row r="4944" spans="6:6" x14ac:dyDescent="0.3">
      <c r="F4944" s="14"/>
    </row>
    <row r="4945" spans="6:6" x14ac:dyDescent="0.3">
      <c r="F4945" s="14"/>
    </row>
    <row r="4946" spans="6:6" x14ac:dyDescent="0.3">
      <c r="F4946" s="14"/>
    </row>
    <row r="4947" spans="6:6" x14ac:dyDescent="0.3">
      <c r="F4947" s="14"/>
    </row>
    <row r="4948" spans="6:6" x14ac:dyDescent="0.3">
      <c r="F4948" s="14"/>
    </row>
    <row r="4949" spans="6:6" x14ac:dyDescent="0.3">
      <c r="F4949" s="14"/>
    </row>
    <row r="4950" spans="6:6" x14ac:dyDescent="0.3">
      <c r="F4950" s="14"/>
    </row>
    <row r="4951" spans="6:6" x14ac:dyDescent="0.3">
      <c r="F4951" s="14"/>
    </row>
    <row r="4952" spans="6:6" x14ac:dyDescent="0.3">
      <c r="F4952" s="14"/>
    </row>
    <row r="4953" spans="6:6" x14ac:dyDescent="0.3">
      <c r="F4953" s="14"/>
    </row>
    <row r="4954" spans="6:6" x14ac:dyDescent="0.3">
      <c r="F4954" s="14"/>
    </row>
    <row r="4955" spans="6:6" x14ac:dyDescent="0.3">
      <c r="F4955" s="14"/>
    </row>
    <row r="4956" spans="6:6" x14ac:dyDescent="0.3">
      <c r="F4956" s="14"/>
    </row>
    <row r="4957" spans="6:6" x14ac:dyDescent="0.3">
      <c r="F4957" s="14"/>
    </row>
    <row r="4958" spans="6:6" x14ac:dyDescent="0.3">
      <c r="F4958" s="14"/>
    </row>
    <row r="4959" spans="6:6" x14ac:dyDescent="0.3">
      <c r="F4959" s="14"/>
    </row>
    <row r="4960" spans="6:6" x14ac:dyDescent="0.3">
      <c r="F4960" s="14"/>
    </row>
    <row r="4961" spans="6:6" x14ac:dyDescent="0.3">
      <c r="F4961" s="14"/>
    </row>
    <row r="4962" spans="6:6" x14ac:dyDescent="0.3">
      <c r="F4962" s="14"/>
    </row>
    <row r="4963" spans="6:6" x14ac:dyDescent="0.3">
      <c r="F4963" s="14"/>
    </row>
    <row r="4964" spans="6:6" x14ac:dyDescent="0.3">
      <c r="F4964" s="14"/>
    </row>
    <row r="4965" spans="6:6" x14ac:dyDescent="0.3">
      <c r="F4965" s="14"/>
    </row>
    <row r="4966" spans="6:6" x14ac:dyDescent="0.3">
      <c r="F4966" s="14"/>
    </row>
    <row r="4967" spans="6:6" x14ac:dyDescent="0.3">
      <c r="F4967" s="14"/>
    </row>
    <row r="4968" spans="6:6" x14ac:dyDescent="0.3">
      <c r="F4968" s="14"/>
    </row>
    <row r="4969" spans="6:6" x14ac:dyDescent="0.3">
      <c r="F4969" s="14"/>
    </row>
    <row r="4970" spans="6:6" x14ac:dyDescent="0.3">
      <c r="F4970" s="14"/>
    </row>
    <row r="4971" spans="6:6" x14ac:dyDescent="0.3">
      <c r="F4971" s="14"/>
    </row>
    <row r="4972" spans="6:6" x14ac:dyDescent="0.3">
      <c r="F4972" s="14"/>
    </row>
    <row r="4973" spans="6:6" x14ac:dyDescent="0.3">
      <c r="F4973" s="14"/>
    </row>
    <row r="4974" spans="6:6" x14ac:dyDescent="0.3">
      <c r="F4974" s="14"/>
    </row>
    <row r="4975" spans="6:6" x14ac:dyDescent="0.3">
      <c r="F4975" s="14"/>
    </row>
    <row r="4976" spans="6:6" x14ac:dyDescent="0.3">
      <c r="F4976" s="14"/>
    </row>
    <row r="4977" spans="6:6" x14ac:dyDescent="0.3">
      <c r="F4977" s="14"/>
    </row>
    <row r="4978" spans="6:6" x14ac:dyDescent="0.3">
      <c r="F4978" s="14"/>
    </row>
    <row r="4979" spans="6:6" x14ac:dyDescent="0.3">
      <c r="F4979" s="14"/>
    </row>
    <row r="4980" spans="6:6" x14ac:dyDescent="0.3">
      <c r="F4980" s="14"/>
    </row>
    <row r="4981" spans="6:6" x14ac:dyDescent="0.3">
      <c r="F4981" s="14"/>
    </row>
    <row r="4982" spans="6:6" x14ac:dyDescent="0.3">
      <c r="F4982" s="14"/>
    </row>
    <row r="4983" spans="6:6" x14ac:dyDescent="0.3">
      <c r="F4983" s="14"/>
    </row>
    <row r="4984" spans="6:6" x14ac:dyDescent="0.3">
      <c r="F4984" s="14"/>
    </row>
    <row r="4985" spans="6:6" x14ac:dyDescent="0.3">
      <c r="F4985" s="14"/>
    </row>
    <row r="4986" spans="6:6" x14ac:dyDescent="0.3">
      <c r="F4986" s="14"/>
    </row>
    <row r="4987" spans="6:6" x14ac:dyDescent="0.3">
      <c r="F4987" s="14"/>
    </row>
    <row r="4988" spans="6:6" x14ac:dyDescent="0.3">
      <c r="F4988" s="14"/>
    </row>
    <row r="4989" spans="6:6" x14ac:dyDescent="0.3">
      <c r="F4989" s="14"/>
    </row>
    <row r="4990" spans="6:6" x14ac:dyDescent="0.3">
      <c r="F4990" s="14"/>
    </row>
    <row r="4991" spans="6:6" x14ac:dyDescent="0.3">
      <c r="F4991" s="14"/>
    </row>
    <row r="4992" spans="6:6" x14ac:dyDescent="0.3">
      <c r="F4992" s="14"/>
    </row>
    <row r="4993" spans="6:6" x14ac:dyDescent="0.3">
      <c r="F4993" s="14"/>
    </row>
    <row r="4994" spans="6:6" x14ac:dyDescent="0.3">
      <c r="F4994" s="14"/>
    </row>
    <row r="4995" spans="6:6" x14ac:dyDescent="0.3">
      <c r="F4995" s="14"/>
    </row>
    <row r="4996" spans="6:6" x14ac:dyDescent="0.3">
      <c r="F4996" s="14"/>
    </row>
    <row r="4997" spans="6:6" x14ac:dyDescent="0.3">
      <c r="F4997" s="14"/>
    </row>
    <row r="4998" spans="6:6" x14ac:dyDescent="0.3">
      <c r="F4998" s="14"/>
    </row>
    <row r="4999" spans="6:6" x14ac:dyDescent="0.3">
      <c r="F4999" s="14"/>
    </row>
    <row r="5000" spans="6:6" x14ac:dyDescent="0.3">
      <c r="F5000" s="14"/>
    </row>
    <row r="5001" spans="6:6" x14ac:dyDescent="0.3">
      <c r="F5001" s="14"/>
    </row>
    <row r="5002" spans="6:6" x14ac:dyDescent="0.3">
      <c r="F5002" s="14"/>
    </row>
    <row r="5003" spans="6:6" x14ac:dyDescent="0.3">
      <c r="F5003" s="14"/>
    </row>
    <row r="5004" spans="6:6" x14ac:dyDescent="0.3">
      <c r="F5004" s="14"/>
    </row>
    <row r="5005" spans="6:6" x14ac:dyDescent="0.3">
      <c r="F5005" s="14"/>
    </row>
    <row r="5006" spans="6:6" x14ac:dyDescent="0.3">
      <c r="F5006" s="14"/>
    </row>
    <row r="5007" spans="6:6" x14ac:dyDescent="0.3">
      <c r="F5007" s="14"/>
    </row>
    <row r="5008" spans="6:6" x14ac:dyDescent="0.3">
      <c r="F5008" s="14"/>
    </row>
    <row r="5009" spans="6:6" x14ac:dyDescent="0.3">
      <c r="F5009" s="14"/>
    </row>
    <row r="5010" spans="6:6" x14ac:dyDescent="0.3">
      <c r="F5010" s="14"/>
    </row>
    <row r="5011" spans="6:6" x14ac:dyDescent="0.3">
      <c r="F5011" s="14"/>
    </row>
    <row r="5012" spans="6:6" x14ac:dyDescent="0.3">
      <c r="F5012" s="14"/>
    </row>
    <row r="5013" spans="6:6" x14ac:dyDescent="0.3">
      <c r="F5013" s="14"/>
    </row>
    <row r="5014" spans="6:6" x14ac:dyDescent="0.3">
      <c r="F5014" s="14"/>
    </row>
    <row r="5015" spans="6:6" x14ac:dyDescent="0.3">
      <c r="F5015" s="14"/>
    </row>
    <row r="5016" spans="6:6" x14ac:dyDescent="0.3">
      <c r="F5016" s="14"/>
    </row>
    <row r="5017" spans="6:6" x14ac:dyDescent="0.3">
      <c r="F5017" s="14"/>
    </row>
    <row r="5018" spans="6:6" x14ac:dyDescent="0.3">
      <c r="F5018" s="14"/>
    </row>
    <row r="5019" spans="6:6" x14ac:dyDescent="0.3">
      <c r="F5019" s="14"/>
    </row>
    <row r="5020" spans="6:6" x14ac:dyDescent="0.3">
      <c r="F5020" s="14"/>
    </row>
    <row r="5021" spans="6:6" x14ac:dyDescent="0.3">
      <c r="F5021" s="14"/>
    </row>
    <row r="5022" spans="6:6" x14ac:dyDescent="0.3">
      <c r="F5022" s="14"/>
    </row>
    <row r="5023" spans="6:6" x14ac:dyDescent="0.3">
      <c r="F5023" s="14"/>
    </row>
    <row r="5024" spans="6:6" x14ac:dyDescent="0.3">
      <c r="F5024" s="14"/>
    </row>
    <row r="5025" spans="6:6" x14ac:dyDescent="0.3">
      <c r="F5025" s="14"/>
    </row>
    <row r="5026" spans="6:6" x14ac:dyDescent="0.3">
      <c r="F5026" s="14"/>
    </row>
    <row r="5027" spans="6:6" x14ac:dyDescent="0.3">
      <c r="F5027" s="14"/>
    </row>
    <row r="5028" spans="6:6" x14ac:dyDescent="0.3">
      <c r="F5028" s="14"/>
    </row>
    <row r="5029" spans="6:6" x14ac:dyDescent="0.3">
      <c r="F5029" s="14"/>
    </row>
    <row r="5030" spans="6:6" x14ac:dyDescent="0.3">
      <c r="F5030" s="14"/>
    </row>
    <row r="5031" spans="6:6" x14ac:dyDescent="0.3">
      <c r="F5031" s="14"/>
    </row>
    <row r="5032" spans="6:6" x14ac:dyDescent="0.3">
      <c r="F5032" s="14"/>
    </row>
    <row r="5033" spans="6:6" x14ac:dyDescent="0.3">
      <c r="F5033" s="14"/>
    </row>
    <row r="5034" spans="6:6" x14ac:dyDescent="0.3">
      <c r="F5034" s="14"/>
    </row>
    <row r="5035" spans="6:6" x14ac:dyDescent="0.3">
      <c r="F5035" s="14"/>
    </row>
    <row r="5036" spans="6:6" x14ac:dyDescent="0.3">
      <c r="F5036" s="14"/>
    </row>
    <row r="5037" spans="6:6" x14ac:dyDescent="0.3">
      <c r="F5037" s="14"/>
    </row>
    <row r="5038" spans="6:6" x14ac:dyDescent="0.3">
      <c r="F5038" s="14"/>
    </row>
    <row r="5039" spans="6:6" x14ac:dyDescent="0.3">
      <c r="F5039" s="14"/>
    </row>
    <row r="5040" spans="6:6" x14ac:dyDescent="0.3">
      <c r="F5040" s="14"/>
    </row>
    <row r="5041" spans="6:6" x14ac:dyDescent="0.3">
      <c r="F5041" s="14"/>
    </row>
    <row r="5042" spans="6:6" x14ac:dyDescent="0.3">
      <c r="F5042" s="14"/>
    </row>
    <row r="5043" spans="6:6" x14ac:dyDescent="0.3">
      <c r="F5043" s="14"/>
    </row>
    <row r="5044" spans="6:6" x14ac:dyDescent="0.3">
      <c r="F5044" s="14"/>
    </row>
    <row r="5045" spans="6:6" x14ac:dyDescent="0.3">
      <c r="F5045" s="14"/>
    </row>
    <row r="5046" spans="6:6" x14ac:dyDescent="0.3">
      <c r="F5046" s="14"/>
    </row>
    <row r="5047" spans="6:6" x14ac:dyDescent="0.3">
      <c r="F5047" s="14"/>
    </row>
    <row r="5048" spans="6:6" x14ac:dyDescent="0.3">
      <c r="F5048" s="14"/>
    </row>
    <row r="5049" spans="6:6" x14ac:dyDescent="0.3">
      <c r="F5049" s="14"/>
    </row>
    <row r="5050" spans="6:6" x14ac:dyDescent="0.3">
      <c r="F5050" s="14"/>
    </row>
    <row r="5051" spans="6:6" x14ac:dyDescent="0.3">
      <c r="F5051" s="14"/>
    </row>
    <row r="5052" spans="6:6" x14ac:dyDescent="0.3">
      <c r="F5052" s="14"/>
    </row>
    <row r="5053" spans="6:6" x14ac:dyDescent="0.3">
      <c r="F5053" s="14"/>
    </row>
    <row r="5054" spans="6:6" x14ac:dyDescent="0.3">
      <c r="F5054" s="14"/>
    </row>
    <row r="5055" spans="6:6" x14ac:dyDescent="0.3">
      <c r="F5055" s="14"/>
    </row>
    <row r="5056" spans="6:6" x14ac:dyDescent="0.3">
      <c r="F5056" s="14"/>
    </row>
    <row r="5057" spans="6:6" x14ac:dyDescent="0.3">
      <c r="F5057" s="14"/>
    </row>
    <row r="5058" spans="6:6" x14ac:dyDescent="0.3">
      <c r="F5058" s="14"/>
    </row>
    <row r="5059" spans="6:6" x14ac:dyDescent="0.3">
      <c r="F5059" s="14"/>
    </row>
    <row r="5060" spans="6:6" x14ac:dyDescent="0.3">
      <c r="F5060" s="14"/>
    </row>
    <row r="5061" spans="6:6" x14ac:dyDescent="0.3">
      <c r="F5061" s="14"/>
    </row>
    <row r="5062" spans="6:6" x14ac:dyDescent="0.3">
      <c r="F5062" s="14"/>
    </row>
    <row r="5063" spans="6:6" x14ac:dyDescent="0.3">
      <c r="F5063" s="14"/>
    </row>
    <row r="5064" spans="6:6" x14ac:dyDescent="0.3">
      <c r="F5064" s="14"/>
    </row>
    <row r="5065" spans="6:6" x14ac:dyDescent="0.3">
      <c r="F5065" s="14"/>
    </row>
    <row r="5066" spans="6:6" x14ac:dyDescent="0.3">
      <c r="F5066" s="14"/>
    </row>
    <row r="5067" spans="6:6" x14ac:dyDescent="0.3">
      <c r="F5067" s="14"/>
    </row>
    <row r="5068" spans="6:6" x14ac:dyDescent="0.3">
      <c r="F5068" s="14"/>
    </row>
    <row r="5069" spans="6:6" x14ac:dyDescent="0.3">
      <c r="F5069" s="14"/>
    </row>
    <row r="5070" spans="6:6" x14ac:dyDescent="0.3">
      <c r="F5070" s="14"/>
    </row>
    <row r="5071" spans="6:6" x14ac:dyDescent="0.3">
      <c r="F5071" s="14"/>
    </row>
    <row r="5072" spans="6:6" x14ac:dyDescent="0.3">
      <c r="F5072" s="14"/>
    </row>
    <row r="5073" spans="6:6" x14ac:dyDescent="0.3">
      <c r="F5073" s="14"/>
    </row>
    <row r="5074" spans="6:6" x14ac:dyDescent="0.3">
      <c r="F5074" s="14"/>
    </row>
    <row r="5075" spans="6:6" x14ac:dyDescent="0.3">
      <c r="F5075" s="14"/>
    </row>
    <row r="5076" spans="6:6" x14ac:dyDescent="0.3">
      <c r="F5076" s="14"/>
    </row>
    <row r="5077" spans="6:6" x14ac:dyDescent="0.3">
      <c r="F5077" s="14"/>
    </row>
    <row r="5078" spans="6:6" x14ac:dyDescent="0.3">
      <c r="F5078" s="14"/>
    </row>
    <row r="5079" spans="6:6" x14ac:dyDescent="0.3">
      <c r="F5079" s="14"/>
    </row>
    <row r="5080" spans="6:6" x14ac:dyDescent="0.3">
      <c r="F5080" s="14"/>
    </row>
    <row r="5081" spans="6:6" x14ac:dyDescent="0.3">
      <c r="F5081" s="14"/>
    </row>
    <row r="5082" spans="6:6" x14ac:dyDescent="0.3">
      <c r="F5082" s="14"/>
    </row>
    <row r="5083" spans="6:6" x14ac:dyDescent="0.3">
      <c r="F5083" s="14"/>
    </row>
    <row r="5084" spans="6:6" x14ac:dyDescent="0.3">
      <c r="F5084" s="14"/>
    </row>
    <row r="5085" spans="6:6" x14ac:dyDescent="0.3">
      <c r="F5085" s="14"/>
    </row>
    <row r="5086" spans="6:6" x14ac:dyDescent="0.3">
      <c r="F5086" s="14"/>
    </row>
    <row r="5087" spans="6:6" x14ac:dyDescent="0.3">
      <c r="F5087" s="14"/>
    </row>
    <row r="5088" spans="6:6" x14ac:dyDescent="0.3">
      <c r="F5088" s="14"/>
    </row>
    <row r="5089" spans="6:6" x14ac:dyDescent="0.3">
      <c r="F5089" s="14"/>
    </row>
    <row r="5090" spans="6:6" x14ac:dyDescent="0.3">
      <c r="F5090" s="14"/>
    </row>
    <row r="5091" spans="6:6" x14ac:dyDescent="0.3">
      <c r="F5091" s="14"/>
    </row>
    <row r="5092" spans="6:6" x14ac:dyDescent="0.3">
      <c r="F5092" s="14"/>
    </row>
    <row r="5093" spans="6:6" x14ac:dyDescent="0.3">
      <c r="F5093" s="14"/>
    </row>
    <row r="5094" spans="6:6" x14ac:dyDescent="0.3">
      <c r="F5094" s="14"/>
    </row>
    <row r="5095" spans="6:6" x14ac:dyDescent="0.3">
      <c r="F5095" s="14"/>
    </row>
    <row r="5096" spans="6:6" x14ac:dyDescent="0.3">
      <c r="F5096" s="14"/>
    </row>
    <row r="5097" spans="6:6" x14ac:dyDescent="0.3">
      <c r="F5097" s="14"/>
    </row>
    <row r="5098" spans="6:6" x14ac:dyDescent="0.3">
      <c r="F5098" s="14"/>
    </row>
    <row r="5099" spans="6:6" x14ac:dyDescent="0.3">
      <c r="F5099" s="14"/>
    </row>
    <row r="5100" spans="6:6" x14ac:dyDescent="0.3">
      <c r="F5100" s="14"/>
    </row>
    <row r="5101" spans="6:6" x14ac:dyDescent="0.3">
      <c r="F5101" s="14"/>
    </row>
    <row r="5102" spans="6:6" x14ac:dyDescent="0.3">
      <c r="F5102" s="14"/>
    </row>
    <row r="5103" spans="6:6" x14ac:dyDescent="0.3">
      <c r="F5103" s="14"/>
    </row>
    <row r="5104" spans="6:6" x14ac:dyDescent="0.3">
      <c r="F5104" s="14"/>
    </row>
    <row r="5105" spans="6:6" x14ac:dyDescent="0.3">
      <c r="F5105" s="14"/>
    </row>
    <row r="5106" spans="6:6" x14ac:dyDescent="0.3">
      <c r="F5106" s="14"/>
    </row>
    <row r="5107" spans="6:6" x14ac:dyDescent="0.3">
      <c r="F5107" s="14"/>
    </row>
    <row r="5108" spans="6:6" x14ac:dyDescent="0.3">
      <c r="F5108" s="14"/>
    </row>
    <row r="5109" spans="6:6" x14ac:dyDescent="0.3">
      <c r="F5109" s="14"/>
    </row>
    <row r="5110" spans="6:6" x14ac:dyDescent="0.3">
      <c r="F5110" s="14"/>
    </row>
    <row r="5111" spans="6:6" x14ac:dyDescent="0.3">
      <c r="F5111" s="14"/>
    </row>
    <row r="5112" spans="6:6" x14ac:dyDescent="0.3">
      <c r="F5112" s="14"/>
    </row>
    <row r="5113" spans="6:6" x14ac:dyDescent="0.3">
      <c r="F5113" s="14"/>
    </row>
    <row r="5114" spans="6:6" x14ac:dyDescent="0.3">
      <c r="F5114" s="14"/>
    </row>
    <row r="5115" spans="6:6" x14ac:dyDescent="0.3">
      <c r="F5115" s="14"/>
    </row>
    <row r="5116" spans="6:6" x14ac:dyDescent="0.3">
      <c r="F5116" s="14"/>
    </row>
    <row r="5117" spans="6:6" x14ac:dyDescent="0.3">
      <c r="F5117" s="14"/>
    </row>
    <row r="5118" spans="6:6" x14ac:dyDescent="0.3">
      <c r="F5118" s="14"/>
    </row>
    <row r="5119" spans="6:6" x14ac:dyDescent="0.3">
      <c r="F5119" s="14"/>
    </row>
    <row r="5120" spans="6:6" x14ac:dyDescent="0.3">
      <c r="F5120" s="14"/>
    </row>
    <row r="5121" spans="6:6" x14ac:dyDescent="0.3">
      <c r="F5121" s="14"/>
    </row>
    <row r="5122" spans="6:6" x14ac:dyDescent="0.3">
      <c r="F5122" s="14"/>
    </row>
    <row r="5123" spans="6:6" x14ac:dyDescent="0.3">
      <c r="F5123" s="14"/>
    </row>
    <row r="5124" spans="6:6" x14ac:dyDescent="0.3">
      <c r="F5124" s="14"/>
    </row>
    <row r="5125" spans="6:6" x14ac:dyDescent="0.3">
      <c r="F5125" s="14"/>
    </row>
    <row r="5126" spans="6:6" x14ac:dyDescent="0.3">
      <c r="F5126" s="14"/>
    </row>
    <row r="5127" spans="6:6" x14ac:dyDescent="0.3">
      <c r="F5127" s="14"/>
    </row>
    <row r="5128" spans="6:6" x14ac:dyDescent="0.3">
      <c r="F5128" s="14"/>
    </row>
    <row r="5129" spans="6:6" x14ac:dyDescent="0.3">
      <c r="F5129" s="14"/>
    </row>
    <row r="5130" spans="6:6" x14ac:dyDescent="0.3">
      <c r="F5130" s="14"/>
    </row>
    <row r="5131" spans="6:6" x14ac:dyDescent="0.3">
      <c r="F5131" s="14"/>
    </row>
    <row r="5132" spans="6:6" x14ac:dyDescent="0.3">
      <c r="F5132" s="14"/>
    </row>
    <row r="5133" spans="6:6" x14ac:dyDescent="0.3">
      <c r="F5133" s="14"/>
    </row>
    <row r="5134" spans="6:6" x14ac:dyDescent="0.3">
      <c r="F5134" s="14"/>
    </row>
    <row r="5135" spans="6:6" x14ac:dyDescent="0.3">
      <c r="F5135" s="14"/>
    </row>
    <row r="5136" spans="6:6" x14ac:dyDescent="0.3">
      <c r="F5136" s="14"/>
    </row>
    <row r="5137" spans="6:6" x14ac:dyDescent="0.3">
      <c r="F5137" s="14"/>
    </row>
    <row r="5138" spans="6:6" x14ac:dyDescent="0.3">
      <c r="F5138" s="14"/>
    </row>
    <row r="5139" spans="6:6" x14ac:dyDescent="0.3">
      <c r="F5139" s="14"/>
    </row>
    <row r="5140" spans="6:6" x14ac:dyDescent="0.3">
      <c r="F5140" s="14"/>
    </row>
    <row r="5141" spans="6:6" x14ac:dyDescent="0.3">
      <c r="F5141" s="14"/>
    </row>
    <row r="5142" spans="6:6" x14ac:dyDescent="0.3">
      <c r="F5142" s="14"/>
    </row>
    <row r="5143" spans="6:6" x14ac:dyDescent="0.3">
      <c r="F5143" s="14"/>
    </row>
    <row r="5144" spans="6:6" x14ac:dyDescent="0.3">
      <c r="F5144" s="14"/>
    </row>
    <row r="5145" spans="6:6" x14ac:dyDescent="0.3">
      <c r="F5145" s="14"/>
    </row>
    <row r="5146" spans="6:6" x14ac:dyDescent="0.3">
      <c r="F5146" s="14"/>
    </row>
    <row r="5147" spans="6:6" x14ac:dyDescent="0.3">
      <c r="F5147" s="14"/>
    </row>
    <row r="5148" spans="6:6" x14ac:dyDescent="0.3">
      <c r="F5148" s="14"/>
    </row>
    <row r="5149" spans="6:6" x14ac:dyDescent="0.3">
      <c r="F5149" s="14"/>
    </row>
    <row r="5150" spans="6:6" x14ac:dyDescent="0.3">
      <c r="F5150" s="14"/>
    </row>
    <row r="5151" spans="6:6" x14ac:dyDescent="0.3">
      <c r="F5151" s="14"/>
    </row>
    <row r="5152" spans="6:6" x14ac:dyDescent="0.3">
      <c r="F5152" s="14"/>
    </row>
    <row r="5153" spans="6:6" x14ac:dyDescent="0.3">
      <c r="F5153" s="14"/>
    </row>
    <row r="5154" spans="6:6" x14ac:dyDescent="0.3">
      <c r="F5154" s="14"/>
    </row>
    <row r="5155" spans="6:6" x14ac:dyDescent="0.3">
      <c r="F5155" s="14"/>
    </row>
    <row r="5156" spans="6:6" x14ac:dyDescent="0.3">
      <c r="F5156" s="14"/>
    </row>
    <row r="5157" spans="6:6" x14ac:dyDescent="0.3">
      <c r="F5157" s="14"/>
    </row>
    <row r="5158" spans="6:6" x14ac:dyDescent="0.3">
      <c r="F5158" s="14"/>
    </row>
    <row r="5159" spans="6:6" x14ac:dyDescent="0.3">
      <c r="F5159" s="14"/>
    </row>
    <row r="5160" spans="6:6" x14ac:dyDescent="0.3">
      <c r="F5160" s="14"/>
    </row>
    <row r="5161" spans="6:6" x14ac:dyDescent="0.3">
      <c r="F5161" s="14"/>
    </row>
    <row r="5162" spans="6:6" x14ac:dyDescent="0.3">
      <c r="F5162" s="14"/>
    </row>
    <row r="5163" spans="6:6" x14ac:dyDescent="0.3">
      <c r="F5163" s="14"/>
    </row>
    <row r="5164" spans="6:6" x14ac:dyDescent="0.3">
      <c r="F5164" s="14"/>
    </row>
    <row r="5165" spans="6:6" x14ac:dyDescent="0.3">
      <c r="F5165" s="14"/>
    </row>
    <row r="5166" spans="6:6" x14ac:dyDescent="0.3">
      <c r="F5166" s="14"/>
    </row>
    <row r="5167" spans="6:6" x14ac:dyDescent="0.3">
      <c r="F5167" s="14"/>
    </row>
    <row r="5168" spans="6:6" x14ac:dyDescent="0.3">
      <c r="F5168" s="14"/>
    </row>
    <row r="5169" spans="6:6" x14ac:dyDescent="0.3">
      <c r="F5169" s="14"/>
    </row>
    <row r="5170" spans="6:6" x14ac:dyDescent="0.3">
      <c r="F5170" s="14"/>
    </row>
    <row r="5171" spans="6:6" x14ac:dyDescent="0.3">
      <c r="F5171" s="14"/>
    </row>
    <row r="5172" spans="6:6" x14ac:dyDescent="0.3">
      <c r="F5172" s="14"/>
    </row>
    <row r="5173" spans="6:6" x14ac:dyDescent="0.3">
      <c r="F5173" s="14"/>
    </row>
    <row r="5174" spans="6:6" x14ac:dyDescent="0.3">
      <c r="F5174" s="14"/>
    </row>
    <row r="5175" spans="6:6" x14ac:dyDescent="0.3">
      <c r="F5175" s="14"/>
    </row>
    <row r="5176" spans="6:6" x14ac:dyDescent="0.3">
      <c r="F5176" s="14"/>
    </row>
    <row r="5177" spans="6:6" x14ac:dyDescent="0.3">
      <c r="F5177" s="14"/>
    </row>
    <row r="5178" spans="6:6" x14ac:dyDescent="0.3">
      <c r="F5178" s="14"/>
    </row>
    <row r="5179" spans="6:6" x14ac:dyDescent="0.3">
      <c r="F5179" s="14"/>
    </row>
    <row r="5180" spans="6:6" x14ac:dyDescent="0.3">
      <c r="F5180" s="14"/>
    </row>
    <row r="5181" spans="6:6" x14ac:dyDescent="0.3">
      <c r="F5181" s="14"/>
    </row>
    <row r="5182" spans="6:6" x14ac:dyDescent="0.3">
      <c r="F5182" s="14"/>
    </row>
    <row r="5183" spans="6:6" x14ac:dyDescent="0.3">
      <c r="F5183" s="14"/>
    </row>
    <row r="5184" spans="6:6" x14ac:dyDescent="0.3">
      <c r="F5184" s="14"/>
    </row>
    <row r="5185" spans="6:6" x14ac:dyDescent="0.3">
      <c r="F5185" s="14"/>
    </row>
    <row r="5186" spans="6:6" x14ac:dyDescent="0.3">
      <c r="F5186" s="14"/>
    </row>
    <row r="5187" spans="6:6" x14ac:dyDescent="0.3">
      <c r="F5187" s="14"/>
    </row>
    <row r="5188" spans="6:6" x14ac:dyDescent="0.3">
      <c r="F5188" s="14"/>
    </row>
    <row r="5189" spans="6:6" x14ac:dyDescent="0.3">
      <c r="F5189" s="14"/>
    </row>
    <row r="5190" spans="6:6" x14ac:dyDescent="0.3">
      <c r="F5190" s="14"/>
    </row>
    <row r="5191" spans="6:6" x14ac:dyDescent="0.3">
      <c r="F5191" s="14"/>
    </row>
    <row r="5192" spans="6:6" x14ac:dyDescent="0.3">
      <c r="F5192" s="14"/>
    </row>
    <row r="5193" spans="6:6" x14ac:dyDescent="0.3">
      <c r="F5193" s="14"/>
    </row>
    <row r="5194" spans="6:6" x14ac:dyDescent="0.3">
      <c r="F5194" s="14"/>
    </row>
    <row r="5195" spans="6:6" x14ac:dyDescent="0.3">
      <c r="F5195" s="14"/>
    </row>
    <row r="5196" spans="6:6" x14ac:dyDescent="0.3">
      <c r="F5196" s="14"/>
    </row>
    <row r="5197" spans="6:6" x14ac:dyDescent="0.3">
      <c r="F5197" s="14"/>
    </row>
    <row r="5198" spans="6:6" x14ac:dyDescent="0.3">
      <c r="F5198" s="14"/>
    </row>
    <row r="5199" spans="6:6" x14ac:dyDescent="0.3">
      <c r="F5199" s="14"/>
    </row>
    <row r="5200" spans="6:6" x14ac:dyDescent="0.3">
      <c r="F5200" s="14"/>
    </row>
    <row r="5201" spans="6:6" x14ac:dyDescent="0.3">
      <c r="F5201" s="14"/>
    </row>
    <row r="5202" spans="6:6" x14ac:dyDescent="0.3">
      <c r="F5202" s="14"/>
    </row>
    <row r="5203" spans="6:6" x14ac:dyDescent="0.3">
      <c r="F5203" s="14"/>
    </row>
    <row r="5204" spans="6:6" x14ac:dyDescent="0.3">
      <c r="F5204" s="14"/>
    </row>
    <row r="5205" spans="6:6" x14ac:dyDescent="0.3">
      <c r="F5205" s="14"/>
    </row>
    <row r="5206" spans="6:6" x14ac:dyDescent="0.3">
      <c r="F5206" s="14"/>
    </row>
    <row r="5207" spans="6:6" x14ac:dyDescent="0.3">
      <c r="F5207" s="14"/>
    </row>
    <row r="5208" spans="6:6" x14ac:dyDescent="0.3">
      <c r="F5208" s="14"/>
    </row>
    <row r="5209" spans="6:6" x14ac:dyDescent="0.3">
      <c r="F5209" s="14"/>
    </row>
    <row r="5210" spans="6:6" x14ac:dyDescent="0.3">
      <c r="F5210" s="14"/>
    </row>
    <row r="5211" spans="6:6" x14ac:dyDescent="0.3">
      <c r="F5211" s="14"/>
    </row>
    <row r="5212" spans="6:6" x14ac:dyDescent="0.3">
      <c r="F5212" s="14"/>
    </row>
    <row r="5213" spans="6:6" x14ac:dyDescent="0.3">
      <c r="F5213" s="14"/>
    </row>
    <row r="5214" spans="6:6" x14ac:dyDescent="0.3">
      <c r="F5214" s="14"/>
    </row>
    <row r="5215" spans="6:6" x14ac:dyDescent="0.3">
      <c r="F5215" s="14"/>
    </row>
    <row r="5216" spans="6:6" x14ac:dyDescent="0.3">
      <c r="F5216" s="14"/>
    </row>
    <row r="5217" spans="6:6" x14ac:dyDescent="0.3">
      <c r="F5217" s="14"/>
    </row>
    <row r="5218" spans="6:6" x14ac:dyDescent="0.3">
      <c r="F5218" s="14"/>
    </row>
    <row r="5219" spans="6:6" x14ac:dyDescent="0.3">
      <c r="F5219" s="14"/>
    </row>
    <row r="5220" spans="6:6" x14ac:dyDescent="0.3">
      <c r="F5220" s="14"/>
    </row>
    <row r="5221" spans="6:6" x14ac:dyDescent="0.3">
      <c r="F5221" s="14"/>
    </row>
    <row r="5222" spans="6:6" x14ac:dyDescent="0.3">
      <c r="F5222" s="14"/>
    </row>
    <row r="5223" spans="6:6" x14ac:dyDescent="0.3">
      <c r="F5223" s="14"/>
    </row>
    <row r="5224" spans="6:6" x14ac:dyDescent="0.3">
      <c r="F5224" s="14"/>
    </row>
    <row r="5225" spans="6:6" x14ac:dyDescent="0.3">
      <c r="F5225" s="14"/>
    </row>
    <row r="5226" spans="6:6" x14ac:dyDescent="0.3">
      <c r="F5226" s="14"/>
    </row>
    <row r="5227" spans="6:6" x14ac:dyDescent="0.3">
      <c r="F5227" s="14"/>
    </row>
    <row r="5228" spans="6:6" x14ac:dyDescent="0.3">
      <c r="F5228" s="14"/>
    </row>
    <row r="5229" spans="6:6" x14ac:dyDescent="0.3">
      <c r="F5229" s="14"/>
    </row>
    <row r="5230" spans="6:6" x14ac:dyDescent="0.3">
      <c r="F5230" s="14"/>
    </row>
    <row r="5231" spans="6:6" x14ac:dyDescent="0.3">
      <c r="F5231" s="14"/>
    </row>
    <row r="5232" spans="6:6" x14ac:dyDescent="0.3">
      <c r="F5232" s="14"/>
    </row>
    <row r="5233" spans="6:6" x14ac:dyDescent="0.3">
      <c r="F5233" s="14"/>
    </row>
    <row r="5234" spans="6:6" x14ac:dyDescent="0.3">
      <c r="F5234" s="14"/>
    </row>
    <row r="5235" spans="6:6" x14ac:dyDescent="0.3">
      <c r="F5235" s="14"/>
    </row>
    <row r="5236" spans="6:6" x14ac:dyDescent="0.3">
      <c r="F5236" s="14"/>
    </row>
    <row r="5237" spans="6:6" x14ac:dyDescent="0.3">
      <c r="F5237" s="14"/>
    </row>
    <row r="5238" spans="6:6" x14ac:dyDescent="0.3">
      <c r="F5238" s="14"/>
    </row>
    <row r="5239" spans="6:6" x14ac:dyDescent="0.3">
      <c r="F5239" s="14"/>
    </row>
    <row r="5240" spans="6:6" x14ac:dyDescent="0.3">
      <c r="F5240" s="14"/>
    </row>
    <row r="5241" spans="6:6" x14ac:dyDescent="0.3">
      <c r="F5241" s="14"/>
    </row>
    <row r="5242" spans="6:6" x14ac:dyDescent="0.3">
      <c r="F5242" s="14"/>
    </row>
    <row r="5243" spans="6:6" x14ac:dyDescent="0.3">
      <c r="F5243" s="14"/>
    </row>
    <row r="5244" spans="6:6" x14ac:dyDescent="0.3">
      <c r="F5244" s="14"/>
    </row>
    <row r="5245" spans="6:6" x14ac:dyDescent="0.3">
      <c r="F5245" s="14"/>
    </row>
    <row r="5246" spans="6:6" x14ac:dyDescent="0.3">
      <c r="F5246" s="14"/>
    </row>
    <row r="5247" spans="6:6" x14ac:dyDescent="0.3">
      <c r="F5247" s="14"/>
    </row>
    <row r="5248" spans="6:6" x14ac:dyDescent="0.3">
      <c r="F5248" s="14"/>
    </row>
    <row r="5249" spans="6:6" x14ac:dyDescent="0.3">
      <c r="F5249" s="14"/>
    </row>
    <row r="5250" spans="6:6" x14ac:dyDescent="0.3">
      <c r="F5250" s="14"/>
    </row>
    <row r="5251" spans="6:6" x14ac:dyDescent="0.3">
      <c r="F5251" s="14"/>
    </row>
    <row r="5252" spans="6:6" x14ac:dyDescent="0.3">
      <c r="F5252" s="14"/>
    </row>
    <row r="5253" spans="6:6" x14ac:dyDescent="0.3">
      <c r="F5253" s="14"/>
    </row>
    <row r="5254" spans="6:6" x14ac:dyDescent="0.3">
      <c r="F5254" s="14"/>
    </row>
    <row r="5255" spans="6:6" x14ac:dyDescent="0.3">
      <c r="F5255" s="14"/>
    </row>
    <row r="5256" spans="6:6" x14ac:dyDescent="0.3">
      <c r="F5256" s="14"/>
    </row>
    <row r="5257" spans="6:6" x14ac:dyDescent="0.3">
      <c r="F5257" s="14"/>
    </row>
    <row r="5258" spans="6:6" x14ac:dyDescent="0.3">
      <c r="F5258" s="14"/>
    </row>
    <row r="5259" spans="6:6" x14ac:dyDescent="0.3">
      <c r="F5259" s="14"/>
    </row>
    <row r="5260" spans="6:6" x14ac:dyDescent="0.3">
      <c r="F5260" s="14"/>
    </row>
    <row r="5261" spans="6:6" x14ac:dyDescent="0.3">
      <c r="F5261" s="14"/>
    </row>
    <row r="5262" spans="6:6" x14ac:dyDescent="0.3">
      <c r="F5262" s="14"/>
    </row>
    <row r="5263" spans="6:6" x14ac:dyDescent="0.3">
      <c r="F5263" s="14"/>
    </row>
    <row r="5264" spans="6:6" x14ac:dyDescent="0.3">
      <c r="F5264" s="14"/>
    </row>
    <row r="5265" spans="6:6" x14ac:dyDescent="0.3">
      <c r="F5265" s="14"/>
    </row>
    <row r="5266" spans="6:6" x14ac:dyDescent="0.3">
      <c r="F5266" s="14"/>
    </row>
    <row r="5267" spans="6:6" x14ac:dyDescent="0.3">
      <c r="F5267" s="14"/>
    </row>
    <row r="5268" spans="6:6" x14ac:dyDescent="0.3">
      <c r="F5268" s="14"/>
    </row>
    <row r="5269" spans="6:6" x14ac:dyDescent="0.3">
      <c r="F5269" s="14"/>
    </row>
    <row r="5270" spans="6:6" x14ac:dyDescent="0.3">
      <c r="F5270" s="14"/>
    </row>
    <row r="5271" spans="6:6" x14ac:dyDescent="0.3">
      <c r="F5271" s="14"/>
    </row>
    <row r="5272" spans="6:6" x14ac:dyDescent="0.3">
      <c r="F5272" s="14"/>
    </row>
    <row r="5273" spans="6:6" x14ac:dyDescent="0.3">
      <c r="F5273" s="14"/>
    </row>
    <row r="5274" spans="6:6" x14ac:dyDescent="0.3">
      <c r="F5274" s="14"/>
    </row>
    <row r="5275" spans="6:6" x14ac:dyDescent="0.3">
      <c r="F5275" s="14"/>
    </row>
    <row r="5276" spans="6:6" x14ac:dyDescent="0.3">
      <c r="F5276" s="14"/>
    </row>
    <row r="5277" spans="6:6" x14ac:dyDescent="0.3">
      <c r="F5277" s="14"/>
    </row>
    <row r="5278" spans="6:6" x14ac:dyDescent="0.3">
      <c r="F5278" s="14"/>
    </row>
    <row r="5279" spans="6:6" x14ac:dyDescent="0.3">
      <c r="F5279" s="14"/>
    </row>
    <row r="5280" spans="6:6" x14ac:dyDescent="0.3">
      <c r="F5280" s="14"/>
    </row>
    <row r="5281" spans="6:6" x14ac:dyDescent="0.3">
      <c r="F5281" s="14"/>
    </row>
    <row r="5282" spans="6:6" x14ac:dyDescent="0.3">
      <c r="F5282" s="14"/>
    </row>
    <row r="5283" spans="6:6" x14ac:dyDescent="0.3">
      <c r="F5283" s="14"/>
    </row>
    <row r="5284" spans="6:6" x14ac:dyDescent="0.3">
      <c r="F5284" s="14"/>
    </row>
    <row r="5285" spans="6:6" x14ac:dyDescent="0.3">
      <c r="F5285" s="14"/>
    </row>
    <row r="5286" spans="6:6" x14ac:dyDescent="0.3">
      <c r="F5286" s="14"/>
    </row>
    <row r="5287" spans="6:6" x14ac:dyDescent="0.3">
      <c r="F5287" s="14"/>
    </row>
    <row r="5288" spans="6:6" x14ac:dyDescent="0.3">
      <c r="F5288" s="14"/>
    </row>
    <row r="5289" spans="6:6" x14ac:dyDescent="0.3">
      <c r="F5289" s="14"/>
    </row>
    <row r="5290" spans="6:6" x14ac:dyDescent="0.3">
      <c r="F5290" s="14"/>
    </row>
    <row r="5291" spans="6:6" x14ac:dyDescent="0.3">
      <c r="F5291" s="14"/>
    </row>
    <row r="5292" spans="6:6" x14ac:dyDescent="0.3">
      <c r="F5292" s="14"/>
    </row>
    <row r="5293" spans="6:6" x14ac:dyDescent="0.3">
      <c r="F5293" s="14"/>
    </row>
    <row r="5294" spans="6:6" x14ac:dyDescent="0.3">
      <c r="F5294" s="14"/>
    </row>
    <row r="5295" spans="6:6" x14ac:dyDescent="0.3">
      <c r="F5295" s="14"/>
    </row>
    <row r="5296" spans="6:6" x14ac:dyDescent="0.3">
      <c r="F5296" s="14"/>
    </row>
    <row r="5297" spans="6:6" x14ac:dyDescent="0.3">
      <c r="F5297" s="14"/>
    </row>
    <row r="5298" spans="6:6" x14ac:dyDescent="0.3">
      <c r="F5298" s="14"/>
    </row>
    <row r="5299" spans="6:6" x14ac:dyDescent="0.3">
      <c r="F5299" s="14"/>
    </row>
    <row r="5300" spans="6:6" x14ac:dyDescent="0.3">
      <c r="F5300" s="14"/>
    </row>
    <row r="5301" spans="6:6" x14ac:dyDescent="0.3">
      <c r="F5301" s="14"/>
    </row>
    <row r="5302" spans="6:6" x14ac:dyDescent="0.3">
      <c r="F5302" s="14"/>
    </row>
    <row r="5303" spans="6:6" x14ac:dyDescent="0.3">
      <c r="F5303" s="14"/>
    </row>
    <row r="5304" spans="6:6" x14ac:dyDescent="0.3">
      <c r="F5304" s="14"/>
    </row>
    <row r="5305" spans="6:6" x14ac:dyDescent="0.3">
      <c r="F5305" s="14"/>
    </row>
    <row r="5306" spans="6:6" x14ac:dyDescent="0.3">
      <c r="F5306" s="14"/>
    </row>
    <row r="5307" spans="6:6" x14ac:dyDescent="0.3">
      <c r="F5307" s="14"/>
    </row>
    <row r="5308" spans="6:6" x14ac:dyDescent="0.3">
      <c r="F5308" s="14"/>
    </row>
    <row r="5309" spans="6:6" x14ac:dyDescent="0.3">
      <c r="F5309" s="14"/>
    </row>
    <row r="5310" spans="6:6" x14ac:dyDescent="0.3">
      <c r="F5310" s="14"/>
    </row>
    <row r="5311" spans="6:6" x14ac:dyDescent="0.3">
      <c r="F5311" s="14"/>
    </row>
    <row r="5312" spans="6:6" x14ac:dyDescent="0.3">
      <c r="F5312" s="14"/>
    </row>
    <row r="5313" spans="6:6" x14ac:dyDescent="0.3">
      <c r="F5313" s="14"/>
    </row>
    <row r="5314" spans="6:6" x14ac:dyDescent="0.3">
      <c r="F5314" s="14"/>
    </row>
    <row r="5315" spans="6:6" x14ac:dyDescent="0.3">
      <c r="F5315" s="14"/>
    </row>
    <row r="5316" spans="6:6" x14ac:dyDescent="0.3">
      <c r="F5316" s="14"/>
    </row>
    <row r="5317" spans="6:6" x14ac:dyDescent="0.3">
      <c r="F5317" s="14"/>
    </row>
    <row r="5318" spans="6:6" x14ac:dyDescent="0.3">
      <c r="F5318" s="14"/>
    </row>
    <row r="5319" spans="6:6" x14ac:dyDescent="0.3">
      <c r="F5319" s="14"/>
    </row>
    <row r="5320" spans="6:6" x14ac:dyDescent="0.3">
      <c r="F5320" s="14"/>
    </row>
    <row r="5321" spans="6:6" x14ac:dyDescent="0.3">
      <c r="F5321" s="14"/>
    </row>
    <row r="5322" spans="6:6" x14ac:dyDescent="0.3">
      <c r="F5322" s="14"/>
    </row>
    <row r="5323" spans="6:6" x14ac:dyDescent="0.3">
      <c r="F5323" s="14"/>
    </row>
    <row r="5324" spans="6:6" x14ac:dyDescent="0.3">
      <c r="F5324" s="14"/>
    </row>
    <row r="5325" spans="6:6" x14ac:dyDescent="0.3">
      <c r="F5325" s="14"/>
    </row>
    <row r="5326" spans="6:6" x14ac:dyDescent="0.3">
      <c r="F5326" s="14"/>
    </row>
    <row r="5327" spans="6:6" x14ac:dyDescent="0.3">
      <c r="F5327" s="14"/>
    </row>
    <row r="5328" spans="6:6" x14ac:dyDescent="0.3">
      <c r="F5328" s="14"/>
    </row>
    <row r="5329" spans="6:6" x14ac:dyDescent="0.3">
      <c r="F5329" s="14"/>
    </row>
    <row r="5330" spans="6:6" x14ac:dyDescent="0.3">
      <c r="F5330" s="14"/>
    </row>
    <row r="5331" spans="6:6" x14ac:dyDescent="0.3">
      <c r="F5331" s="14"/>
    </row>
    <row r="5332" spans="6:6" x14ac:dyDescent="0.3">
      <c r="F5332" s="14"/>
    </row>
    <row r="5333" spans="6:6" x14ac:dyDescent="0.3">
      <c r="F5333" s="14"/>
    </row>
    <row r="5334" spans="6:6" x14ac:dyDescent="0.3">
      <c r="F5334" s="14"/>
    </row>
    <row r="5335" spans="6:6" x14ac:dyDescent="0.3">
      <c r="F5335" s="14"/>
    </row>
    <row r="5336" spans="6:6" x14ac:dyDescent="0.3">
      <c r="F5336" s="14"/>
    </row>
    <row r="5337" spans="6:6" x14ac:dyDescent="0.3">
      <c r="F5337" s="14"/>
    </row>
    <row r="5338" spans="6:6" x14ac:dyDescent="0.3">
      <c r="F5338" s="14"/>
    </row>
    <row r="5339" spans="6:6" x14ac:dyDescent="0.3">
      <c r="F5339" s="14"/>
    </row>
    <row r="5340" spans="6:6" x14ac:dyDescent="0.3">
      <c r="F5340" s="14"/>
    </row>
    <row r="5341" spans="6:6" x14ac:dyDescent="0.3">
      <c r="F5341" s="14"/>
    </row>
    <row r="5342" spans="6:6" x14ac:dyDescent="0.3">
      <c r="F5342" s="14"/>
    </row>
    <row r="5343" spans="6:6" x14ac:dyDescent="0.3">
      <c r="F5343" s="14"/>
    </row>
    <row r="5344" spans="6:6" x14ac:dyDescent="0.3">
      <c r="F5344" s="14"/>
    </row>
    <row r="5345" spans="6:6" x14ac:dyDescent="0.3">
      <c r="F5345" s="14"/>
    </row>
    <row r="5346" spans="6:6" x14ac:dyDescent="0.3">
      <c r="F5346" s="14"/>
    </row>
    <row r="5347" spans="6:6" x14ac:dyDescent="0.3">
      <c r="F5347" s="14"/>
    </row>
    <row r="5348" spans="6:6" x14ac:dyDescent="0.3">
      <c r="F5348" s="14"/>
    </row>
    <row r="5349" spans="6:6" x14ac:dyDescent="0.3">
      <c r="F5349" s="14"/>
    </row>
    <row r="5350" spans="6:6" x14ac:dyDescent="0.3">
      <c r="F5350" s="14"/>
    </row>
    <row r="5351" spans="6:6" x14ac:dyDescent="0.3">
      <c r="F5351" s="14"/>
    </row>
    <row r="5352" spans="6:6" x14ac:dyDescent="0.3">
      <c r="F5352" s="14"/>
    </row>
    <row r="5353" spans="6:6" x14ac:dyDescent="0.3">
      <c r="F5353" s="14"/>
    </row>
    <row r="5354" spans="6:6" x14ac:dyDescent="0.3">
      <c r="F5354" s="14"/>
    </row>
    <row r="5355" spans="6:6" x14ac:dyDescent="0.3">
      <c r="F5355" s="14"/>
    </row>
    <row r="5356" spans="6:6" x14ac:dyDescent="0.3">
      <c r="F5356" s="14"/>
    </row>
    <row r="5357" spans="6:6" x14ac:dyDescent="0.3">
      <c r="F5357" s="14"/>
    </row>
    <row r="5358" spans="6:6" x14ac:dyDescent="0.3">
      <c r="F5358" s="14"/>
    </row>
    <row r="5359" spans="6:6" x14ac:dyDescent="0.3">
      <c r="F5359" s="14"/>
    </row>
    <row r="5360" spans="6:6" x14ac:dyDescent="0.3">
      <c r="F5360" s="14"/>
    </row>
    <row r="5361" spans="6:6" x14ac:dyDescent="0.3">
      <c r="F5361" s="14"/>
    </row>
    <row r="5362" spans="6:6" x14ac:dyDescent="0.3">
      <c r="F5362" s="14"/>
    </row>
    <row r="5363" spans="6:6" x14ac:dyDescent="0.3">
      <c r="F5363" s="14"/>
    </row>
    <row r="5364" spans="6:6" x14ac:dyDescent="0.3">
      <c r="F5364" s="14"/>
    </row>
    <row r="5365" spans="6:6" x14ac:dyDescent="0.3">
      <c r="F5365" s="14"/>
    </row>
    <row r="5366" spans="6:6" x14ac:dyDescent="0.3">
      <c r="F5366" s="14"/>
    </row>
    <row r="5367" spans="6:6" x14ac:dyDescent="0.3">
      <c r="F5367" s="14"/>
    </row>
    <row r="5368" spans="6:6" x14ac:dyDescent="0.3">
      <c r="F5368" s="14"/>
    </row>
    <row r="5369" spans="6:6" x14ac:dyDescent="0.3">
      <c r="F5369" s="14"/>
    </row>
    <row r="5370" spans="6:6" x14ac:dyDescent="0.3">
      <c r="F5370" s="14"/>
    </row>
    <row r="5371" spans="6:6" x14ac:dyDescent="0.3">
      <c r="F5371" s="14"/>
    </row>
    <row r="5372" spans="6:6" x14ac:dyDescent="0.3">
      <c r="F5372" s="14"/>
    </row>
    <row r="5373" spans="6:6" x14ac:dyDescent="0.3">
      <c r="F5373" s="14"/>
    </row>
    <row r="5374" spans="6:6" x14ac:dyDescent="0.3">
      <c r="F5374" s="14"/>
    </row>
    <row r="5375" spans="6:6" x14ac:dyDescent="0.3">
      <c r="F5375" s="14"/>
    </row>
    <row r="5376" spans="6:6" x14ac:dyDescent="0.3">
      <c r="F5376" s="14"/>
    </row>
    <row r="5377" spans="6:6" x14ac:dyDescent="0.3">
      <c r="F5377" s="14"/>
    </row>
    <row r="5378" spans="6:6" x14ac:dyDescent="0.3">
      <c r="F5378" s="14"/>
    </row>
    <row r="5379" spans="6:6" x14ac:dyDescent="0.3">
      <c r="F5379" s="14"/>
    </row>
    <row r="5380" spans="6:6" x14ac:dyDescent="0.3">
      <c r="F5380" s="14"/>
    </row>
    <row r="5381" spans="6:6" x14ac:dyDescent="0.3">
      <c r="F5381" s="14"/>
    </row>
    <row r="5382" spans="6:6" x14ac:dyDescent="0.3">
      <c r="F5382" s="14"/>
    </row>
    <row r="5383" spans="6:6" x14ac:dyDescent="0.3">
      <c r="F5383" s="14"/>
    </row>
    <row r="5384" spans="6:6" x14ac:dyDescent="0.3">
      <c r="F5384" s="14"/>
    </row>
    <row r="5385" spans="6:6" x14ac:dyDescent="0.3">
      <c r="F5385" s="14"/>
    </row>
    <row r="5386" spans="6:6" x14ac:dyDescent="0.3">
      <c r="F5386" s="14"/>
    </row>
    <row r="5387" spans="6:6" x14ac:dyDescent="0.3">
      <c r="F5387" s="14"/>
    </row>
    <row r="5388" spans="6:6" x14ac:dyDescent="0.3">
      <c r="F5388" s="14"/>
    </row>
    <row r="5389" spans="6:6" x14ac:dyDescent="0.3">
      <c r="F5389" s="14"/>
    </row>
    <row r="5390" spans="6:6" x14ac:dyDescent="0.3">
      <c r="F5390" s="14"/>
    </row>
    <row r="5391" spans="6:6" x14ac:dyDescent="0.3">
      <c r="F5391" s="14"/>
    </row>
    <row r="5392" spans="6:6" x14ac:dyDescent="0.3">
      <c r="F5392" s="14"/>
    </row>
    <row r="5393" spans="6:6" x14ac:dyDescent="0.3">
      <c r="F5393" s="14"/>
    </row>
    <row r="5394" spans="6:6" x14ac:dyDescent="0.3">
      <c r="F5394" s="14"/>
    </row>
    <row r="5395" spans="6:6" x14ac:dyDescent="0.3">
      <c r="F5395" s="14"/>
    </row>
    <row r="5396" spans="6:6" x14ac:dyDescent="0.3">
      <c r="F5396" s="14"/>
    </row>
    <row r="5397" spans="6:6" x14ac:dyDescent="0.3">
      <c r="F5397" s="14"/>
    </row>
    <row r="5398" spans="6:6" x14ac:dyDescent="0.3">
      <c r="F5398" s="14"/>
    </row>
    <row r="5399" spans="6:6" x14ac:dyDescent="0.3">
      <c r="F5399" s="14"/>
    </row>
    <row r="5400" spans="6:6" x14ac:dyDescent="0.3">
      <c r="F5400" s="14"/>
    </row>
    <row r="5401" spans="6:6" x14ac:dyDescent="0.3">
      <c r="F5401" s="14"/>
    </row>
    <row r="5402" spans="6:6" x14ac:dyDescent="0.3">
      <c r="F5402" s="14"/>
    </row>
    <row r="5403" spans="6:6" x14ac:dyDescent="0.3">
      <c r="F5403" s="14"/>
    </row>
    <row r="5404" spans="6:6" x14ac:dyDescent="0.3">
      <c r="F5404" s="14"/>
    </row>
    <row r="5405" spans="6:6" x14ac:dyDescent="0.3">
      <c r="F5405" s="14"/>
    </row>
    <row r="5406" spans="6:6" x14ac:dyDescent="0.3">
      <c r="F5406" s="14"/>
    </row>
    <row r="5407" spans="6:6" x14ac:dyDescent="0.3">
      <c r="F5407" s="14"/>
    </row>
    <row r="5408" spans="6:6" x14ac:dyDescent="0.3">
      <c r="F5408" s="14"/>
    </row>
    <row r="5409" spans="6:6" x14ac:dyDescent="0.3">
      <c r="F5409" s="14"/>
    </row>
    <row r="5410" spans="6:6" x14ac:dyDescent="0.3">
      <c r="F5410" s="14"/>
    </row>
    <row r="5411" spans="6:6" x14ac:dyDescent="0.3">
      <c r="F5411" s="14"/>
    </row>
    <row r="5412" spans="6:6" x14ac:dyDescent="0.3">
      <c r="F5412" s="14"/>
    </row>
    <row r="5413" spans="6:6" x14ac:dyDescent="0.3">
      <c r="F5413" s="14"/>
    </row>
    <row r="5414" spans="6:6" x14ac:dyDescent="0.3">
      <c r="F5414" s="14"/>
    </row>
    <row r="5415" spans="6:6" x14ac:dyDescent="0.3">
      <c r="F5415" s="14"/>
    </row>
    <row r="5416" spans="6:6" x14ac:dyDescent="0.3">
      <c r="F5416" s="14"/>
    </row>
    <row r="5417" spans="6:6" x14ac:dyDescent="0.3">
      <c r="F5417" s="14"/>
    </row>
    <row r="5418" spans="6:6" x14ac:dyDescent="0.3">
      <c r="F5418" s="14"/>
    </row>
    <row r="5419" spans="6:6" x14ac:dyDescent="0.3">
      <c r="F5419" s="14"/>
    </row>
    <row r="5420" spans="6:6" x14ac:dyDescent="0.3">
      <c r="F5420" s="14"/>
    </row>
    <row r="5421" spans="6:6" x14ac:dyDescent="0.3">
      <c r="F5421" s="14"/>
    </row>
    <row r="5422" spans="6:6" x14ac:dyDescent="0.3">
      <c r="F5422" s="14"/>
    </row>
    <row r="5423" spans="6:6" x14ac:dyDescent="0.3">
      <c r="F5423" s="14"/>
    </row>
    <row r="5424" spans="6:6" x14ac:dyDescent="0.3">
      <c r="F5424" s="14"/>
    </row>
    <row r="5425" spans="6:6" x14ac:dyDescent="0.3">
      <c r="F5425" s="14"/>
    </row>
    <row r="5426" spans="6:6" x14ac:dyDescent="0.3">
      <c r="F5426" s="14"/>
    </row>
    <row r="5427" spans="6:6" x14ac:dyDescent="0.3">
      <c r="F5427" s="14"/>
    </row>
    <row r="5428" spans="6:6" x14ac:dyDescent="0.3">
      <c r="F5428" s="14"/>
    </row>
    <row r="5429" spans="6:6" x14ac:dyDescent="0.3">
      <c r="F5429" s="14"/>
    </row>
    <row r="5430" spans="6:6" x14ac:dyDescent="0.3">
      <c r="F5430" s="14"/>
    </row>
    <row r="5431" spans="6:6" x14ac:dyDescent="0.3">
      <c r="F5431" s="14"/>
    </row>
    <row r="5432" spans="6:6" x14ac:dyDescent="0.3">
      <c r="F5432" s="14"/>
    </row>
    <row r="5433" spans="6:6" x14ac:dyDescent="0.3">
      <c r="F5433" s="14"/>
    </row>
    <row r="5434" spans="6:6" x14ac:dyDescent="0.3">
      <c r="F5434" s="14"/>
    </row>
    <row r="5435" spans="6:6" x14ac:dyDescent="0.3">
      <c r="F5435" s="14"/>
    </row>
    <row r="5436" spans="6:6" x14ac:dyDescent="0.3">
      <c r="F5436" s="14"/>
    </row>
    <row r="5437" spans="6:6" x14ac:dyDescent="0.3">
      <c r="F5437" s="14"/>
    </row>
    <row r="5438" spans="6:6" x14ac:dyDescent="0.3">
      <c r="F5438" s="14"/>
    </row>
    <row r="5439" spans="6:6" x14ac:dyDescent="0.3">
      <c r="F5439" s="14"/>
    </row>
    <row r="5440" spans="6:6" x14ac:dyDescent="0.3">
      <c r="F5440" s="14"/>
    </row>
    <row r="5441" spans="6:6" x14ac:dyDescent="0.3">
      <c r="F5441" s="14"/>
    </row>
    <row r="5442" spans="6:6" x14ac:dyDescent="0.3">
      <c r="F5442" s="14"/>
    </row>
    <row r="5443" spans="6:6" x14ac:dyDescent="0.3">
      <c r="F5443" s="14"/>
    </row>
    <row r="5444" spans="6:6" x14ac:dyDescent="0.3">
      <c r="F5444" s="14"/>
    </row>
    <row r="5445" spans="6:6" x14ac:dyDescent="0.3">
      <c r="F5445" s="14"/>
    </row>
    <row r="5446" spans="6:6" x14ac:dyDescent="0.3">
      <c r="F5446" s="14"/>
    </row>
    <row r="5447" spans="6:6" x14ac:dyDescent="0.3">
      <c r="F5447" s="14"/>
    </row>
    <row r="5448" spans="6:6" x14ac:dyDescent="0.3">
      <c r="F5448" s="14"/>
    </row>
    <row r="5449" spans="6:6" x14ac:dyDescent="0.3">
      <c r="F5449" s="14"/>
    </row>
    <row r="5450" spans="6:6" x14ac:dyDescent="0.3">
      <c r="F5450" s="14"/>
    </row>
    <row r="5451" spans="6:6" x14ac:dyDescent="0.3">
      <c r="F5451" s="14"/>
    </row>
    <row r="5452" spans="6:6" x14ac:dyDescent="0.3">
      <c r="F5452" s="14"/>
    </row>
    <row r="5453" spans="6:6" x14ac:dyDescent="0.3">
      <c r="F5453" s="14"/>
    </row>
    <row r="5454" spans="6:6" x14ac:dyDescent="0.3">
      <c r="F5454" s="14"/>
    </row>
    <row r="5455" spans="6:6" x14ac:dyDescent="0.3">
      <c r="F5455" s="14"/>
    </row>
    <row r="5456" spans="6:6" x14ac:dyDescent="0.3">
      <c r="F5456" s="14"/>
    </row>
    <row r="5457" spans="6:6" x14ac:dyDescent="0.3">
      <c r="F5457" s="14"/>
    </row>
    <row r="5458" spans="6:6" x14ac:dyDescent="0.3">
      <c r="F5458" s="14"/>
    </row>
    <row r="5459" spans="6:6" x14ac:dyDescent="0.3">
      <c r="F5459" s="14"/>
    </row>
    <row r="5460" spans="6:6" x14ac:dyDescent="0.3">
      <c r="F5460" s="14"/>
    </row>
    <row r="5461" spans="6:6" x14ac:dyDescent="0.3">
      <c r="F5461" s="14"/>
    </row>
    <row r="5462" spans="6:6" x14ac:dyDescent="0.3">
      <c r="F5462" s="14"/>
    </row>
    <row r="5463" spans="6:6" x14ac:dyDescent="0.3">
      <c r="F5463" s="14"/>
    </row>
    <row r="5464" spans="6:6" x14ac:dyDescent="0.3">
      <c r="F5464" s="14"/>
    </row>
    <row r="5465" spans="6:6" x14ac:dyDescent="0.3">
      <c r="F5465" s="14"/>
    </row>
    <row r="5466" spans="6:6" x14ac:dyDescent="0.3">
      <c r="F5466" s="14"/>
    </row>
    <row r="5467" spans="6:6" x14ac:dyDescent="0.3">
      <c r="F5467" s="14"/>
    </row>
    <row r="5468" spans="6:6" x14ac:dyDescent="0.3">
      <c r="F5468" s="14"/>
    </row>
    <row r="5469" spans="6:6" x14ac:dyDescent="0.3">
      <c r="F5469" s="14"/>
    </row>
    <row r="5470" spans="6:6" x14ac:dyDescent="0.3">
      <c r="F5470" s="14"/>
    </row>
    <row r="5471" spans="6:6" x14ac:dyDescent="0.3">
      <c r="F5471" s="14"/>
    </row>
    <row r="5472" spans="6:6" x14ac:dyDescent="0.3">
      <c r="F5472" s="14"/>
    </row>
    <row r="5473" spans="6:6" x14ac:dyDescent="0.3">
      <c r="F5473" s="14"/>
    </row>
    <row r="5474" spans="6:6" x14ac:dyDescent="0.3">
      <c r="F5474" s="14"/>
    </row>
    <row r="5475" spans="6:6" x14ac:dyDescent="0.3">
      <c r="F5475" s="14"/>
    </row>
    <row r="5476" spans="6:6" x14ac:dyDescent="0.3">
      <c r="F5476" s="14"/>
    </row>
    <row r="5477" spans="6:6" x14ac:dyDescent="0.3">
      <c r="F5477" s="14"/>
    </row>
    <row r="5478" spans="6:6" x14ac:dyDescent="0.3">
      <c r="F5478" s="14"/>
    </row>
    <row r="5479" spans="6:6" x14ac:dyDescent="0.3">
      <c r="F5479" s="14"/>
    </row>
    <row r="5480" spans="6:6" x14ac:dyDescent="0.3">
      <c r="F5480" s="14"/>
    </row>
    <row r="5481" spans="6:6" x14ac:dyDescent="0.3">
      <c r="F5481" s="14"/>
    </row>
    <row r="5482" spans="6:6" x14ac:dyDescent="0.3">
      <c r="F5482" s="14"/>
    </row>
    <row r="5483" spans="6:6" x14ac:dyDescent="0.3">
      <c r="F5483" s="14"/>
    </row>
    <row r="5484" spans="6:6" x14ac:dyDescent="0.3">
      <c r="F5484" s="14"/>
    </row>
    <row r="5485" spans="6:6" x14ac:dyDescent="0.3">
      <c r="F5485" s="14"/>
    </row>
    <row r="5486" spans="6:6" x14ac:dyDescent="0.3">
      <c r="F5486" s="14"/>
    </row>
    <row r="5487" spans="6:6" x14ac:dyDescent="0.3">
      <c r="F5487" s="14"/>
    </row>
    <row r="5488" spans="6:6" x14ac:dyDescent="0.3">
      <c r="F5488" s="14"/>
    </row>
    <row r="5489" spans="6:6" x14ac:dyDescent="0.3">
      <c r="F5489" s="14"/>
    </row>
    <row r="5490" spans="6:6" x14ac:dyDescent="0.3">
      <c r="F5490" s="14"/>
    </row>
    <row r="5491" spans="6:6" x14ac:dyDescent="0.3">
      <c r="F5491" s="14"/>
    </row>
    <row r="5492" spans="6:6" x14ac:dyDescent="0.3">
      <c r="F5492" s="14"/>
    </row>
    <row r="5493" spans="6:6" x14ac:dyDescent="0.3">
      <c r="F5493" s="14"/>
    </row>
    <row r="5494" spans="6:6" x14ac:dyDescent="0.3">
      <c r="F5494" s="14"/>
    </row>
    <row r="5495" spans="6:6" x14ac:dyDescent="0.3">
      <c r="F5495" s="14"/>
    </row>
    <row r="5496" spans="6:6" x14ac:dyDescent="0.3">
      <c r="F5496" s="14"/>
    </row>
    <row r="5497" spans="6:6" x14ac:dyDescent="0.3">
      <c r="F5497" s="14"/>
    </row>
    <row r="5498" spans="6:6" x14ac:dyDescent="0.3">
      <c r="F5498" s="14"/>
    </row>
    <row r="5499" spans="6:6" x14ac:dyDescent="0.3">
      <c r="F5499" s="14"/>
    </row>
    <row r="5500" spans="6:6" x14ac:dyDescent="0.3">
      <c r="F5500" s="14"/>
    </row>
    <row r="5501" spans="6:6" x14ac:dyDescent="0.3">
      <c r="F5501" s="14"/>
    </row>
    <row r="5502" spans="6:6" x14ac:dyDescent="0.3">
      <c r="F5502" s="14"/>
    </row>
    <row r="5503" spans="6:6" x14ac:dyDescent="0.3">
      <c r="F5503" s="14"/>
    </row>
    <row r="5504" spans="6:6" x14ac:dyDescent="0.3">
      <c r="F5504" s="14"/>
    </row>
    <row r="5505" spans="6:6" x14ac:dyDescent="0.3">
      <c r="F5505" s="14"/>
    </row>
    <row r="5506" spans="6:6" x14ac:dyDescent="0.3">
      <c r="F5506" s="14"/>
    </row>
    <row r="5507" spans="6:6" x14ac:dyDescent="0.3">
      <c r="F5507" s="14"/>
    </row>
    <row r="5508" spans="6:6" x14ac:dyDescent="0.3">
      <c r="F5508" s="14"/>
    </row>
    <row r="5509" spans="6:6" x14ac:dyDescent="0.3">
      <c r="F5509" s="14"/>
    </row>
    <row r="5510" spans="6:6" x14ac:dyDescent="0.3">
      <c r="F5510" s="14"/>
    </row>
    <row r="5511" spans="6:6" x14ac:dyDescent="0.3">
      <c r="F5511" s="14"/>
    </row>
    <row r="5512" spans="6:6" x14ac:dyDescent="0.3">
      <c r="F5512" s="14"/>
    </row>
    <row r="5513" spans="6:6" x14ac:dyDescent="0.3">
      <c r="F5513" s="14"/>
    </row>
    <row r="5514" spans="6:6" x14ac:dyDescent="0.3">
      <c r="F5514" s="14"/>
    </row>
    <row r="5515" spans="6:6" x14ac:dyDescent="0.3">
      <c r="F5515" s="14"/>
    </row>
    <row r="5516" spans="6:6" x14ac:dyDescent="0.3">
      <c r="F5516" s="14"/>
    </row>
    <row r="5517" spans="6:6" x14ac:dyDescent="0.3">
      <c r="F5517" s="14"/>
    </row>
    <row r="5518" spans="6:6" x14ac:dyDescent="0.3">
      <c r="F5518" s="14"/>
    </row>
    <row r="5519" spans="6:6" x14ac:dyDescent="0.3">
      <c r="F5519" s="14"/>
    </row>
    <row r="5520" spans="6:6" x14ac:dyDescent="0.3">
      <c r="F5520" s="14"/>
    </row>
    <row r="5521" spans="6:6" x14ac:dyDescent="0.3">
      <c r="F5521" s="14"/>
    </row>
    <row r="5522" spans="6:6" x14ac:dyDescent="0.3">
      <c r="F5522" s="14"/>
    </row>
    <row r="5523" spans="6:6" x14ac:dyDescent="0.3">
      <c r="F5523" s="14"/>
    </row>
    <row r="5524" spans="6:6" x14ac:dyDescent="0.3">
      <c r="F5524" s="14"/>
    </row>
    <row r="5525" spans="6:6" x14ac:dyDescent="0.3">
      <c r="F5525" s="14"/>
    </row>
    <row r="5526" spans="6:6" x14ac:dyDescent="0.3">
      <c r="F5526" s="14"/>
    </row>
    <row r="5527" spans="6:6" x14ac:dyDescent="0.3">
      <c r="F5527" s="14"/>
    </row>
    <row r="5528" spans="6:6" x14ac:dyDescent="0.3">
      <c r="F5528" s="14"/>
    </row>
    <row r="5529" spans="6:6" x14ac:dyDescent="0.3">
      <c r="F5529" s="14"/>
    </row>
    <row r="5530" spans="6:6" x14ac:dyDescent="0.3">
      <c r="F5530" s="14"/>
    </row>
    <row r="5531" spans="6:6" x14ac:dyDescent="0.3">
      <c r="F5531" s="14"/>
    </row>
    <row r="5532" spans="6:6" x14ac:dyDescent="0.3">
      <c r="F5532" s="14"/>
    </row>
    <row r="5533" spans="6:6" x14ac:dyDescent="0.3">
      <c r="F5533" s="14"/>
    </row>
    <row r="5534" spans="6:6" x14ac:dyDescent="0.3">
      <c r="F5534" s="14"/>
    </row>
    <row r="5535" spans="6:6" x14ac:dyDescent="0.3">
      <c r="F5535" s="14"/>
    </row>
    <row r="5536" spans="6:6" x14ac:dyDescent="0.3">
      <c r="F5536" s="14"/>
    </row>
    <row r="5537" spans="6:6" x14ac:dyDescent="0.3">
      <c r="F5537" s="14"/>
    </row>
    <row r="5538" spans="6:6" x14ac:dyDescent="0.3">
      <c r="F5538" s="14"/>
    </row>
    <row r="5539" spans="6:6" x14ac:dyDescent="0.3">
      <c r="F5539" s="14"/>
    </row>
    <row r="5540" spans="6:6" x14ac:dyDescent="0.3">
      <c r="F5540" s="14"/>
    </row>
    <row r="5541" spans="6:6" x14ac:dyDescent="0.3">
      <c r="F5541" s="14"/>
    </row>
    <row r="5542" spans="6:6" x14ac:dyDescent="0.3">
      <c r="F5542" s="14"/>
    </row>
    <row r="5543" spans="6:6" x14ac:dyDescent="0.3">
      <c r="F5543" s="14"/>
    </row>
    <row r="5544" spans="6:6" x14ac:dyDescent="0.3">
      <c r="F5544" s="14"/>
    </row>
    <row r="5545" spans="6:6" x14ac:dyDescent="0.3">
      <c r="F5545" s="14"/>
    </row>
    <row r="5546" spans="6:6" x14ac:dyDescent="0.3">
      <c r="F5546" s="14"/>
    </row>
    <row r="5547" spans="6:6" x14ac:dyDescent="0.3">
      <c r="F5547" s="14"/>
    </row>
    <row r="5548" spans="6:6" x14ac:dyDescent="0.3">
      <c r="F5548" s="14"/>
    </row>
    <row r="5549" spans="6:6" x14ac:dyDescent="0.3">
      <c r="F5549" s="14"/>
    </row>
    <row r="5550" spans="6:6" x14ac:dyDescent="0.3">
      <c r="F5550" s="14"/>
    </row>
    <row r="5551" spans="6:6" x14ac:dyDescent="0.3">
      <c r="F5551" s="14"/>
    </row>
    <row r="5552" spans="6:6" x14ac:dyDescent="0.3">
      <c r="F5552" s="14"/>
    </row>
    <row r="5553" spans="6:6" x14ac:dyDescent="0.3">
      <c r="F5553" s="14"/>
    </row>
    <row r="5554" spans="6:6" x14ac:dyDescent="0.3">
      <c r="F5554" s="14"/>
    </row>
    <row r="5555" spans="6:6" x14ac:dyDescent="0.3">
      <c r="F5555" s="14"/>
    </row>
    <row r="5556" spans="6:6" x14ac:dyDescent="0.3">
      <c r="F5556" s="14"/>
    </row>
    <row r="5557" spans="6:6" x14ac:dyDescent="0.3">
      <c r="F5557" s="14"/>
    </row>
    <row r="5558" spans="6:6" x14ac:dyDescent="0.3">
      <c r="F5558" s="14"/>
    </row>
    <row r="5559" spans="6:6" x14ac:dyDescent="0.3">
      <c r="F5559" s="14"/>
    </row>
    <row r="5560" spans="6:6" x14ac:dyDescent="0.3">
      <c r="F5560" s="14"/>
    </row>
    <row r="5561" spans="6:6" x14ac:dyDescent="0.3">
      <c r="F5561" s="14"/>
    </row>
    <row r="5562" spans="6:6" x14ac:dyDescent="0.3">
      <c r="F5562" s="14"/>
    </row>
    <row r="5563" spans="6:6" x14ac:dyDescent="0.3">
      <c r="F5563" s="14"/>
    </row>
    <row r="5564" spans="6:6" x14ac:dyDescent="0.3">
      <c r="F5564" s="14"/>
    </row>
    <row r="5565" spans="6:6" x14ac:dyDescent="0.3">
      <c r="F5565" s="14"/>
    </row>
    <row r="5566" spans="6:6" x14ac:dyDescent="0.3">
      <c r="F5566" s="14"/>
    </row>
    <row r="5567" spans="6:6" x14ac:dyDescent="0.3">
      <c r="F5567" s="14"/>
    </row>
    <row r="5568" spans="6:6" x14ac:dyDescent="0.3">
      <c r="F5568" s="14"/>
    </row>
    <row r="5569" spans="6:6" x14ac:dyDescent="0.3">
      <c r="F5569" s="14"/>
    </row>
    <row r="5570" spans="6:6" x14ac:dyDescent="0.3">
      <c r="F5570" s="14"/>
    </row>
    <row r="5571" spans="6:6" x14ac:dyDescent="0.3">
      <c r="F5571" s="14"/>
    </row>
    <row r="5572" spans="6:6" x14ac:dyDescent="0.3">
      <c r="F5572" s="14"/>
    </row>
    <row r="5573" spans="6:6" x14ac:dyDescent="0.3">
      <c r="F5573" s="14"/>
    </row>
    <row r="5574" spans="6:6" x14ac:dyDescent="0.3">
      <c r="F5574" s="14"/>
    </row>
    <row r="5575" spans="6:6" x14ac:dyDescent="0.3">
      <c r="F5575" s="14"/>
    </row>
    <row r="5576" spans="6:6" x14ac:dyDescent="0.3">
      <c r="F5576" s="14"/>
    </row>
    <row r="5577" spans="6:6" x14ac:dyDescent="0.3">
      <c r="F5577" s="14"/>
    </row>
    <row r="5578" spans="6:6" x14ac:dyDescent="0.3">
      <c r="F5578" s="14"/>
    </row>
    <row r="5579" spans="6:6" x14ac:dyDescent="0.3">
      <c r="F5579" s="14"/>
    </row>
    <row r="5580" spans="6:6" x14ac:dyDescent="0.3">
      <c r="F5580" s="14"/>
    </row>
    <row r="5581" spans="6:6" x14ac:dyDescent="0.3">
      <c r="F5581" s="14"/>
    </row>
    <row r="5582" spans="6:6" x14ac:dyDescent="0.3">
      <c r="F5582" s="14"/>
    </row>
    <row r="5583" spans="6:6" x14ac:dyDescent="0.3">
      <c r="F5583" s="14"/>
    </row>
    <row r="5584" spans="6:6" x14ac:dyDescent="0.3">
      <c r="F5584" s="14"/>
    </row>
    <row r="5585" spans="6:6" x14ac:dyDescent="0.3">
      <c r="F5585" s="14"/>
    </row>
    <row r="5586" spans="6:6" x14ac:dyDescent="0.3">
      <c r="F5586" s="14"/>
    </row>
    <row r="5587" spans="6:6" x14ac:dyDescent="0.3">
      <c r="F5587" s="14"/>
    </row>
    <row r="5588" spans="6:6" x14ac:dyDescent="0.3">
      <c r="F5588" s="14"/>
    </row>
    <row r="5589" spans="6:6" x14ac:dyDescent="0.3">
      <c r="F5589" s="14"/>
    </row>
    <row r="5590" spans="6:6" x14ac:dyDescent="0.3">
      <c r="F5590" s="14"/>
    </row>
    <row r="5591" spans="6:6" x14ac:dyDescent="0.3">
      <c r="F5591" s="14"/>
    </row>
    <row r="5592" spans="6:6" x14ac:dyDescent="0.3">
      <c r="F5592" s="14"/>
    </row>
    <row r="5593" spans="6:6" x14ac:dyDescent="0.3">
      <c r="F5593" s="14"/>
    </row>
    <row r="5594" spans="6:6" x14ac:dyDescent="0.3">
      <c r="F5594" s="14"/>
    </row>
    <row r="5595" spans="6:6" x14ac:dyDescent="0.3">
      <c r="F5595" s="14"/>
    </row>
    <row r="5596" spans="6:6" x14ac:dyDescent="0.3">
      <c r="F5596" s="14"/>
    </row>
    <row r="5597" spans="6:6" x14ac:dyDescent="0.3">
      <c r="F5597" s="14"/>
    </row>
    <row r="5598" spans="6:6" x14ac:dyDescent="0.3">
      <c r="F5598" s="14"/>
    </row>
    <row r="5599" spans="6:6" x14ac:dyDescent="0.3">
      <c r="F5599" s="14"/>
    </row>
    <row r="5600" spans="6:6" x14ac:dyDescent="0.3">
      <c r="F5600" s="14"/>
    </row>
    <row r="5601" spans="6:6" x14ac:dyDescent="0.3">
      <c r="F5601" s="14"/>
    </row>
    <row r="5602" spans="6:6" x14ac:dyDescent="0.3">
      <c r="F5602" s="14"/>
    </row>
    <row r="5603" spans="6:6" x14ac:dyDescent="0.3">
      <c r="F5603" s="14"/>
    </row>
    <row r="5604" spans="6:6" x14ac:dyDescent="0.3">
      <c r="F5604" s="14"/>
    </row>
    <row r="5605" spans="6:6" x14ac:dyDescent="0.3">
      <c r="F5605" s="14"/>
    </row>
    <row r="5606" spans="6:6" x14ac:dyDescent="0.3">
      <c r="F5606" s="14"/>
    </row>
    <row r="5607" spans="6:6" x14ac:dyDescent="0.3">
      <c r="F5607" s="14"/>
    </row>
    <row r="5608" spans="6:6" x14ac:dyDescent="0.3">
      <c r="F5608" s="14"/>
    </row>
    <row r="5609" spans="6:6" x14ac:dyDescent="0.3">
      <c r="F5609" s="14"/>
    </row>
    <row r="5610" spans="6:6" x14ac:dyDescent="0.3">
      <c r="F5610" s="14"/>
    </row>
    <row r="5611" spans="6:6" x14ac:dyDescent="0.3">
      <c r="F5611" s="14"/>
    </row>
    <row r="5612" spans="6:6" x14ac:dyDescent="0.3">
      <c r="F5612" s="14"/>
    </row>
    <row r="5613" spans="6:6" x14ac:dyDescent="0.3">
      <c r="F5613" s="14"/>
    </row>
    <row r="5614" spans="6:6" x14ac:dyDescent="0.3">
      <c r="F5614" s="14"/>
    </row>
    <row r="5615" spans="6:6" x14ac:dyDescent="0.3">
      <c r="F5615" s="14"/>
    </row>
    <row r="5616" spans="6:6" x14ac:dyDescent="0.3">
      <c r="F5616" s="14"/>
    </row>
    <row r="5617" spans="6:6" x14ac:dyDescent="0.3">
      <c r="F5617" s="14"/>
    </row>
    <row r="5618" spans="6:6" x14ac:dyDescent="0.3">
      <c r="F5618" s="14"/>
    </row>
    <row r="5619" spans="6:6" x14ac:dyDescent="0.3">
      <c r="F5619" s="14"/>
    </row>
    <row r="5620" spans="6:6" x14ac:dyDescent="0.3">
      <c r="F5620" s="14"/>
    </row>
    <row r="5621" spans="6:6" x14ac:dyDescent="0.3">
      <c r="F5621" s="14"/>
    </row>
    <row r="5622" spans="6:6" x14ac:dyDescent="0.3">
      <c r="F5622" s="14"/>
    </row>
    <row r="5623" spans="6:6" x14ac:dyDescent="0.3">
      <c r="F5623" s="14"/>
    </row>
    <row r="5624" spans="6:6" x14ac:dyDescent="0.3">
      <c r="F5624" s="14"/>
    </row>
    <row r="5625" spans="6:6" x14ac:dyDescent="0.3">
      <c r="F5625" s="14"/>
    </row>
    <row r="5626" spans="6:6" x14ac:dyDescent="0.3">
      <c r="F5626" s="14"/>
    </row>
    <row r="5627" spans="6:6" x14ac:dyDescent="0.3">
      <c r="F5627" s="14"/>
    </row>
    <row r="5628" spans="6:6" x14ac:dyDescent="0.3">
      <c r="F5628" s="14"/>
    </row>
    <row r="5629" spans="6:6" x14ac:dyDescent="0.3">
      <c r="F5629" s="14"/>
    </row>
    <row r="5630" spans="6:6" x14ac:dyDescent="0.3">
      <c r="F5630" s="14"/>
    </row>
    <row r="5631" spans="6:6" x14ac:dyDescent="0.3">
      <c r="F5631" s="14"/>
    </row>
    <row r="5632" spans="6:6" x14ac:dyDescent="0.3">
      <c r="F5632" s="14"/>
    </row>
    <row r="5633" spans="6:6" x14ac:dyDescent="0.3">
      <c r="F5633" s="14"/>
    </row>
    <row r="5634" spans="6:6" x14ac:dyDescent="0.3">
      <c r="F5634" s="14"/>
    </row>
    <row r="5635" spans="6:6" x14ac:dyDescent="0.3">
      <c r="F5635" s="14"/>
    </row>
    <row r="5636" spans="6:6" x14ac:dyDescent="0.3">
      <c r="F5636" s="14"/>
    </row>
    <row r="5637" spans="6:6" x14ac:dyDescent="0.3">
      <c r="F5637" s="14"/>
    </row>
    <row r="5638" spans="6:6" x14ac:dyDescent="0.3">
      <c r="F5638" s="14"/>
    </row>
    <row r="5639" spans="6:6" x14ac:dyDescent="0.3">
      <c r="F5639" s="14"/>
    </row>
    <row r="5640" spans="6:6" x14ac:dyDescent="0.3">
      <c r="F5640" s="14"/>
    </row>
    <row r="5641" spans="6:6" x14ac:dyDescent="0.3">
      <c r="F5641" s="14"/>
    </row>
    <row r="5642" spans="6:6" x14ac:dyDescent="0.3">
      <c r="F5642" s="14"/>
    </row>
    <row r="5643" spans="6:6" x14ac:dyDescent="0.3">
      <c r="F5643" s="14"/>
    </row>
    <row r="5644" spans="6:6" x14ac:dyDescent="0.3">
      <c r="F5644" s="14"/>
    </row>
    <row r="5645" spans="6:6" x14ac:dyDescent="0.3">
      <c r="F5645" s="14"/>
    </row>
    <row r="5646" spans="6:6" x14ac:dyDescent="0.3">
      <c r="F5646" s="14"/>
    </row>
    <row r="5647" spans="6:6" x14ac:dyDescent="0.3">
      <c r="F5647" s="14"/>
    </row>
    <row r="5648" spans="6:6" x14ac:dyDescent="0.3">
      <c r="F5648" s="14"/>
    </row>
    <row r="5649" spans="6:6" x14ac:dyDescent="0.3">
      <c r="F5649" s="14"/>
    </row>
    <row r="5650" spans="6:6" x14ac:dyDescent="0.3">
      <c r="F5650" s="14"/>
    </row>
    <row r="5651" spans="6:6" x14ac:dyDescent="0.3">
      <c r="F5651" s="14"/>
    </row>
    <row r="5652" spans="6:6" x14ac:dyDescent="0.3">
      <c r="F5652" s="14"/>
    </row>
    <row r="5653" spans="6:6" x14ac:dyDescent="0.3">
      <c r="F5653" s="14"/>
    </row>
    <row r="5654" spans="6:6" x14ac:dyDescent="0.3">
      <c r="F5654" s="14"/>
    </row>
    <row r="5655" spans="6:6" x14ac:dyDescent="0.3">
      <c r="F5655" s="14"/>
    </row>
    <row r="5656" spans="6:6" x14ac:dyDescent="0.3">
      <c r="F5656" s="14"/>
    </row>
    <row r="5657" spans="6:6" x14ac:dyDescent="0.3">
      <c r="F5657" s="14"/>
    </row>
    <row r="5658" spans="6:6" x14ac:dyDescent="0.3">
      <c r="F5658" s="14"/>
    </row>
    <row r="5659" spans="6:6" x14ac:dyDescent="0.3">
      <c r="F5659" s="14"/>
    </row>
    <row r="5660" spans="6:6" x14ac:dyDescent="0.3">
      <c r="F5660" s="14"/>
    </row>
    <row r="5661" spans="6:6" x14ac:dyDescent="0.3">
      <c r="F5661" s="14"/>
    </row>
    <row r="5662" spans="6:6" x14ac:dyDescent="0.3">
      <c r="F5662" s="14"/>
    </row>
    <row r="5663" spans="6:6" x14ac:dyDescent="0.3">
      <c r="F5663" s="14"/>
    </row>
    <row r="5664" spans="6:6" x14ac:dyDescent="0.3">
      <c r="F5664" s="14"/>
    </row>
    <row r="5665" spans="6:6" x14ac:dyDescent="0.3">
      <c r="F5665" s="14"/>
    </row>
    <row r="5666" spans="6:6" x14ac:dyDescent="0.3">
      <c r="F5666" s="14"/>
    </row>
    <row r="5667" spans="6:6" x14ac:dyDescent="0.3">
      <c r="F5667" s="14"/>
    </row>
    <row r="5668" spans="6:6" x14ac:dyDescent="0.3">
      <c r="F5668" s="14"/>
    </row>
    <row r="5669" spans="6:6" x14ac:dyDescent="0.3">
      <c r="F5669" s="14"/>
    </row>
    <row r="5670" spans="6:6" x14ac:dyDescent="0.3">
      <c r="F5670" s="14"/>
    </row>
    <row r="5671" spans="6:6" x14ac:dyDescent="0.3">
      <c r="F5671" s="14"/>
    </row>
    <row r="5672" spans="6:6" x14ac:dyDescent="0.3">
      <c r="F5672" s="14"/>
    </row>
    <row r="5673" spans="6:6" x14ac:dyDescent="0.3">
      <c r="F5673" s="14"/>
    </row>
    <row r="5674" spans="6:6" x14ac:dyDescent="0.3">
      <c r="F5674" s="14"/>
    </row>
    <row r="5675" spans="6:6" x14ac:dyDescent="0.3">
      <c r="F5675" s="14"/>
    </row>
    <row r="5676" spans="6:6" x14ac:dyDescent="0.3">
      <c r="F5676" s="14"/>
    </row>
    <row r="5677" spans="6:6" x14ac:dyDescent="0.3">
      <c r="F5677" s="14"/>
    </row>
    <row r="5678" spans="6:6" x14ac:dyDescent="0.3">
      <c r="F5678" s="14"/>
    </row>
    <row r="5679" spans="6:6" x14ac:dyDescent="0.3">
      <c r="F5679" s="14"/>
    </row>
    <row r="5680" spans="6:6" x14ac:dyDescent="0.3">
      <c r="F5680" s="14"/>
    </row>
    <row r="5681" spans="6:6" x14ac:dyDescent="0.3">
      <c r="F5681" s="14"/>
    </row>
    <row r="5682" spans="6:6" x14ac:dyDescent="0.3">
      <c r="F5682" s="14"/>
    </row>
    <row r="5683" spans="6:6" x14ac:dyDescent="0.3">
      <c r="F5683" s="14"/>
    </row>
    <row r="5684" spans="6:6" x14ac:dyDescent="0.3">
      <c r="F5684" s="14"/>
    </row>
    <row r="5685" spans="6:6" x14ac:dyDescent="0.3">
      <c r="F5685" s="14"/>
    </row>
    <row r="5686" spans="6:6" x14ac:dyDescent="0.3">
      <c r="F5686" s="14"/>
    </row>
    <row r="5687" spans="6:6" x14ac:dyDescent="0.3">
      <c r="F5687" s="14"/>
    </row>
    <row r="5688" spans="6:6" x14ac:dyDescent="0.3">
      <c r="F5688" s="14"/>
    </row>
    <row r="5689" spans="6:6" x14ac:dyDescent="0.3">
      <c r="F5689" s="14"/>
    </row>
    <row r="5690" spans="6:6" x14ac:dyDescent="0.3">
      <c r="F5690" s="14"/>
    </row>
    <row r="5691" spans="6:6" x14ac:dyDescent="0.3">
      <c r="F5691" s="14"/>
    </row>
    <row r="5692" spans="6:6" x14ac:dyDescent="0.3">
      <c r="F5692" s="14"/>
    </row>
    <row r="5693" spans="6:6" x14ac:dyDescent="0.3">
      <c r="F5693" s="14"/>
    </row>
    <row r="5694" spans="6:6" x14ac:dyDescent="0.3">
      <c r="F5694" s="14"/>
    </row>
    <row r="5695" spans="6:6" x14ac:dyDescent="0.3">
      <c r="F5695" s="14"/>
    </row>
    <row r="5696" spans="6:6" x14ac:dyDescent="0.3">
      <c r="F5696" s="14"/>
    </row>
    <row r="5697" spans="6:6" x14ac:dyDescent="0.3">
      <c r="F5697" s="14"/>
    </row>
    <row r="5698" spans="6:6" x14ac:dyDescent="0.3">
      <c r="F5698" s="14"/>
    </row>
    <row r="5699" spans="6:6" x14ac:dyDescent="0.3">
      <c r="F5699" s="14"/>
    </row>
    <row r="5700" spans="6:6" x14ac:dyDescent="0.3">
      <c r="F5700" s="14"/>
    </row>
    <row r="5701" spans="6:6" x14ac:dyDescent="0.3">
      <c r="F5701" s="14"/>
    </row>
    <row r="5702" spans="6:6" x14ac:dyDescent="0.3">
      <c r="F5702" s="14"/>
    </row>
    <row r="5703" spans="6:6" x14ac:dyDescent="0.3">
      <c r="F5703" s="14"/>
    </row>
    <row r="5704" spans="6:6" x14ac:dyDescent="0.3">
      <c r="F5704" s="14"/>
    </row>
    <row r="5705" spans="6:6" x14ac:dyDescent="0.3">
      <c r="F5705" s="14"/>
    </row>
    <row r="5706" spans="6:6" x14ac:dyDescent="0.3">
      <c r="F5706" s="14"/>
    </row>
    <row r="5707" spans="6:6" x14ac:dyDescent="0.3">
      <c r="F5707" s="14"/>
    </row>
    <row r="5708" spans="6:6" x14ac:dyDescent="0.3">
      <c r="F5708" s="14"/>
    </row>
    <row r="5709" spans="6:6" x14ac:dyDescent="0.3">
      <c r="F5709" s="14"/>
    </row>
    <row r="5710" spans="6:6" x14ac:dyDescent="0.3">
      <c r="F5710" s="14"/>
    </row>
    <row r="5711" spans="6:6" x14ac:dyDescent="0.3">
      <c r="F5711" s="14"/>
    </row>
    <row r="5712" spans="6:6" x14ac:dyDescent="0.3">
      <c r="F5712" s="14"/>
    </row>
    <row r="5713" spans="6:6" x14ac:dyDescent="0.3">
      <c r="F5713" s="14"/>
    </row>
    <row r="5714" spans="6:6" x14ac:dyDescent="0.3">
      <c r="F5714" s="14"/>
    </row>
    <row r="5715" spans="6:6" x14ac:dyDescent="0.3">
      <c r="F5715" s="14"/>
    </row>
    <row r="5716" spans="6:6" x14ac:dyDescent="0.3">
      <c r="F5716" s="14"/>
    </row>
    <row r="5717" spans="6:6" x14ac:dyDescent="0.3">
      <c r="F5717" s="14"/>
    </row>
    <row r="5718" spans="6:6" x14ac:dyDescent="0.3">
      <c r="F5718" s="14"/>
    </row>
    <row r="5719" spans="6:6" x14ac:dyDescent="0.3">
      <c r="F5719" s="14"/>
    </row>
    <row r="5720" spans="6:6" x14ac:dyDescent="0.3">
      <c r="F5720" s="14"/>
    </row>
    <row r="5721" spans="6:6" x14ac:dyDescent="0.3">
      <c r="F5721" s="14"/>
    </row>
    <row r="5722" spans="6:6" x14ac:dyDescent="0.3">
      <c r="F5722" s="14"/>
    </row>
    <row r="5723" spans="6:6" x14ac:dyDescent="0.3">
      <c r="F5723" s="14"/>
    </row>
    <row r="5724" spans="6:6" x14ac:dyDescent="0.3">
      <c r="F5724" s="14"/>
    </row>
    <row r="5725" spans="6:6" x14ac:dyDescent="0.3">
      <c r="F5725" s="14"/>
    </row>
    <row r="5726" spans="6:6" x14ac:dyDescent="0.3">
      <c r="F5726" s="14"/>
    </row>
    <row r="5727" spans="6:6" x14ac:dyDescent="0.3">
      <c r="F5727" s="14"/>
    </row>
    <row r="5728" spans="6:6" x14ac:dyDescent="0.3">
      <c r="F5728" s="14"/>
    </row>
    <row r="5729" spans="6:6" x14ac:dyDescent="0.3">
      <c r="F5729" s="14"/>
    </row>
    <row r="5730" spans="6:6" x14ac:dyDescent="0.3">
      <c r="F5730" s="14"/>
    </row>
    <row r="5731" spans="6:6" x14ac:dyDescent="0.3">
      <c r="F5731" s="14"/>
    </row>
    <row r="5732" spans="6:6" x14ac:dyDescent="0.3">
      <c r="F5732" s="14"/>
    </row>
    <row r="5733" spans="6:6" x14ac:dyDescent="0.3">
      <c r="F5733" s="14"/>
    </row>
    <row r="5734" spans="6:6" x14ac:dyDescent="0.3">
      <c r="F5734" s="14"/>
    </row>
    <row r="5735" spans="6:6" x14ac:dyDescent="0.3">
      <c r="F5735" s="14"/>
    </row>
    <row r="5736" spans="6:6" x14ac:dyDescent="0.3">
      <c r="F5736" s="14"/>
    </row>
    <row r="5737" spans="6:6" x14ac:dyDescent="0.3">
      <c r="F5737" s="14"/>
    </row>
    <row r="5738" spans="6:6" x14ac:dyDescent="0.3">
      <c r="F5738" s="14"/>
    </row>
    <row r="5739" spans="6:6" x14ac:dyDescent="0.3">
      <c r="F5739" s="14"/>
    </row>
    <row r="5740" spans="6:6" x14ac:dyDescent="0.3">
      <c r="F5740" s="14"/>
    </row>
    <row r="5741" spans="6:6" x14ac:dyDescent="0.3">
      <c r="F5741" s="14"/>
    </row>
    <row r="5742" spans="6:6" x14ac:dyDescent="0.3">
      <c r="F5742" s="14"/>
    </row>
    <row r="5743" spans="6:6" x14ac:dyDescent="0.3">
      <c r="F5743" s="14"/>
    </row>
    <row r="5744" spans="6:6" x14ac:dyDescent="0.3">
      <c r="F5744" s="14"/>
    </row>
    <row r="5745" spans="6:6" x14ac:dyDescent="0.3">
      <c r="F5745" s="14"/>
    </row>
    <row r="5746" spans="6:6" x14ac:dyDescent="0.3">
      <c r="F5746" s="14"/>
    </row>
    <row r="5747" spans="6:6" x14ac:dyDescent="0.3">
      <c r="F5747" s="14"/>
    </row>
    <row r="5748" spans="6:6" x14ac:dyDescent="0.3">
      <c r="F5748" s="14"/>
    </row>
    <row r="5749" spans="6:6" x14ac:dyDescent="0.3">
      <c r="F5749" s="14"/>
    </row>
    <row r="5750" spans="6:6" x14ac:dyDescent="0.3">
      <c r="F5750" s="14"/>
    </row>
    <row r="5751" spans="6:6" x14ac:dyDescent="0.3">
      <c r="F5751" s="14"/>
    </row>
    <row r="5752" spans="6:6" x14ac:dyDescent="0.3">
      <c r="F5752" s="14"/>
    </row>
    <row r="5753" spans="6:6" x14ac:dyDescent="0.3">
      <c r="F5753" s="14"/>
    </row>
    <row r="5754" spans="6:6" x14ac:dyDescent="0.3">
      <c r="F5754" s="14"/>
    </row>
    <row r="5755" spans="6:6" x14ac:dyDescent="0.3">
      <c r="F5755" s="14"/>
    </row>
    <row r="5756" spans="6:6" x14ac:dyDescent="0.3">
      <c r="F5756" s="14"/>
    </row>
    <row r="5757" spans="6:6" x14ac:dyDescent="0.3">
      <c r="F5757" s="14"/>
    </row>
    <row r="5758" spans="6:6" x14ac:dyDescent="0.3">
      <c r="F5758" s="14"/>
    </row>
    <row r="5759" spans="6:6" x14ac:dyDescent="0.3">
      <c r="F5759" s="14"/>
    </row>
    <row r="5760" spans="6:6" x14ac:dyDescent="0.3">
      <c r="F5760" s="14"/>
    </row>
    <row r="5761" spans="6:6" x14ac:dyDescent="0.3">
      <c r="F5761" s="14"/>
    </row>
    <row r="5762" spans="6:6" x14ac:dyDescent="0.3">
      <c r="F5762" s="14"/>
    </row>
    <row r="5763" spans="6:6" x14ac:dyDescent="0.3">
      <c r="F5763" s="14"/>
    </row>
    <row r="5764" spans="6:6" x14ac:dyDescent="0.3">
      <c r="F5764" s="14"/>
    </row>
    <row r="5765" spans="6:6" x14ac:dyDescent="0.3">
      <c r="F5765" s="14"/>
    </row>
    <row r="5766" spans="6:6" x14ac:dyDescent="0.3">
      <c r="F5766" s="14"/>
    </row>
    <row r="5767" spans="6:6" x14ac:dyDescent="0.3">
      <c r="F5767" s="14"/>
    </row>
    <row r="5768" spans="6:6" x14ac:dyDescent="0.3">
      <c r="F5768" s="14"/>
    </row>
    <row r="5769" spans="6:6" x14ac:dyDescent="0.3">
      <c r="F5769" s="14"/>
    </row>
    <row r="5770" spans="6:6" x14ac:dyDescent="0.3">
      <c r="F5770" s="14"/>
    </row>
    <row r="5771" spans="6:6" x14ac:dyDescent="0.3">
      <c r="F5771" s="14"/>
    </row>
    <row r="5772" spans="6:6" x14ac:dyDescent="0.3">
      <c r="F5772" s="14"/>
    </row>
    <row r="5773" spans="6:6" x14ac:dyDescent="0.3">
      <c r="F5773" s="14"/>
    </row>
    <row r="5774" spans="6:6" x14ac:dyDescent="0.3">
      <c r="F5774" s="14"/>
    </row>
    <row r="5775" spans="6:6" x14ac:dyDescent="0.3">
      <c r="F5775" s="14"/>
    </row>
    <row r="5776" spans="6:6" x14ac:dyDescent="0.3">
      <c r="F5776" s="14"/>
    </row>
    <row r="5777" spans="6:6" x14ac:dyDescent="0.3">
      <c r="F5777" s="14"/>
    </row>
    <row r="5778" spans="6:6" x14ac:dyDescent="0.3">
      <c r="F5778" s="14"/>
    </row>
    <row r="5779" spans="6:6" x14ac:dyDescent="0.3">
      <c r="F5779" s="14"/>
    </row>
    <row r="5780" spans="6:6" x14ac:dyDescent="0.3">
      <c r="F5780" s="14"/>
    </row>
    <row r="5781" spans="6:6" x14ac:dyDescent="0.3">
      <c r="F5781" s="14"/>
    </row>
    <row r="5782" spans="6:6" x14ac:dyDescent="0.3">
      <c r="F5782" s="14"/>
    </row>
    <row r="5783" spans="6:6" x14ac:dyDescent="0.3">
      <c r="F5783" s="14"/>
    </row>
    <row r="5784" spans="6:6" x14ac:dyDescent="0.3">
      <c r="F5784" s="14"/>
    </row>
    <row r="5785" spans="6:6" x14ac:dyDescent="0.3">
      <c r="F5785" s="14"/>
    </row>
    <row r="5786" spans="6:6" x14ac:dyDescent="0.3">
      <c r="F5786" s="14"/>
    </row>
    <row r="5787" spans="6:6" x14ac:dyDescent="0.3">
      <c r="F5787" s="14"/>
    </row>
    <row r="5788" spans="6:6" x14ac:dyDescent="0.3">
      <c r="F5788" s="14"/>
    </row>
    <row r="5789" spans="6:6" x14ac:dyDescent="0.3">
      <c r="F5789" s="14"/>
    </row>
    <row r="5790" spans="6:6" x14ac:dyDescent="0.3">
      <c r="F5790" s="14"/>
    </row>
    <row r="5791" spans="6:6" x14ac:dyDescent="0.3">
      <c r="F5791" s="14"/>
    </row>
    <row r="5792" spans="6:6" x14ac:dyDescent="0.3">
      <c r="F5792" s="14"/>
    </row>
    <row r="5793" spans="6:6" x14ac:dyDescent="0.3">
      <c r="F5793" s="14"/>
    </row>
    <row r="5794" spans="6:6" x14ac:dyDescent="0.3">
      <c r="F5794" s="14"/>
    </row>
    <row r="5795" spans="6:6" x14ac:dyDescent="0.3">
      <c r="F5795" s="14"/>
    </row>
    <row r="5796" spans="6:6" x14ac:dyDescent="0.3">
      <c r="F5796" s="14"/>
    </row>
    <row r="5797" spans="6:6" x14ac:dyDescent="0.3">
      <c r="F5797" s="14"/>
    </row>
    <row r="5798" spans="6:6" x14ac:dyDescent="0.3">
      <c r="F5798" s="14"/>
    </row>
    <row r="5799" spans="6:6" x14ac:dyDescent="0.3">
      <c r="F5799" s="14"/>
    </row>
    <row r="5800" spans="6:6" x14ac:dyDescent="0.3">
      <c r="F5800" s="14"/>
    </row>
    <row r="5801" spans="6:6" x14ac:dyDescent="0.3">
      <c r="F5801" s="14"/>
    </row>
    <row r="5802" spans="6:6" x14ac:dyDescent="0.3">
      <c r="F5802" s="14"/>
    </row>
    <row r="5803" spans="6:6" x14ac:dyDescent="0.3">
      <c r="F5803" s="14"/>
    </row>
    <row r="5804" spans="6:6" x14ac:dyDescent="0.3">
      <c r="F5804" s="14"/>
    </row>
    <row r="5805" spans="6:6" x14ac:dyDescent="0.3">
      <c r="F5805" s="14"/>
    </row>
    <row r="5806" spans="6:6" x14ac:dyDescent="0.3">
      <c r="F5806" s="14"/>
    </row>
    <row r="5807" spans="6:6" x14ac:dyDescent="0.3">
      <c r="F5807" s="14"/>
    </row>
    <row r="5808" spans="6:6" x14ac:dyDescent="0.3">
      <c r="F5808" s="14"/>
    </row>
    <row r="5809" spans="6:6" x14ac:dyDescent="0.3">
      <c r="F5809" s="14"/>
    </row>
    <row r="5810" spans="6:6" x14ac:dyDescent="0.3">
      <c r="F5810" s="14"/>
    </row>
    <row r="5811" spans="6:6" x14ac:dyDescent="0.3">
      <c r="F5811" s="14"/>
    </row>
    <row r="5812" spans="6:6" x14ac:dyDescent="0.3">
      <c r="F5812" s="14"/>
    </row>
    <row r="5813" spans="6:6" x14ac:dyDescent="0.3">
      <c r="F5813" s="14"/>
    </row>
    <row r="5814" spans="6:6" x14ac:dyDescent="0.3">
      <c r="F5814" s="14"/>
    </row>
    <row r="5815" spans="6:6" x14ac:dyDescent="0.3">
      <c r="F5815" s="14"/>
    </row>
    <row r="5816" spans="6:6" x14ac:dyDescent="0.3">
      <c r="F5816" s="14"/>
    </row>
    <row r="5817" spans="6:6" x14ac:dyDescent="0.3">
      <c r="F5817" s="14"/>
    </row>
    <row r="5818" spans="6:6" x14ac:dyDescent="0.3">
      <c r="F5818" s="14"/>
    </row>
    <row r="5819" spans="6:6" x14ac:dyDescent="0.3">
      <c r="F5819" s="14"/>
    </row>
    <row r="5820" spans="6:6" x14ac:dyDescent="0.3">
      <c r="F5820" s="14"/>
    </row>
    <row r="5821" spans="6:6" x14ac:dyDescent="0.3">
      <c r="F5821" s="14"/>
    </row>
    <row r="5822" spans="6:6" x14ac:dyDescent="0.3">
      <c r="F5822" s="14"/>
    </row>
    <row r="5823" spans="6:6" x14ac:dyDescent="0.3">
      <c r="F5823" s="14"/>
    </row>
    <row r="5824" spans="6:6" x14ac:dyDescent="0.3">
      <c r="F5824" s="14"/>
    </row>
    <row r="5825" spans="6:6" x14ac:dyDescent="0.3">
      <c r="F5825" s="14"/>
    </row>
    <row r="5826" spans="6:6" x14ac:dyDescent="0.3">
      <c r="F5826" s="14"/>
    </row>
    <row r="5827" spans="6:6" x14ac:dyDescent="0.3">
      <c r="F5827" s="14"/>
    </row>
    <row r="5828" spans="6:6" x14ac:dyDescent="0.3">
      <c r="F5828" s="14"/>
    </row>
    <row r="5829" spans="6:6" x14ac:dyDescent="0.3">
      <c r="F5829" s="14"/>
    </row>
    <row r="5830" spans="6:6" x14ac:dyDescent="0.3">
      <c r="F5830" s="14"/>
    </row>
    <row r="5831" spans="6:6" x14ac:dyDescent="0.3">
      <c r="F5831" s="14"/>
    </row>
    <row r="5832" spans="6:6" x14ac:dyDescent="0.3">
      <c r="F5832" s="14"/>
    </row>
    <row r="5833" spans="6:6" x14ac:dyDescent="0.3">
      <c r="F5833" s="14"/>
    </row>
    <row r="5834" spans="6:6" x14ac:dyDescent="0.3">
      <c r="F5834" s="14"/>
    </row>
    <row r="5835" spans="6:6" x14ac:dyDescent="0.3">
      <c r="F5835" s="14"/>
    </row>
    <row r="5836" spans="6:6" x14ac:dyDescent="0.3">
      <c r="F5836" s="14"/>
    </row>
    <row r="5837" spans="6:6" x14ac:dyDescent="0.3">
      <c r="F5837" s="14"/>
    </row>
    <row r="5838" spans="6:6" x14ac:dyDescent="0.3">
      <c r="F5838" s="14"/>
    </row>
    <row r="5839" spans="6:6" x14ac:dyDescent="0.3">
      <c r="F5839" s="14"/>
    </row>
    <row r="5840" spans="6:6" x14ac:dyDescent="0.3">
      <c r="F5840" s="14"/>
    </row>
    <row r="5841" spans="6:6" x14ac:dyDescent="0.3">
      <c r="F5841" s="14"/>
    </row>
    <row r="5842" spans="6:6" x14ac:dyDescent="0.3">
      <c r="F5842" s="14"/>
    </row>
    <row r="5843" spans="6:6" x14ac:dyDescent="0.3">
      <c r="F5843" s="14"/>
    </row>
    <row r="5844" spans="6:6" x14ac:dyDescent="0.3">
      <c r="F5844" s="14"/>
    </row>
    <row r="5845" spans="6:6" x14ac:dyDescent="0.3">
      <c r="F5845" s="14"/>
    </row>
    <row r="5846" spans="6:6" x14ac:dyDescent="0.3">
      <c r="F5846" s="14"/>
    </row>
    <row r="5847" spans="6:6" x14ac:dyDescent="0.3">
      <c r="F5847" s="14"/>
    </row>
    <row r="5848" spans="6:6" x14ac:dyDescent="0.3">
      <c r="F5848" s="14"/>
    </row>
    <row r="5849" spans="6:6" x14ac:dyDescent="0.3">
      <c r="F5849" s="14"/>
    </row>
    <row r="5850" spans="6:6" x14ac:dyDescent="0.3">
      <c r="F5850" s="14"/>
    </row>
    <row r="5851" spans="6:6" x14ac:dyDescent="0.3">
      <c r="F5851" s="14"/>
    </row>
    <row r="5852" spans="6:6" x14ac:dyDescent="0.3">
      <c r="F5852" s="14"/>
    </row>
    <row r="5853" spans="6:6" x14ac:dyDescent="0.3">
      <c r="F5853" s="14"/>
    </row>
    <row r="5854" spans="6:6" x14ac:dyDescent="0.3">
      <c r="F5854" s="14"/>
    </row>
    <row r="5855" spans="6:6" x14ac:dyDescent="0.3">
      <c r="F5855" s="14"/>
    </row>
    <row r="5856" spans="6:6" x14ac:dyDescent="0.3">
      <c r="F5856" s="14"/>
    </row>
    <row r="5857" spans="6:6" x14ac:dyDescent="0.3">
      <c r="F5857" s="14"/>
    </row>
    <row r="5858" spans="6:6" x14ac:dyDescent="0.3">
      <c r="F5858" s="14"/>
    </row>
    <row r="5859" spans="6:6" x14ac:dyDescent="0.3">
      <c r="F5859" s="14"/>
    </row>
    <row r="5860" spans="6:6" x14ac:dyDescent="0.3">
      <c r="F5860" s="14"/>
    </row>
    <row r="5861" spans="6:6" x14ac:dyDescent="0.3">
      <c r="F5861" s="14"/>
    </row>
    <row r="5862" spans="6:6" x14ac:dyDescent="0.3">
      <c r="F5862" s="14"/>
    </row>
    <row r="5863" spans="6:6" x14ac:dyDescent="0.3">
      <c r="F5863" s="14"/>
    </row>
    <row r="5864" spans="6:6" x14ac:dyDescent="0.3">
      <c r="F5864" s="14"/>
    </row>
    <row r="5865" spans="6:6" x14ac:dyDescent="0.3">
      <c r="F5865" s="14"/>
    </row>
    <row r="5866" spans="6:6" x14ac:dyDescent="0.3">
      <c r="F5866" s="14"/>
    </row>
    <row r="5867" spans="6:6" x14ac:dyDescent="0.3">
      <c r="F5867" s="14"/>
    </row>
    <row r="5868" spans="6:6" x14ac:dyDescent="0.3">
      <c r="F5868" s="14"/>
    </row>
    <row r="5869" spans="6:6" x14ac:dyDescent="0.3">
      <c r="F5869" s="14"/>
    </row>
    <row r="5870" spans="6:6" x14ac:dyDescent="0.3">
      <c r="F5870" s="14"/>
    </row>
    <row r="5871" spans="6:6" x14ac:dyDescent="0.3">
      <c r="F5871" s="14"/>
    </row>
    <row r="5872" spans="6:6" x14ac:dyDescent="0.3">
      <c r="F5872" s="14"/>
    </row>
    <row r="5873" spans="6:6" x14ac:dyDescent="0.3">
      <c r="F5873" s="14"/>
    </row>
    <row r="5874" spans="6:6" x14ac:dyDescent="0.3">
      <c r="F5874" s="14"/>
    </row>
    <row r="5875" spans="6:6" x14ac:dyDescent="0.3">
      <c r="F5875" s="14"/>
    </row>
    <row r="5876" spans="6:6" x14ac:dyDescent="0.3">
      <c r="F5876" s="14"/>
    </row>
    <row r="5877" spans="6:6" x14ac:dyDescent="0.3">
      <c r="F5877" s="14"/>
    </row>
    <row r="5878" spans="6:6" x14ac:dyDescent="0.3">
      <c r="F5878" s="14"/>
    </row>
    <row r="5879" spans="6:6" x14ac:dyDescent="0.3">
      <c r="F5879" s="14"/>
    </row>
    <row r="5880" spans="6:6" x14ac:dyDescent="0.3">
      <c r="F5880" s="14"/>
    </row>
    <row r="5881" spans="6:6" x14ac:dyDescent="0.3">
      <c r="F5881" s="14"/>
    </row>
    <row r="5882" spans="6:6" x14ac:dyDescent="0.3">
      <c r="F5882" s="14"/>
    </row>
    <row r="5883" spans="6:6" x14ac:dyDescent="0.3">
      <c r="F5883" s="14"/>
    </row>
    <row r="5884" spans="6:6" x14ac:dyDescent="0.3">
      <c r="F5884" s="14"/>
    </row>
    <row r="5885" spans="6:6" x14ac:dyDescent="0.3">
      <c r="F5885" s="14"/>
    </row>
    <row r="5886" spans="6:6" x14ac:dyDescent="0.3">
      <c r="F5886" s="14"/>
    </row>
    <row r="5887" spans="6:6" x14ac:dyDescent="0.3">
      <c r="F5887" s="14"/>
    </row>
    <row r="5888" spans="6:6" x14ac:dyDescent="0.3">
      <c r="F5888" s="14"/>
    </row>
    <row r="5889" spans="6:6" x14ac:dyDescent="0.3">
      <c r="F5889" s="14"/>
    </row>
    <row r="5890" spans="6:6" x14ac:dyDescent="0.3">
      <c r="F5890" s="14"/>
    </row>
    <row r="5891" spans="6:6" x14ac:dyDescent="0.3">
      <c r="F5891" s="14"/>
    </row>
    <row r="5892" spans="6:6" x14ac:dyDescent="0.3">
      <c r="F5892" s="14"/>
    </row>
    <row r="5893" spans="6:6" x14ac:dyDescent="0.3">
      <c r="F5893" s="14"/>
    </row>
    <row r="5894" spans="6:6" x14ac:dyDescent="0.3">
      <c r="F5894" s="14"/>
    </row>
    <row r="5895" spans="6:6" x14ac:dyDescent="0.3">
      <c r="F5895" s="14"/>
    </row>
    <row r="5896" spans="6:6" x14ac:dyDescent="0.3">
      <c r="F5896" s="14"/>
    </row>
    <row r="5897" spans="6:6" x14ac:dyDescent="0.3">
      <c r="F5897" s="14"/>
    </row>
    <row r="5898" spans="6:6" x14ac:dyDescent="0.3">
      <c r="F5898" s="14"/>
    </row>
    <row r="5899" spans="6:6" x14ac:dyDescent="0.3">
      <c r="F5899" s="14"/>
    </row>
    <row r="5900" spans="6:6" x14ac:dyDescent="0.3">
      <c r="F5900" s="14"/>
    </row>
    <row r="5901" spans="6:6" x14ac:dyDescent="0.3">
      <c r="F5901" s="14"/>
    </row>
    <row r="5902" spans="6:6" x14ac:dyDescent="0.3">
      <c r="F5902" s="14"/>
    </row>
    <row r="5903" spans="6:6" x14ac:dyDescent="0.3">
      <c r="F5903" s="14"/>
    </row>
    <row r="5904" spans="6:6" x14ac:dyDescent="0.3">
      <c r="F5904" s="14"/>
    </row>
    <row r="5905" spans="6:6" x14ac:dyDescent="0.3">
      <c r="F5905" s="14"/>
    </row>
    <row r="5906" spans="6:6" x14ac:dyDescent="0.3">
      <c r="F5906" s="14"/>
    </row>
    <row r="5907" spans="6:6" x14ac:dyDescent="0.3">
      <c r="F5907" s="14"/>
    </row>
    <row r="5908" spans="6:6" x14ac:dyDescent="0.3">
      <c r="F5908" s="14"/>
    </row>
    <row r="5909" spans="6:6" x14ac:dyDescent="0.3">
      <c r="F5909" s="14"/>
    </row>
    <row r="5910" spans="6:6" x14ac:dyDescent="0.3">
      <c r="F5910" s="14"/>
    </row>
    <row r="5911" spans="6:6" x14ac:dyDescent="0.3">
      <c r="F5911" s="14"/>
    </row>
    <row r="5912" spans="6:6" x14ac:dyDescent="0.3">
      <c r="F5912" s="14"/>
    </row>
    <row r="5913" spans="6:6" x14ac:dyDescent="0.3">
      <c r="F5913" s="14"/>
    </row>
    <row r="5914" spans="6:6" x14ac:dyDescent="0.3">
      <c r="F5914" s="14"/>
    </row>
    <row r="5915" spans="6:6" x14ac:dyDescent="0.3">
      <c r="F5915" s="14"/>
    </row>
    <row r="5916" spans="6:6" x14ac:dyDescent="0.3">
      <c r="F5916" s="14"/>
    </row>
    <row r="5917" spans="6:6" x14ac:dyDescent="0.3">
      <c r="F5917" s="14"/>
    </row>
    <row r="5918" spans="6:6" x14ac:dyDescent="0.3">
      <c r="F5918" s="14"/>
    </row>
    <row r="5919" spans="6:6" x14ac:dyDescent="0.3">
      <c r="F5919" s="14"/>
    </row>
    <row r="5920" spans="6:6" x14ac:dyDescent="0.3">
      <c r="F5920" s="14"/>
    </row>
    <row r="5921" spans="6:6" x14ac:dyDescent="0.3">
      <c r="F5921" s="14"/>
    </row>
    <row r="5922" spans="6:6" x14ac:dyDescent="0.3">
      <c r="F5922" s="14"/>
    </row>
    <row r="5923" spans="6:6" x14ac:dyDescent="0.3">
      <c r="F5923" s="14"/>
    </row>
    <row r="5924" spans="6:6" x14ac:dyDescent="0.3">
      <c r="F5924" s="14"/>
    </row>
    <row r="5925" spans="6:6" x14ac:dyDescent="0.3">
      <c r="F5925" s="14"/>
    </row>
    <row r="5926" spans="6:6" x14ac:dyDescent="0.3">
      <c r="F5926" s="14"/>
    </row>
    <row r="5927" spans="6:6" x14ac:dyDescent="0.3">
      <c r="F5927" s="14"/>
    </row>
    <row r="5928" spans="6:6" x14ac:dyDescent="0.3">
      <c r="F5928" s="14"/>
    </row>
    <row r="5929" spans="6:6" x14ac:dyDescent="0.3">
      <c r="F5929" s="14"/>
    </row>
    <row r="5930" spans="6:6" x14ac:dyDescent="0.3">
      <c r="F5930" s="14"/>
    </row>
    <row r="5931" spans="6:6" x14ac:dyDescent="0.3">
      <c r="F5931" s="14"/>
    </row>
    <row r="5932" spans="6:6" x14ac:dyDescent="0.3">
      <c r="F5932" s="14"/>
    </row>
    <row r="5933" spans="6:6" x14ac:dyDescent="0.3">
      <c r="F5933" s="14"/>
    </row>
    <row r="5934" spans="6:6" x14ac:dyDescent="0.3">
      <c r="F5934" s="14"/>
    </row>
    <row r="5935" spans="6:6" x14ac:dyDescent="0.3">
      <c r="F5935" s="14"/>
    </row>
    <row r="5936" spans="6:6" x14ac:dyDescent="0.3">
      <c r="F5936" s="14"/>
    </row>
    <row r="5937" spans="6:6" x14ac:dyDescent="0.3">
      <c r="F5937" s="14"/>
    </row>
    <row r="5938" spans="6:6" x14ac:dyDescent="0.3">
      <c r="F5938" s="14"/>
    </row>
    <row r="5939" spans="6:6" x14ac:dyDescent="0.3">
      <c r="F5939" s="14"/>
    </row>
    <row r="5940" spans="6:6" x14ac:dyDescent="0.3">
      <c r="F5940" s="14"/>
    </row>
    <row r="5941" spans="6:6" x14ac:dyDescent="0.3">
      <c r="F5941" s="14"/>
    </row>
    <row r="5942" spans="6:6" x14ac:dyDescent="0.3">
      <c r="F5942" s="14"/>
    </row>
    <row r="5943" spans="6:6" x14ac:dyDescent="0.3">
      <c r="F5943" s="14"/>
    </row>
    <row r="5944" spans="6:6" x14ac:dyDescent="0.3">
      <c r="F5944" s="14"/>
    </row>
    <row r="5945" spans="6:6" x14ac:dyDescent="0.3">
      <c r="F5945" s="14"/>
    </row>
    <row r="5946" spans="6:6" x14ac:dyDescent="0.3">
      <c r="F5946" s="14"/>
    </row>
    <row r="5947" spans="6:6" x14ac:dyDescent="0.3">
      <c r="F5947" s="14"/>
    </row>
    <row r="5948" spans="6:6" x14ac:dyDescent="0.3">
      <c r="F5948" s="14"/>
    </row>
    <row r="5949" spans="6:6" x14ac:dyDescent="0.3">
      <c r="F5949" s="14"/>
    </row>
    <row r="5950" spans="6:6" x14ac:dyDescent="0.3">
      <c r="F5950" s="14"/>
    </row>
    <row r="5951" spans="6:6" x14ac:dyDescent="0.3">
      <c r="F5951" s="14"/>
    </row>
    <row r="5952" spans="6:6" x14ac:dyDescent="0.3">
      <c r="F5952" s="14"/>
    </row>
    <row r="5953" spans="6:6" x14ac:dyDescent="0.3">
      <c r="F5953" s="14"/>
    </row>
    <row r="5954" spans="6:6" x14ac:dyDescent="0.3">
      <c r="F5954" s="14"/>
    </row>
    <row r="5955" spans="6:6" x14ac:dyDescent="0.3">
      <c r="F5955" s="14"/>
    </row>
    <row r="5956" spans="6:6" x14ac:dyDescent="0.3">
      <c r="F5956" s="14"/>
    </row>
    <row r="5957" spans="6:6" x14ac:dyDescent="0.3">
      <c r="F5957" s="14"/>
    </row>
    <row r="5958" spans="6:6" x14ac:dyDescent="0.3">
      <c r="F5958" s="14"/>
    </row>
    <row r="5959" spans="6:6" x14ac:dyDescent="0.3">
      <c r="F5959" s="14"/>
    </row>
    <row r="5960" spans="6:6" x14ac:dyDescent="0.3">
      <c r="F5960" s="14"/>
    </row>
    <row r="5961" spans="6:6" x14ac:dyDescent="0.3">
      <c r="F5961" s="14"/>
    </row>
    <row r="5962" spans="6:6" x14ac:dyDescent="0.3">
      <c r="F5962" s="14"/>
    </row>
    <row r="5963" spans="6:6" x14ac:dyDescent="0.3">
      <c r="F5963" s="14"/>
    </row>
    <row r="5964" spans="6:6" x14ac:dyDescent="0.3">
      <c r="F5964" s="14"/>
    </row>
    <row r="5965" spans="6:6" x14ac:dyDescent="0.3">
      <c r="F5965" s="14"/>
    </row>
    <row r="5966" spans="6:6" x14ac:dyDescent="0.3">
      <c r="F5966" s="14"/>
    </row>
    <row r="5967" spans="6:6" x14ac:dyDescent="0.3">
      <c r="F5967" s="14"/>
    </row>
    <row r="5968" spans="6:6" x14ac:dyDescent="0.3">
      <c r="F5968" s="14"/>
    </row>
    <row r="5969" spans="6:6" x14ac:dyDescent="0.3">
      <c r="F5969" s="14"/>
    </row>
    <row r="5970" spans="6:6" x14ac:dyDescent="0.3">
      <c r="F5970" s="14"/>
    </row>
    <row r="5971" spans="6:6" x14ac:dyDescent="0.3">
      <c r="F5971" s="14"/>
    </row>
    <row r="5972" spans="6:6" x14ac:dyDescent="0.3">
      <c r="F5972" s="14"/>
    </row>
    <row r="5973" spans="6:6" x14ac:dyDescent="0.3">
      <c r="F5973" s="14"/>
    </row>
    <row r="5974" spans="6:6" x14ac:dyDescent="0.3">
      <c r="F5974" s="14"/>
    </row>
    <row r="5975" spans="6:6" x14ac:dyDescent="0.3">
      <c r="F5975" s="14"/>
    </row>
    <row r="5976" spans="6:6" x14ac:dyDescent="0.3">
      <c r="F5976" s="14"/>
    </row>
    <row r="5977" spans="6:6" x14ac:dyDescent="0.3">
      <c r="F5977" s="14"/>
    </row>
    <row r="5978" spans="6:6" x14ac:dyDescent="0.3">
      <c r="F5978" s="14"/>
    </row>
    <row r="5979" spans="6:6" x14ac:dyDescent="0.3">
      <c r="F5979" s="14"/>
    </row>
    <row r="5980" spans="6:6" x14ac:dyDescent="0.3">
      <c r="F5980" s="14"/>
    </row>
    <row r="5981" spans="6:6" x14ac:dyDescent="0.3">
      <c r="F5981" s="14"/>
    </row>
    <row r="5982" spans="6:6" x14ac:dyDescent="0.3">
      <c r="F5982" s="14"/>
    </row>
    <row r="5983" spans="6:6" x14ac:dyDescent="0.3">
      <c r="F5983" s="14"/>
    </row>
    <row r="5984" spans="6:6" x14ac:dyDescent="0.3">
      <c r="F5984" s="14"/>
    </row>
    <row r="5985" spans="6:6" x14ac:dyDescent="0.3">
      <c r="F5985" s="14"/>
    </row>
    <row r="5986" spans="6:6" x14ac:dyDescent="0.3">
      <c r="F5986" s="14"/>
    </row>
    <row r="5987" spans="6:6" x14ac:dyDescent="0.3">
      <c r="F5987" s="14"/>
    </row>
    <row r="5988" spans="6:6" x14ac:dyDescent="0.3">
      <c r="F5988" s="14"/>
    </row>
    <row r="5989" spans="6:6" x14ac:dyDescent="0.3">
      <c r="F5989" s="14"/>
    </row>
    <row r="5990" spans="6:6" x14ac:dyDescent="0.3">
      <c r="F5990" s="14"/>
    </row>
    <row r="5991" spans="6:6" x14ac:dyDescent="0.3">
      <c r="F5991" s="14"/>
    </row>
    <row r="5992" spans="6:6" x14ac:dyDescent="0.3">
      <c r="F5992" s="14"/>
    </row>
    <row r="5993" spans="6:6" x14ac:dyDescent="0.3">
      <c r="F5993" s="14"/>
    </row>
    <row r="5994" spans="6:6" x14ac:dyDescent="0.3">
      <c r="F5994" s="14"/>
    </row>
    <row r="5995" spans="6:6" x14ac:dyDescent="0.3">
      <c r="F5995" s="14"/>
    </row>
    <row r="5996" spans="6:6" x14ac:dyDescent="0.3">
      <c r="F5996" s="14"/>
    </row>
    <row r="5997" spans="6:6" x14ac:dyDescent="0.3">
      <c r="F5997" s="14"/>
    </row>
    <row r="5998" spans="6:6" x14ac:dyDescent="0.3">
      <c r="F5998" s="14"/>
    </row>
    <row r="5999" spans="6:6" x14ac:dyDescent="0.3">
      <c r="F5999" s="14"/>
    </row>
    <row r="6000" spans="6:6" x14ac:dyDescent="0.3">
      <c r="F6000" s="14"/>
    </row>
    <row r="6001" spans="6:6" x14ac:dyDescent="0.3">
      <c r="F6001" s="14"/>
    </row>
    <row r="6002" spans="6:6" x14ac:dyDescent="0.3">
      <c r="F6002" s="14"/>
    </row>
    <row r="6003" spans="6:6" x14ac:dyDescent="0.3">
      <c r="F6003" s="14"/>
    </row>
    <row r="6004" spans="6:6" x14ac:dyDescent="0.3">
      <c r="F6004" s="14"/>
    </row>
    <row r="6005" spans="6:6" x14ac:dyDescent="0.3">
      <c r="F6005" s="14"/>
    </row>
    <row r="6006" spans="6:6" x14ac:dyDescent="0.3">
      <c r="F6006" s="14"/>
    </row>
    <row r="6007" spans="6:6" x14ac:dyDescent="0.3">
      <c r="F6007" s="14"/>
    </row>
    <row r="6008" spans="6:6" x14ac:dyDescent="0.3">
      <c r="F6008" s="14"/>
    </row>
    <row r="6009" spans="6:6" x14ac:dyDescent="0.3">
      <c r="F6009" s="14"/>
    </row>
    <row r="6010" spans="6:6" x14ac:dyDescent="0.3">
      <c r="F6010" s="14"/>
    </row>
    <row r="6011" spans="6:6" x14ac:dyDescent="0.3">
      <c r="F6011" s="14"/>
    </row>
    <row r="6012" spans="6:6" x14ac:dyDescent="0.3">
      <c r="F6012" s="14"/>
    </row>
    <row r="6013" spans="6:6" x14ac:dyDescent="0.3">
      <c r="F6013" s="14"/>
    </row>
    <row r="6014" spans="6:6" x14ac:dyDescent="0.3">
      <c r="F6014" s="14"/>
    </row>
    <row r="6015" spans="6:6" x14ac:dyDescent="0.3">
      <c r="F6015" s="14"/>
    </row>
    <row r="6016" spans="6:6" x14ac:dyDescent="0.3">
      <c r="F6016" s="14"/>
    </row>
    <row r="6017" spans="6:6" x14ac:dyDescent="0.3">
      <c r="F6017" s="14"/>
    </row>
    <row r="6018" spans="6:6" x14ac:dyDescent="0.3">
      <c r="F6018" s="14"/>
    </row>
    <row r="6019" spans="6:6" x14ac:dyDescent="0.3">
      <c r="F6019" s="14"/>
    </row>
    <row r="6020" spans="6:6" x14ac:dyDescent="0.3">
      <c r="F6020" s="14"/>
    </row>
    <row r="6021" spans="6:6" x14ac:dyDescent="0.3">
      <c r="F6021" s="14"/>
    </row>
    <row r="6022" spans="6:6" x14ac:dyDescent="0.3">
      <c r="F6022" s="14"/>
    </row>
    <row r="6023" spans="6:6" x14ac:dyDescent="0.3">
      <c r="F6023" s="14"/>
    </row>
    <row r="6024" spans="6:6" x14ac:dyDescent="0.3">
      <c r="F6024" s="14"/>
    </row>
    <row r="6025" spans="6:6" x14ac:dyDescent="0.3">
      <c r="F6025" s="14"/>
    </row>
    <row r="6026" spans="6:6" x14ac:dyDescent="0.3">
      <c r="F6026" s="14"/>
    </row>
    <row r="6027" spans="6:6" x14ac:dyDescent="0.3">
      <c r="F6027" s="14"/>
    </row>
    <row r="6028" spans="6:6" x14ac:dyDescent="0.3">
      <c r="F6028" s="14"/>
    </row>
    <row r="6029" spans="6:6" x14ac:dyDescent="0.3">
      <c r="F6029" s="14"/>
    </row>
    <row r="6030" spans="6:6" x14ac:dyDescent="0.3">
      <c r="F6030" s="14"/>
    </row>
    <row r="6031" spans="6:6" x14ac:dyDescent="0.3">
      <c r="F6031" s="14"/>
    </row>
    <row r="6032" spans="6:6" x14ac:dyDescent="0.3">
      <c r="F6032" s="14"/>
    </row>
    <row r="6033" spans="6:6" x14ac:dyDescent="0.3">
      <c r="F6033" s="14"/>
    </row>
    <row r="6034" spans="6:6" x14ac:dyDescent="0.3">
      <c r="F6034" s="14"/>
    </row>
    <row r="6035" spans="6:6" x14ac:dyDescent="0.3">
      <c r="F6035" s="14"/>
    </row>
    <row r="6036" spans="6:6" x14ac:dyDescent="0.3">
      <c r="F6036" s="14"/>
    </row>
    <row r="6037" spans="6:6" x14ac:dyDescent="0.3">
      <c r="F6037" s="14"/>
    </row>
    <row r="6038" spans="6:6" x14ac:dyDescent="0.3">
      <c r="F6038" s="14"/>
    </row>
    <row r="6039" spans="6:6" x14ac:dyDescent="0.3">
      <c r="F6039" s="14"/>
    </row>
    <row r="6040" spans="6:6" x14ac:dyDescent="0.3">
      <c r="F6040" s="14"/>
    </row>
    <row r="6041" spans="6:6" x14ac:dyDescent="0.3">
      <c r="F6041" s="14"/>
    </row>
    <row r="6042" spans="6:6" x14ac:dyDescent="0.3">
      <c r="F6042" s="14"/>
    </row>
    <row r="6043" spans="6:6" x14ac:dyDescent="0.3">
      <c r="F6043" s="14"/>
    </row>
    <row r="6044" spans="6:6" x14ac:dyDescent="0.3">
      <c r="F6044" s="14"/>
    </row>
    <row r="6045" spans="6:6" x14ac:dyDescent="0.3">
      <c r="F6045" s="14"/>
    </row>
    <row r="6046" spans="6:6" x14ac:dyDescent="0.3">
      <c r="F6046" s="14"/>
    </row>
    <row r="6047" spans="6:6" x14ac:dyDescent="0.3">
      <c r="F6047" s="14"/>
    </row>
    <row r="6048" spans="6:6" x14ac:dyDescent="0.3">
      <c r="F6048" s="14"/>
    </row>
    <row r="6049" spans="6:6" x14ac:dyDescent="0.3">
      <c r="F6049" s="14"/>
    </row>
    <row r="6050" spans="6:6" x14ac:dyDescent="0.3">
      <c r="F6050" s="14"/>
    </row>
    <row r="6051" spans="6:6" x14ac:dyDescent="0.3">
      <c r="F6051" s="14"/>
    </row>
    <row r="6052" spans="6:6" x14ac:dyDescent="0.3">
      <c r="F6052" s="14"/>
    </row>
    <row r="6053" spans="6:6" x14ac:dyDescent="0.3">
      <c r="F6053" s="14"/>
    </row>
    <row r="6054" spans="6:6" x14ac:dyDescent="0.3">
      <c r="F6054" s="14"/>
    </row>
    <row r="6055" spans="6:6" x14ac:dyDescent="0.3">
      <c r="F6055" s="14"/>
    </row>
    <row r="6056" spans="6:6" x14ac:dyDescent="0.3">
      <c r="F6056" s="14"/>
    </row>
    <row r="6057" spans="6:6" x14ac:dyDescent="0.3">
      <c r="F6057" s="14"/>
    </row>
    <row r="6058" spans="6:6" x14ac:dyDescent="0.3">
      <c r="F6058" s="14"/>
    </row>
    <row r="6059" spans="6:6" x14ac:dyDescent="0.3">
      <c r="F6059" s="14"/>
    </row>
    <row r="6060" spans="6:6" x14ac:dyDescent="0.3">
      <c r="F6060" s="14"/>
    </row>
    <row r="6061" spans="6:6" x14ac:dyDescent="0.3">
      <c r="F6061" s="14"/>
    </row>
    <row r="6062" spans="6:6" x14ac:dyDescent="0.3">
      <c r="F6062" s="14"/>
    </row>
    <row r="6063" spans="6:6" x14ac:dyDescent="0.3">
      <c r="F6063" s="14"/>
    </row>
    <row r="6064" spans="6:6" x14ac:dyDescent="0.3">
      <c r="F6064" s="14"/>
    </row>
    <row r="6065" spans="6:6" x14ac:dyDescent="0.3">
      <c r="F6065" s="14"/>
    </row>
    <row r="6066" spans="6:6" x14ac:dyDescent="0.3">
      <c r="F6066" s="14"/>
    </row>
    <row r="6067" spans="6:6" x14ac:dyDescent="0.3">
      <c r="F6067" s="14"/>
    </row>
    <row r="6068" spans="6:6" x14ac:dyDescent="0.3">
      <c r="F6068" s="14"/>
    </row>
    <row r="6069" spans="6:6" x14ac:dyDescent="0.3">
      <c r="F6069" s="14"/>
    </row>
    <row r="6070" spans="6:6" x14ac:dyDescent="0.3">
      <c r="F6070" s="14"/>
    </row>
    <row r="6071" spans="6:6" x14ac:dyDescent="0.3">
      <c r="F6071" s="14"/>
    </row>
    <row r="6072" spans="6:6" x14ac:dyDescent="0.3">
      <c r="F6072" s="14"/>
    </row>
    <row r="6073" spans="6:6" x14ac:dyDescent="0.3">
      <c r="F6073" s="14"/>
    </row>
    <row r="6074" spans="6:6" x14ac:dyDescent="0.3">
      <c r="F6074" s="14"/>
    </row>
    <row r="6075" spans="6:6" x14ac:dyDescent="0.3">
      <c r="F6075" s="14"/>
    </row>
    <row r="6076" spans="6:6" x14ac:dyDescent="0.3">
      <c r="F6076" s="14"/>
    </row>
    <row r="6077" spans="6:6" x14ac:dyDescent="0.3">
      <c r="F6077" s="14"/>
    </row>
    <row r="6078" spans="6:6" x14ac:dyDescent="0.3">
      <c r="F6078" s="14"/>
    </row>
    <row r="6079" spans="6:6" x14ac:dyDescent="0.3">
      <c r="F6079" s="14"/>
    </row>
    <row r="6080" spans="6:6" x14ac:dyDescent="0.3">
      <c r="F6080" s="14"/>
    </row>
    <row r="6081" spans="6:6" x14ac:dyDescent="0.3">
      <c r="F6081" s="14"/>
    </row>
    <row r="6082" spans="6:6" x14ac:dyDescent="0.3">
      <c r="F6082" s="14"/>
    </row>
    <row r="6083" spans="6:6" x14ac:dyDescent="0.3">
      <c r="F6083" s="14"/>
    </row>
    <row r="6084" spans="6:6" x14ac:dyDescent="0.3">
      <c r="F6084" s="14"/>
    </row>
    <row r="6085" spans="6:6" x14ac:dyDescent="0.3">
      <c r="F6085" s="14"/>
    </row>
    <row r="6086" spans="6:6" x14ac:dyDescent="0.3">
      <c r="F6086" s="14"/>
    </row>
    <row r="6087" spans="6:6" x14ac:dyDescent="0.3">
      <c r="F6087" s="14"/>
    </row>
    <row r="6088" spans="6:6" x14ac:dyDescent="0.3">
      <c r="F6088" s="14"/>
    </row>
    <row r="6089" spans="6:6" x14ac:dyDescent="0.3">
      <c r="F6089" s="14"/>
    </row>
    <row r="6090" spans="6:6" x14ac:dyDescent="0.3">
      <c r="F6090" s="14"/>
    </row>
    <row r="6091" spans="6:6" x14ac:dyDescent="0.3">
      <c r="F6091" s="14"/>
    </row>
    <row r="6092" spans="6:6" x14ac:dyDescent="0.3">
      <c r="F6092" s="14"/>
    </row>
    <row r="6093" spans="6:6" x14ac:dyDescent="0.3">
      <c r="F6093" s="14"/>
    </row>
    <row r="6094" spans="6:6" x14ac:dyDescent="0.3">
      <c r="F6094" s="14"/>
    </row>
    <row r="6095" spans="6:6" x14ac:dyDescent="0.3">
      <c r="F6095" s="14"/>
    </row>
    <row r="6096" spans="6:6" x14ac:dyDescent="0.3">
      <c r="F6096" s="14"/>
    </row>
    <row r="6097" spans="6:6" x14ac:dyDescent="0.3">
      <c r="F6097" s="14"/>
    </row>
    <row r="6098" spans="6:6" x14ac:dyDescent="0.3">
      <c r="F6098" s="14"/>
    </row>
    <row r="6099" spans="6:6" x14ac:dyDescent="0.3">
      <c r="F6099" s="14"/>
    </row>
    <row r="6100" spans="6:6" x14ac:dyDescent="0.3">
      <c r="F6100" s="14"/>
    </row>
    <row r="6101" spans="6:6" x14ac:dyDescent="0.3">
      <c r="F6101" s="14"/>
    </row>
    <row r="6102" spans="6:6" x14ac:dyDescent="0.3">
      <c r="F6102" s="14"/>
    </row>
    <row r="6103" spans="6:6" x14ac:dyDescent="0.3">
      <c r="F6103" s="14"/>
    </row>
    <row r="6104" spans="6:6" x14ac:dyDescent="0.3">
      <c r="F6104" s="14"/>
    </row>
    <row r="6105" spans="6:6" x14ac:dyDescent="0.3">
      <c r="F6105" s="14"/>
    </row>
    <row r="6106" spans="6:6" x14ac:dyDescent="0.3">
      <c r="F6106" s="14"/>
    </row>
    <row r="6107" spans="6:6" x14ac:dyDescent="0.3">
      <c r="F6107" s="14"/>
    </row>
    <row r="6108" spans="6:6" x14ac:dyDescent="0.3">
      <c r="F6108" s="14"/>
    </row>
    <row r="6109" spans="6:6" x14ac:dyDescent="0.3">
      <c r="F6109" s="14"/>
    </row>
    <row r="6110" spans="6:6" x14ac:dyDescent="0.3">
      <c r="F6110" s="14"/>
    </row>
    <row r="6111" spans="6:6" x14ac:dyDescent="0.3">
      <c r="F6111" s="14"/>
    </row>
    <row r="6112" spans="6:6" x14ac:dyDescent="0.3">
      <c r="F6112" s="14"/>
    </row>
    <row r="6113" spans="6:6" x14ac:dyDescent="0.3">
      <c r="F6113" s="14"/>
    </row>
    <row r="6114" spans="6:6" x14ac:dyDescent="0.3">
      <c r="F6114" s="14"/>
    </row>
    <row r="6115" spans="6:6" x14ac:dyDescent="0.3">
      <c r="F6115" s="14"/>
    </row>
    <row r="6116" spans="6:6" x14ac:dyDescent="0.3">
      <c r="F6116" s="14"/>
    </row>
    <row r="6117" spans="6:6" x14ac:dyDescent="0.3">
      <c r="F6117" s="14"/>
    </row>
    <row r="6118" spans="6:6" x14ac:dyDescent="0.3">
      <c r="F6118" s="14"/>
    </row>
    <row r="6119" spans="6:6" x14ac:dyDescent="0.3">
      <c r="F6119" s="14"/>
    </row>
    <row r="6120" spans="6:6" x14ac:dyDescent="0.3">
      <c r="F6120" s="14"/>
    </row>
    <row r="6121" spans="6:6" x14ac:dyDescent="0.3">
      <c r="F6121" s="14"/>
    </row>
    <row r="6122" spans="6:6" x14ac:dyDescent="0.3">
      <c r="F6122" s="14"/>
    </row>
    <row r="6123" spans="6:6" x14ac:dyDescent="0.3">
      <c r="F6123" s="14"/>
    </row>
    <row r="6124" spans="6:6" x14ac:dyDescent="0.3">
      <c r="F6124" s="14"/>
    </row>
    <row r="6125" spans="6:6" x14ac:dyDescent="0.3">
      <c r="F6125" s="14"/>
    </row>
    <row r="6126" spans="6:6" x14ac:dyDescent="0.3">
      <c r="F6126" s="14"/>
    </row>
    <row r="6127" spans="6:6" x14ac:dyDescent="0.3">
      <c r="F6127" s="14"/>
    </row>
    <row r="6128" spans="6:6" x14ac:dyDescent="0.3">
      <c r="F6128" s="14"/>
    </row>
    <row r="6129" spans="6:6" x14ac:dyDescent="0.3">
      <c r="F6129" s="14"/>
    </row>
    <row r="6130" spans="6:6" x14ac:dyDescent="0.3">
      <c r="F6130" s="14"/>
    </row>
    <row r="6131" spans="6:6" x14ac:dyDescent="0.3">
      <c r="F6131" s="14"/>
    </row>
    <row r="6132" spans="6:6" x14ac:dyDescent="0.3">
      <c r="F6132" s="14"/>
    </row>
    <row r="6133" spans="6:6" x14ac:dyDescent="0.3">
      <c r="F6133" s="14"/>
    </row>
    <row r="6134" spans="6:6" x14ac:dyDescent="0.3">
      <c r="F6134" s="14"/>
    </row>
    <row r="6135" spans="6:6" x14ac:dyDescent="0.3">
      <c r="F6135" s="14"/>
    </row>
    <row r="6136" spans="6:6" x14ac:dyDescent="0.3">
      <c r="F6136" s="14"/>
    </row>
    <row r="6137" spans="6:6" x14ac:dyDescent="0.3">
      <c r="F6137" s="14"/>
    </row>
    <row r="6138" spans="6:6" x14ac:dyDescent="0.3">
      <c r="F6138" s="14"/>
    </row>
    <row r="6139" spans="6:6" x14ac:dyDescent="0.3">
      <c r="F6139" s="14"/>
    </row>
    <row r="6140" spans="6:6" x14ac:dyDescent="0.3">
      <c r="F6140" s="14"/>
    </row>
    <row r="6141" spans="6:6" x14ac:dyDescent="0.3">
      <c r="F6141" s="14"/>
    </row>
    <row r="6142" spans="6:6" x14ac:dyDescent="0.3">
      <c r="F6142" s="14"/>
    </row>
    <row r="6143" spans="6:6" x14ac:dyDescent="0.3">
      <c r="F6143" s="14"/>
    </row>
    <row r="6144" spans="6:6" x14ac:dyDescent="0.3">
      <c r="F6144" s="14"/>
    </row>
    <row r="6145" spans="6:6" x14ac:dyDescent="0.3">
      <c r="F6145" s="14"/>
    </row>
    <row r="6146" spans="6:6" x14ac:dyDescent="0.3">
      <c r="F6146" s="14"/>
    </row>
    <row r="6147" spans="6:6" x14ac:dyDescent="0.3">
      <c r="F6147" s="14"/>
    </row>
    <row r="6148" spans="6:6" x14ac:dyDescent="0.3">
      <c r="F6148" s="14"/>
    </row>
    <row r="6149" spans="6:6" x14ac:dyDescent="0.3">
      <c r="F6149" s="14"/>
    </row>
    <row r="6150" spans="6:6" x14ac:dyDescent="0.3">
      <c r="F6150" s="14"/>
    </row>
    <row r="6151" spans="6:6" x14ac:dyDescent="0.3">
      <c r="F6151" s="14"/>
    </row>
    <row r="6152" spans="6:6" x14ac:dyDescent="0.3">
      <c r="F6152" s="14"/>
    </row>
    <row r="6153" spans="6:6" x14ac:dyDescent="0.3">
      <c r="F6153" s="14"/>
    </row>
    <row r="6154" spans="6:6" x14ac:dyDescent="0.3">
      <c r="F6154" s="14"/>
    </row>
    <row r="6155" spans="6:6" x14ac:dyDescent="0.3">
      <c r="F6155" s="14"/>
    </row>
    <row r="6156" spans="6:6" x14ac:dyDescent="0.3">
      <c r="F6156" s="14"/>
    </row>
    <row r="6157" spans="6:6" x14ac:dyDescent="0.3">
      <c r="F6157" s="14"/>
    </row>
    <row r="6158" spans="6:6" x14ac:dyDescent="0.3">
      <c r="F6158" s="14"/>
    </row>
    <row r="6159" spans="6:6" x14ac:dyDescent="0.3">
      <c r="F6159" s="14"/>
    </row>
    <row r="6160" spans="6:6" x14ac:dyDescent="0.3">
      <c r="F6160" s="14"/>
    </row>
    <row r="6161" spans="6:6" x14ac:dyDescent="0.3">
      <c r="F6161" s="14"/>
    </row>
    <row r="6162" spans="6:6" x14ac:dyDescent="0.3">
      <c r="F6162" s="14"/>
    </row>
    <row r="6163" spans="6:6" x14ac:dyDescent="0.3">
      <c r="F6163" s="14"/>
    </row>
    <row r="6164" spans="6:6" x14ac:dyDescent="0.3">
      <c r="F6164" s="14"/>
    </row>
    <row r="6165" spans="6:6" x14ac:dyDescent="0.3">
      <c r="F6165" s="14"/>
    </row>
    <row r="6166" spans="6:6" x14ac:dyDescent="0.3">
      <c r="F6166" s="14"/>
    </row>
    <row r="6167" spans="6:6" x14ac:dyDescent="0.3">
      <c r="F6167" s="14"/>
    </row>
    <row r="6168" spans="6:6" x14ac:dyDescent="0.3">
      <c r="F6168" s="14"/>
    </row>
    <row r="6169" spans="6:6" x14ac:dyDescent="0.3">
      <c r="F6169" s="14"/>
    </row>
    <row r="6170" spans="6:6" x14ac:dyDescent="0.3">
      <c r="F6170" s="14"/>
    </row>
    <row r="6171" spans="6:6" x14ac:dyDescent="0.3">
      <c r="F6171" s="14"/>
    </row>
    <row r="6172" spans="6:6" x14ac:dyDescent="0.3">
      <c r="F6172" s="14"/>
    </row>
    <row r="6173" spans="6:6" x14ac:dyDescent="0.3">
      <c r="F6173" s="14"/>
    </row>
    <row r="6174" spans="6:6" x14ac:dyDescent="0.3">
      <c r="F6174" s="14"/>
    </row>
    <row r="6175" spans="6:6" x14ac:dyDescent="0.3">
      <c r="F6175" s="14"/>
    </row>
    <row r="6176" spans="6:6" x14ac:dyDescent="0.3">
      <c r="F6176" s="14"/>
    </row>
    <row r="6177" spans="6:6" x14ac:dyDescent="0.3">
      <c r="F6177" s="14"/>
    </row>
    <row r="6178" spans="6:6" x14ac:dyDescent="0.3">
      <c r="F6178" s="14"/>
    </row>
    <row r="6179" spans="6:6" x14ac:dyDescent="0.3">
      <c r="F6179" s="14"/>
    </row>
    <row r="6180" spans="6:6" x14ac:dyDescent="0.3">
      <c r="F6180" s="14"/>
    </row>
    <row r="6181" spans="6:6" x14ac:dyDescent="0.3">
      <c r="F6181" s="14"/>
    </row>
    <row r="6182" spans="6:6" x14ac:dyDescent="0.3">
      <c r="F6182" s="14"/>
    </row>
    <row r="6183" spans="6:6" x14ac:dyDescent="0.3">
      <c r="F6183" s="14"/>
    </row>
    <row r="6184" spans="6:6" x14ac:dyDescent="0.3">
      <c r="F6184" s="14"/>
    </row>
    <row r="6185" spans="6:6" x14ac:dyDescent="0.3">
      <c r="F6185" s="14"/>
    </row>
    <row r="6186" spans="6:6" x14ac:dyDescent="0.3">
      <c r="F6186" s="14"/>
    </row>
    <row r="6187" spans="6:6" x14ac:dyDescent="0.3">
      <c r="F6187" s="14"/>
    </row>
    <row r="6188" spans="6:6" x14ac:dyDescent="0.3">
      <c r="F6188" s="14"/>
    </row>
    <row r="6189" spans="6:6" x14ac:dyDescent="0.3">
      <c r="F6189" s="14"/>
    </row>
    <row r="6190" spans="6:6" x14ac:dyDescent="0.3">
      <c r="F6190" s="14"/>
    </row>
    <row r="6191" spans="6:6" x14ac:dyDescent="0.3">
      <c r="F6191" s="14"/>
    </row>
    <row r="6192" spans="6:6" x14ac:dyDescent="0.3">
      <c r="F6192" s="14"/>
    </row>
    <row r="6193" spans="6:6" x14ac:dyDescent="0.3">
      <c r="F6193" s="14"/>
    </row>
    <row r="6194" spans="6:6" x14ac:dyDescent="0.3">
      <c r="F6194" s="14"/>
    </row>
    <row r="6195" spans="6:6" x14ac:dyDescent="0.3">
      <c r="F6195" s="14"/>
    </row>
    <row r="6196" spans="6:6" x14ac:dyDescent="0.3">
      <c r="F6196" s="14"/>
    </row>
    <row r="6197" spans="6:6" x14ac:dyDescent="0.3">
      <c r="F6197" s="14"/>
    </row>
    <row r="6198" spans="6:6" x14ac:dyDescent="0.3">
      <c r="F6198" s="14"/>
    </row>
    <row r="6199" spans="6:6" x14ac:dyDescent="0.3">
      <c r="F6199" s="14"/>
    </row>
    <row r="6200" spans="6:6" x14ac:dyDescent="0.3">
      <c r="F6200" s="14"/>
    </row>
    <row r="6201" spans="6:6" x14ac:dyDescent="0.3">
      <c r="F6201" s="14"/>
    </row>
    <row r="6202" spans="6:6" x14ac:dyDescent="0.3">
      <c r="F6202" s="14"/>
    </row>
    <row r="6203" spans="6:6" x14ac:dyDescent="0.3">
      <c r="F6203" s="14"/>
    </row>
    <row r="6204" spans="6:6" x14ac:dyDescent="0.3">
      <c r="F6204" s="14"/>
    </row>
    <row r="6205" spans="6:6" x14ac:dyDescent="0.3">
      <c r="F6205" s="14"/>
    </row>
    <row r="6206" spans="6:6" x14ac:dyDescent="0.3">
      <c r="F6206" s="14"/>
    </row>
    <row r="6207" spans="6:6" x14ac:dyDescent="0.3">
      <c r="F6207" s="14"/>
    </row>
    <row r="6208" spans="6:6" x14ac:dyDescent="0.3">
      <c r="F6208" s="14"/>
    </row>
    <row r="6209" spans="6:6" x14ac:dyDescent="0.3">
      <c r="F6209" s="14"/>
    </row>
    <row r="6210" spans="6:6" x14ac:dyDescent="0.3">
      <c r="F6210" s="14"/>
    </row>
    <row r="6211" spans="6:6" x14ac:dyDescent="0.3">
      <c r="F6211" s="14"/>
    </row>
    <row r="6212" spans="6:6" x14ac:dyDescent="0.3">
      <c r="F6212" s="14"/>
    </row>
    <row r="6213" spans="6:6" x14ac:dyDescent="0.3">
      <c r="F6213" s="14"/>
    </row>
    <row r="6214" spans="6:6" x14ac:dyDescent="0.3">
      <c r="F6214" s="14"/>
    </row>
    <row r="6215" spans="6:6" x14ac:dyDescent="0.3">
      <c r="F6215" s="14"/>
    </row>
    <row r="6216" spans="6:6" x14ac:dyDescent="0.3">
      <c r="F6216" s="14"/>
    </row>
    <row r="6217" spans="6:6" x14ac:dyDescent="0.3">
      <c r="F6217" s="14"/>
    </row>
    <row r="6218" spans="6:6" x14ac:dyDescent="0.3">
      <c r="F6218" s="14"/>
    </row>
    <row r="6219" spans="6:6" x14ac:dyDescent="0.3">
      <c r="F6219" s="14"/>
    </row>
    <row r="6220" spans="6:6" x14ac:dyDescent="0.3">
      <c r="F6220" s="14"/>
    </row>
    <row r="6221" spans="6:6" x14ac:dyDescent="0.3">
      <c r="F6221" s="14"/>
    </row>
    <row r="6222" spans="6:6" x14ac:dyDescent="0.3">
      <c r="F6222" s="14"/>
    </row>
    <row r="6223" spans="6:6" x14ac:dyDescent="0.3">
      <c r="F6223" s="14"/>
    </row>
    <row r="6224" spans="6:6" x14ac:dyDescent="0.3">
      <c r="F6224" s="14"/>
    </row>
    <row r="6225" spans="6:6" x14ac:dyDescent="0.3">
      <c r="F6225" s="14"/>
    </row>
    <row r="6226" spans="6:6" x14ac:dyDescent="0.3">
      <c r="F6226" s="14"/>
    </row>
    <row r="6227" spans="6:6" x14ac:dyDescent="0.3">
      <c r="F6227" s="14"/>
    </row>
    <row r="6228" spans="6:6" x14ac:dyDescent="0.3">
      <c r="F6228" s="14"/>
    </row>
    <row r="6229" spans="6:6" x14ac:dyDescent="0.3">
      <c r="F6229" s="14"/>
    </row>
    <row r="6230" spans="6:6" x14ac:dyDescent="0.3">
      <c r="F6230" s="14"/>
    </row>
    <row r="6231" spans="6:6" x14ac:dyDescent="0.3">
      <c r="F6231" s="14"/>
    </row>
    <row r="6232" spans="6:6" x14ac:dyDescent="0.3">
      <c r="F6232" s="14"/>
    </row>
    <row r="6233" spans="6:6" x14ac:dyDescent="0.3">
      <c r="F6233" s="14"/>
    </row>
    <row r="6234" spans="6:6" x14ac:dyDescent="0.3">
      <c r="F6234" s="14"/>
    </row>
    <row r="6235" spans="6:6" x14ac:dyDescent="0.3">
      <c r="F6235" s="14"/>
    </row>
    <row r="6236" spans="6:6" x14ac:dyDescent="0.3">
      <c r="F6236" s="14"/>
    </row>
    <row r="6237" spans="6:6" x14ac:dyDescent="0.3">
      <c r="F6237" s="14"/>
    </row>
    <row r="6238" spans="6:6" x14ac:dyDescent="0.3">
      <c r="F6238" s="14"/>
    </row>
    <row r="6239" spans="6:6" x14ac:dyDescent="0.3">
      <c r="F6239" s="14"/>
    </row>
    <row r="6240" spans="6:6" x14ac:dyDescent="0.3">
      <c r="F6240" s="14"/>
    </row>
    <row r="6241" spans="6:6" x14ac:dyDescent="0.3">
      <c r="F6241" s="14"/>
    </row>
    <row r="6242" spans="6:6" x14ac:dyDescent="0.3">
      <c r="F6242" s="14"/>
    </row>
    <row r="6243" spans="6:6" x14ac:dyDescent="0.3">
      <c r="F6243" s="14"/>
    </row>
    <row r="6244" spans="6:6" x14ac:dyDescent="0.3">
      <c r="F6244" s="14"/>
    </row>
    <row r="6245" spans="6:6" x14ac:dyDescent="0.3">
      <c r="F6245" s="14"/>
    </row>
    <row r="6246" spans="6:6" x14ac:dyDescent="0.3">
      <c r="F6246" s="14"/>
    </row>
    <row r="6247" spans="6:6" x14ac:dyDescent="0.3">
      <c r="F6247" s="14"/>
    </row>
    <row r="6248" spans="6:6" x14ac:dyDescent="0.3">
      <c r="F6248" s="14"/>
    </row>
    <row r="6249" spans="6:6" x14ac:dyDescent="0.3">
      <c r="F6249" s="14"/>
    </row>
    <row r="6250" spans="6:6" x14ac:dyDescent="0.3">
      <c r="F6250" s="14"/>
    </row>
    <row r="6251" spans="6:6" x14ac:dyDescent="0.3">
      <c r="F6251" s="14"/>
    </row>
    <row r="6252" spans="6:6" x14ac:dyDescent="0.3">
      <c r="F6252" s="14"/>
    </row>
    <row r="6253" spans="6:6" x14ac:dyDescent="0.3">
      <c r="F6253" s="14"/>
    </row>
    <row r="6254" spans="6:6" x14ac:dyDescent="0.3">
      <c r="F6254" s="14"/>
    </row>
    <row r="6255" spans="6:6" x14ac:dyDescent="0.3">
      <c r="F6255" s="14"/>
    </row>
    <row r="6256" spans="6:6" x14ac:dyDescent="0.3">
      <c r="F6256" s="14"/>
    </row>
    <row r="6257" spans="6:6" x14ac:dyDescent="0.3">
      <c r="F6257" s="14"/>
    </row>
    <row r="6258" spans="6:6" x14ac:dyDescent="0.3">
      <c r="F6258" s="14"/>
    </row>
    <row r="6259" spans="6:6" x14ac:dyDescent="0.3">
      <c r="F6259" s="14"/>
    </row>
    <row r="6260" spans="6:6" x14ac:dyDescent="0.3">
      <c r="F6260" s="14"/>
    </row>
    <row r="6261" spans="6:6" x14ac:dyDescent="0.3">
      <c r="F6261" s="14"/>
    </row>
    <row r="6262" spans="6:6" x14ac:dyDescent="0.3">
      <c r="F6262" s="14"/>
    </row>
    <row r="6263" spans="6:6" x14ac:dyDescent="0.3">
      <c r="F6263" s="14"/>
    </row>
    <row r="6264" spans="6:6" x14ac:dyDescent="0.3">
      <c r="F6264" s="14"/>
    </row>
    <row r="6265" spans="6:6" x14ac:dyDescent="0.3">
      <c r="F6265" s="14"/>
    </row>
    <row r="6266" spans="6:6" x14ac:dyDescent="0.3">
      <c r="F6266" s="14"/>
    </row>
    <row r="6267" spans="6:6" x14ac:dyDescent="0.3">
      <c r="F6267" s="14"/>
    </row>
    <row r="6268" spans="6:6" x14ac:dyDescent="0.3">
      <c r="F6268" s="14"/>
    </row>
    <row r="6269" spans="6:6" x14ac:dyDescent="0.3">
      <c r="F6269" s="14"/>
    </row>
    <row r="6270" spans="6:6" x14ac:dyDescent="0.3">
      <c r="F6270" s="14"/>
    </row>
    <row r="6271" spans="6:6" x14ac:dyDescent="0.3">
      <c r="F6271" s="14"/>
    </row>
    <row r="6272" spans="6:6" x14ac:dyDescent="0.3">
      <c r="F6272" s="14"/>
    </row>
    <row r="6273" spans="6:6" x14ac:dyDescent="0.3">
      <c r="F6273" s="14"/>
    </row>
    <row r="6274" spans="6:6" x14ac:dyDescent="0.3">
      <c r="F6274" s="14"/>
    </row>
    <row r="6275" spans="6:6" x14ac:dyDescent="0.3">
      <c r="F6275" s="14"/>
    </row>
    <row r="6276" spans="6:6" x14ac:dyDescent="0.3">
      <c r="F6276" s="14"/>
    </row>
    <row r="6277" spans="6:6" x14ac:dyDescent="0.3">
      <c r="F6277" s="14"/>
    </row>
    <row r="6278" spans="6:6" x14ac:dyDescent="0.3">
      <c r="F6278" s="14"/>
    </row>
    <row r="6279" spans="6:6" x14ac:dyDescent="0.3">
      <c r="F6279" s="14"/>
    </row>
    <row r="6280" spans="6:6" x14ac:dyDescent="0.3">
      <c r="F6280" s="14"/>
    </row>
    <row r="6281" spans="6:6" x14ac:dyDescent="0.3">
      <c r="F6281" s="14"/>
    </row>
    <row r="6282" spans="6:6" x14ac:dyDescent="0.3">
      <c r="F6282" s="14"/>
    </row>
    <row r="6283" spans="6:6" x14ac:dyDescent="0.3">
      <c r="F6283" s="14"/>
    </row>
    <row r="6284" spans="6:6" x14ac:dyDescent="0.3">
      <c r="F6284" s="14"/>
    </row>
    <row r="6285" spans="6:6" x14ac:dyDescent="0.3">
      <c r="F6285" s="14"/>
    </row>
    <row r="6286" spans="6:6" x14ac:dyDescent="0.3">
      <c r="F6286" s="14"/>
    </row>
    <row r="6287" spans="6:6" x14ac:dyDescent="0.3">
      <c r="F6287" s="14"/>
    </row>
    <row r="6288" spans="6:6" x14ac:dyDescent="0.3">
      <c r="F6288" s="14"/>
    </row>
    <row r="6289" spans="6:6" x14ac:dyDescent="0.3">
      <c r="F6289" s="14"/>
    </row>
    <row r="6290" spans="6:6" x14ac:dyDescent="0.3">
      <c r="F6290" s="14"/>
    </row>
    <row r="6291" spans="6:6" x14ac:dyDescent="0.3">
      <c r="F6291" s="14"/>
    </row>
    <row r="6292" spans="6:6" x14ac:dyDescent="0.3">
      <c r="F6292" s="14"/>
    </row>
    <row r="6293" spans="6:6" x14ac:dyDescent="0.3">
      <c r="F6293" s="14"/>
    </row>
    <row r="6294" spans="6:6" x14ac:dyDescent="0.3">
      <c r="F6294" s="14"/>
    </row>
    <row r="6295" spans="6:6" x14ac:dyDescent="0.3">
      <c r="F6295" s="14"/>
    </row>
    <row r="6296" spans="6:6" x14ac:dyDescent="0.3">
      <c r="F6296" s="14"/>
    </row>
    <row r="6297" spans="6:6" x14ac:dyDescent="0.3">
      <c r="F6297" s="14"/>
    </row>
    <row r="6298" spans="6:6" x14ac:dyDescent="0.3">
      <c r="F6298" s="14"/>
    </row>
    <row r="6299" spans="6:6" x14ac:dyDescent="0.3">
      <c r="F6299" s="14"/>
    </row>
    <row r="6300" spans="6:6" x14ac:dyDescent="0.3">
      <c r="F6300" s="14"/>
    </row>
    <row r="6301" spans="6:6" x14ac:dyDescent="0.3">
      <c r="F6301" s="14"/>
    </row>
    <row r="6302" spans="6:6" x14ac:dyDescent="0.3">
      <c r="F6302" s="14"/>
    </row>
    <row r="6303" spans="6:6" x14ac:dyDescent="0.3">
      <c r="F6303" s="14"/>
    </row>
    <row r="6304" spans="6:6" x14ac:dyDescent="0.3">
      <c r="F6304" s="14"/>
    </row>
    <row r="6305" spans="6:6" x14ac:dyDescent="0.3">
      <c r="F6305" s="14"/>
    </row>
    <row r="6306" spans="6:6" x14ac:dyDescent="0.3">
      <c r="F6306" s="14"/>
    </row>
    <row r="6307" spans="6:6" x14ac:dyDescent="0.3">
      <c r="F6307" s="14"/>
    </row>
    <row r="6308" spans="6:6" x14ac:dyDescent="0.3">
      <c r="F6308" s="14"/>
    </row>
    <row r="6309" spans="6:6" x14ac:dyDescent="0.3">
      <c r="F6309" s="14"/>
    </row>
    <row r="6310" spans="6:6" x14ac:dyDescent="0.3">
      <c r="F6310" s="14"/>
    </row>
    <row r="6311" spans="6:6" x14ac:dyDescent="0.3">
      <c r="F6311" s="14"/>
    </row>
    <row r="6312" spans="6:6" x14ac:dyDescent="0.3">
      <c r="F6312" s="14"/>
    </row>
    <row r="6313" spans="6:6" x14ac:dyDescent="0.3">
      <c r="F6313" s="14"/>
    </row>
    <row r="6314" spans="6:6" x14ac:dyDescent="0.3">
      <c r="F6314" s="14"/>
    </row>
    <row r="6315" spans="6:6" x14ac:dyDescent="0.3">
      <c r="F6315" s="14"/>
    </row>
    <row r="6316" spans="6:6" x14ac:dyDescent="0.3">
      <c r="F6316" s="14"/>
    </row>
    <row r="6317" spans="6:6" x14ac:dyDescent="0.3">
      <c r="F6317" s="14"/>
    </row>
    <row r="6318" spans="6:6" x14ac:dyDescent="0.3">
      <c r="F6318" s="14"/>
    </row>
    <row r="6319" spans="6:6" x14ac:dyDescent="0.3">
      <c r="F6319" s="14"/>
    </row>
    <row r="6320" spans="6:6" x14ac:dyDescent="0.3">
      <c r="F6320" s="14"/>
    </row>
    <row r="6321" spans="6:6" x14ac:dyDescent="0.3">
      <c r="F6321" s="14"/>
    </row>
    <row r="6322" spans="6:6" x14ac:dyDescent="0.3">
      <c r="F6322" s="14"/>
    </row>
    <row r="6323" spans="6:6" x14ac:dyDescent="0.3">
      <c r="F6323" s="14"/>
    </row>
    <row r="6324" spans="6:6" x14ac:dyDescent="0.3">
      <c r="F6324" s="14"/>
    </row>
    <row r="6325" spans="6:6" x14ac:dyDescent="0.3">
      <c r="F6325" s="14"/>
    </row>
    <row r="6326" spans="6:6" x14ac:dyDescent="0.3">
      <c r="F6326" s="14"/>
    </row>
    <row r="6327" spans="6:6" x14ac:dyDescent="0.3">
      <c r="F6327" s="14"/>
    </row>
    <row r="6328" spans="6:6" x14ac:dyDescent="0.3">
      <c r="F6328" s="14"/>
    </row>
    <row r="6329" spans="6:6" x14ac:dyDescent="0.3">
      <c r="F6329" s="14"/>
    </row>
    <row r="6330" spans="6:6" x14ac:dyDescent="0.3">
      <c r="F6330" s="14"/>
    </row>
    <row r="6331" spans="6:6" x14ac:dyDescent="0.3">
      <c r="F6331" s="14"/>
    </row>
    <row r="6332" spans="6:6" x14ac:dyDescent="0.3">
      <c r="F6332" s="14"/>
    </row>
    <row r="6333" spans="6:6" x14ac:dyDescent="0.3">
      <c r="F6333" s="14"/>
    </row>
    <row r="6334" spans="6:6" x14ac:dyDescent="0.3">
      <c r="F6334" s="14"/>
    </row>
    <row r="6335" spans="6:6" x14ac:dyDescent="0.3">
      <c r="F6335" s="14"/>
    </row>
    <row r="6336" spans="6:6" x14ac:dyDescent="0.3">
      <c r="F6336" s="14"/>
    </row>
    <row r="6337" spans="6:6" x14ac:dyDescent="0.3">
      <c r="F6337" s="14"/>
    </row>
    <row r="6338" spans="6:6" x14ac:dyDescent="0.3">
      <c r="F6338" s="14"/>
    </row>
    <row r="6339" spans="6:6" x14ac:dyDescent="0.3">
      <c r="F6339" s="14"/>
    </row>
    <row r="6340" spans="6:6" x14ac:dyDescent="0.3">
      <c r="F6340" s="14"/>
    </row>
    <row r="6341" spans="6:6" x14ac:dyDescent="0.3">
      <c r="F6341" s="14"/>
    </row>
    <row r="6342" spans="6:6" x14ac:dyDescent="0.3">
      <c r="F6342" s="14"/>
    </row>
    <row r="6343" spans="6:6" x14ac:dyDescent="0.3">
      <c r="F6343" s="14"/>
    </row>
    <row r="6344" spans="6:6" x14ac:dyDescent="0.3">
      <c r="F6344" s="14"/>
    </row>
    <row r="6345" spans="6:6" x14ac:dyDescent="0.3">
      <c r="F6345" s="14"/>
    </row>
    <row r="6346" spans="6:6" x14ac:dyDescent="0.3">
      <c r="F6346" s="14"/>
    </row>
    <row r="6347" spans="6:6" x14ac:dyDescent="0.3">
      <c r="F6347" s="14"/>
    </row>
    <row r="6348" spans="6:6" x14ac:dyDescent="0.3">
      <c r="F6348" s="14"/>
    </row>
    <row r="6349" spans="6:6" x14ac:dyDescent="0.3">
      <c r="F6349" s="14"/>
    </row>
    <row r="6350" spans="6:6" x14ac:dyDescent="0.3">
      <c r="F6350" s="14"/>
    </row>
    <row r="6351" spans="6:6" x14ac:dyDescent="0.3">
      <c r="F6351" s="14"/>
    </row>
    <row r="6352" spans="6:6" x14ac:dyDescent="0.3">
      <c r="F6352" s="14"/>
    </row>
    <row r="6353" spans="6:6" x14ac:dyDescent="0.3">
      <c r="F6353" s="14"/>
    </row>
    <row r="6354" spans="6:6" x14ac:dyDescent="0.3">
      <c r="F6354" s="14"/>
    </row>
    <row r="6355" spans="6:6" x14ac:dyDescent="0.3">
      <c r="F6355" s="14"/>
    </row>
    <row r="6356" spans="6:6" x14ac:dyDescent="0.3">
      <c r="F6356" s="14"/>
    </row>
    <row r="6357" spans="6:6" x14ac:dyDescent="0.3">
      <c r="F6357" s="14"/>
    </row>
    <row r="6358" spans="6:6" x14ac:dyDescent="0.3">
      <c r="F6358" s="14"/>
    </row>
    <row r="6359" spans="6:6" x14ac:dyDescent="0.3">
      <c r="F6359" s="14"/>
    </row>
    <row r="6360" spans="6:6" x14ac:dyDescent="0.3">
      <c r="F6360" s="14"/>
    </row>
    <row r="6361" spans="6:6" x14ac:dyDescent="0.3">
      <c r="F6361" s="14"/>
    </row>
    <row r="6362" spans="6:6" x14ac:dyDescent="0.3">
      <c r="F6362" s="14"/>
    </row>
    <row r="6363" spans="6:6" x14ac:dyDescent="0.3">
      <c r="F6363" s="14"/>
    </row>
    <row r="6364" spans="6:6" x14ac:dyDescent="0.3">
      <c r="F6364" s="14"/>
    </row>
    <row r="6365" spans="6:6" x14ac:dyDescent="0.3">
      <c r="F6365" s="14"/>
    </row>
    <row r="6366" spans="6:6" x14ac:dyDescent="0.3">
      <c r="F6366" s="14"/>
    </row>
    <row r="6367" spans="6:6" x14ac:dyDescent="0.3">
      <c r="F6367" s="14"/>
    </row>
    <row r="6368" spans="6:6" x14ac:dyDescent="0.3">
      <c r="F6368" s="14"/>
    </row>
    <row r="6369" spans="6:6" x14ac:dyDescent="0.3">
      <c r="F6369" s="14"/>
    </row>
    <row r="6370" spans="6:6" x14ac:dyDescent="0.3">
      <c r="F6370" s="14"/>
    </row>
    <row r="6371" spans="6:6" x14ac:dyDescent="0.3">
      <c r="F6371" s="14"/>
    </row>
    <row r="6372" spans="6:6" x14ac:dyDescent="0.3">
      <c r="F6372" s="14"/>
    </row>
    <row r="6373" spans="6:6" x14ac:dyDescent="0.3">
      <c r="F6373" s="14"/>
    </row>
    <row r="6374" spans="6:6" x14ac:dyDescent="0.3">
      <c r="F6374" s="14"/>
    </row>
    <row r="6375" spans="6:6" x14ac:dyDescent="0.3">
      <c r="F6375" s="14"/>
    </row>
    <row r="6376" spans="6:6" x14ac:dyDescent="0.3">
      <c r="F6376" s="14"/>
    </row>
    <row r="6377" spans="6:6" x14ac:dyDescent="0.3">
      <c r="F6377" s="14"/>
    </row>
    <row r="6378" spans="6:6" x14ac:dyDescent="0.3">
      <c r="F6378" s="14"/>
    </row>
    <row r="6379" spans="6:6" x14ac:dyDescent="0.3">
      <c r="F6379" s="14"/>
    </row>
    <row r="6380" spans="6:6" x14ac:dyDescent="0.3">
      <c r="F6380" s="14"/>
    </row>
    <row r="6381" spans="6:6" x14ac:dyDescent="0.3">
      <c r="F6381" s="14"/>
    </row>
    <row r="6382" spans="6:6" x14ac:dyDescent="0.3">
      <c r="F6382" s="14"/>
    </row>
    <row r="6383" spans="6:6" x14ac:dyDescent="0.3">
      <c r="F6383" s="14"/>
    </row>
    <row r="6384" spans="6:6" x14ac:dyDescent="0.3">
      <c r="F6384" s="14"/>
    </row>
    <row r="6385" spans="6:6" x14ac:dyDescent="0.3">
      <c r="F6385" s="14"/>
    </row>
    <row r="6386" spans="6:6" x14ac:dyDescent="0.3">
      <c r="F6386" s="14"/>
    </row>
    <row r="6387" spans="6:6" x14ac:dyDescent="0.3">
      <c r="F6387" s="14"/>
    </row>
    <row r="6388" spans="6:6" x14ac:dyDescent="0.3">
      <c r="F6388" s="14"/>
    </row>
    <row r="6389" spans="6:6" x14ac:dyDescent="0.3">
      <c r="F6389" s="14"/>
    </row>
    <row r="6390" spans="6:6" x14ac:dyDescent="0.3">
      <c r="F6390" s="14"/>
    </row>
    <row r="6391" spans="6:6" x14ac:dyDescent="0.3">
      <c r="F6391" s="14"/>
    </row>
    <row r="6392" spans="6:6" x14ac:dyDescent="0.3">
      <c r="F6392" s="14"/>
    </row>
    <row r="6393" spans="6:6" x14ac:dyDescent="0.3">
      <c r="F6393" s="14"/>
    </row>
    <row r="6394" spans="6:6" x14ac:dyDescent="0.3">
      <c r="F6394" s="14"/>
    </row>
    <row r="6395" spans="6:6" x14ac:dyDescent="0.3">
      <c r="F6395" s="14"/>
    </row>
    <row r="6396" spans="6:6" x14ac:dyDescent="0.3">
      <c r="F6396" s="14"/>
    </row>
    <row r="6397" spans="6:6" x14ac:dyDescent="0.3">
      <c r="F6397" s="14"/>
    </row>
    <row r="6398" spans="6:6" x14ac:dyDescent="0.3">
      <c r="F6398" s="14"/>
    </row>
    <row r="6399" spans="6:6" x14ac:dyDescent="0.3">
      <c r="F6399" s="14"/>
    </row>
    <row r="6400" spans="6:6" x14ac:dyDescent="0.3">
      <c r="F6400" s="14"/>
    </row>
    <row r="6401" spans="6:6" x14ac:dyDescent="0.3">
      <c r="F6401" s="14"/>
    </row>
    <row r="6402" spans="6:6" x14ac:dyDescent="0.3">
      <c r="F6402" s="14"/>
    </row>
    <row r="6403" spans="6:6" x14ac:dyDescent="0.3">
      <c r="F6403" s="14"/>
    </row>
    <row r="6404" spans="6:6" x14ac:dyDescent="0.3">
      <c r="F6404" s="14"/>
    </row>
    <row r="6405" spans="6:6" x14ac:dyDescent="0.3">
      <c r="F6405" s="14"/>
    </row>
    <row r="6406" spans="6:6" x14ac:dyDescent="0.3">
      <c r="F6406" s="14"/>
    </row>
    <row r="6407" spans="6:6" x14ac:dyDescent="0.3">
      <c r="F6407" s="14"/>
    </row>
    <row r="6408" spans="6:6" x14ac:dyDescent="0.3">
      <c r="F6408" s="14"/>
    </row>
    <row r="6409" spans="6:6" x14ac:dyDescent="0.3">
      <c r="F6409" s="14"/>
    </row>
    <row r="6410" spans="6:6" x14ac:dyDescent="0.3">
      <c r="F6410" s="14"/>
    </row>
    <row r="6411" spans="6:6" x14ac:dyDescent="0.3">
      <c r="F6411" s="14"/>
    </row>
    <row r="6412" spans="6:6" x14ac:dyDescent="0.3">
      <c r="F6412" s="14"/>
    </row>
    <row r="6413" spans="6:6" x14ac:dyDescent="0.3">
      <c r="F6413" s="14"/>
    </row>
    <row r="6414" spans="6:6" x14ac:dyDescent="0.3">
      <c r="F6414" s="14"/>
    </row>
    <row r="6415" spans="6:6" x14ac:dyDescent="0.3">
      <c r="F6415" s="14"/>
    </row>
    <row r="6416" spans="6:6" x14ac:dyDescent="0.3">
      <c r="F6416" s="14"/>
    </row>
    <row r="6417" spans="6:6" x14ac:dyDescent="0.3">
      <c r="F6417" s="14"/>
    </row>
    <row r="6418" spans="6:6" x14ac:dyDescent="0.3">
      <c r="F6418" s="14"/>
    </row>
    <row r="6419" spans="6:6" x14ac:dyDescent="0.3">
      <c r="F6419" s="14"/>
    </row>
    <row r="6420" spans="6:6" x14ac:dyDescent="0.3">
      <c r="F6420" s="14"/>
    </row>
    <row r="6421" spans="6:6" x14ac:dyDescent="0.3">
      <c r="F6421" s="14"/>
    </row>
    <row r="6422" spans="6:6" x14ac:dyDescent="0.3">
      <c r="F6422" s="14"/>
    </row>
    <row r="6423" spans="6:6" x14ac:dyDescent="0.3">
      <c r="F6423" s="14"/>
    </row>
    <row r="6424" spans="6:6" x14ac:dyDescent="0.3">
      <c r="F6424" s="14"/>
    </row>
    <row r="6425" spans="6:6" x14ac:dyDescent="0.3">
      <c r="F6425" s="14"/>
    </row>
    <row r="6426" spans="6:6" x14ac:dyDescent="0.3">
      <c r="F6426" s="14"/>
    </row>
    <row r="6427" spans="6:6" x14ac:dyDescent="0.3">
      <c r="F6427" s="14"/>
    </row>
    <row r="6428" spans="6:6" x14ac:dyDescent="0.3">
      <c r="F6428" s="14"/>
    </row>
    <row r="6429" spans="6:6" x14ac:dyDescent="0.3">
      <c r="F6429" s="14"/>
    </row>
    <row r="6430" spans="6:6" x14ac:dyDescent="0.3">
      <c r="F6430" s="14"/>
    </row>
    <row r="6431" spans="6:6" x14ac:dyDescent="0.3">
      <c r="F6431" s="14"/>
    </row>
    <row r="6432" spans="6:6" x14ac:dyDescent="0.3">
      <c r="F6432" s="14"/>
    </row>
    <row r="6433" spans="6:6" x14ac:dyDescent="0.3">
      <c r="F6433" s="14"/>
    </row>
    <row r="6434" spans="6:6" x14ac:dyDescent="0.3">
      <c r="F6434" s="14"/>
    </row>
    <row r="6435" spans="6:6" x14ac:dyDescent="0.3">
      <c r="F6435" s="14"/>
    </row>
    <row r="6436" spans="6:6" x14ac:dyDescent="0.3">
      <c r="F6436" s="14"/>
    </row>
    <row r="6437" spans="6:6" x14ac:dyDescent="0.3">
      <c r="F6437" s="14"/>
    </row>
    <row r="6438" spans="6:6" x14ac:dyDescent="0.3">
      <c r="F6438" s="14"/>
    </row>
    <row r="6439" spans="6:6" x14ac:dyDescent="0.3">
      <c r="F6439" s="14"/>
    </row>
    <row r="6440" spans="6:6" x14ac:dyDescent="0.3">
      <c r="F6440" s="14"/>
    </row>
    <row r="6441" spans="6:6" x14ac:dyDescent="0.3">
      <c r="F6441" s="14"/>
    </row>
    <row r="6442" spans="6:6" x14ac:dyDescent="0.3">
      <c r="F6442" s="14"/>
    </row>
    <row r="6443" spans="6:6" x14ac:dyDescent="0.3">
      <c r="F6443" s="14"/>
    </row>
    <row r="6444" spans="6:6" x14ac:dyDescent="0.3">
      <c r="F6444" s="14"/>
    </row>
    <row r="6445" spans="6:6" x14ac:dyDescent="0.3">
      <c r="F6445" s="14"/>
    </row>
    <row r="6446" spans="6:6" x14ac:dyDescent="0.3">
      <c r="F6446" s="14"/>
    </row>
    <row r="6447" spans="6:6" x14ac:dyDescent="0.3">
      <c r="F6447" s="14"/>
    </row>
    <row r="6448" spans="6:6" x14ac:dyDescent="0.3">
      <c r="F6448" s="14"/>
    </row>
    <row r="6449" spans="6:6" x14ac:dyDescent="0.3">
      <c r="F6449" s="14"/>
    </row>
    <row r="6450" spans="6:6" x14ac:dyDescent="0.3">
      <c r="F6450" s="14"/>
    </row>
    <row r="6451" spans="6:6" x14ac:dyDescent="0.3">
      <c r="F6451" s="14"/>
    </row>
    <row r="6452" spans="6:6" x14ac:dyDescent="0.3">
      <c r="F6452" s="14"/>
    </row>
    <row r="6453" spans="6:6" x14ac:dyDescent="0.3">
      <c r="F6453" s="14"/>
    </row>
    <row r="6454" spans="6:6" x14ac:dyDescent="0.3">
      <c r="F6454" s="14"/>
    </row>
    <row r="6455" spans="6:6" x14ac:dyDescent="0.3">
      <c r="F6455" s="14"/>
    </row>
    <row r="6456" spans="6:6" x14ac:dyDescent="0.3">
      <c r="F6456" s="14"/>
    </row>
    <row r="6457" spans="6:6" x14ac:dyDescent="0.3">
      <c r="F6457" s="14"/>
    </row>
    <row r="6458" spans="6:6" x14ac:dyDescent="0.3">
      <c r="F6458" s="14"/>
    </row>
    <row r="6459" spans="6:6" x14ac:dyDescent="0.3">
      <c r="F6459" s="14"/>
    </row>
    <row r="6460" spans="6:6" x14ac:dyDescent="0.3">
      <c r="F6460" s="14"/>
    </row>
    <row r="6461" spans="6:6" x14ac:dyDescent="0.3">
      <c r="F6461" s="14"/>
    </row>
    <row r="6462" spans="6:6" x14ac:dyDescent="0.3">
      <c r="F6462" s="14"/>
    </row>
    <row r="6463" spans="6:6" x14ac:dyDescent="0.3">
      <c r="F6463" s="14"/>
    </row>
    <row r="6464" spans="6:6" x14ac:dyDescent="0.3">
      <c r="F6464" s="14"/>
    </row>
    <row r="6465" spans="6:6" x14ac:dyDescent="0.3">
      <c r="F6465" s="14"/>
    </row>
    <row r="6466" spans="6:6" x14ac:dyDescent="0.3">
      <c r="F6466" s="14"/>
    </row>
    <row r="6467" spans="6:6" x14ac:dyDescent="0.3">
      <c r="F6467" s="14"/>
    </row>
    <row r="6468" spans="6:6" x14ac:dyDescent="0.3">
      <c r="F6468" s="14"/>
    </row>
    <row r="6469" spans="6:6" x14ac:dyDescent="0.3">
      <c r="F6469" s="14"/>
    </row>
    <row r="6470" spans="6:6" x14ac:dyDescent="0.3">
      <c r="F6470" s="14"/>
    </row>
    <row r="6471" spans="6:6" x14ac:dyDescent="0.3">
      <c r="F6471" s="14"/>
    </row>
    <row r="6472" spans="6:6" x14ac:dyDescent="0.3">
      <c r="F6472" s="14"/>
    </row>
    <row r="6473" spans="6:6" x14ac:dyDescent="0.3">
      <c r="F6473" s="14"/>
    </row>
    <row r="6474" spans="6:6" x14ac:dyDescent="0.3">
      <c r="F6474" s="14"/>
    </row>
    <row r="6475" spans="6:6" x14ac:dyDescent="0.3">
      <c r="F6475" s="14"/>
    </row>
    <row r="6476" spans="6:6" x14ac:dyDescent="0.3">
      <c r="F6476" s="14"/>
    </row>
    <row r="6477" spans="6:6" x14ac:dyDescent="0.3">
      <c r="F6477" s="14"/>
    </row>
    <row r="6478" spans="6:6" x14ac:dyDescent="0.3">
      <c r="F6478" s="14"/>
    </row>
    <row r="6479" spans="6:6" x14ac:dyDescent="0.3">
      <c r="F6479" s="14"/>
    </row>
    <row r="6480" spans="6:6" x14ac:dyDescent="0.3">
      <c r="F6480" s="14"/>
    </row>
    <row r="6481" spans="6:6" x14ac:dyDescent="0.3">
      <c r="F6481" s="14"/>
    </row>
    <row r="6482" spans="6:6" x14ac:dyDescent="0.3">
      <c r="F6482" s="14"/>
    </row>
    <row r="6483" spans="6:6" x14ac:dyDescent="0.3">
      <c r="F6483" s="14"/>
    </row>
    <row r="6484" spans="6:6" x14ac:dyDescent="0.3">
      <c r="F6484" s="14"/>
    </row>
    <row r="6485" spans="6:6" x14ac:dyDescent="0.3">
      <c r="F6485" s="14"/>
    </row>
    <row r="6486" spans="6:6" x14ac:dyDescent="0.3">
      <c r="F6486" s="14"/>
    </row>
    <row r="6487" spans="6:6" x14ac:dyDescent="0.3">
      <c r="F6487" s="14"/>
    </row>
    <row r="6488" spans="6:6" x14ac:dyDescent="0.3">
      <c r="F6488" s="14"/>
    </row>
    <row r="6489" spans="6:6" x14ac:dyDescent="0.3">
      <c r="F6489" s="14"/>
    </row>
    <row r="6490" spans="6:6" x14ac:dyDescent="0.3">
      <c r="F6490" s="14"/>
    </row>
    <row r="6491" spans="6:6" x14ac:dyDescent="0.3">
      <c r="F6491" s="14"/>
    </row>
    <row r="6492" spans="6:6" x14ac:dyDescent="0.3">
      <c r="F6492" s="14"/>
    </row>
    <row r="6493" spans="6:6" x14ac:dyDescent="0.3">
      <c r="F6493" s="14"/>
    </row>
    <row r="6494" spans="6:6" x14ac:dyDescent="0.3">
      <c r="F6494" s="14"/>
    </row>
    <row r="6495" spans="6:6" x14ac:dyDescent="0.3">
      <c r="F6495" s="14"/>
    </row>
    <row r="6496" spans="6:6" x14ac:dyDescent="0.3">
      <c r="F6496" s="14"/>
    </row>
    <row r="6497" spans="6:6" x14ac:dyDescent="0.3">
      <c r="F6497" s="14"/>
    </row>
    <row r="6498" spans="6:6" x14ac:dyDescent="0.3">
      <c r="F6498" s="14"/>
    </row>
    <row r="6499" spans="6:6" x14ac:dyDescent="0.3">
      <c r="F6499" s="14"/>
    </row>
    <row r="6500" spans="6:6" x14ac:dyDescent="0.3">
      <c r="F6500" s="14"/>
    </row>
    <row r="6501" spans="6:6" x14ac:dyDescent="0.3">
      <c r="F6501" s="14"/>
    </row>
    <row r="6502" spans="6:6" x14ac:dyDescent="0.3">
      <c r="F6502" s="14"/>
    </row>
    <row r="6503" spans="6:6" x14ac:dyDescent="0.3">
      <c r="F6503" s="14"/>
    </row>
    <row r="6504" spans="6:6" x14ac:dyDescent="0.3">
      <c r="F6504" s="14"/>
    </row>
    <row r="6505" spans="6:6" x14ac:dyDescent="0.3">
      <c r="F6505" s="14"/>
    </row>
    <row r="6506" spans="6:6" x14ac:dyDescent="0.3">
      <c r="F6506" s="14"/>
    </row>
    <row r="6507" spans="6:6" x14ac:dyDescent="0.3">
      <c r="F6507" s="14"/>
    </row>
    <row r="6508" spans="6:6" x14ac:dyDescent="0.3">
      <c r="F6508" s="14"/>
    </row>
    <row r="6509" spans="6:6" x14ac:dyDescent="0.3">
      <c r="F6509" s="14"/>
    </row>
    <row r="6510" spans="6:6" x14ac:dyDescent="0.3">
      <c r="F6510" s="14"/>
    </row>
    <row r="6511" spans="6:6" x14ac:dyDescent="0.3">
      <c r="F6511" s="14"/>
    </row>
    <row r="6512" spans="6:6" x14ac:dyDescent="0.3">
      <c r="F6512" s="14"/>
    </row>
    <row r="6513" spans="6:6" x14ac:dyDescent="0.3">
      <c r="F6513" s="14"/>
    </row>
    <row r="6514" spans="6:6" x14ac:dyDescent="0.3">
      <c r="F6514" s="14"/>
    </row>
    <row r="6515" spans="6:6" x14ac:dyDescent="0.3">
      <c r="F6515" s="14"/>
    </row>
    <row r="6516" spans="6:6" x14ac:dyDescent="0.3">
      <c r="F6516" s="14"/>
    </row>
    <row r="6517" spans="6:6" x14ac:dyDescent="0.3">
      <c r="F6517" s="14"/>
    </row>
    <row r="6518" spans="6:6" x14ac:dyDescent="0.3">
      <c r="F6518" s="14"/>
    </row>
    <row r="6519" spans="6:6" x14ac:dyDescent="0.3">
      <c r="F6519" s="14"/>
    </row>
    <row r="6520" spans="6:6" x14ac:dyDescent="0.3">
      <c r="F6520" s="14"/>
    </row>
    <row r="6521" spans="6:6" x14ac:dyDescent="0.3">
      <c r="F6521" s="14"/>
    </row>
    <row r="6522" spans="6:6" x14ac:dyDescent="0.3">
      <c r="F6522" s="14"/>
    </row>
    <row r="6523" spans="6:6" x14ac:dyDescent="0.3">
      <c r="F6523" s="14"/>
    </row>
    <row r="6524" spans="6:6" x14ac:dyDescent="0.3">
      <c r="F6524" s="14"/>
    </row>
    <row r="6525" spans="6:6" x14ac:dyDescent="0.3">
      <c r="F6525" s="14"/>
    </row>
    <row r="6526" spans="6:6" x14ac:dyDescent="0.3">
      <c r="F6526" s="14"/>
    </row>
    <row r="6527" spans="6:6" x14ac:dyDescent="0.3">
      <c r="F6527" s="14"/>
    </row>
    <row r="6528" spans="6:6" x14ac:dyDescent="0.3">
      <c r="F6528" s="14"/>
    </row>
    <row r="6529" spans="6:6" x14ac:dyDescent="0.3">
      <c r="F6529" s="14"/>
    </row>
    <row r="6530" spans="6:6" x14ac:dyDescent="0.3">
      <c r="F6530" s="14"/>
    </row>
    <row r="6531" spans="6:6" x14ac:dyDescent="0.3">
      <c r="F6531" s="14"/>
    </row>
    <row r="6532" spans="6:6" x14ac:dyDescent="0.3">
      <c r="F6532" s="14"/>
    </row>
    <row r="6533" spans="6:6" x14ac:dyDescent="0.3">
      <c r="F6533" s="14"/>
    </row>
    <row r="6534" spans="6:6" x14ac:dyDescent="0.3">
      <c r="F6534" s="14"/>
    </row>
    <row r="6535" spans="6:6" x14ac:dyDescent="0.3">
      <c r="F6535" s="14"/>
    </row>
    <row r="6536" spans="6:6" x14ac:dyDescent="0.3">
      <c r="F6536" s="14"/>
    </row>
    <row r="6537" spans="6:6" x14ac:dyDescent="0.3">
      <c r="F6537" s="14"/>
    </row>
    <row r="6538" spans="6:6" x14ac:dyDescent="0.3">
      <c r="F6538" s="14"/>
    </row>
    <row r="6539" spans="6:6" x14ac:dyDescent="0.3">
      <c r="F6539" s="14"/>
    </row>
    <row r="6540" spans="6:6" x14ac:dyDescent="0.3">
      <c r="F6540" s="14"/>
    </row>
    <row r="6541" spans="6:6" x14ac:dyDescent="0.3">
      <c r="F6541" s="14"/>
    </row>
    <row r="6542" spans="6:6" x14ac:dyDescent="0.3">
      <c r="F6542" s="14"/>
    </row>
    <row r="6543" spans="6:6" x14ac:dyDescent="0.3">
      <c r="F6543" s="14"/>
    </row>
    <row r="6544" spans="6:6" x14ac:dyDescent="0.3">
      <c r="F6544" s="14"/>
    </row>
    <row r="6545" spans="6:6" x14ac:dyDescent="0.3">
      <c r="F6545" s="14"/>
    </row>
    <row r="6546" spans="6:6" x14ac:dyDescent="0.3">
      <c r="F6546" s="14"/>
    </row>
    <row r="6547" spans="6:6" x14ac:dyDescent="0.3">
      <c r="F6547" s="14"/>
    </row>
    <row r="6548" spans="6:6" x14ac:dyDescent="0.3">
      <c r="F6548" s="14"/>
    </row>
    <row r="6549" spans="6:6" x14ac:dyDescent="0.3">
      <c r="F6549" s="14"/>
    </row>
    <row r="6550" spans="6:6" x14ac:dyDescent="0.3">
      <c r="F6550" s="14"/>
    </row>
    <row r="6551" spans="6:6" x14ac:dyDescent="0.3">
      <c r="F6551" s="14"/>
    </row>
    <row r="6552" spans="6:6" x14ac:dyDescent="0.3">
      <c r="F6552" s="14"/>
    </row>
    <row r="6553" spans="6:6" x14ac:dyDescent="0.3">
      <c r="F6553" s="14"/>
    </row>
    <row r="6554" spans="6:6" x14ac:dyDescent="0.3">
      <c r="F6554" s="14"/>
    </row>
    <row r="6555" spans="6:6" x14ac:dyDescent="0.3">
      <c r="F6555" s="14"/>
    </row>
    <row r="6556" spans="6:6" x14ac:dyDescent="0.3">
      <c r="F6556" s="14"/>
    </row>
    <row r="6557" spans="6:6" x14ac:dyDescent="0.3">
      <c r="F6557" s="14"/>
    </row>
    <row r="6558" spans="6:6" x14ac:dyDescent="0.3">
      <c r="F6558" s="14"/>
    </row>
    <row r="6559" spans="6:6" x14ac:dyDescent="0.3">
      <c r="F6559" s="14"/>
    </row>
    <row r="6560" spans="6:6" x14ac:dyDescent="0.3">
      <c r="F6560" s="14"/>
    </row>
    <row r="6561" spans="6:6" x14ac:dyDescent="0.3">
      <c r="F6561" s="14"/>
    </row>
    <row r="6562" spans="6:6" x14ac:dyDescent="0.3">
      <c r="F6562" s="14"/>
    </row>
    <row r="6563" spans="6:6" x14ac:dyDescent="0.3">
      <c r="F6563" s="14"/>
    </row>
    <row r="6564" spans="6:6" x14ac:dyDescent="0.3">
      <c r="F6564" s="14"/>
    </row>
    <row r="6565" spans="6:6" x14ac:dyDescent="0.3">
      <c r="F6565" s="14"/>
    </row>
    <row r="6566" spans="6:6" x14ac:dyDescent="0.3">
      <c r="F6566" s="14"/>
    </row>
    <row r="6567" spans="6:6" x14ac:dyDescent="0.3">
      <c r="F6567" s="14"/>
    </row>
    <row r="6568" spans="6:6" x14ac:dyDescent="0.3">
      <c r="F6568" s="14"/>
    </row>
    <row r="6569" spans="6:6" x14ac:dyDescent="0.3">
      <c r="F6569" s="14"/>
    </row>
    <row r="6570" spans="6:6" x14ac:dyDescent="0.3">
      <c r="F6570" s="14"/>
    </row>
    <row r="6571" spans="6:6" x14ac:dyDescent="0.3">
      <c r="F6571" s="14"/>
    </row>
    <row r="6572" spans="6:6" x14ac:dyDescent="0.3">
      <c r="F6572" s="14"/>
    </row>
    <row r="6573" spans="6:6" x14ac:dyDescent="0.3">
      <c r="F6573" s="14"/>
    </row>
    <row r="6574" spans="6:6" x14ac:dyDescent="0.3">
      <c r="F6574" s="14"/>
    </row>
    <row r="6575" spans="6:6" x14ac:dyDescent="0.3">
      <c r="F6575" s="14"/>
    </row>
    <row r="6576" spans="6:6" x14ac:dyDescent="0.3">
      <c r="F6576" s="14"/>
    </row>
    <row r="6577" spans="6:6" x14ac:dyDescent="0.3">
      <c r="F6577" s="14"/>
    </row>
    <row r="6578" spans="6:6" x14ac:dyDescent="0.3">
      <c r="F6578" s="14"/>
    </row>
    <row r="6579" spans="6:6" x14ac:dyDescent="0.3">
      <c r="F6579" s="14"/>
    </row>
    <row r="6580" spans="6:6" x14ac:dyDescent="0.3">
      <c r="F6580" s="14"/>
    </row>
    <row r="6581" spans="6:6" x14ac:dyDescent="0.3">
      <c r="F6581" s="14"/>
    </row>
    <row r="6582" spans="6:6" x14ac:dyDescent="0.3">
      <c r="F6582" s="14"/>
    </row>
    <row r="6583" spans="6:6" x14ac:dyDescent="0.3">
      <c r="F6583" s="14"/>
    </row>
    <row r="6584" spans="6:6" x14ac:dyDescent="0.3">
      <c r="F6584" s="14"/>
    </row>
    <row r="6585" spans="6:6" x14ac:dyDescent="0.3">
      <c r="F6585" s="14"/>
    </row>
    <row r="6586" spans="6:6" x14ac:dyDescent="0.3">
      <c r="F6586" s="14"/>
    </row>
    <row r="6587" spans="6:6" x14ac:dyDescent="0.3">
      <c r="F6587" s="14"/>
    </row>
    <row r="6588" spans="6:6" x14ac:dyDescent="0.3">
      <c r="F6588" s="14"/>
    </row>
    <row r="6589" spans="6:6" x14ac:dyDescent="0.3">
      <c r="F6589" s="14"/>
    </row>
    <row r="6590" spans="6:6" x14ac:dyDescent="0.3">
      <c r="F6590" s="14"/>
    </row>
    <row r="6591" spans="6:6" x14ac:dyDescent="0.3">
      <c r="F6591" s="14"/>
    </row>
    <row r="6592" spans="6:6" x14ac:dyDescent="0.3">
      <c r="F6592" s="14"/>
    </row>
    <row r="6593" spans="6:6" x14ac:dyDescent="0.3">
      <c r="F6593" s="14"/>
    </row>
    <row r="6594" spans="6:6" x14ac:dyDescent="0.3">
      <c r="F6594" s="14"/>
    </row>
    <row r="6595" spans="6:6" x14ac:dyDescent="0.3">
      <c r="F6595" s="14"/>
    </row>
    <row r="6596" spans="6:6" x14ac:dyDescent="0.3">
      <c r="F6596" s="14"/>
    </row>
    <row r="6597" spans="6:6" x14ac:dyDescent="0.3">
      <c r="F6597" s="14"/>
    </row>
    <row r="6598" spans="6:6" x14ac:dyDescent="0.3">
      <c r="F6598" s="14"/>
    </row>
    <row r="6599" spans="6:6" x14ac:dyDescent="0.3">
      <c r="F6599" s="14"/>
    </row>
    <row r="6600" spans="6:6" x14ac:dyDescent="0.3">
      <c r="F6600" s="14"/>
    </row>
    <row r="6601" spans="6:6" x14ac:dyDescent="0.3">
      <c r="F6601" s="14"/>
    </row>
    <row r="6602" spans="6:6" x14ac:dyDescent="0.3">
      <c r="F6602" s="14"/>
    </row>
    <row r="6603" spans="6:6" x14ac:dyDescent="0.3">
      <c r="F6603" s="14"/>
    </row>
    <row r="6604" spans="6:6" x14ac:dyDescent="0.3">
      <c r="F6604" s="14"/>
    </row>
    <row r="6605" spans="6:6" x14ac:dyDescent="0.3">
      <c r="F6605" s="14"/>
    </row>
    <row r="6606" spans="6:6" x14ac:dyDescent="0.3">
      <c r="F6606" s="14"/>
    </row>
    <row r="6607" spans="6:6" x14ac:dyDescent="0.3">
      <c r="F6607" s="14"/>
    </row>
    <row r="6608" spans="6:6" x14ac:dyDescent="0.3">
      <c r="F6608" s="14"/>
    </row>
    <row r="6609" spans="6:6" x14ac:dyDescent="0.3">
      <c r="F6609" s="14"/>
    </row>
    <row r="6610" spans="6:6" x14ac:dyDescent="0.3">
      <c r="F6610" s="14"/>
    </row>
    <row r="6611" spans="6:6" x14ac:dyDescent="0.3">
      <c r="F6611" s="14"/>
    </row>
    <row r="6612" spans="6:6" x14ac:dyDescent="0.3">
      <c r="F6612" s="14"/>
    </row>
    <row r="6613" spans="6:6" x14ac:dyDescent="0.3">
      <c r="F6613" s="14"/>
    </row>
    <row r="6614" spans="6:6" x14ac:dyDescent="0.3">
      <c r="F6614" s="14"/>
    </row>
    <row r="6615" spans="6:6" x14ac:dyDescent="0.3">
      <c r="F6615" s="14"/>
    </row>
    <row r="6616" spans="6:6" x14ac:dyDescent="0.3">
      <c r="F6616" s="14"/>
    </row>
    <row r="6617" spans="6:6" x14ac:dyDescent="0.3">
      <c r="F6617" s="14"/>
    </row>
    <row r="6618" spans="6:6" x14ac:dyDescent="0.3">
      <c r="F6618" s="14"/>
    </row>
    <row r="6619" spans="6:6" x14ac:dyDescent="0.3">
      <c r="F6619" s="14"/>
    </row>
    <row r="6620" spans="6:6" x14ac:dyDescent="0.3">
      <c r="F6620" s="14"/>
    </row>
    <row r="6621" spans="6:6" x14ac:dyDescent="0.3">
      <c r="F6621" s="14"/>
    </row>
    <row r="6622" spans="6:6" x14ac:dyDescent="0.3">
      <c r="F6622" s="14"/>
    </row>
    <row r="6623" spans="6:6" x14ac:dyDescent="0.3">
      <c r="F6623" s="14"/>
    </row>
    <row r="6624" spans="6:6" x14ac:dyDescent="0.3">
      <c r="F6624" s="14"/>
    </row>
    <row r="6625" spans="6:6" x14ac:dyDescent="0.3">
      <c r="F6625" s="14"/>
    </row>
    <row r="6626" spans="6:6" x14ac:dyDescent="0.3">
      <c r="F6626" s="14"/>
    </row>
    <row r="6627" spans="6:6" x14ac:dyDescent="0.3">
      <c r="F6627" s="14"/>
    </row>
    <row r="6628" spans="6:6" x14ac:dyDescent="0.3">
      <c r="F6628" s="14"/>
    </row>
    <row r="6629" spans="6:6" x14ac:dyDescent="0.3">
      <c r="F6629" s="14"/>
    </row>
    <row r="6630" spans="6:6" x14ac:dyDescent="0.3">
      <c r="F6630" s="14"/>
    </row>
    <row r="6631" spans="6:6" x14ac:dyDescent="0.3">
      <c r="F6631" s="14"/>
    </row>
    <row r="6632" spans="6:6" x14ac:dyDescent="0.3">
      <c r="F6632" s="14"/>
    </row>
    <row r="6633" spans="6:6" x14ac:dyDescent="0.3">
      <c r="F6633" s="14"/>
    </row>
    <row r="6634" spans="6:6" x14ac:dyDescent="0.3">
      <c r="F6634" s="14"/>
    </row>
    <row r="6635" spans="6:6" x14ac:dyDescent="0.3">
      <c r="F6635" s="14"/>
    </row>
    <row r="6636" spans="6:6" x14ac:dyDescent="0.3">
      <c r="F6636" s="14"/>
    </row>
    <row r="6637" spans="6:6" x14ac:dyDescent="0.3">
      <c r="F6637" s="14"/>
    </row>
    <row r="6638" spans="6:6" x14ac:dyDescent="0.3">
      <c r="F6638" s="14"/>
    </row>
    <row r="6639" spans="6:6" x14ac:dyDescent="0.3">
      <c r="F6639" s="14"/>
    </row>
    <row r="6640" spans="6:6" x14ac:dyDescent="0.3">
      <c r="F6640" s="14"/>
    </row>
    <row r="6641" spans="6:6" x14ac:dyDescent="0.3">
      <c r="F6641" s="14"/>
    </row>
    <row r="6642" spans="6:6" x14ac:dyDescent="0.3">
      <c r="F6642" s="14"/>
    </row>
    <row r="6643" spans="6:6" x14ac:dyDescent="0.3">
      <c r="F6643" s="14"/>
    </row>
    <row r="6644" spans="6:6" x14ac:dyDescent="0.3">
      <c r="F6644" s="14"/>
    </row>
    <row r="6645" spans="6:6" x14ac:dyDescent="0.3">
      <c r="F6645" s="14"/>
    </row>
    <row r="6646" spans="6:6" x14ac:dyDescent="0.3">
      <c r="F6646" s="14"/>
    </row>
    <row r="6647" spans="6:6" x14ac:dyDescent="0.3">
      <c r="F6647" s="14"/>
    </row>
    <row r="6648" spans="6:6" x14ac:dyDescent="0.3">
      <c r="F6648" s="14"/>
    </row>
    <row r="6649" spans="6:6" x14ac:dyDescent="0.3">
      <c r="F6649" s="14"/>
    </row>
    <row r="6650" spans="6:6" x14ac:dyDescent="0.3">
      <c r="F6650" s="14"/>
    </row>
    <row r="6651" spans="6:6" x14ac:dyDescent="0.3">
      <c r="F6651" s="14"/>
    </row>
    <row r="6652" spans="6:6" x14ac:dyDescent="0.3">
      <c r="F6652" s="14"/>
    </row>
    <row r="6653" spans="6:6" x14ac:dyDescent="0.3">
      <c r="F6653" s="14"/>
    </row>
    <row r="6654" spans="6:6" x14ac:dyDescent="0.3">
      <c r="F6654" s="14"/>
    </row>
    <row r="6655" spans="6:6" x14ac:dyDescent="0.3">
      <c r="F6655" s="14"/>
    </row>
    <row r="6656" spans="6:6" x14ac:dyDescent="0.3">
      <c r="F6656" s="14"/>
    </row>
    <row r="6657" spans="6:6" x14ac:dyDescent="0.3">
      <c r="F6657" s="14"/>
    </row>
    <row r="6658" spans="6:6" x14ac:dyDescent="0.3">
      <c r="F6658" s="14"/>
    </row>
    <row r="6659" spans="6:6" x14ac:dyDescent="0.3">
      <c r="F6659" s="14"/>
    </row>
    <row r="6660" spans="6:6" x14ac:dyDescent="0.3">
      <c r="F6660" s="14"/>
    </row>
    <row r="6661" spans="6:6" x14ac:dyDescent="0.3">
      <c r="F6661" s="14"/>
    </row>
    <row r="6662" spans="6:6" x14ac:dyDescent="0.3">
      <c r="F6662" s="14"/>
    </row>
    <row r="6663" spans="6:6" x14ac:dyDescent="0.3">
      <c r="F6663" s="14"/>
    </row>
    <row r="6664" spans="6:6" x14ac:dyDescent="0.3">
      <c r="F6664" s="14"/>
    </row>
    <row r="6665" spans="6:6" x14ac:dyDescent="0.3">
      <c r="F6665" s="14"/>
    </row>
    <row r="6666" spans="6:6" x14ac:dyDescent="0.3">
      <c r="F6666" s="14"/>
    </row>
    <row r="6667" spans="6:6" x14ac:dyDescent="0.3">
      <c r="F6667" s="14"/>
    </row>
    <row r="6668" spans="6:6" x14ac:dyDescent="0.3">
      <c r="F6668" s="14"/>
    </row>
    <row r="6669" spans="6:6" x14ac:dyDescent="0.3">
      <c r="F6669" s="14"/>
    </row>
    <row r="6670" spans="6:6" x14ac:dyDescent="0.3">
      <c r="F6670" s="14"/>
    </row>
    <row r="6671" spans="6:6" x14ac:dyDescent="0.3">
      <c r="F6671" s="14"/>
    </row>
    <row r="6672" spans="6:6" x14ac:dyDescent="0.3">
      <c r="F6672" s="14"/>
    </row>
    <row r="6673" spans="6:6" x14ac:dyDescent="0.3">
      <c r="F6673" s="14"/>
    </row>
    <row r="6674" spans="6:6" x14ac:dyDescent="0.3">
      <c r="F6674" s="14"/>
    </row>
    <row r="6675" spans="6:6" x14ac:dyDescent="0.3">
      <c r="F6675" s="14"/>
    </row>
    <row r="6676" spans="6:6" x14ac:dyDescent="0.3">
      <c r="F6676" s="14"/>
    </row>
    <row r="6677" spans="6:6" x14ac:dyDescent="0.3">
      <c r="F6677" s="14"/>
    </row>
    <row r="6678" spans="6:6" x14ac:dyDescent="0.3">
      <c r="F6678" s="14"/>
    </row>
    <row r="6679" spans="6:6" x14ac:dyDescent="0.3">
      <c r="F6679" s="14"/>
    </row>
    <row r="6680" spans="6:6" x14ac:dyDescent="0.3">
      <c r="F6680" s="14"/>
    </row>
    <row r="6681" spans="6:6" x14ac:dyDescent="0.3">
      <c r="F6681" s="14"/>
    </row>
    <row r="6682" spans="6:6" x14ac:dyDescent="0.3">
      <c r="F6682" s="14"/>
    </row>
    <row r="6683" spans="6:6" x14ac:dyDescent="0.3">
      <c r="F6683" s="14"/>
    </row>
    <row r="6684" spans="6:6" x14ac:dyDescent="0.3">
      <c r="F6684" s="14"/>
    </row>
    <row r="6685" spans="6:6" x14ac:dyDescent="0.3">
      <c r="F6685" s="14"/>
    </row>
    <row r="6686" spans="6:6" x14ac:dyDescent="0.3">
      <c r="F6686" s="14"/>
    </row>
    <row r="6687" spans="6:6" x14ac:dyDescent="0.3">
      <c r="F6687" s="14"/>
    </row>
    <row r="6688" spans="6:6" x14ac:dyDescent="0.3">
      <c r="F6688" s="14"/>
    </row>
    <row r="6689" spans="6:6" x14ac:dyDescent="0.3">
      <c r="F6689" s="14"/>
    </row>
    <row r="6690" spans="6:6" x14ac:dyDescent="0.3">
      <c r="F6690" s="14"/>
    </row>
    <row r="6691" spans="6:6" x14ac:dyDescent="0.3">
      <c r="F6691" s="14"/>
    </row>
    <row r="6692" spans="6:6" x14ac:dyDescent="0.3">
      <c r="F6692" s="14"/>
    </row>
    <row r="6693" spans="6:6" x14ac:dyDescent="0.3">
      <c r="F6693" s="14"/>
    </row>
    <row r="6694" spans="6:6" x14ac:dyDescent="0.3">
      <c r="F6694" s="14"/>
    </row>
    <row r="6695" spans="6:6" x14ac:dyDescent="0.3">
      <c r="F6695" s="14"/>
    </row>
    <row r="6696" spans="6:6" x14ac:dyDescent="0.3">
      <c r="F6696" s="14"/>
    </row>
    <row r="6697" spans="6:6" x14ac:dyDescent="0.3">
      <c r="F6697" s="14"/>
    </row>
    <row r="6698" spans="6:6" x14ac:dyDescent="0.3">
      <c r="F6698" s="14"/>
    </row>
    <row r="6699" spans="6:6" x14ac:dyDescent="0.3">
      <c r="F6699" s="14"/>
    </row>
    <row r="6700" spans="6:6" x14ac:dyDescent="0.3">
      <c r="F6700" s="14"/>
    </row>
    <row r="6701" spans="6:6" x14ac:dyDescent="0.3">
      <c r="F6701" s="14"/>
    </row>
    <row r="6702" spans="6:6" x14ac:dyDescent="0.3">
      <c r="F6702" s="14"/>
    </row>
    <row r="6703" spans="6:6" x14ac:dyDescent="0.3">
      <c r="F6703" s="14"/>
    </row>
    <row r="6704" spans="6:6" x14ac:dyDescent="0.3">
      <c r="F6704" s="14"/>
    </row>
    <row r="6705" spans="6:6" x14ac:dyDescent="0.3">
      <c r="F6705" s="14"/>
    </row>
    <row r="6706" spans="6:6" x14ac:dyDescent="0.3">
      <c r="F6706" s="14"/>
    </row>
    <row r="6707" spans="6:6" x14ac:dyDescent="0.3">
      <c r="F6707" s="14"/>
    </row>
    <row r="6708" spans="6:6" x14ac:dyDescent="0.3">
      <c r="F6708" s="14"/>
    </row>
    <row r="6709" spans="6:6" x14ac:dyDescent="0.3">
      <c r="F6709" s="14"/>
    </row>
    <row r="6710" spans="6:6" x14ac:dyDescent="0.3">
      <c r="F6710" s="14"/>
    </row>
    <row r="6711" spans="6:6" x14ac:dyDescent="0.3">
      <c r="F6711" s="14"/>
    </row>
    <row r="6712" spans="6:6" x14ac:dyDescent="0.3">
      <c r="F6712" s="14"/>
    </row>
    <row r="6713" spans="6:6" x14ac:dyDescent="0.3">
      <c r="F6713" s="14"/>
    </row>
    <row r="6714" spans="6:6" x14ac:dyDescent="0.3">
      <c r="F6714" s="14"/>
    </row>
    <row r="6715" spans="6:6" x14ac:dyDescent="0.3">
      <c r="F6715" s="14"/>
    </row>
    <row r="6716" spans="6:6" x14ac:dyDescent="0.3">
      <c r="F6716" s="14"/>
    </row>
    <row r="6717" spans="6:6" x14ac:dyDescent="0.3">
      <c r="F6717" s="14"/>
    </row>
    <row r="6718" spans="6:6" x14ac:dyDescent="0.3">
      <c r="F6718" s="14"/>
    </row>
    <row r="6719" spans="6:6" x14ac:dyDescent="0.3">
      <c r="F6719" s="14"/>
    </row>
    <row r="6720" spans="6:6" x14ac:dyDescent="0.3">
      <c r="F6720" s="14"/>
    </row>
    <row r="6721" spans="6:6" x14ac:dyDescent="0.3">
      <c r="F6721" s="14"/>
    </row>
    <row r="6722" spans="6:6" x14ac:dyDescent="0.3">
      <c r="F6722" s="14"/>
    </row>
    <row r="6723" spans="6:6" x14ac:dyDescent="0.3">
      <c r="F6723" s="14"/>
    </row>
    <row r="6724" spans="6:6" x14ac:dyDescent="0.3">
      <c r="F6724" s="14"/>
    </row>
    <row r="6725" spans="6:6" x14ac:dyDescent="0.3">
      <c r="F6725" s="14"/>
    </row>
    <row r="6726" spans="6:6" x14ac:dyDescent="0.3">
      <c r="F6726" s="14"/>
    </row>
    <row r="6727" spans="6:6" x14ac:dyDescent="0.3">
      <c r="F6727" s="14"/>
    </row>
    <row r="6728" spans="6:6" x14ac:dyDescent="0.3">
      <c r="F6728" s="14"/>
    </row>
    <row r="6729" spans="6:6" x14ac:dyDescent="0.3">
      <c r="F6729" s="14"/>
    </row>
    <row r="6730" spans="6:6" x14ac:dyDescent="0.3">
      <c r="F6730" s="14"/>
    </row>
    <row r="6731" spans="6:6" x14ac:dyDescent="0.3">
      <c r="F6731" s="14"/>
    </row>
    <row r="6732" spans="6:6" x14ac:dyDescent="0.3">
      <c r="F6732" s="14"/>
    </row>
    <row r="6733" spans="6:6" x14ac:dyDescent="0.3">
      <c r="F6733" s="14"/>
    </row>
    <row r="6734" spans="6:6" x14ac:dyDescent="0.3">
      <c r="F6734" s="14"/>
    </row>
    <row r="6735" spans="6:6" x14ac:dyDescent="0.3">
      <c r="F6735" s="14"/>
    </row>
    <row r="6736" spans="6:6" x14ac:dyDescent="0.3">
      <c r="F6736" s="14"/>
    </row>
    <row r="6737" spans="6:6" x14ac:dyDescent="0.3">
      <c r="F6737" s="14"/>
    </row>
    <row r="6738" spans="6:6" x14ac:dyDescent="0.3">
      <c r="F6738" s="14"/>
    </row>
    <row r="6739" spans="6:6" x14ac:dyDescent="0.3">
      <c r="F6739" s="14"/>
    </row>
    <row r="6740" spans="6:6" x14ac:dyDescent="0.3">
      <c r="F6740" s="14"/>
    </row>
    <row r="6741" spans="6:6" x14ac:dyDescent="0.3">
      <c r="F6741" s="14"/>
    </row>
    <row r="6742" spans="6:6" x14ac:dyDescent="0.3">
      <c r="F6742" s="14"/>
    </row>
    <row r="6743" spans="6:6" x14ac:dyDescent="0.3">
      <c r="F6743" s="14"/>
    </row>
    <row r="6744" spans="6:6" x14ac:dyDescent="0.3">
      <c r="F6744" s="14"/>
    </row>
    <row r="6745" spans="6:6" x14ac:dyDescent="0.3">
      <c r="F6745" s="14"/>
    </row>
    <row r="6746" spans="6:6" x14ac:dyDescent="0.3">
      <c r="F6746" s="14"/>
    </row>
    <row r="6747" spans="6:6" x14ac:dyDescent="0.3">
      <c r="F6747" s="14"/>
    </row>
    <row r="6748" spans="6:6" x14ac:dyDescent="0.3">
      <c r="F6748" s="14"/>
    </row>
    <row r="6749" spans="6:6" x14ac:dyDescent="0.3">
      <c r="F6749" s="14"/>
    </row>
    <row r="6750" spans="6:6" x14ac:dyDescent="0.3">
      <c r="F6750" s="14"/>
    </row>
    <row r="6751" spans="6:6" x14ac:dyDescent="0.3">
      <c r="F6751" s="14"/>
    </row>
    <row r="6752" spans="6:6" x14ac:dyDescent="0.3">
      <c r="F6752" s="14"/>
    </row>
    <row r="6753" spans="6:6" x14ac:dyDescent="0.3">
      <c r="F6753" s="14"/>
    </row>
    <row r="6754" spans="6:6" x14ac:dyDescent="0.3">
      <c r="F6754" s="14"/>
    </row>
    <row r="6755" spans="6:6" x14ac:dyDescent="0.3">
      <c r="F6755" s="14"/>
    </row>
    <row r="6756" spans="6:6" x14ac:dyDescent="0.3">
      <c r="F6756" s="14"/>
    </row>
    <row r="6757" spans="6:6" x14ac:dyDescent="0.3">
      <c r="F6757" s="14"/>
    </row>
    <row r="6758" spans="6:6" x14ac:dyDescent="0.3">
      <c r="F6758" s="14"/>
    </row>
    <row r="6759" spans="6:6" x14ac:dyDescent="0.3">
      <c r="F6759" s="14"/>
    </row>
    <row r="6760" spans="6:6" x14ac:dyDescent="0.3">
      <c r="F6760" s="14"/>
    </row>
    <row r="6761" spans="6:6" x14ac:dyDescent="0.3">
      <c r="F6761" s="14"/>
    </row>
    <row r="6762" spans="6:6" x14ac:dyDescent="0.3">
      <c r="F6762" s="14"/>
    </row>
    <row r="6763" spans="6:6" x14ac:dyDescent="0.3">
      <c r="F6763" s="14"/>
    </row>
    <row r="6764" spans="6:6" x14ac:dyDescent="0.3">
      <c r="F6764" s="14"/>
    </row>
    <row r="6765" spans="6:6" x14ac:dyDescent="0.3">
      <c r="F6765" s="14"/>
    </row>
    <row r="6766" spans="6:6" x14ac:dyDescent="0.3">
      <c r="F6766" s="14"/>
    </row>
    <row r="6767" spans="6:6" x14ac:dyDescent="0.3">
      <c r="F6767" s="14"/>
    </row>
    <row r="6768" spans="6:6" x14ac:dyDescent="0.3">
      <c r="F6768" s="14"/>
    </row>
    <row r="6769" spans="6:6" x14ac:dyDescent="0.3">
      <c r="F6769" s="14"/>
    </row>
    <row r="6770" spans="6:6" x14ac:dyDescent="0.3">
      <c r="F6770" s="14"/>
    </row>
    <row r="6771" spans="6:6" x14ac:dyDescent="0.3">
      <c r="F6771" s="14"/>
    </row>
    <row r="6772" spans="6:6" x14ac:dyDescent="0.3">
      <c r="F6772" s="14"/>
    </row>
    <row r="6773" spans="6:6" x14ac:dyDescent="0.3">
      <c r="F6773" s="14"/>
    </row>
    <row r="6774" spans="6:6" x14ac:dyDescent="0.3">
      <c r="F6774" s="14"/>
    </row>
    <row r="6775" spans="6:6" x14ac:dyDescent="0.3">
      <c r="F6775" s="14"/>
    </row>
    <row r="6776" spans="6:6" x14ac:dyDescent="0.3">
      <c r="F6776" s="14"/>
    </row>
    <row r="6777" spans="6:6" x14ac:dyDescent="0.3">
      <c r="F6777" s="14"/>
    </row>
    <row r="6778" spans="6:6" x14ac:dyDescent="0.3">
      <c r="F6778" s="14"/>
    </row>
    <row r="6779" spans="6:6" x14ac:dyDescent="0.3">
      <c r="F6779" s="14"/>
    </row>
    <row r="6780" spans="6:6" x14ac:dyDescent="0.3">
      <c r="F6780" s="14"/>
    </row>
    <row r="6781" spans="6:6" x14ac:dyDescent="0.3">
      <c r="F6781" s="14"/>
    </row>
    <row r="6782" spans="6:6" x14ac:dyDescent="0.3">
      <c r="F6782" s="14"/>
    </row>
    <row r="6783" spans="6:6" x14ac:dyDescent="0.3">
      <c r="F6783" s="14"/>
    </row>
    <row r="6784" spans="6:6" x14ac:dyDescent="0.3">
      <c r="F6784" s="14"/>
    </row>
    <row r="6785" spans="6:6" x14ac:dyDescent="0.3">
      <c r="F6785" s="14"/>
    </row>
    <row r="6786" spans="6:6" x14ac:dyDescent="0.3">
      <c r="F6786" s="14"/>
    </row>
    <row r="6787" spans="6:6" x14ac:dyDescent="0.3">
      <c r="F6787" s="14"/>
    </row>
    <row r="6788" spans="6:6" x14ac:dyDescent="0.3">
      <c r="F6788" s="14"/>
    </row>
    <row r="6789" spans="6:6" x14ac:dyDescent="0.3">
      <c r="F6789" s="14"/>
    </row>
    <row r="6790" spans="6:6" x14ac:dyDescent="0.3">
      <c r="F6790" s="14"/>
    </row>
    <row r="6791" spans="6:6" x14ac:dyDescent="0.3">
      <c r="F6791" s="14"/>
    </row>
    <row r="6792" spans="6:6" x14ac:dyDescent="0.3">
      <c r="F6792" s="14"/>
    </row>
    <row r="6793" spans="6:6" x14ac:dyDescent="0.3">
      <c r="F6793" s="14"/>
    </row>
    <row r="6794" spans="6:6" x14ac:dyDescent="0.3">
      <c r="F6794" s="14"/>
    </row>
    <row r="6795" spans="6:6" x14ac:dyDescent="0.3">
      <c r="F6795" s="14"/>
    </row>
    <row r="6796" spans="6:6" x14ac:dyDescent="0.3">
      <c r="F6796" s="14"/>
    </row>
    <row r="6797" spans="6:6" x14ac:dyDescent="0.3">
      <c r="F6797" s="14"/>
    </row>
    <row r="6798" spans="6:6" x14ac:dyDescent="0.3">
      <c r="F6798" s="14"/>
    </row>
    <row r="6799" spans="6:6" x14ac:dyDescent="0.3">
      <c r="F6799" s="14"/>
    </row>
    <row r="6800" spans="6:6" x14ac:dyDescent="0.3">
      <c r="F6800" s="14"/>
    </row>
    <row r="6801" spans="6:6" x14ac:dyDescent="0.3">
      <c r="F6801" s="14"/>
    </row>
    <row r="6802" spans="6:6" x14ac:dyDescent="0.3">
      <c r="F6802" s="14"/>
    </row>
    <row r="6803" spans="6:6" x14ac:dyDescent="0.3">
      <c r="F6803" s="14"/>
    </row>
    <row r="6804" spans="6:6" x14ac:dyDescent="0.3">
      <c r="F6804" s="14"/>
    </row>
    <row r="6805" spans="6:6" x14ac:dyDescent="0.3">
      <c r="F6805" s="14"/>
    </row>
    <row r="6806" spans="6:6" x14ac:dyDescent="0.3">
      <c r="F6806" s="14"/>
    </row>
    <row r="6807" spans="6:6" x14ac:dyDescent="0.3">
      <c r="F6807" s="14"/>
    </row>
    <row r="6808" spans="6:6" x14ac:dyDescent="0.3">
      <c r="F6808" s="14"/>
    </row>
    <row r="6809" spans="6:6" x14ac:dyDescent="0.3">
      <c r="F6809" s="14"/>
    </row>
    <row r="6810" spans="6:6" x14ac:dyDescent="0.3">
      <c r="F6810" s="14"/>
    </row>
    <row r="6811" spans="6:6" x14ac:dyDescent="0.3">
      <c r="F6811" s="14"/>
    </row>
    <row r="6812" spans="6:6" x14ac:dyDescent="0.3">
      <c r="F6812" s="14"/>
    </row>
    <row r="6813" spans="6:6" x14ac:dyDescent="0.3">
      <c r="F6813" s="14"/>
    </row>
    <row r="6814" spans="6:6" x14ac:dyDescent="0.3">
      <c r="F6814" s="14"/>
    </row>
    <row r="6815" spans="6:6" x14ac:dyDescent="0.3">
      <c r="F6815" s="14"/>
    </row>
    <row r="6816" spans="6:6" x14ac:dyDescent="0.3">
      <c r="F6816" s="14"/>
    </row>
    <row r="6817" spans="6:6" x14ac:dyDescent="0.3">
      <c r="F6817" s="14"/>
    </row>
    <row r="6818" spans="6:6" x14ac:dyDescent="0.3">
      <c r="F6818" s="14"/>
    </row>
    <row r="6819" spans="6:6" x14ac:dyDescent="0.3">
      <c r="F6819" s="14"/>
    </row>
    <row r="6820" spans="6:6" x14ac:dyDescent="0.3">
      <c r="F6820" s="14"/>
    </row>
    <row r="6821" spans="6:6" x14ac:dyDescent="0.3">
      <c r="F6821" s="14"/>
    </row>
    <row r="6822" spans="6:6" x14ac:dyDescent="0.3">
      <c r="F6822" s="14"/>
    </row>
    <row r="6823" spans="6:6" x14ac:dyDescent="0.3">
      <c r="F6823" s="14"/>
    </row>
    <row r="6824" spans="6:6" x14ac:dyDescent="0.3">
      <c r="F6824" s="14"/>
    </row>
    <row r="6825" spans="6:6" x14ac:dyDescent="0.3">
      <c r="F6825" s="14"/>
    </row>
    <row r="6826" spans="6:6" x14ac:dyDescent="0.3">
      <c r="F6826" s="14"/>
    </row>
    <row r="6827" spans="6:6" x14ac:dyDescent="0.3">
      <c r="F6827" s="14"/>
    </row>
    <row r="6828" spans="6:6" x14ac:dyDescent="0.3">
      <c r="F6828" s="14"/>
    </row>
    <row r="6829" spans="6:6" x14ac:dyDescent="0.3">
      <c r="F6829" s="14"/>
    </row>
    <row r="6830" spans="6:6" x14ac:dyDescent="0.3">
      <c r="F6830" s="14"/>
    </row>
    <row r="6831" spans="6:6" x14ac:dyDescent="0.3">
      <c r="F6831" s="14"/>
    </row>
    <row r="6832" spans="6:6" x14ac:dyDescent="0.3">
      <c r="F6832" s="14"/>
    </row>
    <row r="6833" spans="6:6" x14ac:dyDescent="0.3">
      <c r="F6833" s="14"/>
    </row>
    <row r="6834" spans="6:6" x14ac:dyDescent="0.3">
      <c r="F6834" s="14"/>
    </row>
    <row r="6835" spans="6:6" x14ac:dyDescent="0.3">
      <c r="F6835" s="14"/>
    </row>
    <row r="6836" spans="6:6" x14ac:dyDescent="0.3">
      <c r="F6836" s="14"/>
    </row>
    <row r="6837" spans="6:6" x14ac:dyDescent="0.3">
      <c r="F6837" s="14"/>
    </row>
    <row r="6838" spans="6:6" x14ac:dyDescent="0.3">
      <c r="F6838" s="14"/>
    </row>
    <row r="6839" spans="6:6" x14ac:dyDescent="0.3">
      <c r="F6839" s="14"/>
    </row>
    <row r="6840" spans="6:6" x14ac:dyDescent="0.3">
      <c r="F6840" s="14"/>
    </row>
    <row r="6841" spans="6:6" x14ac:dyDescent="0.3">
      <c r="F6841" s="14"/>
    </row>
    <row r="6842" spans="6:6" x14ac:dyDescent="0.3">
      <c r="F6842" s="14"/>
    </row>
    <row r="6843" spans="6:6" x14ac:dyDescent="0.3">
      <c r="F6843" s="14"/>
    </row>
    <row r="6844" spans="6:6" x14ac:dyDescent="0.3">
      <c r="F6844" s="14"/>
    </row>
    <row r="6845" spans="6:6" x14ac:dyDescent="0.3">
      <c r="F6845" s="14"/>
    </row>
    <row r="6846" spans="6:6" x14ac:dyDescent="0.3">
      <c r="F6846" s="14"/>
    </row>
    <row r="6847" spans="6:6" x14ac:dyDescent="0.3">
      <c r="F6847" s="14"/>
    </row>
    <row r="6848" spans="6:6" x14ac:dyDescent="0.3">
      <c r="F6848" s="14"/>
    </row>
    <row r="6849" spans="6:6" x14ac:dyDescent="0.3">
      <c r="F6849" s="14"/>
    </row>
    <row r="6850" spans="6:6" x14ac:dyDescent="0.3">
      <c r="F6850" s="14"/>
    </row>
    <row r="6851" spans="6:6" x14ac:dyDescent="0.3">
      <c r="F6851" s="14"/>
    </row>
    <row r="6852" spans="6:6" x14ac:dyDescent="0.3">
      <c r="F6852" s="14"/>
    </row>
    <row r="6853" spans="6:6" x14ac:dyDescent="0.3">
      <c r="F6853" s="14"/>
    </row>
    <row r="6854" spans="6:6" x14ac:dyDescent="0.3">
      <c r="F6854" s="14"/>
    </row>
    <row r="6855" spans="6:6" x14ac:dyDescent="0.3">
      <c r="F6855" s="14"/>
    </row>
    <row r="6856" spans="6:6" x14ac:dyDescent="0.3">
      <c r="F6856" s="14"/>
    </row>
    <row r="6857" spans="6:6" x14ac:dyDescent="0.3">
      <c r="F6857" s="14"/>
    </row>
    <row r="6858" spans="6:6" x14ac:dyDescent="0.3">
      <c r="F6858" s="14"/>
    </row>
    <row r="6859" spans="6:6" x14ac:dyDescent="0.3">
      <c r="F6859" s="14"/>
    </row>
    <row r="6860" spans="6:6" x14ac:dyDescent="0.3">
      <c r="F6860" s="14"/>
    </row>
    <row r="6861" spans="6:6" x14ac:dyDescent="0.3">
      <c r="F6861" s="14"/>
    </row>
    <row r="6862" spans="6:6" x14ac:dyDescent="0.3">
      <c r="F6862" s="14"/>
    </row>
    <row r="6863" spans="6:6" x14ac:dyDescent="0.3">
      <c r="F6863" s="14"/>
    </row>
    <row r="6864" spans="6:6" x14ac:dyDescent="0.3">
      <c r="F6864" s="14"/>
    </row>
    <row r="6865" spans="6:6" x14ac:dyDescent="0.3">
      <c r="F6865" s="14"/>
    </row>
    <row r="6866" spans="6:6" x14ac:dyDescent="0.3">
      <c r="F6866" s="14"/>
    </row>
    <row r="6867" spans="6:6" x14ac:dyDescent="0.3">
      <c r="F6867" s="14"/>
    </row>
    <row r="6868" spans="6:6" x14ac:dyDescent="0.3">
      <c r="F6868" s="14"/>
    </row>
    <row r="6869" spans="6:6" x14ac:dyDescent="0.3">
      <c r="F6869" s="14"/>
    </row>
    <row r="6870" spans="6:6" x14ac:dyDescent="0.3">
      <c r="F6870" s="14"/>
    </row>
    <row r="6871" spans="6:6" x14ac:dyDescent="0.3">
      <c r="F6871" s="14"/>
    </row>
    <row r="6872" spans="6:6" x14ac:dyDescent="0.3">
      <c r="F6872" s="14"/>
    </row>
    <row r="6873" spans="6:6" x14ac:dyDescent="0.3">
      <c r="F6873" s="14"/>
    </row>
    <row r="6874" spans="6:6" x14ac:dyDescent="0.3">
      <c r="F6874" s="14"/>
    </row>
    <row r="6875" spans="6:6" x14ac:dyDescent="0.3">
      <c r="F6875" s="14"/>
    </row>
    <row r="6876" spans="6:6" x14ac:dyDescent="0.3">
      <c r="F6876" s="14"/>
    </row>
    <row r="6877" spans="6:6" x14ac:dyDescent="0.3">
      <c r="F6877" s="14"/>
    </row>
    <row r="6878" spans="6:6" x14ac:dyDescent="0.3">
      <c r="F6878" s="14"/>
    </row>
    <row r="6879" spans="6:6" x14ac:dyDescent="0.3">
      <c r="F6879" s="14"/>
    </row>
    <row r="6880" spans="6:6" x14ac:dyDescent="0.3">
      <c r="F6880" s="14"/>
    </row>
    <row r="6881" spans="6:6" x14ac:dyDescent="0.3">
      <c r="F6881" s="14"/>
    </row>
    <row r="6882" spans="6:6" x14ac:dyDescent="0.3">
      <c r="F6882" s="14"/>
    </row>
    <row r="6883" spans="6:6" x14ac:dyDescent="0.3">
      <c r="F6883" s="14"/>
    </row>
    <row r="6884" spans="6:6" x14ac:dyDescent="0.3">
      <c r="F6884" s="14"/>
    </row>
    <row r="6885" spans="6:6" x14ac:dyDescent="0.3">
      <c r="F6885" s="14"/>
    </row>
    <row r="6886" spans="6:6" x14ac:dyDescent="0.3">
      <c r="F6886" s="14"/>
    </row>
    <row r="6887" spans="6:6" x14ac:dyDescent="0.3">
      <c r="F6887" s="14"/>
    </row>
    <row r="6888" spans="6:6" x14ac:dyDescent="0.3">
      <c r="F6888" s="14"/>
    </row>
    <row r="6889" spans="6:6" x14ac:dyDescent="0.3">
      <c r="F6889" s="14"/>
    </row>
    <row r="6890" spans="6:6" x14ac:dyDescent="0.3">
      <c r="F6890" s="14"/>
    </row>
    <row r="6891" spans="6:6" x14ac:dyDescent="0.3">
      <c r="F6891" s="14"/>
    </row>
    <row r="6892" spans="6:6" x14ac:dyDescent="0.3">
      <c r="F6892" s="14"/>
    </row>
    <row r="6893" spans="6:6" x14ac:dyDescent="0.3">
      <c r="F6893" s="14"/>
    </row>
    <row r="6894" spans="6:6" x14ac:dyDescent="0.3">
      <c r="F6894" s="14"/>
    </row>
    <row r="6895" spans="6:6" x14ac:dyDescent="0.3">
      <c r="F6895" s="14"/>
    </row>
    <row r="6896" spans="6:6" x14ac:dyDescent="0.3">
      <c r="F6896" s="14"/>
    </row>
    <row r="6897" spans="6:6" x14ac:dyDescent="0.3">
      <c r="F6897" s="14"/>
    </row>
    <row r="6898" spans="6:6" x14ac:dyDescent="0.3">
      <c r="F6898" s="14"/>
    </row>
    <row r="6899" spans="6:6" x14ac:dyDescent="0.3">
      <c r="F6899" s="14"/>
    </row>
    <row r="6900" spans="6:6" x14ac:dyDescent="0.3">
      <c r="F6900" s="14"/>
    </row>
    <row r="6901" spans="6:6" x14ac:dyDescent="0.3">
      <c r="F6901" s="14"/>
    </row>
    <row r="6902" spans="6:6" x14ac:dyDescent="0.3">
      <c r="F6902" s="14"/>
    </row>
    <row r="6903" spans="6:6" x14ac:dyDescent="0.3">
      <c r="F6903" s="14"/>
    </row>
    <row r="6904" spans="6:6" x14ac:dyDescent="0.3">
      <c r="F6904" s="14"/>
    </row>
    <row r="6905" spans="6:6" x14ac:dyDescent="0.3">
      <c r="F6905" s="14"/>
    </row>
    <row r="6906" spans="6:6" x14ac:dyDescent="0.3">
      <c r="F6906" s="14"/>
    </row>
    <row r="6907" spans="6:6" x14ac:dyDescent="0.3">
      <c r="F6907" s="14"/>
    </row>
    <row r="6908" spans="6:6" x14ac:dyDescent="0.3">
      <c r="F6908" s="14"/>
    </row>
    <row r="6909" spans="6:6" x14ac:dyDescent="0.3">
      <c r="F6909" s="14"/>
    </row>
    <row r="6910" spans="6:6" x14ac:dyDescent="0.3">
      <c r="F6910" s="14"/>
    </row>
    <row r="6911" spans="6:6" x14ac:dyDescent="0.3">
      <c r="F6911" s="14"/>
    </row>
    <row r="6912" spans="6:6" x14ac:dyDescent="0.3">
      <c r="F6912" s="14"/>
    </row>
    <row r="6913" spans="6:6" x14ac:dyDescent="0.3">
      <c r="F6913" s="14"/>
    </row>
    <row r="6914" spans="6:6" x14ac:dyDescent="0.3">
      <c r="F6914" s="14"/>
    </row>
    <row r="6915" spans="6:6" x14ac:dyDescent="0.3">
      <c r="F6915" s="14"/>
    </row>
    <row r="6916" spans="6:6" x14ac:dyDescent="0.3">
      <c r="F6916" s="14"/>
    </row>
    <row r="6917" spans="6:6" x14ac:dyDescent="0.3">
      <c r="F6917" s="14"/>
    </row>
    <row r="6918" spans="6:6" x14ac:dyDescent="0.3">
      <c r="F6918" s="14"/>
    </row>
    <row r="6919" spans="6:6" x14ac:dyDescent="0.3">
      <c r="F6919" s="14"/>
    </row>
    <row r="6920" spans="6:6" x14ac:dyDescent="0.3">
      <c r="F6920" s="14"/>
    </row>
    <row r="6921" spans="6:6" x14ac:dyDescent="0.3">
      <c r="F6921" s="14"/>
    </row>
    <row r="6922" spans="6:6" x14ac:dyDescent="0.3">
      <c r="F6922" s="14"/>
    </row>
    <row r="6923" spans="6:6" x14ac:dyDescent="0.3">
      <c r="F6923" s="14"/>
    </row>
    <row r="6924" spans="6:6" x14ac:dyDescent="0.3">
      <c r="F6924" s="14"/>
    </row>
    <row r="6925" spans="6:6" x14ac:dyDescent="0.3">
      <c r="F6925" s="14"/>
    </row>
    <row r="6926" spans="6:6" x14ac:dyDescent="0.3">
      <c r="F6926" s="14"/>
    </row>
    <row r="6927" spans="6:6" x14ac:dyDescent="0.3">
      <c r="F6927" s="14"/>
    </row>
    <row r="6928" spans="6:6" x14ac:dyDescent="0.3">
      <c r="F6928" s="14"/>
    </row>
    <row r="6929" spans="6:6" x14ac:dyDescent="0.3">
      <c r="F6929" s="14"/>
    </row>
    <row r="6930" spans="6:6" x14ac:dyDescent="0.3">
      <c r="F6930" s="14"/>
    </row>
    <row r="6931" spans="6:6" x14ac:dyDescent="0.3">
      <c r="F6931" s="14"/>
    </row>
    <row r="6932" spans="6:6" x14ac:dyDescent="0.3">
      <c r="F6932" s="14"/>
    </row>
    <row r="6933" spans="6:6" x14ac:dyDescent="0.3">
      <c r="F6933" s="14"/>
    </row>
    <row r="6934" spans="6:6" x14ac:dyDescent="0.3">
      <c r="F6934" s="14"/>
    </row>
    <row r="6935" spans="6:6" x14ac:dyDescent="0.3">
      <c r="F6935" s="14"/>
    </row>
    <row r="6936" spans="6:6" x14ac:dyDescent="0.3">
      <c r="F6936" s="14"/>
    </row>
    <row r="6937" spans="6:6" x14ac:dyDescent="0.3">
      <c r="F6937" s="14"/>
    </row>
    <row r="6938" spans="6:6" x14ac:dyDescent="0.3">
      <c r="F6938" s="14"/>
    </row>
    <row r="6939" spans="6:6" x14ac:dyDescent="0.3">
      <c r="F6939" s="14"/>
    </row>
    <row r="6940" spans="6:6" x14ac:dyDescent="0.3">
      <c r="F6940" s="14"/>
    </row>
    <row r="6941" spans="6:6" x14ac:dyDescent="0.3">
      <c r="F6941" s="14"/>
    </row>
    <row r="6942" spans="6:6" x14ac:dyDescent="0.3">
      <c r="F6942" s="14"/>
    </row>
    <row r="6943" spans="6:6" x14ac:dyDescent="0.3">
      <c r="F6943" s="14"/>
    </row>
    <row r="6944" spans="6:6" x14ac:dyDescent="0.3">
      <c r="F6944" s="14"/>
    </row>
    <row r="6945" spans="6:6" x14ac:dyDescent="0.3">
      <c r="F6945" s="14"/>
    </row>
    <row r="6946" spans="6:6" x14ac:dyDescent="0.3">
      <c r="F6946" s="14"/>
    </row>
    <row r="6947" spans="6:6" x14ac:dyDescent="0.3">
      <c r="F6947" s="14"/>
    </row>
    <row r="6948" spans="6:6" x14ac:dyDescent="0.3">
      <c r="F6948" s="14"/>
    </row>
    <row r="6949" spans="6:6" x14ac:dyDescent="0.3">
      <c r="F6949" s="14"/>
    </row>
    <row r="6950" spans="6:6" x14ac:dyDescent="0.3">
      <c r="F6950" s="14"/>
    </row>
    <row r="6951" spans="6:6" x14ac:dyDescent="0.3">
      <c r="F6951" s="14"/>
    </row>
    <row r="6952" spans="6:6" x14ac:dyDescent="0.3">
      <c r="F6952" s="14"/>
    </row>
    <row r="6953" spans="6:6" x14ac:dyDescent="0.3">
      <c r="F6953" s="14"/>
    </row>
    <row r="6954" spans="6:6" x14ac:dyDescent="0.3">
      <c r="F6954" s="14"/>
    </row>
    <row r="6955" spans="6:6" x14ac:dyDescent="0.3">
      <c r="F6955" s="14"/>
    </row>
    <row r="6956" spans="6:6" x14ac:dyDescent="0.3">
      <c r="F6956" s="14"/>
    </row>
    <row r="6957" spans="6:6" x14ac:dyDescent="0.3">
      <c r="F6957" s="14"/>
    </row>
    <row r="6958" spans="6:6" x14ac:dyDescent="0.3">
      <c r="F6958" s="14"/>
    </row>
    <row r="6959" spans="6:6" x14ac:dyDescent="0.3">
      <c r="F6959" s="14"/>
    </row>
    <row r="6960" spans="6:6" x14ac:dyDescent="0.3">
      <c r="F6960" s="14"/>
    </row>
    <row r="6961" spans="6:6" x14ac:dyDescent="0.3">
      <c r="F6961" s="14"/>
    </row>
    <row r="6962" spans="6:6" x14ac:dyDescent="0.3">
      <c r="F6962" s="14"/>
    </row>
    <row r="6963" spans="6:6" x14ac:dyDescent="0.3">
      <c r="F6963" s="14"/>
    </row>
    <row r="6964" spans="6:6" x14ac:dyDescent="0.3">
      <c r="F6964" s="14"/>
    </row>
    <row r="6965" spans="6:6" x14ac:dyDescent="0.3">
      <c r="F6965" s="14"/>
    </row>
    <row r="6966" spans="6:6" x14ac:dyDescent="0.3">
      <c r="F6966" s="14"/>
    </row>
    <row r="6967" spans="6:6" x14ac:dyDescent="0.3">
      <c r="F6967" s="14"/>
    </row>
    <row r="6968" spans="6:6" x14ac:dyDescent="0.3">
      <c r="F6968" s="14"/>
    </row>
    <row r="6969" spans="6:6" x14ac:dyDescent="0.3">
      <c r="F6969" s="14"/>
    </row>
    <row r="6970" spans="6:6" x14ac:dyDescent="0.3">
      <c r="F6970" s="14"/>
    </row>
    <row r="6971" spans="6:6" x14ac:dyDescent="0.3">
      <c r="F6971" s="14"/>
    </row>
    <row r="6972" spans="6:6" x14ac:dyDescent="0.3">
      <c r="F6972" s="14"/>
    </row>
    <row r="6973" spans="6:6" x14ac:dyDescent="0.3">
      <c r="F6973" s="14"/>
    </row>
    <row r="6974" spans="6:6" x14ac:dyDescent="0.3">
      <c r="F6974" s="14"/>
    </row>
    <row r="6975" spans="6:6" x14ac:dyDescent="0.3">
      <c r="F6975" s="14"/>
    </row>
    <row r="6976" spans="6:6" x14ac:dyDescent="0.3">
      <c r="F6976" s="14"/>
    </row>
    <row r="6977" spans="6:6" x14ac:dyDescent="0.3">
      <c r="F6977" s="14"/>
    </row>
    <row r="6978" spans="6:6" x14ac:dyDescent="0.3">
      <c r="F6978" s="14"/>
    </row>
    <row r="6979" spans="6:6" x14ac:dyDescent="0.3">
      <c r="F6979" s="14"/>
    </row>
    <row r="6980" spans="6:6" x14ac:dyDescent="0.3">
      <c r="F6980" s="14"/>
    </row>
    <row r="6981" spans="6:6" x14ac:dyDescent="0.3">
      <c r="F6981" s="14"/>
    </row>
    <row r="6982" spans="6:6" x14ac:dyDescent="0.3">
      <c r="F6982" s="14"/>
    </row>
    <row r="6983" spans="6:6" x14ac:dyDescent="0.3">
      <c r="F6983" s="14"/>
    </row>
    <row r="6984" spans="6:6" x14ac:dyDescent="0.3">
      <c r="F6984" s="14"/>
    </row>
    <row r="6985" spans="6:6" x14ac:dyDescent="0.3">
      <c r="F6985" s="14"/>
    </row>
    <row r="6986" spans="6:6" x14ac:dyDescent="0.3">
      <c r="F6986" s="14"/>
    </row>
    <row r="6987" spans="6:6" x14ac:dyDescent="0.3">
      <c r="F6987" s="14"/>
    </row>
    <row r="6988" spans="6:6" x14ac:dyDescent="0.3">
      <c r="F6988" s="14"/>
    </row>
    <row r="6989" spans="6:6" x14ac:dyDescent="0.3">
      <c r="F6989" s="14"/>
    </row>
    <row r="6990" spans="6:6" x14ac:dyDescent="0.3">
      <c r="F6990" s="14"/>
    </row>
    <row r="6991" spans="6:6" x14ac:dyDescent="0.3">
      <c r="F6991" s="14"/>
    </row>
    <row r="6992" spans="6:6" x14ac:dyDescent="0.3">
      <c r="F6992" s="14"/>
    </row>
    <row r="6993" spans="6:6" x14ac:dyDescent="0.3">
      <c r="F6993" s="14"/>
    </row>
    <row r="6994" spans="6:6" x14ac:dyDescent="0.3">
      <c r="F6994" s="14"/>
    </row>
    <row r="6995" spans="6:6" x14ac:dyDescent="0.3">
      <c r="F6995" s="14"/>
    </row>
    <row r="6996" spans="6:6" x14ac:dyDescent="0.3">
      <c r="F6996" s="14"/>
    </row>
    <row r="6997" spans="6:6" x14ac:dyDescent="0.3">
      <c r="F6997" s="14"/>
    </row>
    <row r="6998" spans="6:6" x14ac:dyDescent="0.3">
      <c r="F6998" s="14"/>
    </row>
    <row r="6999" spans="6:6" x14ac:dyDescent="0.3">
      <c r="F6999" s="14"/>
    </row>
    <row r="7000" spans="6:6" x14ac:dyDescent="0.3">
      <c r="F7000" s="14"/>
    </row>
    <row r="7001" spans="6:6" x14ac:dyDescent="0.3">
      <c r="F7001" s="14"/>
    </row>
    <row r="7002" spans="6:6" x14ac:dyDescent="0.3">
      <c r="F7002" s="14"/>
    </row>
    <row r="7003" spans="6:6" x14ac:dyDescent="0.3">
      <c r="F7003" s="14"/>
    </row>
    <row r="7004" spans="6:6" x14ac:dyDescent="0.3">
      <c r="F7004" s="14"/>
    </row>
    <row r="7005" spans="6:6" x14ac:dyDescent="0.3">
      <c r="F7005" s="14"/>
    </row>
    <row r="7006" spans="6:6" x14ac:dyDescent="0.3">
      <c r="F7006" s="14"/>
    </row>
    <row r="7007" spans="6:6" x14ac:dyDescent="0.3">
      <c r="F7007" s="14"/>
    </row>
    <row r="7008" spans="6:6" x14ac:dyDescent="0.3">
      <c r="F7008" s="14"/>
    </row>
    <row r="7009" spans="6:6" x14ac:dyDescent="0.3">
      <c r="F7009" s="14"/>
    </row>
    <row r="7010" spans="6:6" x14ac:dyDescent="0.3">
      <c r="F7010" s="14"/>
    </row>
    <row r="7011" spans="6:6" x14ac:dyDescent="0.3">
      <c r="F7011" s="14"/>
    </row>
    <row r="7012" spans="6:6" x14ac:dyDescent="0.3">
      <c r="F7012" s="14"/>
    </row>
    <row r="7013" spans="6:6" x14ac:dyDescent="0.3">
      <c r="F7013" s="14"/>
    </row>
    <row r="7014" spans="6:6" x14ac:dyDescent="0.3">
      <c r="F7014" s="14"/>
    </row>
    <row r="7015" spans="6:6" x14ac:dyDescent="0.3">
      <c r="F7015" s="14"/>
    </row>
    <row r="7016" spans="6:6" x14ac:dyDescent="0.3">
      <c r="F7016" s="14"/>
    </row>
    <row r="7017" spans="6:6" x14ac:dyDescent="0.3">
      <c r="F7017" s="14"/>
    </row>
    <row r="7018" spans="6:6" x14ac:dyDescent="0.3">
      <c r="F7018" s="14"/>
    </row>
    <row r="7019" spans="6:6" x14ac:dyDescent="0.3">
      <c r="F7019" s="14"/>
    </row>
    <row r="7020" spans="6:6" x14ac:dyDescent="0.3">
      <c r="F7020" s="14"/>
    </row>
    <row r="7021" spans="6:6" x14ac:dyDescent="0.3">
      <c r="F7021" s="14"/>
    </row>
    <row r="7022" spans="6:6" x14ac:dyDescent="0.3">
      <c r="F7022" s="14"/>
    </row>
    <row r="7023" spans="6:6" x14ac:dyDescent="0.3">
      <c r="F7023" s="14"/>
    </row>
    <row r="7024" spans="6:6" x14ac:dyDescent="0.3">
      <c r="F7024" s="14"/>
    </row>
    <row r="7025" spans="6:6" x14ac:dyDescent="0.3">
      <c r="F7025" s="14"/>
    </row>
    <row r="7026" spans="6:6" x14ac:dyDescent="0.3">
      <c r="F7026" s="14"/>
    </row>
    <row r="7027" spans="6:6" x14ac:dyDescent="0.3">
      <c r="F7027" s="14"/>
    </row>
    <row r="7028" spans="6:6" x14ac:dyDescent="0.3">
      <c r="F7028" s="14"/>
    </row>
    <row r="7029" spans="6:6" x14ac:dyDescent="0.3">
      <c r="F7029" s="14"/>
    </row>
    <row r="7030" spans="6:6" x14ac:dyDescent="0.3">
      <c r="F7030" s="14"/>
    </row>
    <row r="7031" spans="6:6" x14ac:dyDescent="0.3">
      <c r="F7031" s="14"/>
    </row>
    <row r="7032" spans="6:6" x14ac:dyDescent="0.3">
      <c r="F7032" s="14"/>
    </row>
    <row r="7033" spans="6:6" x14ac:dyDescent="0.3">
      <c r="F7033" s="14"/>
    </row>
    <row r="7034" spans="6:6" x14ac:dyDescent="0.3">
      <c r="F7034" s="14"/>
    </row>
    <row r="7035" spans="6:6" x14ac:dyDescent="0.3">
      <c r="F7035" s="14"/>
    </row>
    <row r="7036" spans="6:6" x14ac:dyDescent="0.3">
      <c r="F7036" s="14"/>
    </row>
    <row r="7037" spans="6:6" x14ac:dyDescent="0.3">
      <c r="F7037" s="14"/>
    </row>
    <row r="7038" spans="6:6" x14ac:dyDescent="0.3">
      <c r="F7038" s="14"/>
    </row>
    <row r="7039" spans="6:6" x14ac:dyDescent="0.3">
      <c r="F7039" s="14"/>
    </row>
    <row r="7040" spans="6:6" x14ac:dyDescent="0.3">
      <c r="F7040" s="14"/>
    </row>
    <row r="7041" spans="6:6" x14ac:dyDescent="0.3">
      <c r="F7041" s="14"/>
    </row>
    <row r="7042" spans="6:6" x14ac:dyDescent="0.3">
      <c r="F7042" s="14"/>
    </row>
    <row r="7043" spans="6:6" x14ac:dyDescent="0.3">
      <c r="F7043" s="14"/>
    </row>
    <row r="7044" spans="6:6" x14ac:dyDescent="0.3">
      <c r="F7044" s="14"/>
    </row>
    <row r="7045" spans="6:6" x14ac:dyDescent="0.3">
      <c r="F7045" s="14"/>
    </row>
    <row r="7046" spans="6:6" x14ac:dyDescent="0.3">
      <c r="F7046" s="14"/>
    </row>
    <row r="7047" spans="6:6" x14ac:dyDescent="0.3">
      <c r="F7047" s="14"/>
    </row>
    <row r="7048" spans="6:6" x14ac:dyDescent="0.3">
      <c r="F7048" s="14"/>
    </row>
    <row r="7049" spans="6:6" x14ac:dyDescent="0.3">
      <c r="F7049" s="14"/>
    </row>
    <row r="7050" spans="6:6" x14ac:dyDescent="0.3">
      <c r="F7050" s="14"/>
    </row>
    <row r="7051" spans="6:6" x14ac:dyDescent="0.3">
      <c r="F7051" s="14"/>
    </row>
    <row r="7052" spans="6:6" x14ac:dyDescent="0.3">
      <c r="F7052" s="14"/>
    </row>
    <row r="7053" spans="6:6" x14ac:dyDescent="0.3">
      <c r="F7053" s="14"/>
    </row>
    <row r="7054" spans="6:6" x14ac:dyDescent="0.3">
      <c r="F7054" s="14"/>
    </row>
    <row r="7055" spans="6:6" x14ac:dyDescent="0.3">
      <c r="F7055" s="14"/>
    </row>
    <row r="7056" spans="6:6" x14ac:dyDescent="0.3">
      <c r="F7056" s="14"/>
    </row>
    <row r="7057" spans="6:6" x14ac:dyDescent="0.3">
      <c r="F7057" s="14"/>
    </row>
    <row r="7058" spans="6:6" x14ac:dyDescent="0.3">
      <c r="F7058" s="14"/>
    </row>
    <row r="7059" spans="6:6" x14ac:dyDescent="0.3">
      <c r="F7059" s="14"/>
    </row>
    <row r="7060" spans="6:6" x14ac:dyDescent="0.3">
      <c r="F7060" s="14"/>
    </row>
    <row r="7061" spans="6:6" x14ac:dyDescent="0.3">
      <c r="F7061" s="14"/>
    </row>
    <row r="7062" spans="6:6" x14ac:dyDescent="0.3">
      <c r="F7062" s="14"/>
    </row>
    <row r="7063" spans="6:6" x14ac:dyDescent="0.3">
      <c r="F7063" s="14"/>
    </row>
    <row r="7064" spans="6:6" x14ac:dyDescent="0.3">
      <c r="F7064" s="14"/>
    </row>
    <row r="7065" spans="6:6" x14ac:dyDescent="0.3">
      <c r="F7065" s="14"/>
    </row>
    <row r="7066" spans="6:6" x14ac:dyDescent="0.3">
      <c r="F7066" s="14"/>
    </row>
    <row r="7067" spans="6:6" x14ac:dyDescent="0.3">
      <c r="F7067" s="14"/>
    </row>
    <row r="7068" spans="6:6" x14ac:dyDescent="0.3">
      <c r="F7068" s="14"/>
    </row>
    <row r="7069" spans="6:6" x14ac:dyDescent="0.3">
      <c r="F7069" s="14"/>
    </row>
    <row r="7070" spans="6:6" x14ac:dyDescent="0.3">
      <c r="F7070" s="14"/>
    </row>
    <row r="7071" spans="6:6" x14ac:dyDescent="0.3">
      <c r="F7071" s="14"/>
    </row>
    <row r="7072" spans="6:6" x14ac:dyDescent="0.3">
      <c r="F7072" s="14"/>
    </row>
    <row r="7073" spans="6:6" x14ac:dyDescent="0.3">
      <c r="F7073" s="14"/>
    </row>
    <row r="7074" spans="6:6" x14ac:dyDescent="0.3">
      <c r="F7074" s="14"/>
    </row>
    <row r="7075" spans="6:6" x14ac:dyDescent="0.3">
      <c r="F7075" s="14"/>
    </row>
    <row r="7076" spans="6:6" x14ac:dyDescent="0.3">
      <c r="F7076" s="14"/>
    </row>
    <row r="7077" spans="6:6" x14ac:dyDescent="0.3">
      <c r="F7077" s="14"/>
    </row>
    <row r="7078" spans="6:6" x14ac:dyDescent="0.3">
      <c r="F7078" s="14"/>
    </row>
    <row r="7079" spans="6:6" x14ac:dyDescent="0.3">
      <c r="F7079" s="14"/>
    </row>
    <row r="7080" spans="6:6" x14ac:dyDescent="0.3">
      <c r="F7080" s="14"/>
    </row>
    <row r="7081" spans="6:6" x14ac:dyDescent="0.3">
      <c r="F7081" s="14"/>
    </row>
    <row r="7082" spans="6:6" x14ac:dyDescent="0.3">
      <c r="F7082" s="14"/>
    </row>
    <row r="7083" spans="6:6" x14ac:dyDescent="0.3">
      <c r="F7083" s="14"/>
    </row>
    <row r="7084" spans="6:6" x14ac:dyDescent="0.3">
      <c r="F7084" s="14"/>
    </row>
    <row r="7085" spans="6:6" x14ac:dyDescent="0.3">
      <c r="F7085" s="14"/>
    </row>
    <row r="7086" spans="6:6" x14ac:dyDescent="0.3">
      <c r="F7086" s="14"/>
    </row>
    <row r="7087" spans="6:6" x14ac:dyDescent="0.3">
      <c r="F7087" s="14"/>
    </row>
    <row r="7088" spans="6:6" x14ac:dyDescent="0.3">
      <c r="F7088" s="14"/>
    </row>
    <row r="7089" spans="6:6" x14ac:dyDescent="0.3">
      <c r="F7089" s="14"/>
    </row>
    <row r="7090" spans="6:6" x14ac:dyDescent="0.3">
      <c r="F7090" s="14"/>
    </row>
    <row r="7091" spans="6:6" x14ac:dyDescent="0.3">
      <c r="F7091" s="14"/>
    </row>
    <row r="7092" spans="6:6" x14ac:dyDescent="0.3">
      <c r="F7092" s="14"/>
    </row>
    <row r="7093" spans="6:6" x14ac:dyDescent="0.3">
      <c r="F7093" s="14"/>
    </row>
    <row r="7094" spans="6:6" x14ac:dyDescent="0.3">
      <c r="F7094" s="14"/>
    </row>
    <row r="7095" spans="6:6" x14ac:dyDescent="0.3">
      <c r="F7095" s="14"/>
    </row>
    <row r="7096" spans="6:6" x14ac:dyDescent="0.3">
      <c r="F7096" s="14"/>
    </row>
    <row r="7097" spans="6:6" x14ac:dyDescent="0.3">
      <c r="F7097" s="14"/>
    </row>
    <row r="7098" spans="6:6" x14ac:dyDescent="0.3">
      <c r="F7098" s="14"/>
    </row>
    <row r="7099" spans="6:6" x14ac:dyDescent="0.3">
      <c r="F7099" s="14"/>
    </row>
    <row r="7100" spans="6:6" x14ac:dyDescent="0.3">
      <c r="F7100" s="14"/>
    </row>
    <row r="7101" spans="6:6" x14ac:dyDescent="0.3">
      <c r="F7101" s="14"/>
    </row>
    <row r="7102" spans="6:6" x14ac:dyDescent="0.3">
      <c r="F7102" s="14"/>
    </row>
    <row r="7103" spans="6:6" x14ac:dyDescent="0.3">
      <c r="F7103" s="14"/>
    </row>
    <row r="7104" spans="6:6" x14ac:dyDescent="0.3">
      <c r="F7104" s="14"/>
    </row>
    <row r="7105" spans="6:6" x14ac:dyDescent="0.3">
      <c r="F7105" s="14"/>
    </row>
    <row r="7106" spans="6:6" x14ac:dyDescent="0.3">
      <c r="F7106" s="14"/>
    </row>
    <row r="7107" spans="6:6" x14ac:dyDescent="0.3">
      <c r="F7107" s="14"/>
    </row>
    <row r="7108" spans="6:6" x14ac:dyDescent="0.3">
      <c r="F7108" s="14"/>
    </row>
    <row r="7109" spans="6:6" x14ac:dyDescent="0.3">
      <c r="F7109" s="14"/>
    </row>
    <row r="7110" spans="6:6" x14ac:dyDescent="0.3">
      <c r="F7110" s="14"/>
    </row>
    <row r="7111" spans="6:6" x14ac:dyDescent="0.3">
      <c r="F7111" s="14"/>
    </row>
    <row r="7112" spans="6:6" x14ac:dyDescent="0.3">
      <c r="F7112" s="14"/>
    </row>
    <row r="7113" spans="6:6" x14ac:dyDescent="0.3">
      <c r="F7113" s="14"/>
    </row>
    <row r="7114" spans="6:6" x14ac:dyDescent="0.3">
      <c r="F7114" s="14"/>
    </row>
    <row r="7115" spans="6:6" x14ac:dyDescent="0.3">
      <c r="F7115" s="14"/>
    </row>
    <row r="7116" spans="6:6" x14ac:dyDescent="0.3">
      <c r="F7116" s="14"/>
    </row>
    <row r="7117" spans="6:6" x14ac:dyDescent="0.3">
      <c r="F7117" s="14"/>
    </row>
    <row r="7118" spans="6:6" x14ac:dyDescent="0.3">
      <c r="F7118" s="14"/>
    </row>
    <row r="7119" spans="6:6" x14ac:dyDescent="0.3">
      <c r="F7119" s="14"/>
    </row>
    <row r="7120" spans="6:6" x14ac:dyDescent="0.3">
      <c r="F7120" s="14"/>
    </row>
    <row r="7121" spans="6:6" x14ac:dyDescent="0.3">
      <c r="F7121" s="14"/>
    </row>
    <row r="7122" spans="6:6" x14ac:dyDescent="0.3">
      <c r="F7122" s="14"/>
    </row>
    <row r="7123" spans="6:6" x14ac:dyDescent="0.3">
      <c r="F7123" s="14"/>
    </row>
    <row r="7124" spans="6:6" x14ac:dyDescent="0.3">
      <c r="F7124" s="14"/>
    </row>
    <row r="7125" spans="6:6" x14ac:dyDescent="0.3">
      <c r="F7125" s="14"/>
    </row>
    <row r="7126" spans="6:6" x14ac:dyDescent="0.3">
      <c r="F7126" s="14"/>
    </row>
    <row r="7127" spans="6:6" x14ac:dyDescent="0.3">
      <c r="F7127" s="14"/>
    </row>
    <row r="7128" spans="6:6" x14ac:dyDescent="0.3">
      <c r="F7128" s="14"/>
    </row>
    <row r="7129" spans="6:6" x14ac:dyDescent="0.3">
      <c r="F7129" s="14"/>
    </row>
    <row r="7130" spans="6:6" x14ac:dyDescent="0.3">
      <c r="F7130" s="14"/>
    </row>
    <row r="7131" spans="6:6" x14ac:dyDescent="0.3">
      <c r="F7131" s="14"/>
    </row>
    <row r="7132" spans="6:6" x14ac:dyDescent="0.3">
      <c r="F7132" s="14"/>
    </row>
    <row r="7133" spans="6:6" x14ac:dyDescent="0.3">
      <c r="F7133" s="14"/>
    </row>
    <row r="7134" spans="6:6" x14ac:dyDescent="0.3">
      <c r="F7134" s="14"/>
    </row>
    <row r="7135" spans="6:6" x14ac:dyDescent="0.3">
      <c r="F7135" s="14"/>
    </row>
    <row r="7136" spans="6:6" x14ac:dyDescent="0.3">
      <c r="F7136" s="14"/>
    </row>
    <row r="7137" spans="6:6" x14ac:dyDescent="0.3">
      <c r="F7137" s="14"/>
    </row>
    <row r="7138" spans="6:6" x14ac:dyDescent="0.3">
      <c r="F7138" s="14"/>
    </row>
    <row r="7139" spans="6:6" x14ac:dyDescent="0.3">
      <c r="F7139" s="14"/>
    </row>
    <row r="7140" spans="6:6" x14ac:dyDescent="0.3">
      <c r="F7140" s="14"/>
    </row>
    <row r="7141" spans="6:6" x14ac:dyDescent="0.3">
      <c r="F7141" s="14"/>
    </row>
    <row r="7142" spans="6:6" x14ac:dyDescent="0.3">
      <c r="F7142" s="14"/>
    </row>
    <row r="7143" spans="6:6" x14ac:dyDescent="0.3">
      <c r="F7143" s="14"/>
    </row>
    <row r="7144" spans="6:6" x14ac:dyDescent="0.3">
      <c r="F7144" s="14"/>
    </row>
    <row r="7145" spans="6:6" x14ac:dyDescent="0.3">
      <c r="F7145" s="14"/>
    </row>
    <row r="7146" spans="6:6" x14ac:dyDescent="0.3">
      <c r="F7146" s="14"/>
    </row>
    <row r="7147" spans="6:6" x14ac:dyDescent="0.3">
      <c r="F7147" s="14"/>
    </row>
    <row r="7148" spans="6:6" x14ac:dyDescent="0.3">
      <c r="F7148" s="14"/>
    </row>
    <row r="7149" spans="6:6" x14ac:dyDescent="0.3">
      <c r="F7149" s="14"/>
    </row>
    <row r="7150" spans="6:6" x14ac:dyDescent="0.3">
      <c r="F7150" s="14"/>
    </row>
    <row r="7151" spans="6:6" x14ac:dyDescent="0.3">
      <c r="F7151" s="14"/>
    </row>
    <row r="7152" spans="6:6" x14ac:dyDescent="0.3">
      <c r="F7152" s="14"/>
    </row>
    <row r="7153" spans="6:6" x14ac:dyDescent="0.3">
      <c r="F7153" s="14"/>
    </row>
    <row r="7154" spans="6:6" x14ac:dyDescent="0.3">
      <c r="F7154" s="14"/>
    </row>
    <row r="7155" spans="6:6" x14ac:dyDescent="0.3">
      <c r="F7155" s="14"/>
    </row>
    <row r="7156" spans="6:6" x14ac:dyDescent="0.3">
      <c r="F7156" s="14"/>
    </row>
    <row r="7157" spans="6:6" x14ac:dyDescent="0.3">
      <c r="F7157" s="14"/>
    </row>
    <row r="7158" spans="6:6" x14ac:dyDescent="0.3">
      <c r="F7158" s="14"/>
    </row>
    <row r="7159" spans="6:6" x14ac:dyDescent="0.3">
      <c r="F7159" s="14"/>
    </row>
    <row r="7160" spans="6:6" x14ac:dyDescent="0.3">
      <c r="F7160" s="14"/>
    </row>
    <row r="7161" spans="6:6" x14ac:dyDescent="0.3">
      <c r="F7161" s="14"/>
    </row>
    <row r="7162" spans="6:6" x14ac:dyDescent="0.3">
      <c r="F7162" s="14"/>
    </row>
    <row r="7163" spans="6:6" x14ac:dyDescent="0.3">
      <c r="F7163" s="14"/>
    </row>
    <row r="7164" spans="6:6" x14ac:dyDescent="0.3">
      <c r="F7164" s="14"/>
    </row>
    <row r="7165" spans="6:6" x14ac:dyDescent="0.3">
      <c r="F7165" s="14"/>
    </row>
    <row r="7166" spans="6:6" x14ac:dyDescent="0.3">
      <c r="F7166" s="14"/>
    </row>
    <row r="7167" spans="6:6" x14ac:dyDescent="0.3">
      <c r="F7167" s="14"/>
    </row>
    <row r="7168" spans="6:6" x14ac:dyDescent="0.3">
      <c r="F7168" s="14"/>
    </row>
    <row r="7169" spans="6:6" x14ac:dyDescent="0.3">
      <c r="F7169" s="14"/>
    </row>
    <row r="7170" spans="6:6" x14ac:dyDescent="0.3">
      <c r="F7170" s="14"/>
    </row>
    <row r="7171" spans="6:6" x14ac:dyDescent="0.3">
      <c r="F7171" s="14"/>
    </row>
    <row r="7172" spans="6:6" x14ac:dyDescent="0.3">
      <c r="F7172" s="14"/>
    </row>
    <row r="7173" spans="6:6" x14ac:dyDescent="0.3">
      <c r="F7173" s="14"/>
    </row>
    <row r="7174" spans="6:6" x14ac:dyDescent="0.3">
      <c r="F7174" s="14"/>
    </row>
    <row r="7175" spans="6:6" x14ac:dyDescent="0.3">
      <c r="F7175" s="14"/>
    </row>
    <row r="7176" spans="6:6" x14ac:dyDescent="0.3">
      <c r="F7176" s="14"/>
    </row>
    <row r="7177" spans="6:6" x14ac:dyDescent="0.3">
      <c r="F7177" s="14"/>
    </row>
    <row r="7178" spans="6:6" x14ac:dyDescent="0.3">
      <c r="F7178" s="14"/>
    </row>
    <row r="7179" spans="6:6" x14ac:dyDescent="0.3">
      <c r="F7179" s="14"/>
    </row>
    <row r="7180" spans="6:6" x14ac:dyDescent="0.3">
      <c r="F7180" s="14"/>
    </row>
    <row r="7181" spans="6:6" x14ac:dyDescent="0.3">
      <c r="F7181" s="14"/>
    </row>
    <row r="7182" spans="6:6" x14ac:dyDescent="0.3">
      <c r="F7182" s="14"/>
    </row>
    <row r="7183" spans="6:6" x14ac:dyDescent="0.3">
      <c r="F7183" s="14"/>
    </row>
    <row r="7184" spans="6:6" x14ac:dyDescent="0.3">
      <c r="F7184" s="14"/>
    </row>
    <row r="7185" spans="6:6" x14ac:dyDescent="0.3">
      <c r="F7185" s="14"/>
    </row>
    <row r="7186" spans="6:6" x14ac:dyDescent="0.3">
      <c r="F7186" s="14"/>
    </row>
    <row r="7187" spans="6:6" x14ac:dyDescent="0.3">
      <c r="F7187" s="14"/>
    </row>
    <row r="7188" spans="6:6" x14ac:dyDescent="0.3">
      <c r="F7188" s="14"/>
    </row>
    <row r="7189" spans="6:6" x14ac:dyDescent="0.3">
      <c r="F7189" s="14"/>
    </row>
    <row r="7190" spans="6:6" x14ac:dyDescent="0.3">
      <c r="F7190" s="14"/>
    </row>
    <row r="7191" spans="6:6" x14ac:dyDescent="0.3">
      <c r="F7191" s="14"/>
    </row>
    <row r="7192" spans="6:6" x14ac:dyDescent="0.3">
      <c r="F7192" s="14"/>
    </row>
    <row r="7193" spans="6:6" x14ac:dyDescent="0.3">
      <c r="F7193" s="14"/>
    </row>
    <row r="7194" spans="6:6" x14ac:dyDescent="0.3">
      <c r="F7194" s="14"/>
    </row>
    <row r="7195" spans="6:6" x14ac:dyDescent="0.3">
      <c r="F7195" s="14"/>
    </row>
    <row r="7196" spans="6:6" x14ac:dyDescent="0.3">
      <c r="F7196" s="14"/>
    </row>
    <row r="7197" spans="6:6" x14ac:dyDescent="0.3">
      <c r="F7197" s="14"/>
    </row>
    <row r="7198" spans="6:6" x14ac:dyDescent="0.3">
      <c r="F7198" s="14"/>
    </row>
    <row r="7199" spans="6:6" x14ac:dyDescent="0.3">
      <c r="F7199" s="14"/>
    </row>
    <row r="7200" spans="6:6" x14ac:dyDescent="0.3">
      <c r="F7200" s="14"/>
    </row>
    <row r="7201" spans="6:6" x14ac:dyDescent="0.3">
      <c r="F7201" s="14"/>
    </row>
    <row r="7202" spans="6:6" x14ac:dyDescent="0.3">
      <c r="F7202" s="14"/>
    </row>
    <row r="7203" spans="6:6" x14ac:dyDescent="0.3">
      <c r="F7203" s="14"/>
    </row>
    <row r="7204" spans="6:6" x14ac:dyDescent="0.3">
      <c r="F7204" s="14"/>
    </row>
    <row r="7205" spans="6:6" x14ac:dyDescent="0.3">
      <c r="F7205" s="14"/>
    </row>
    <row r="7206" spans="6:6" x14ac:dyDescent="0.3">
      <c r="F7206" s="14"/>
    </row>
    <row r="7207" spans="6:6" x14ac:dyDescent="0.3">
      <c r="F7207" s="14"/>
    </row>
    <row r="7208" spans="6:6" x14ac:dyDescent="0.3">
      <c r="F7208" s="14"/>
    </row>
    <row r="7209" spans="6:6" x14ac:dyDescent="0.3">
      <c r="F7209" s="14"/>
    </row>
    <row r="7210" spans="6:6" x14ac:dyDescent="0.3">
      <c r="F7210" s="14"/>
    </row>
    <row r="7211" spans="6:6" x14ac:dyDescent="0.3">
      <c r="F7211" s="14"/>
    </row>
    <row r="7212" spans="6:6" x14ac:dyDescent="0.3">
      <c r="F7212" s="14"/>
    </row>
    <row r="7213" spans="6:6" x14ac:dyDescent="0.3">
      <c r="F7213" s="14"/>
    </row>
    <row r="7214" spans="6:6" x14ac:dyDescent="0.3">
      <c r="F7214" s="14"/>
    </row>
    <row r="7215" spans="6:6" x14ac:dyDescent="0.3">
      <c r="F7215" s="14"/>
    </row>
    <row r="7216" spans="6:6" x14ac:dyDescent="0.3">
      <c r="F7216" s="14"/>
    </row>
    <row r="7217" spans="6:6" x14ac:dyDescent="0.3">
      <c r="F7217" s="14"/>
    </row>
    <row r="7218" spans="6:6" x14ac:dyDescent="0.3">
      <c r="F7218" s="14"/>
    </row>
    <row r="7219" spans="6:6" x14ac:dyDescent="0.3">
      <c r="F7219" s="14"/>
    </row>
    <row r="7220" spans="6:6" x14ac:dyDescent="0.3">
      <c r="F7220" s="14"/>
    </row>
    <row r="7221" spans="6:6" x14ac:dyDescent="0.3">
      <c r="F7221" s="14"/>
    </row>
    <row r="7222" spans="6:6" x14ac:dyDescent="0.3">
      <c r="F7222" s="14"/>
    </row>
    <row r="7223" spans="6:6" x14ac:dyDescent="0.3">
      <c r="F7223" s="14"/>
    </row>
    <row r="7224" spans="6:6" x14ac:dyDescent="0.3">
      <c r="F7224" s="14"/>
    </row>
    <row r="7225" spans="6:6" x14ac:dyDescent="0.3">
      <c r="F7225" s="14"/>
    </row>
    <row r="7226" spans="6:6" x14ac:dyDescent="0.3">
      <c r="F7226" s="14"/>
    </row>
    <row r="7227" spans="6:6" x14ac:dyDescent="0.3">
      <c r="F7227" s="14"/>
    </row>
    <row r="7228" spans="6:6" x14ac:dyDescent="0.3">
      <c r="F7228" s="14"/>
    </row>
    <row r="7229" spans="6:6" x14ac:dyDescent="0.3">
      <c r="F7229" s="14"/>
    </row>
    <row r="7230" spans="6:6" x14ac:dyDescent="0.3">
      <c r="F7230" s="14"/>
    </row>
    <row r="7231" spans="6:6" x14ac:dyDescent="0.3">
      <c r="F7231" s="14"/>
    </row>
    <row r="7232" spans="6:6" x14ac:dyDescent="0.3">
      <c r="F7232" s="14"/>
    </row>
    <row r="7233" spans="6:6" x14ac:dyDescent="0.3">
      <c r="F7233" s="14"/>
    </row>
    <row r="7234" spans="6:6" x14ac:dyDescent="0.3">
      <c r="F7234" s="14"/>
    </row>
    <row r="7235" spans="6:6" x14ac:dyDescent="0.3">
      <c r="F7235" s="14"/>
    </row>
    <row r="7236" spans="6:6" x14ac:dyDescent="0.3">
      <c r="F7236" s="14"/>
    </row>
    <row r="7237" spans="6:6" x14ac:dyDescent="0.3">
      <c r="F7237" s="14"/>
    </row>
    <row r="7238" spans="6:6" x14ac:dyDescent="0.3">
      <c r="F7238" s="14"/>
    </row>
    <row r="7239" spans="6:6" x14ac:dyDescent="0.3">
      <c r="F7239" s="14"/>
    </row>
    <row r="7240" spans="6:6" x14ac:dyDescent="0.3">
      <c r="F7240" s="14"/>
    </row>
    <row r="7241" spans="6:6" x14ac:dyDescent="0.3">
      <c r="F7241" s="14"/>
    </row>
    <row r="7242" spans="6:6" x14ac:dyDescent="0.3">
      <c r="F7242" s="14"/>
    </row>
    <row r="7243" spans="6:6" x14ac:dyDescent="0.3">
      <c r="F7243" s="14"/>
    </row>
    <row r="7244" spans="6:6" x14ac:dyDescent="0.3">
      <c r="F7244" s="14"/>
    </row>
    <row r="7245" spans="6:6" x14ac:dyDescent="0.3">
      <c r="F7245" s="14"/>
    </row>
    <row r="7246" spans="6:6" x14ac:dyDescent="0.3">
      <c r="F7246" s="14"/>
    </row>
    <row r="7247" spans="6:6" x14ac:dyDescent="0.3">
      <c r="F7247" s="14"/>
    </row>
    <row r="7248" spans="6:6" x14ac:dyDescent="0.3">
      <c r="F7248" s="14"/>
    </row>
    <row r="7249" spans="6:6" x14ac:dyDescent="0.3">
      <c r="F7249" s="14"/>
    </row>
    <row r="7250" spans="6:6" x14ac:dyDescent="0.3">
      <c r="F7250" s="14"/>
    </row>
    <row r="7251" spans="6:6" x14ac:dyDescent="0.3">
      <c r="F7251" s="14"/>
    </row>
    <row r="7252" spans="6:6" x14ac:dyDescent="0.3">
      <c r="F7252" s="14"/>
    </row>
    <row r="7253" spans="6:6" x14ac:dyDescent="0.3">
      <c r="F7253" s="14"/>
    </row>
    <row r="7254" spans="6:6" x14ac:dyDescent="0.3">
      <c r="F7254" s="14"/>
    </row>
    <row r="7255" spans="6:6" x14ac:dyDescent="0.3">
      <c r="F7255" s="14"/>
    </row>
    <row r="7256" spans="6:6" x14ac:dyDescent="0.3">
      <c r="F7256" s="14"/>
    </row>
    <row r="7257" spans="6:6" x14ac:dyDescent="0.3">
      <c r="F7257" s="14"/>
    </row>
    <row r="7258" spans="6:6" x14ac:dyDescent="0.3">
      <c r="F7258" s="14"/>
    </row>
    <row r="7259" spans="6:6" x14ac:dyDescent="0.3">
      <c r="F7259" s="14"/>
    </row>
    <row r="7260" spans="6:6" x14ac:dyDescent="0.3">
      <c r="F7260" s="14"/>
    </row>
    <row r="7261" spans="6:6" x14ac:dyDescent="0.3">
      <c r="F7261" s="14"/>
    </row>
    <row r="7262" spans="6:6" x14ac:dyDescent="0.3">
      <c r="F7262" s="14"/>
    </row>
    <row r="7263" spans="6:6" x14ac:dyDescent="0.3">
      <c r="F7263" s="14"/>
    </row>
    <row r="7264" spans="6:6" x14ac:dyDescent="0.3">
      <c r="F7264" s="14"/>
    </row>
    <row r="7265" spans="6:6" x14ac:dyDescent="0.3">
      <c r="F7265" s="14"/>
    </row>
    <row r="7266" spans="6:6" x14ac:dyDescent="0.3">
      <c r="F7266" s="14"/>
    </row>
    <row r="7267" spans="6:6" x14ac:dyDescent="0.3">
      <c r="F7267" s="14"/>
    </row>
    <row r="7268" spans="6:6" x14ac:dyDescent="0.3">
      <c r="F7268" s="14"/>
    </row>
    <row r="7269" spans="6:6" x14ac:dyDescent="0.3">
      <c r="F7269" s="14"/>
    </row>
    <row r="7270" spans="6:6" x14ac:dyDescent="0.3">
      <c r="F7270" s="14"/>
    </row>
    <row r="7271" spans="6:6" x14ac:dyDescent="0.3">
      <c r="F7271" s="14"/>
    </row>
    <row r="7272" spans="6:6" x14ac:dyDescent="0.3">
      <c r="F7272" s="14"/>
    </row>
    <row r="7273" spans="6:6" x14ac:dyDescent="0.3">
      <c r="F7273" s="14"/>
    </row>
    <row r="7274" spans="6:6" x14ac:dyDescent="0.3">
      <c r="F7274" s="14"/>
    </row>
    <row r="7275" spans="6:6" x14ac:dyDescent="0.3">
      <c r="F7275" s="14"/>
    </row>
    <row r="7276" spans="6:6" x14ac:dyDescent="0.3">
      <c r="F7276" s="14"/>
    </row>
    <row r="7277" spans="6:6" x14ac:dyDescent="0.3">
      <c r="F7277" s="14"/>
    </row>
    <row r="7278" spans="6:6" x14ac:dyDescent="0.3">
      <c r="F7278" s="14"/>
    </row>
    <row r="7279" spans="6:6" x14ac:dyDescent="0.3">
      <c r="F7279" s="14"/>
    </row>
    <row r="7280" spans="6:6" x14ac:dyDescent="0.3">
      <c r="F7280" s="14"/>
    </row>
    <row r="7281" spans="6:6" x14ac:dyDescent="0.3">
      <c r="F7281" s="14"/>
    </row>
    <row r="7282" spans="6:6" x14ac:dyDescent="0.3">
      <c r="F7282" s="14"/>
    </row>
    <row r="7283" spans="6:6" x14ac:dyDescent="0.3">
      <c r="F7283" s="14"/>
    </row>
    <row r="7284" spans="6:6" x14ac:dyDescent="0.3">
      <c r="F7284" s="14"/>
    </row>
    <row r="7285" spans="6:6" x14ac:dyDescent="0.3">
      <c r="F7285" s="14"/>
    </row>
    <row r="7286" spans="6:6" x14ac:dyDescent="0.3">
      <c r="F7286" s="14"/>
    </row>
    <row r="7287" spans="6:6" x14ac:dyDescent="0.3">
      <c r="F7287" s="14"/>
    </row>
    <row r="7288" spans="6:6" x14ac:dyDescent="0.3">
      <c r="F7288" s="14"/>
    </row>
    <row r="7289" spans="6:6" x14ac:dyDescent="0.3">
      <c r="F7289" s="14"/>
    </row>
    <row r="7290" spans="6:6" x14ac:dyDescent="0.3">
      <c r="F7290" s="14"/>
    </row>
    <row r="7291" spans="6:6" x14ac:dyDescent="0.3">
      <c r="F7291" s="14"/>
    </row>
    <row r="7292" spans="6:6" x14ac:dyDescent="0.3">
      <c r="F7292" s="14"/>
    </row>
    <row r="7293" spans="6:6" x14ac:dyDescent="0.3">
      <c r="F7293" s="14"/>
    </row>
    <row r="7294" spans="6:6" x14ac:dyDescent="0.3">
      <c r="F7294" s="14"/>
    </row>
    <row r="7295" spans="6:6" x14ac:dyDescent="0.3">
      <c r="F7295" s="14"/>
    </row>
    <row r="7296" spans="6:6" x14ac:dyDescent="0.3">
      <c r="F7296" s="14"/>
    </row>
    <row r="7297" spans="6:6" x14ac:dyDescent="0.3">
      <c r="F7297" s="14"/>
    </row>
    <row r="7298" spans="6:6" x14ac:dyDescent="0.3">
      <c r="F7298" s="14"/>
    </row>
    <row r="7299" spans="6:6" x14ac:dyDescent="0.3">
      <c r="F7299" s="14"/>
    </row>
    <row r="7300" spans="6:6" x14ac:dyDescent="0.3">
      <c r="F7300" s="14"/>
    </row>
    <row r="7301" spans="6:6" x14ac:dyDescent="0.3">
      <c r="F7301" s="14"/>
    </row>
    <row r="7302" spans="6:6" x14ac:dyDescent="0.3">
      <c r="F7302" s="14"/>
    </row>
    <row r="7303" spans="6:6" x14ac:dyDescent="0.3">
      <c r="F7303" s="14"/>
    </row>
    <row r="7304" spans="6:6" x14ac:dyDescent="0.3">
      <c r="F7304" s="14"/>
    </row>
    <row r="7305" spans="6:6" x14ac:dyDescent="0.3">
      <c r="F7305" s="14"/>
    </row>
    <row r="7306" spans="6:6" x14ac:dyDescent="0.3">
      <c r="F7306" s="14"/>
    </row>
    <row r="7307" spans="6:6" x14ac:dyDescent="0.3">
      <c r="F7307" s="14"/>
    </row>
    <row r="7308" spans="6:6" x14ac:dyDescent="0.3">
      <c r="F7308" s="14"/>
    </row>
    <row r="7309" spans="6:6" x14ac:dyDescent="0.3">
      <c r="F7309" s="14"/>
    </row>
    <row r="7310" spans="6:6" x14ac:dyDescent="0.3">
      <c r="F7310" s="14"/>
    </row>
    <row r="7311" spans="6:6" x14ac:dyDescent="0.3">
      <c r="F7311" s="14"/>
    </row>
    <row r="7312" spans="6:6" x14ac:dyDescent="0.3">
      <c r="F7312" s="14"/>
    </row>
    <row r="7313" spans="6:6" x14ac:dyDescent="0.3">
      <c r="F7313" s="14"/>
    </row>
    <row r="7314" spans="6:6" x14ac:dyDescent="0.3">
      <c r="F7314" s="14"/>
    </row>
    <row r="7315" spans="6:6" x14ac:dyDescent="0.3">
      <c r="F7315" s="14"/>
    </row>
    <row r="7316" spans="6:6" x14ac:dyDescent="0.3">
      <c r="F7316" s="14"/>
    </row>
    <row r="7317" spans="6:6" x14ac:dyDescent="0.3">
      <c r="F7317" s="14"/>
    </row>
    <row r="7318" spans="6:6" x14ac:dyDescent="0.3">
      <c r="F7318" s="14"/>
    </row>
    <row r="7319" spans="6:6" x14ac:dyDescent="0.3">
      <c r="F7319" s="14"/>
    </row>
    <row r="7320" spans="6:6" x14ac:dyDescent="0.3">
      <c r="F7320" s="14"/>
    </row>
    <row r="7321" spans="6:6" x14ac:dyDescent="0.3">
      <c r="F7321" s="14"/>
    </row>
    <row r="7322" spans="6:6" x14ac:dyDescent="0.3">
      <c r="F7322" s="14"/>
    </row>
    <row r="7323" spans="6:6" x14ac:dyDescent="0.3">
      <c r="F7323" s="14"/>
    </row>
    <row r="7324" spans="6:6" x14ac:dyDescent="0.3">
      <c r="F7324" s="14"/>
    </row>
    <row r="7325" spans="6:6" x14ac:dyDescent="0.3">
      <c r="F7325" s="14"/>
    </row>
    <row r="7326" spans="6:6" x14ac:dyDescent="0.3">
      <c r="F7326" s="14"/>
    </row>
    <row r="7327" spans="6:6" x14ac:dyDescent="0.3">
      <c r="F7327" s="14"/>
    </row>
    <row r="7328" spans="6:6" x14ac:dyDescent="0.3">
      <c r="F7328" s="14"/>
    </row>
    <row r="7329" spans="6:6" x14ac:dyDescent="0.3">
      <c r="F7329" s="14"/>
    </row>
    <row r="7330" spans="6:6" x14ac:dyDescent="0.3">
      <c r="F7330" s="14"/>
    </row>
    <row r="7331" spans="6:6" x14ac:dyDescent="0.3">
      <c r="F7331" s="14"/>
    </row>
    <row r="7332" spans="6:6" x14ac:dyDescent="0.3">
      <c r="F7332" s="14"/>
    </row>
    <row r="7333" spans="6:6" x14ac:dyDescent="0.3">
      <c r="F7333" s="14"/>
    </row>
    <row r="7334" spans="6:6" x14ac:dyDescent="0.3">
      <c r="F7334" s="14"/>
    </row>
    <row r="7335" spans="6:6" x14ac:dyDescent="0.3">
      <c r="F7335" s="14"/>
    </row>
    <row r="7336" spans="6:6" x14ac:dyDescent="0.3">
      <c r="F7336" s="14"/>
    </row>
    <row r="7337" spans="6:6" x14ac:dyDescent="0.3">
      <c r="F7337" s="14"/>
    </row>
    <row r="7338" spans="6:6" x14ac:dyDescent="0.3">
      <c r="F7338" s="14"/>
    </row>
    <row r="7339" spans="6:6" x14ac:dyDescent="0.3">
      <c r="F7339" s="14"/>
    </row>
    <row r="7340" spans="6:6" x14ac:dyDescent="0.3">
      <c r="F7340" s="14"/>
    </row>
    <row r="7341" spans="6:6" x14ac:dyDescent="0.3">
      <c r="F7341" s="14"/>
    </row>
    <row r="7342" spans="6:6" x14ac:dyDescent="0.3">
      <c r="F7342" s="14"/>
    </row>
    <row r="7343" spans="6:6" x14ac:dyDescent="0.3">
      <c r="F7343" s="14"/>
    </row>
    <row r="7344" spans="6:6" x14ac:dyDescent="0.3">
      <c r="F7344" s="14"/>
    </row>
    <row r="7345" spans="6:6" x14ac:dyDescent="0.3">
      <c r="F7345" s="14"/>
    </row>
    <row r="7346" spans="6:6" x14ac:dyDescent="0.3">
      <c r="F7346" s="14"/>
    </row>
    <row r="7347" spans="6:6" x14ac:dyDescent="0.3">
      <c r="F7347" s="14"/>
    </row>
    <row r="7348" spans="6:6" x14ac:dyDescent="0.3">
      <c r="F7348" s="14"/>
    </row>
    <row r="7349" spans="6:6" x14ac:dyDescent="0.3">
      <c r="F7349" s="14"/>
    </row>
    <row r="7350" spans="6:6" x14ac:dyDescent="0.3">
      <c r="F7350" s="14"/>
    </row>
    <row r="7351" spans="6:6" x14ac:dyDescent="0.3">
      <c r="F7351" s="14"/>
    </row>
    <row r="7352" spans="6:6" x14ac:dyDescent="0.3">
      <c r="F7352" s="14"/>
    </row>
    <row r="7353" spans="6:6" x14ac:dyDescent="0.3">
      <c r="F7353" s="14"/>
    </row>
    <row r="7354" spans="6:6" x14ac:dyDescent="0.3">
      <c r="F7354" s="14"/>
    </row>
    <row r="7355" spans="6:6" x14ac:dyDescent="0.3">
      <c r="F7355" s="14"/>
    </row>
    <row r="7356" spans="6:6" x14ac:dyDescent="0.3">
      <c r="F7356" s="14"/>
    </row>
    <row r="7357" spans="6:6" x14ac:dyDescent="0.3">
      <c r="F7357" s="14"/>
    </row>
    <row r="7358" spans="6:6" x14ac:dyDescent="0.3">
      <c r="F7358" s="14"/>
    </row>
    <row r="7359" spans="6:6" x14ac:dyDescent="0.3">
      <c r="F7359" s="14"/>
    </row>
    <row r="7360" spans="6:6" x14ac:dyDescent="0.3">
      <c r="F7360" s="14"/>
    </row>
    <row r="7361" spans="6:6" x14ac:dyDescent="0.3">
      <c r="F7361" s="14"/>
    </row>
    <row r="7362" spans="6:6" x14ac:dyDescent="0.3">
      <c r="F7362" s="14"/>
    </row>
    <row r="7363" spans="6:6" x14ac:dyDescent="0.3">
      <c r="F7363" s="14"/>
    </row>
    <row r="7364" spans="6:6" x14ac:dyDescent="0.3">
      <c r="F7364" s="14"/>
    </row>
    <row r="7365" spans="6:6" x14ac:dyDescent="0.3">
      <c r="F7365" s="14"/>
    </row>
    <row r="7366" spans="6:6" x14ac:dyDescent="0.3">
      <c r="F7366" s="14"/>
    </row>
    <row r="7367" spans="6:6" x14ac:dyDescent="0.3">
      <c r="F7367" s="14"/>
    </row>
    <row r="7368" spans="6:6" x14ac:dyDescent="0.3">
      <c r="F7368" s="14"/>
    </row>
    <row r="7369" spans="6:6" x14ac:dyDescent="0.3">
      <c r="F7369" s="14"/>
    </row>
    <row r="7370" spans="6:6" x14ac:dyDescent="0.3">
      <c r="F7370" s="14"/>
    </row>
    <row r="7371" spans="6:6" x14ac:dyDescent="0.3">
      <c r="F7371" s="14"/>
    </row>
    <row r="7372" spans="6:6" x14ac:dyDescent="0.3">
      <c r="F7372" s="14"/>
    </row>
    <row r="7373" spans="6:6" x14ac:dyDescent="0.3">
      <c r="F7373" s="14"/>
    </row>
    <row r="7374" spans="6:6" x14ac:dyDescent="0.3">
      <c r="F7374" s="14"/>
    </row>
    <row r="7375" spans="6:6" x14ac:dyDescent="0.3">
      <c r="F7375" s="14"/>
    </row>
    <row r="7376" spans="6:6" x14ac:dyDescent="0.3">
      <c r="F7376" s="14"/>
    </row>
    <row r="7377" spans="6:6" x14ac:dyDescent="0.3">
      <c r="F7377" s="14"/>
    </row>
    <row r="7378" spans="6:6" x14ac:dyDescent="0.3">
      <c r="F7378" s="14"/>
    </row>
    <row r="7379" spans="6:6" x14ac:dyDescent="0.3">
      <c r="F7379" s="14"/>
    </row>
    <row r="7380" spans="6:6" x14ac:dyDescent="0.3">
      <c r="F7380" s="14"/>
    </row>
    <row r="7381" spans="6:6" x14ac:dyDescent="0.3">
      <c r="F7381" s="14"/>
    </row>
    <row r="7382" spans="6:6" x14ac:dyDescent="0.3">
      <c r="F7382" s="14"/>
    </row>
    <row r="7383" spans="6:6" x14ac:dyDescent="0.3">
      <c r="F7383" s="14"/>
    </row>
    <row r="7384" spans="6:6" x14ac:dyDescent="0.3">
      <c r="F7384" s="14"/>
    </row>
    <row r="7385" spans="6:6" x14ac:dyDescent="0.3">
      <c r="F7385" s="14"/>
    </row>
    <row r="7386" spans="6:6" x14ac:dyDescent="0.3">
      <c r="F7386" s="14"/>
    </row>
    <row r="7387" spans="6:6" x14ac:dyDescent="0.3">
      <c r="F7387" s="14"/>
    </row>
    <row r="7388" spans="6:6" x14ac:dyDescent="0.3">
      <c r="F7388" s="14"/>
    </row>
    <row r="7389" spans="6:6" x14ac:dyDescent="0.3">
      <c r="F7389" s="14"/>
    </row>
    <row r="7390" spans="6:6" x14ac:dyDescent="0.3">
      <c r="F7390" s="14"/>
    </row>
    <row r="7391" spans="6:6" x14ac:dyDescent="0.3">
      <c r="F7391" s="14"/>
    </row>
    <row r="7392" spans="6:6" x14ac:dyDescent="0.3">
      <c r="F7392" s="14"/>
    </row>
    <row r="7393" spans="6:6" x14ac:dyDescent="0.3">
      <c r="F7393" s="14"/>
    </row>
    <row r="7394" spans="6:6" x14ac:dyDescent="0.3">
      <c r="F7394" s="14"/>
    </row>
    <row r="7395" spans="6:6" x14ac:dyDescent="0.3">
      <c r="F7395" s="14"/>
    </row>
    <row r="7396" spans="6:6" x14ac:dyDescent="0.3">
      <c r="F7396" s="14"/>
    </row>
    <row r="7397" spans="6:6" x14ac:dyDescent="0.3">
      <c r="F7397" s="14"/>
    </row>
    <row r="7398" spans="6:6" x14ac:dyDescent="0.3">
      <c r="F7398" s="14"/>
    </row>
    <row r="7399" spans="6:6" x14ac:dyDescent="0.3">
      <c r="F7399" s="14"/>
    </row>
    <row r="7400" spans="6:6" x14ac:dyDescent="0.3">
      <c r="F7400" s="14"/>
    </row>
    <row r="7401" spans="6:6" x14ac:dyDescent="0.3">
      <c r="F7401" s="14"/>
    </row>
    <row r="7402" spans="6:6" x14ac:dyDescent="0.3">
      <c r="F7402" s="14"/>
    </row>
    <row r="7403" spans="6:6" x14ac:dyDescent="0.3">
      <c r="F7403" s="14"/>
    </row>
    <row r="7404" spans="6:6" x14ac:dyDescent="0.3">
      <c r="F7404" s="14"/>
    </row>
    <row r="7405" spans="6:6" x14ac:dyDescent="0.3">
      <c r="F7405" s="14"/>
    </row>
    <row r="7406" spans="6:6" x14ac:dyDescent="0.3">
      <c r="F7406" s="14"/>
    </row>
    <row r="7407" spans="6:6" x14ac:dyDescent="0.3">
      <c r="F7407" s="14"/>
    </row>
    <row r="7408" spans="6:6" x14ac:dyDescent="0.3">
      <c r="F7408" s="14"/>
    </row>
    <row r="7409" spans="6:6" x14ac:dyDescent="0.3">
      <c r="F7409" s="14"/>
    </row>
    <row r="7410" spans="6:6" x14ac:dyDescent="0.3">
      <c r="F7410" s="14"/>
    </row>
    <row r="7411" spans="6:6" x14ac:dyDescent="0.3">
      <c r="F7411" s="14"/>
    </row>
    <row r="7412" spans="6:6" x14ac:dyDescent="0.3">
      <c r="F7412" s="14"/>
    </row>
    <row r="7413" spans="6:6" x14ac:dyDescent="0.3">
      <c r="F7413" s="14"/>
    </row>
    <row r="7414" spans="6:6" x14ac:dyDescent="0.3">
      <c r="F7414" s="14"/>
    </row>
    <row r="7415" spans="6:6" x14ac:dyDescent="0.3">
      <c r="F7415" s="14"/>
    </row>
    <row r="7416" spans="6:6" x14ac:dyDescent="0.3">
      <c r="F7416" s="14"/>
    </row>
    <row r="7417" spans="6:6" x14ac:dyDescent="0.3">
      <c r="F7417" s="14"/>
    </row>
    <row r="7418" spans="6:6" x14ac:dyDescent="0.3">
      <c r="F7418" s="14"/>
    </row>
    <row r="7419" spans="6:6" x14ac:dyDescent="0.3">
      <c r="F7419" s="14"/>
    </row>
    <row r="7420" spans="6:6" x14ac:dyDescent="0.3">
      <c r="F7420" s="14"/>
    </row>
    <row r="7421" spans="6:6" x14ac:dyDescent="0.3">
      <c r="F7421" s="14"/>
    </row>
    <row r="7422" spans="6:6" x14ac:dyDescent="0.3">
      <c r="F7422" s="14"/>
    </row>
    <row r="7423" spans="6:6" x14ac:dyDescent="0.3">
      <c r="F7423" s="14"/>
    </row>
    <row r="7424" spans="6:6" x14ac:dyDescent="0.3">
      <c r="F7424" s="14"/>
    </row>
    <row r="7425" spans="6:6" x14ac:dyDescent="0.3">
      <c r="F7425" s="14"/>
    </row>
    <row r="7426" spans="6:6" x14ac:dyDescent="0.3">
      <c r="F7426" s="14"/>
    </row>
    <row r="7427" spans="6:6" x14ac:dyDescent="0.3">
      <c r="F7427" s="14"/>
    </row>
    <row r="7428" spans="6:6" x14ac:dyDescent="0.3">
      <c r="F7428" s="14"/>
    </row>
    <row r="7429" spans="6:6" x14ac:dyDescent="0.3">
      <c r="F7429" s="14"/>
    </row>
    <row r="7430" spans="6:6" x14ac:dyDescent="0.3">
      <c r="F7430" s="14"/>
    </row>
    <row r="7431" spans="6:6" x14ac:dyDescent="0.3">
      <c r="F7431" s="14"/>
    </row>
    <row r="7432" spans="6:6" x14ac:dyDescent="0.3">
      <c r="F7432" s="14"/>
    </row>
    <row r="7433" spans="6:6" x14ac:dyDescent="0.3">
      <c r="F7433" s="14"/>
    </row>
    <row r="7434" spans="6:6" x14ac:dyDescent="0.3">
      <c r="F7434" s="14"/>
    </row>
    <row r="7435" spans="6:6" x14ac:dyDescent="0.3">
      <c r="F7435" s="14"/>
    </row>
    <row r="7436" spans="6:6" x14ac:dyDescent="0.3">
      <c r="F7436" s="14"/>
    </row>
    <row r="7437" spans="6:6" x14ac:dyDescent="0.3">
      <c r="F7437" s="14"/>
    </row>
    <row r="7438" spans="6:6" x14ac:dyDescent="0.3">
      <c r="F7438" s="14"/>
    </row>
    <row r="7439" spans="6:6" x14ac:dyDescent="0.3">
      <c r="F7439" s="14"/>
    </row>
    <row r="7440" spans="6:6" x14ac:dyDescent="0.3">
      <c r="F7440" s="14"/>
    </row>
    <row r="7441" spans="6:6" x14ac:dyDescent="0.3">
      <c r="F7441" s="14"/>
    </row>
    <row r="7442" spans="6:6" x14ac:dyDescent="0.3">
      <c r="F7442" s="14"/>
    </row>
    <row r="7443" spans="6:6" x14ac:dyDescent="0.3">
      <c r="F7443" s="14"/>
    </row>
    <row r="7444" spans="6:6" x14ac:dyDescent="0.3">
      <c r="F7444" s="14"/>
    </row>
    <row r="7445" spans="6:6" x14ac:dyDescent="0.3">
      <c r="F7445" s="14"/>
    </row>
    <row r="7446" spans="6:6" x14ac:dyDescent="0.3">
      <c r="F7446" s="14"/>
    </row>
    <row r="7447" spans="6:6" x14ac:dyDescent="0.3">
      <c r="F7447" s="14"/>
    </row>
    <row r="7448" spans="6:6" x14ac:dyDescent="0.3">
      <c r="F7448" s="14"/>
    </row>
    <row r="7449" spans="6:6" x14ac:dyDescent="0.3">
      <c r="F7449" s="14"/>
    </row>
    <row r="7450" spans="6:6" x14ac:dyDescent="0.3">
      <c r="F7450" s="14"/>
    </row>
    <row r="7451" spans="6:6" x14ac:dyDescent="0.3">
      <c r="F7451" s="14"/>
    </row>
    <row r="7452" spans="6:6" x14ac:dyDescent="0.3">
      <c r="F7452" s="14"/>
    </row>
    <row r="7453" spans="6:6" x14ac:dyDescent="0.3">
      <c r="F7453" s="14"/>
    </row>
    <row r="7454" spans="6:6" x14ac:dyDescent="0.3">
      <c r="F7454" s="14"/>
    </row>
    <row r="7455" spans="6:6" x14ac:dyDescent="0.3">
      <c r="F7455" s="14"/>
    </row>
    <row r="7456" spans="6:6" x14ac:dyDescent="0.3">
      <c r="F7456" s="14"/>
    </row>
    <row r="7457" spans="6:6" x14ac:dyDescent="0.3">
      <c r="F7457" s="14"/>
    </row>
    <row r="7458" spans="6:6" x14ac:dyDescent="0.3">
      <c r="F7458" s="14"/>
    </row>
    <row r="7459" spans="6:6" x14ac:dyDescent="0.3">
      <c r="F7459" s="14"/>
    </row>
    <row r="7460" spans="6:6" x14ac:dyDescent="0.3">
      <c r="F7460" s="14"/>
    </row>
    <row r="7461" spans="6:6" x14ac:dyDescent="0.3">
      <c r="F7461" s="14"/>
    </row>
    <row r="7462" spans="6:6" x14ac:dyDescent="0.3">
      <c r="F7462" s="14"/>
    </row>
    <row r="7463" spans="6:6" x14ac:dyDescent="0.3">
      <c r="F7463" s="14"/>
    </row>
    <row r="7464" spans="6:6" x14ac:dyDescent="0.3">
      <c r="F7464" s="14"/>
    </row>
    <row r="7465" spans="6:6" x14ac:dyDescent="0.3">
      <c r="F7465" s="14"/>
    </row>
    <row r="7466" spans="6:6" x14ac:dyDescent="0.3">
      <c r="F7466" s="14"/>
    </row>
    <row r="7467" spans="6:6" x14ac:dyDescent="0.3">
      <c r="F7467" s="14"/>
    </row>
    <row r="7468" spans="6:6" x14ac:dyDescent="0.3">
      <c r="F7468" s="14"/>
    </row>
    <row r="7469" spans="6:6" x14ac:dyDescent="0.3">
      <c r="F7469" s="14"/>
    </row>
    <row r="7470" spans="6:6" x14ac:dyDescent="0.3">
      <c r="F7470" s="14"/>
    </row>
    <row r="7471" spans="6:6" x14ac:dyDescent="0.3">
      <c r="F7471" s="14"/>
    </row>
    <row r="7472" spans="6:6" x14ac:dyDescent="0.3">
      <c r="F7472" s="14"/>
    </row>
    <row r="7473" spans="6:6" x14ac:dyDescent="0.3">
      <c r="F7473" s="14"/>
    </row>
    <row r="7474" spans="6:6" x14ac:dyDescent="0.3">
      <c r="F7474" s="14"/>
    </row>
    <row r="7475" spans="6:6" x14ac:dyDescent="0.3">
      <c r="F7475" s="14"/>
    </row>
    <row r="7476" spans="6:6" x14ac:dyDescent="0.3">
      <c r="F7476" s="14"/>
    </row>
    <row r="7477" spans="6:6" x14ac:dyDescent="0.3">
      <c r="F7477" s="14"/>
    </row>
    <row r="7478" spans="6:6" x14ac:dyDescent="0.3">
      <c r="F7478" s="14"/>
    </row>
    <row r="7479" spans="6:6" x14ac:dyDescent="0.3">
      <c r="F7479" s="14"/>
    </row>
    <row r="7480" spans="6:6" x14ac:dyDescent="0.3">
      <c r="F7480" s="14"/>
    </row>
    <row r="7481" spans="6:6" x14ac:dyDescent="0.3">
      <c r="F7481" s="14"/>
    </row>
    <row r="7482" spans="6:6" x14ac:dyDescent="0.3">
      <c r="F7482" s="14"/>
    </row>
    <row r="7483" spans="6:6" x14ac:dyDescent="0.3">
      <c r="F7483" s="14"/>
    </row>
    <row r="7484" spans="6:6" x14ac:dyDescent="0.3">
      <c r="F7484" s="14"/>
    </row>
    <row r="7485" spans="6:6" x14ac:dyDescent="0.3">
      <c r="F7485" s="14"/>
    </row>
    <row r="7486" spans="6:6" x14ac:dyDescent="0.3">
      <c r="F7486" s="14"/>
    </row>
    <row r="7487" spans="6:6" x14ac:dyDescent="0.3">
      <c r="F7487" s="14"/>
    </row>
    <row r="7488" spans="6:6" x14ac:dyDescent="0.3">
      <c r="F7488" s="14"/>
    </row>
    <row r="7489" spans="6:6" x14ac:dyDescent="0.3">
      <c r="F7489" s="14"/>
    </row>
    <row r="7490" spans="6:6" x14ac:dyDescent="0.3">
      <c r="F7490" s="14"/>
    </row>
    <row r="7491" spans="6:6" x14ac:dyDescent="0.3">
      <c r="F7491" s="14"/>
    </row>
    <row r="7492" spans="6:6" x14ac:dyDescent="0.3">
      <c r="F7492" s="14"/>
    </row>
    <row r="7493" spans="6:6" x14ac:dyDescent="0.3">
      <c r="F7493" s="14"/>
    </row>
    <row r="7494" spans="6:6" x14ac:dyDescent="0.3">
      <c r="F7494" s="14"/>
    </row>
    <row r="7495" spans="6:6" x14ac:dyDescent="0.3">
      <c r="F7495" s="14"/>
    </row>
    <row r="7496" spans="6:6" x14ac:dyDescent="0.3">
      <c r="F7496" s="14"/>
    </row>
    <row r="7497" spans="6:6" x14ac:dyDescent="0.3">
      <c r="F7497" s="14"/>
    </row>
    <row r="7498" spans="6:6" x14ac:dyDescent="0.3">
      <c r="F7498" s="14"/>
    </row>
    <row r="7499" spans="6:6" x14ac:dyDescent="0.3">
      <c r="F7499" s="14"/>
    </row>
    <row r="7500" spans="6:6" x14ac:dyDescent="0.3">
      <c r="F7500" s="14"/>
    </row>
    <row r="7501" spans="6:6" x14ac:dyDescent="0.3">
      <c r="F7501" s="14"/>
    </row>
    <row r="7502" spans="6:6" x14ac:dyDescent="0.3">
      <c r="F7502" s="14"/>
    </row>
    <row r="7503" spans="6:6" x14ac:dyDescent="0.3">
      <c r="F7503" s="14"/>
    </row>
    <row r="7504" spans="6:6" x14ac:dyDescent="0.3">
      <c r="F7504" s="14"/>
    </row>
    <row r="7505" spans="6:6" x14ac:dyDescent="0.3">
      <c r="F7505" s="14"/>
    </row>
    <row r="7506" spans="6:6" x14ac:dyDescent="0.3">
      <c r="F7506" s="14"/>
    </row>
    <row r="7507" spans="6:6" x14ac:dyDescent="0.3">
      <c r="F7507" s="14"/>
    </row>
    <row r="7508" spans="6:6" x14ac:dyDescent="0.3">
      <c r="F7508" s="14"/>
    </row>
    <row r="7509" spans="6:6" x14ac:dyDescent="0.3">
      <c r="F7509" s="14"/>
    </row>
    <row r="7510" spans="6:6" x14ac:dyDescent="0.3">
      <c r="F7510" s="14"/>
    </row>
    <row r="7511" spans="6:6" x14ac:dyDescent="0.3">
      <c r="F7511" s="14"/>
    </row>
    <row r="7512" spans="6:6" x14ac:dyDescent="0.3">
      <c r="F7512" s="14"/>
    </row>
    <row r="7513" spans="6:6" x14ac:dyDescent="0.3">
      <c r="F7513" s="14"/>
    </row>
    <row r="7514" spans="6:6" x14ac:dyDescent="0.3">
      <c r="F7514" s="14"/>
    </row>
    <row r="7515" spans="6:6" x14ac:dyDescent="0.3">
      <c r="F7515" s="14"/>
    </row>
    <row r="7516" spans="6:6" x14ac:dyDescent="0.3">
      <c r="F7516" s="14"/>
    </row>
    <row r="7517" spans="6:6" x14ac:dyDescent="0.3">
      <c r="F7517" s="14"/>
    </row>
    <row r="7518" spans="6:6" x14ac:dyDescent="0.3">
      <c r="F7518" s="14"/>
    </row>
    <row r="7519" spans="6:6" x14ac:dyDescent="0.3">
      <c r="F7519" s="14"/>
    </row>
    <row r="7520" spans="6:6" x14ac:dyDescent="0.3">
      <c r="F7520" s="14"/>
    </row>
    <row r="7521" spans="6:6" x14ac:dyDescent="0.3">
      <c r="F7521" s="14"/>
    </row>
    <row r="7522" spans="6:6" x14ac:dyDescent="0.3">
      <c r="F7522" s="14"/>
    </row>
    <row r="7523" spans="6:6" x14ac:dyDescent="0.3">
      <c r="F7523" s="14"/>
    </row>
    <row r="7524" spans="6:6" x14ac:dyDescent="0.3">
      <c r="F7524" s="14"/>
    </row>
    <row r="7525" spans="6:6" x14ac:dyDescent="0.3">
      <c r="F7525" s="14"/>
    </row>
    <row r="7526" spans="6:6" x14ac:dyDescent="0.3">
      <c r="F7526" s="14"/>
    </row>
    <row r="7527" spans="6:6" x14ac:dyDescent="0.3">
      <c r="F7527" s="14"/>
    </row>
    <row r="7528" spans="6:6" x14ac:dyDescent="0.3">
      <c r="F7528" s="14"/>
    </row>
    <row r="7529" spans="6:6" x14ac:dyDescent="0.3">
      <c r="F7529" s="14"/>
    </row>
    <row r="7530" spans="6:6" x14ac:dyDescent="0.3">
      <c r="F7530" s="14"/>
    </row>
    <row r="7531" spans="6:6" x14ac:dyDescent="0.3">
      <c r="F7531" s="14"/>
    </row>
    <row r="7532" spans="6:6" x14ac:dyDescent="0.3">
      <c r="F7532" s="14"/>
    </row>
    <row r="7533" spans="6:6" x14ac:dyDescent="0.3">
      <c r="F7533" s="14"/>
    </row>
    <row r="7534" spans="6:6" x14ac:dyDescent="0.3">
      <c r="F7534" s="14"/>
    </row>
    <row r="7535" spans="6:6" x14ac:dyDescent="0.3">
      <c r="F7535" s="14"/>
    </row>
    <row r="7536" spans="6:6" x14ac:dyDescent="0.3">
      <c r="F7536" s="14"/>
    </row>
    <row r="7537" spans="6:6" x14ac:dyDescent="0.3">
      <c r="F7537" s="14"/>
    </row>
    <row r="7538" spans="6:6" x14ac:dyDescent="0.3">
      <c r="F7538" s="14"/>
    </row>
    <row r="7539" spans="6:6" x14ac:dyDescent="0.3">
      <c r="F7539" s="14"/>
    </row>
    <row r="7540" spans="6:6" x14ac:dyDescent="0.3">
      <c r="F7540" s="14"/>
    </row>
    <row r="7541" spans="6:6" x14ac:dyDescent="0.3">
      <c r="F7541" s="14"/>
    </row>
    <row r="7542" spans="6:6" x14ac:dyDescent="0.3">
      <c r="F7542" s="14"/>
    </row>
    <row r="7543" spans="6:6" x14ac:dyDescent="0.3">
      <c r="F7543" s="14"/>
    </row>
    <row r="7544" spans="6:6" x14ac:dyDescent="0.3">
      <c r="F7544" s="14"/>
    </row>
    <row r="7545" spans="6:6" x14ac:dyDescent="0.3">
      <c r="F7545" s="14"/>
    </row>
    <row r="7546" spans="6:6" x14ac:dyDescent="0.3">
      <c r="F7546" s="14"/>
    </row>
    <row r="7547" spans="6:6" x14ac:dyDescent="0.3">
      <c r="F7547" s="14"/>
    </row>
    <row r="7548" spans="6:6" x14ac:dyDescent="0.3">
      <c r="F7548" s="14"/>
    </row>
    <row r="7549" spans="6:6" x14ac:dyDescent="0.3">
      <c r="F7549" s="14"/>
    </row>
    <row r="7550" spans="6:6" x14ac:dyDescent="0.3">
      <c r="F7550" s="14"/>
    </row>
    <row r="7551" spans="6:6" x14ac:dyDescent="0.3">
      <c r="F7551" s="14"/>
    </row>
    <row r="7552" spans="6:6" x14ac:dyDescent="0.3">
      <c r="F7552" s="14"/>
    </row>
    <row r="7553" spans="6:6" x14ac:dyDescent="0.3">
      <c r="F7553" s="14"/>
    </row>
    <row r="7554" spans="6:6" x14ac:dyDescent="0.3">
      <c r="F7554" s="14"/>
    </row>
    <row r="7555" spans="6:6" x14ac:dyDescent="0.3">
      <c r="F7555" s="14"/>
    </row>
    <row r="7556" spans="6:6" x14ac:dyDescent="0.3">
      <c r="F7556" s="14"/>
    </row>
    <row r="7557" spans="6:6" x14ac:dyDescent="0.3">
      <c r="F7557" s="14"/>
    </row>
    <row r="7558" spans="6:6" x14ac:dyDescent="0.3">
      <c r="F7558" s="14"/>
    </row>
    <row r="7559" spans="6:6" x14ac:dyDescent="0.3">
      <c r="F7559" s="14"/>
    </row>
    <row r="7560" spans="6:6" x14ac:dyDescent="0.3">
      <c r="F7560" s="14"/>
    </row>
    <row r="7561" spans="6:6" x14ac:dyDescent="0.3">
      <c r="F7561" s="14"/>
    </row>
    <row r="7562" spans="6:6" x14ac:dyDescent="0.3">
      <c r="F7562" s="14"/>
    </row>
    <row r="7563" spans="6:6" x14ac:dyDescent="0.3">
      <c r="F7563" s="14"/>
    </row>
    <row r="7564" spans="6:6" x14ac:dyDescent="0.3">
      <c r="F7564" s="14"/>
    </row>
    <row r="7565" spans="6:6" x14ac:dyDescent="0.3">
      <c r="F7565" s="14"/>
    </row>
    <row r="7566" spans="6:6" x14ac:dyDescent="0.3">
      <c r="F7566" s="14"/>
    </row>
    <row r="7567" spans="6:6" x14ac:dyDescent="0.3">
      <c r="F7567" s="14"/>
    </row>
    <row r="7568" spans="6:6" x14ac:dyDescent="0.3">
      <c r="F7568" s="14"/>
    </row>
    <row r="7569" spans="6:6" x14ac:dyDescent="0.3">
      <c r="F7569" s="14"/>
    </row>
    <row r="7570" spans="6:6" x14ac:dyDescent="0.3">
      <c r="F7570" s="14"/>
    </row>
    <row r="7571" spans="6:6" x14ac:dyDescent="0.3">
      <c r="F7571" s="14"/>
    </row>
    <row r="7572" spans="6:6" x14ac:dyDescent="0.3">
      <c r="F7572" s="14"/>
    </row>
    <row r="7573" spans="6:6" x14ac:dyDescent="0.3">
      <c r="F7573" s="14"/>
    </row>
    <row r="7574" spans="6:6" x14ac:dyDescent="0.3">
      <c r="F7574" s="14"/>
    </row>
    <row r="7575" spans="6:6" x14ac:dyDescent="0.3">
      <c r="F7575" s="14"/>
    </row>
    <row r="7576" spans="6:6" x14ac:dyDescent="0.3">
      <c r="F7576" s="14"/>
    </row>
    <row r="7577" spans="6:6" x14ac:dyDescent="0.3">
      <c r="F7577" s="14"/>
    </row>
    <row r="7578" spans="6:6" x14ac:dyDescent="0.3">
      <c r="F7578" s="14"/>
    </row>
    <row r="7579" spans="6:6" x14ac:dyDescent="0.3">
      <c r="F7579" s="14"/>
    </row>
    <row r="7580" spans="6:6" x14ac:dyDescent="0.3">
      <c r="F7580" s="14"/>
    </row>
    <row r="7581" spans="6:6" x14ac:dyDescent="0.3">
      <c r="F7581" s="14"/>
    </row>
    <row r="7582" spans="6:6" x14ac:dyDescent="0.3">
      <c r="F7582" s="14"/>
    </row>
    <row r="7583" spans="6:6" x14ac:dyDescent="0.3">
      <c r="F7583" s="14"/>
    </row>
    <row r="7584" spans="6:6" x14ac:dyDescent="0.3">
      <c r="F7584" s="14"/>
    </row>
    <row r="7585" spans="6:6" x14ac:dyDescent="0.3">
      <c r="F7585" s="14"/>
    </row>
    <row r="7586" spans="6:6" x14ac:dyDescent="0.3">
      <c r="F7586" s="14"/>
    </row>
    <row r="7587" spans="6:6" x14ac:dyDescent="0.3">
      <c r="F7587" s="14"/>
    </row>
    <row r="7588" spans="6:6" x14ac:dyDescent="0.3">
      <c r="F7588" s="14"/>
    </row>
    <row r="7589" spans="6:6" x14ac:dyDescent="0.3">
      <c r="F7589" s="14"/>
    </row>
    <row r="7590" spans="6:6" x14ac:dyDescent="0.3">
      <c r="F7590" s="14"/>
    </row>
    <row r="7591" spans="6:6" x14ac:dyDescent="0.3">
      <c r="F7591" s="14"/>
    </row>
    <row r="7592" spans="6:6" x14ac:dyDescent="0.3">
      <c r="F7592" s="14"/>
    </row>
    <row r="7593" spans="6:6" x14ac:dyDescent="0.3">
      <c r="F7593" s="14"/>
    </row>
    <row r="7594" spans="6:6" x14ac:dyDescent="0.3">
      <c r="F7594" s="14"/>
    </row>
    <row r="7595" spans="6:6" x14ac:dyDescent="0.3">
      <c r="F7595" s="14"/>
    </row>
    <row r="7596" spans="6:6" x14ac:dyDescent="0.3">
      <c r="F7596" s="14"/>
    </row>
    <row r="7597" spans="6:6" x14ac:dyDescent="0.3">
      <c r="F7597" s="14"/>
    </row>
    <row r="7598" spans="6:6" x14ac:dyDescent="0.3">
      <c r="F7598" s="14"/>
    </row>
    <row r="7599" spans="6:6" x14ac:dyDescent="0.3">
      <c r="F7599" s="14"/>
    </row>
    <row r="7600" spans="6:6" x14ac:dyDescent="0.3">
      <c r="F7600" s="14"/>
    </row>
    <row r="7601" spans="6:6" x14ac:dyDescent="0.3">
      <c r="F7601" s="14"/>
    </row>
    <row r="7602" spans="6:6" x14ac:dyDescent="0.3">
      <c r="F7602" s="14"/>
    </row>
    <row r="7603" spans="6:6" x14ac:dyDescent="0.3">
      <c r="F7603" s="14"/>
    </row>
    <row r="7604" spans="6:6" x14ac:dyDescent="0.3">
      <c r="F7604" s="14"/>
    </row>
    <row r="7605" spans="6:6" x14ac:dyDescent="0.3">
      <c r="F7605" s="14"/>
    </row>
    <row r="7606" spans="6:6" x14ac:dyDescent="0.3">
      <c r="F7606" s="14"/>
    </row>
    <row r="7607" spans="6:6" x14ac:dyDescent="0.3">
      <c r="F7607" s="14"/>
    </row>
    <row r="7608" spans="6:6" x14ac:dyDescent="0.3">
      <c r="F7608" s="14"/>
    </row>
    <row r="7609" spans="6:6" x14ac:dyDescent="0.3">
      <c r="F7609" s="14"/>
    </row>
    <row r="7610" spans="6:6" x14ac:dyDescent="0.3">
      <c r="F7610" s="14"/>
    </row>
    <row r="7611" spans="6:6" x14ac:dyDescent="0.3">
      <c r="F7611" s="14"/>
    </row>
    <row r="7612" spans="6:6" x14ac:dyDescent="0.3">
      <c r="F7612" s="14"/>
    </row>
    <row r="7613" spans="6:6" x14ac:dyDescent="0.3">
      <c r="F7613" s="14"/>
    </row>
    <row r="7614" spans="6:6" x14ac:dyDescent="0.3">
      <c r="F7614" s="14"/>
    </row>
    <row r="7615" spans="6:6" x14ac:dyDescent="0.3">
      <c r="F7615" s="14"/>
    </row>
    <row r="7616" spans="6:6" x14ac:dyDescent="0.3">
      <c r="F7616" s="14"/>
    </row>
    <row r="7617" spans="6:6" x14ac:dyDescent="0.3">
      <c r="F7617" s="14"/>
    </row>
    <row r="7618" spans="6:6" x14ac:dyDescent="0.3">
      <c r="F7618" s="14"/>
    </row>
    <row r="7619" spans="6:6" x14ac:dyDescent="0.3">
      <c r="F7619" s="14"/>
    </row>
    <row r="7620" spans="6:6" x14ac:dyDescent="0.3">
      <c r="F7620" s="14"/>
    </row>
    <row r="7621" spans="6:6" x14ac:dyDescent="0.3">
      <c r="F7621" s="14"/>
    </row>
    <row r="7622" spans="6:6" x14ac:dyDescent="0.3">
      <c r="F7622" s="14"/>
    </row>
    <row r="7623" spans="6:6" x14ac:dyDescent="0.3">
      <c r="F7623" s="14"/>
    </row>
    <row r="7624" spans="6:6" x14ac:dyDescent="0.3">
      <c r="F7624" s="14"/>
    </row>
    <row r="7625" spans="6:6" x14ac:dyDescent="0.3">
      <c r="F7625" s="14"/>
    </row>
    <row r="7626" spans="6:6" x14ac:dyDescent="0.3">
      <c r="F7626" s="14"/>
    </row>
    <row r="7627" spans="6:6" x14ac:dyDescent="0.3">
      <c r="F7627" s="14"/>
    </row>
    <row r="7628" spans="6:6" x14ac:dyDescent="0.3">
      <c r="F7628" s="14"/>
    </row>
    <row r="7629" spans="6:6" x14ac:dyDescent="0.3">
      <c r="F7629" s="14"/>
    </row>
    <row r="7630" spans="6:6" x14ac:dyDescent="0.3">
      <c r="F7630" s="14"/>
    </row>
    <row r="7631" spans="6:6" x14ac:dyDescent="0.3">
      <c r="F7631" s="14"/>
    </row>
    <row r="7632" spans="6:6" x14ac:dyDescent="0.3">
      <c r="F7632" s="14"/>
    </row>
    <row r="7633" spans="6:6" x14ac:dyDescent="0.3">
      <c r="F7633" s="14"/>
    </row>
    <row r="7634" spans="6:6" x14ac:dyDescent="0.3">
      <c r="F7634" s="14"/>
    </row>
    <row r="7635" spans="6:6" x14ac:dyDescent="0.3">
      <c r="F7635" s="14"/>
    </row>
    <row r="7636" spans="6:6" x14ac:dyDescent="0.3">
      <c r="F7636" s="14"/>
    </row>
    <row r="7637" spans="6:6" x14ac:dyDescent="0.3">
      <c r="F7637" s="14"/>
    </row>
    <row r="7638" spans="6:6" x14ac:dyDescent="0.3">
      <c r="F7638" s="14"/>
    </row>
    <row r="7639" spans="6:6" x14ac:dyDescent="0.3">
      <c r="F7639" s="14"/>
    </row>
    <row r="7640" spans="6:6" x14ac:dyDescent="0.3">
      <c r="F7640" s="14"/>
    </row>
    <row r="7641" spans="6:6" x14ac:dyDescent="0.3">
      <c r="F7641" s="14"/>
    </row>
    <row r="7642" spans="6:6" x14ac:dyDescent="0.3">
      <c r="F7642" s="14"/>
    </row>
    <row r="7643" spans="6:6" x14ac:dyDescent="0.3">
      <c r="F7643" s="14"/>
    </row>
    <row r="7644" spans="6:6" x14ac:dyDescent="0.3">
      <c r="F7644" s="14"/>
    </row>
    <row r="7645" spans="6:6" x14ac:dyDescent="0.3">
      <c r="F7645" s="14"/>
    </row>
    <row r="7646" spans="6:6" x14ac:dyDescent="0.3">
      <c r="F7646" s="14"/>
    </row>
    <row r="7647" spans="6:6" x14ac:dyDescent="0.3">
      <c r="F7647" s="14"/>
    </row>
    <row r="7648" spans="6:6" x14ac:dyDescent="0.3">
      <c r="F7648" s="14"/>
    </row>
    <row r="7649" spans="6:6" x14ac:dyDescent="0.3">
      <c r="F7649" s="14"/>
    </row>
    <row r="7650" spans="6:6" x14ac:dyDescent="0.3">
      <c r="F7650" s="14"/>
    </row>
    <row r="7651" spans="6:6" x14ac:dyDescent="0.3">
      <c r="F7651" s="14"/>
    </row>
    <row r="7652" spans="6:6" x14ac:dyDescent="0.3">
      <c r="F7652" s="14"/>
    </row>
    <row r="7653" spans="6:6" x14ac:dyDescent="0.3">
      <c r="F7653" s="14"/>
    </row>
    <row r="7654" spans="6:6" x14ac:dyDescent="0.3">
      <c r="F7654" s="14"/>
    </row>
    <row r="7655" spans="6:6" x14ac:dyDescent="0.3">
      <c r="F7655" s="14"/>
    </row>
    <row r="7656" spans="6:6" x14ac:dyDescent="0.3">
      <c r="F7656" s="14"/>
    </row>
    <row r="7657" spans="6:6" x14ac:dyDescent="0.3">
      <c r="F7657" s="14"/>
    </row>
    <row r="7658" spans="6:6" x14ac:dyDescent="0.3">
      <c r="F7658" s="14"/>
    </row>
    <row r="7659" spans="6:6" x14ac:dyDescent="0.3">
      <c r="F7659" s="14"/>
    </row>
    <row r="7660" spans="6:6" x14ac:dyDescent="0.3">
      <c r="F7660" s="14"/>
    </row>
    <row r="7661" spans="6:6" x14ac:dyDescent="0.3">
      <c r="F7661" s="14"/>
    </row>
    <row r="7662" spans="6:6" x14ac:dyDescent="0.3">
      <c r="F7662" s="14"/>
    </row>
    <row r="7663" spans="6:6" x14ac:dyDescent="0.3">
      <c r="F7663" s="14"/>
    </row>
    <row r="7664" spans="6:6" x14ac:dyDescent="0.3">
      <c r="F7664" s="14"/>
    </row>
    <row r="7665" spans="6:6" x14ac:dyDescent="0.3">
      <c r="F7665" s="14"/>
    </row>
    <row r="7666" spans="6:6" x14ac:dyDescent="0.3">
      <c r="F7666" s="14"/>
    </row>
    <row r="7667" spans="6:6" x14ac:dyDescent="0.3">
      <c r="F7667" s="14"/>
    </row>
    <row r="7668" spans="6:6" x14ac:dyDescent="0.3">
      <c r="F7668" s="14"/>
    </row>
    <row r="7669" spans="6:6" x14ac:dyDescent="0.3">
      <c r="F7669" s="14"/>
    </row>
    <row r="7670" spans="6:6" x14ac:dyDescent="0.3">
      <c r="F7670" s="14"/>
    </row>
    <row r="7671" spans="6:6" x14ac:dyDescent="0.3">
      <c r="F7671" s="14"/>
    </row>
    <row r="7672" spans="6:6" x14ac:dyDescent="0.3">
      <c r="F7672" s="14"/>
    </row>
    <row r="7673" spans="6:6" x14ac:dyDescent="0.3">
      <c r="F7673" s="14"/>
    </row>
    <row r="7674" spans="6:6" x14ac:dyDescent="0.3">
      <c r="F7674" s="14"/>
    </row>
    <row r="7675" spans="6:6" x14ac:dyDescent="0.3">
      <c r="F7675" s="14"/>
    </row>
    <row r="7676" spans="6:6" x14ac:dyDescent="0.3">
      <c r="F7676" s="14"/>
    </row>
    <row r="7677" spans="6:6" x14ac:dyDescent="0.3">
      <c r="F7677" s="14"/>
    </row>
    <row r="7678" spans="6:6" x14ac:dyDescent="0.3">
      <c r="F7678" s="14"/>
    </row>
    <row r="7679" spans="6:6" x14ac:dyDescent="0.3">
      <c r="F7679" s="14"/>
    </row>
    <row r="7680" spans="6:6" x14ac:dyDescent="0.3">
      <c r="F7680" s="14"/>
    </row>
    <row r="7681" spans="6:6" x14ac:dyDescent="0.3">
      <c r="F7681" s="14"/>
    </row>
    <row r="7682" spans="6:6" x14ac:dyDescent="0.3">
      <c r="F7682" s="14"/>
    </row>
    <row r="7683" spans="6:6" x14ac:dyDescent="0.3">
      <c r="F7683" s="14"/>
    </row>
    <row r="7684" spans="6:6" x14ac:dyDescent="0.3">
      <c r="F7684" s="14"/>
    </row>
    <row r="7685" spans="6:6" x14ac:dyDescent="0.3">
      <c r="F7685" s="14"/>
    </row>
    <row r="7686" spans="6:6" x14ac:dyDescent="0.3">
      <c r="F7686" s="14"/>
    </row>
    <row r="7687" spans="6:6" x14ac:dyDescent="0.3">
      <c r="F7687" s="14"/>
    </row>
    <row r="7688" spans="6:6" x14ac:dyDescent="0.3">
      <c r="F7688" s="14"/>
    </row>
    <row r="7689" spans="6:6" x14ac:dyDescent="0.3">
      <c r="F7689" s="14"/>
    </row>
    <row r="7690" spans="6:6" x14ac:dyDescent="0.3">
      <c r="F7690" s="14"/>
    </row>
    <row r="7691" spans="6:6" x14ac:dyDescent="0.3">
      <c r="F7691" s="14"/>
    </row>
    <row r="7692" spans="6:6" x14ac:dyDescent="0.3">
      <c r="F7692" s="14"/>
    </row>
    <row r="7693" spans="6:6" x14ac:dyDescent="0.3">
      <c r="F7693" s="14"/>
    </row>
    <row r="7694" spans="6:6" x14ac:dyDescent="0.3">
      <c r="F7694" s="14"/>
    </row>
    <row r="7695" spans="6:6" x14ac:dyDescent="0.3">
      <c r="F7695" s="14"/>
    </row>
    <row r="7696" spans="6:6" x14ac:dyDescent="0.3">
      <c r="F7696" s="14"/>
    </row>
    <row r="7697" spans="6:6" x14ac:dyDescent="0.3">
      <c r="F7697" s="14"/>
    </row>
    <row r="7698" spans="6:6" x14ac:dyDescent="0.3">
      <c r="F7698" s="14"/>
    </row>
    <row r="7699" spans="6:6" x14ac:dyDescent="0.3">
      <c r="F7699" s="14"/>
    </row>
    <row r="7700" spans="6:6" x14ac:dyDescent="0.3">
      <c r="F7700" s="14"/>
    </row>
    <row r="7701" spans="6:6" x14ac:dyDescent="0.3">
      <c r="F7701" s="14"/>
    </row>
    <row r="7702" spans="6:6" x14ac:dyDescent="0.3">
      <c r="F7702" s="14"/>
    </row>
    <row r="7703" spans="6:6" x14ac:dyDescent="0.3">
      <c r="F7703" s="14"/>
    </row>
    <row r="7704" spans="6:6" x14ac:dyDescent="0.3">
      <c r="F7704" s="14"/>
    </row>
    <row r="7705" spans="6:6" x14ac:dyDescent="0.3">
      <c r="F7705" s="14"/>
    </row>
    <row r="7706" spans="6:6" x14ac:dyDescent="0.3">
      <c r="F7706" s="14"/>
    </row>
    <row r="7707" spans="6:6" x14ac:dyDescent="0.3">
      <c r="F7707" s="14"/>
    </row>
    <row r="7708" spans="6:6" x14ac:dyDescent="0.3">
      <c r="F7708" s="14"/>
    </row>
    <row r="7709" spans="6:6" x14ac:dyDescent="0.3">
      <c r="F7709" s="14"/>
    </row>
    <row r="7710" spans="6:6" x14ac:dyDescent="0.3">
      <c r="F7710" s="14"/>
    </row>
    <row r="7711" spans="6:6" x14ac:dyDescent="0.3">
      <c r="F7711" s="14"/>
    </row>
    <row r="7712" spans="6:6" x14ac:dyDescent="0.3">
      <c r="F7712" s="14"/>
    </row>
    <row r="7713" spans="6:6" x14ac:dyDescent="0.3">
      <c r="F7713" s="14"/>
    </row>
    <row r="7714" spans="6:6" x14ac:dyDescent="0.3">
      <c r="F7714" s="14"/>
    </row>
    <row r="7715" spans="6:6" x14ac:dyDescent="0.3">
      <c r="F7715" s="14"/>
    </row>
    <row r="7716" spans="6:6" x14ac:dyDescent="0.3">
      <c r="F7716" s="14"/>
    </row>
    <row r="7717" spans="6:6" x14ac:dyDescent="0.3">
      <c r="F7717" s="14"/>
    </row>
    <row r="7718" spans="6:6" x14ac:dyDescent="0.3">
      <c r="F7718" s="14"/>
    </row>
    <row r="7719" spans="6:6" x14ac:dyDescent="0.3">
      <c r="F7719" s="14"/>
    </row>
    <row r="7720" spans="6:6" x14ac:dyDescent="0.3">
      <c r="F7720" s="14"/>
    </row>
    <row r="7721" spans="6:6" x14ac:dyDescent="0.3">
      <c r="F7721" s="14"/>
    </row>
    <row r="7722" spans="6:6" x14ac:dyDescent="0.3">
      <c r="F7722" s="14"/>
    </row>
    <row r="7723" spans="6:6" x14ac:dyDescent="0.3">
      <c r="F7723" s="14"/>
    </row>
    <row r="7724" spans="6:6" x14ac:dyDescent="0.3">
      <c r="F7724" s="14"/>
    </row>
    <row r="7725" spans="6:6" x14ac:dyDescent="0.3">
      <c r="F7725" s="14"/>
    </row>
    <row r="7726" spans="6:6" x14ac:dyDescent="0.3">
      <c r="F7726" s="14"/>
    </row>
    <row r="7727" spans="6:6" x14ac:dyDescent="0.3">
      <c r="F7727" s="14"/>
    </row>
    <row r="7728" spans="6:6" x14ac:dyDescent="0.3">
      <c r="F7728" s="14"/>
    </row>
    <row r="7729" spans="6:6" x14ac:dyDescent="0.3">
      <c r="F7729" s="14"/>
    </row>
    <row r="7730" spans="6:6" x14ac:dyDescent="0.3">
      <c r="F7730" s="14"/>
    </row>
    <row r="7731" spans="6:6" x14ac:dyDescent="0.3">
      <c r="F7731" s="14"/>
    </row>
    <row r="7732" spans="6:6" x14ac:dyDescent="0.3">
      <c r="F7732" s="14"/>
    </row>
    <row r="7733" spans="6:6" x14ac:dyDescent="0.3">
      <c r="F7733" s="14"/>
    </row>
    <row r="7734" spans="6:6" x14ac:dyDescent="0.3">
      <c r="F7734" s="14"/>
    </row>
    <row r="7735" spans="6:6" x14ac:dyDescent="0.3">
      <c r="F7735" s="14"/>
    </row>
    <row r="7736" spans="6:6" x14ac:dyDescent="0.3">
      <c r="F7736" s="14"/>
    </row>
    <row r="7737" spans="6:6" x14ac:dyDescent="0.3">
      <c r="F7737" s="14"/>
    </row>
    <row r="7738" spans="6:6" x14ac:dyDescent="0.3">
      <c r="F7738" s="14"/>
    </row>
    <row r="7739" spans="6:6" x14ac:dyDescent="0.3">
      <c r="F7739" s="14"/>
    </row>
    <row r="7740" spans="6:6" x14ac:dyDescent="0.3">
      <c r="F7740" s="14"/>
    </row>
    <row r="7741" spans="6:6" x14ac:dyDescent="0.3">
      <c r="F7741" s="14"/>
    </row>
    <row r="7742" spans="6:6" x14ac:dyDescent="0.3">
      <c r="F7742" s="14"/>
    </row>
    <row r="7743" spans="6:6" x14ac:dyDescent="0.3">
      <c r="F7743" s="14"/>
    </row>
    <row r="7744" spans="6:6" x14ac:dyDescent="0.3">
      <c r="F7744" s="14"/>
    </row>
    <row r="7745" spans="6:6" x14ac:dyDescent="0.3">
      <c r="F7745" s="14"/>
    </row>
    <row r="7746" spans="6:6" x14ac:dyDescent="0.3">
      <c r="F7746" s="14"/>
    </row>
    <row r="7747" spans="6:6" x14ac:dyDescent="0.3">
      <c r="F7747" s="14"/>
    </row>
    <row r="7748" spans="6:6" x14ac:dyDescent="0.3">
      <c r="F7748" s="14"/>
    </row>
    <row r="7749" spans="6:6" x14ac:dyDescent="0.3">
      <c r="F7749" s="14"/>
    </row>
    <row r="7750" spans="6:6" x14ac:dyDescent="0.3">
      <c r="F7750" s="14"/>
    </row>
    <row r="7751" spans="6:6" x14ac:dyDescent="0.3">
      <c r="F7751" s="14"/>
    </row>
    <row r="7752" spans="6:6" x14ac:dyDescent="0.3">
      <c r="F7752" s="14"/>
    </row>
    <row r="7753" spans="6:6" x14ac:dyDescent="0.3">
      <c r="F7753" s="14"/>
    </row>
    <row r="7754" spans="6:6" x14ac:dyDescent="0.3">
      <c r="F7754" s="14"/>
    </row>
    <row r="7755" spans="6:6" x14ac:dyDescent="0.3">
      <c r="F7755" s="14"/>
    </row>
    <row r="7756" spans="6:6" x14ac:dyDescent="0.3">
      <c r="F7756" s="14"/>
    </row>
    <row r="7757" spans="6:6" x14ac:dyDescent="0.3">
      <c r="F7757" s="14"/>
    </row>
    <row r="7758" spans="6:6" x14ac:dyDescent="0.3">
      <c r="F7758" s="14"/>
    </row>
    <row r="7759" spans="6:6" x14ac:dyDescent="0.3">
      <c r="F7759" s="14"/>
    </row>
    <row r="7760" spans="6:6" x14ac:dyDescent="0.3">
      <c r="F7760" s="14"/>
    </row>
    <row r="7761" spans="6:6" x14ac:dyDescent="0.3">
      <c r="F7761" s="14"/>
    </row>
    <row r="7762" spans="6:6" x14ac:dyDescent="0.3">
      <c r="F7762" s="14"/>
    </row>
    <row r="7763" spans="6:6" x14ac:dyDescent="0.3">
      <c r="F7763" s="14"/>
    </row>
    <row r="7764" spans="6:6" x14ac:dyDescent="0.3">
      <c r="F7764" s="14"/>
    </row>
    <row r="7765" spans="6:6" x14ac:dyDescent="0.3">
      <c r="F7765" s="14"/>
    </row>
    <row r="7766" spans="6:6" x14ac:dyDescent="0.3">
      <c r="F7766" s="14"/>
    </row>
    <row r="7767" spans="6:6" x14ac:dyDescent="0.3">
      <c r="F7767" s="14"/>
    </row>
    <row r="7768" spans="6:6" x14ac:dyDescent="0.3">
      <c r="F7768" s="14"/>
    </row>
    <row r="7769" spans="6:6" x14ac:dyDescent="0.3">
      <c r="F7769" s="14"/>
    </row>
    <row r="7770" spans="6:6" x14ac:dyDescent="0.3">
      <c r="F7770" s="14"/>
    </row>
    <row r="7771" spans="6:6" x14ac:dyDescent="0.3">
      <c r="F7771" s="14"/>
    </row>
    <row r="7772" spans="6:6" x14ac:dyDescent="0.3">
      <c r="F7772" s="14"/>
    </row>
    <row r="7773" spans="6:6" x14ac:dyDescent="0.3">
      <c r="F7773" s="14"/>
    </row>
    <row r="7774" spans="6:6" x14ac:dyDescent="0.3">
      <c r="F7774" s="14"/>
    </row>
    <row r="7775" spans="6:6" x14ac:dyDescent="0.3">
      <c r="F7775" s="14"/>
    </row>
    <row r="7776" spans="6:6" x14ac:dyDescent="0.3">
      <c r="F7776" s="14"/>
    </row>
    <row r="7777" spans="6:6" x14ac:dyDescent="0.3">
      <c r="F7777" s="14"/>
    </row>
    <row r="7778" spans="6:6" x14ac:dyDescent="0.3">
      <c r="F7778" s="14"/>
    </row>
    <row r="7779" spans="6:6" x14ac:dyDescent="0.3">
      <c r="F7779" s="14"/>
    </row>
    <row r="7780" spans="6:6" x14ac:dyDescent="0.3">
      <c r="F7780" s="14"/>
    </row>
    <row r="7781" spans="6:6" x14ac:dyDescent="0.3">
      <c r="F7781" s="14"/>
    </row>
    <row r="7782" spans="6:6" x14ac:dyDescent="0.3">
      <c r="F7782" s="14"/>
    </row>
    <row r="7783" spans="6:6" x14ac:dyDescent="0.3">
      <c r="F7783" s="14"/>
    </row>
    <row r="7784" spans="6:6" x14ac:dyDescent="0.3">
      <c r="F7784" s="14"/>
    </row>
    <row r="7785" spans="6:6" x14ac:dyDescent="0.3">
      <c r="F7785" s="14"/>
    </row>
    <row r="7786" spans="6:6" x14ac:dyDescent="0.3">
      <c r="F7786" s="14"/>
    </row>
    <row r="7787" spans="6:6" x14ac:dyDescent="0.3">
      <c r="F7787" s="14"/>
    </row>
    <row r="7788" spans="6:6" x14ac:dyDescent="0.3">
      <c r="F7788" s="14"/>
    </row>
    <row r="7789" spans="6:6" x14ac:dyDescent="0.3">
      <c r="F7789" s="14"/>
    </row>
    <row r="7790" spans="6:6" x14ac:dyDescent="0.3">
      <c r="F7790" s="14"/>
    </row>
    <row r="7791" spans="6:6" x14ac:dyDescent="0.3">
      <c r="F7791" s="14"/>
    </row>
    <row r="7792" spans="6:6" x14ac:dyDescent="0.3">
      <c r="F7792" s="14"/>
    </row>
    <row r="7793" spans="6:6" x14ac:dyDescent="0.3">
      <c r="F7793" s="14"/>
    </row>
    <row r="7794" spans="6:6" x14ac:dyDescent="0.3">
      <c r="F7794" s="14"/>
    </row>
    <row r="7795" spans="6:6" x14ac:dyDescent="0.3">
      <c r="F7795" s="14"/>
    </row>
    <row r="7796" spans="6:6" x14ac:dyDescent="0.3">
      <c r="F7796" s="14"/>
    </row>
    <row r="7797" spans="6:6" x14ac:dyDescent="0.3">
      <c r="F7797" s="14"/>
    </row>
    <row r="7798" spans="6:6" x14ac:dyDescent="0.3">
      <c r="F7798" s="14"/>
    </row>
    <row r="7799" spans="6:6" x14ac:dyDescent="0.3">
      <c r="F7799" s="14"/>
    </row>
    <row r="7800" spans="6:6" x14ac:dyDescent="0.3">
      <c r="F7800" s="14"/>
    </row>
    <row r="7801" spans="6:6" x14ac:dyDescent="0.3">
      <c r="F7801" s="14"/>
    </row>
    <row r="7802" spans="6:6" x14ac:dyDescent="0.3">
      <c r="F7802" s="14"/>
    </row>
    <row r="7803" spans="6:6" x14ac:dyDescent="0.3">
      <c r="F7803" s="14"/>
    </row>
    <row r="7804" spans="6:6" x14ac:dyDescent="0.3">
      <c r="F7804" s="14"/>
    </row>
    <row r="7805" spans="6:6" x14ac:dyDescent="0.3">
      <c r="F7805" s="14"/>
    </row>
    <row r="7806" spans="6:6" x14ac:dyDescent="0.3">
      <c r="F7806" s="14"/>
    </row>
    <row r="7807" spans="6:6" x14ac:dyDescent="0.3">
      <c r="F7807" s="14"/>
    </row>
    <row r="7808" spans="6:6" x14ac:dyDescent="0.3">
      <c r="F7808" s="14"/>
    </row>
    <row r="7809" spans="6:6" x14ac:dyDescent="0.3">
      <c r="F7809" s="14"/>
    </row>
    <row r="7810" spans="6:6" x14ac:dyDescent="0.3">
      <c r="F7810" s="14"/>
    </row>
    <row r="7811" spans="6:6" x14ac:dyDescent="0.3">
      <c r="F7811" s="14"/>
    </row>
    <row r="7812" spans="6:6" x14ac:dyDescent="0.3">
      <c r="F7812" s="14"/>
    </row>
    <row r="7813" spans="6:6" x14ac:dyDescent="0.3">
      <c r="F7813" s="14"/>
    </row>
    <row r="7814" spans="6:6" x14ac:dyDescent="0.3">
      <c r="F7814" s="14"/>
    </row>
    <row r="7815" spans="6:6" x14ac:dyDescent="0.3">
      <c r="F7815" s="14"/>
    </row>
    <row r="7816" spans="6:6" x14ac:dyDescent="0.3">
      <c r="F7816" s="14"/>
    </row>
    <row r="7817" spans="6:6" x14ac:dyDescent="0.3">
      <c r="F7817" s="14"/>
    </row>
    <row r="7818" spans="6:6" x14ac:dyDescent="0.3">
      <c r="F7818" s="14"/>
    </row>
    <row r="7819" spans="6:6" x14ac:dyDescent="0.3">
      <c r="F7819" s="14"/>
    </row>
    <row r="7820" spans="6:6" x14ac:dyDescent="0.3">
      <c r="F7820" s="14"/>
    </row>
    <row r="7821" spans="6:6" x14ac:dyDescent="0.3">
      <c r="F7821" s="14"/>
    </row>
    <row r="7822" spans="6:6" x14ac:dyDescent="0.3">
      <c r="F7822" s="14"/>
    </row>
    <row r="7823" spans="6:6" x14ac:dyDescent="0.3">
      <c r="F7823" s="14"/>
    </row>
    <row r="7824" spans="6:6" x14ac:dyDescent="0.3">
      <c r="F7824" s="14"/>
    </row>
    <row r="7825" spans="6:6" x14ac:dyDescent="0.3">
      <c r="F7825" s="14"/>
    </row>
    <row r="7826" spans="6:6" x14ac:dyDescent="0.3">
      <c r="F7826" s="14"/>
    </row>
    <row r="7827" spans="6:6" x14ac:dyDescent="0.3">
      <c r="F7827" s="14"/>
    </row>
    <row r="7828" spans="6:6" x14ac:dyDescent="0.3">
      <c r="F7828" s="14"/>
    </row>
    <row r="7829" spans="6:6" x14ac:dyDescent="0.3">
      <c r="F7829" s="14"/>
    </row>
    <row r="7830" spans="6:6" x14ac:dyDescent="0.3">
      <c r="F7830" s="14"/>
    </row>
    <row r="7831" spans="6:6" x14ac:dyDescent="0.3">
      <c r="F7831" s="14"/>
    </row>
    <row r="7832" spans="6:6" x14ac:dyDescent="0.3">
      <c r="F7832" s="14"/>
    </row>
    <row r="7833" spans="6:6" x14ac:dyDescent="0.3">
      <c r="F7833" s="14"/>
    </row>
    <row r="7834" spans="6:6" x14ac:dyDescent="0.3">
      <c r="F7834" s="14"/>
    </row>
    <row r="7835" spans="6:6" x14ac:dyDescent="0.3">
      <c r="F7835" s="14"/>
    </row>
    <row r="7836" spans="6:6" x14ac:dyDescent="0.3">
      <c r="F7836" s="14"/>
    </row>
    <row r="7837" spans="6:6" x14ac:dyDescent="0.3">
      <c r="F7837" s="14"/>
    </row>
    <row r="7838" spans="6:6" x14ac:dyDescent="0.3">
      <c r="F7838" s="14"/>
    </row>
    <row r="7839" spans="6:6" x14ac:dyDescent="0.3">
      <c r="F7839" s="14"/>
    </row>
    <row r="7840" spans="6:6" x14ac:dyDescent="0.3">
      <c r="F7840" s="14"/>
    </row>
    <row r="7841" spans="6:6" x14ac:dyDescent="0.3">
      <c r="F7841" s="14"/>
    </row>
    <row r="7842" spans="6:6" x14ac:dyDescent="0.3">
      <c r="F7842" s="14"/>
    </row>
    <row r="7843" spans="6:6" x14ac:dyDescent="0.3">
      <c r="F7843" s="14"/>
    </row>
    <row r="7844" spans="6:6" x14ac:dyDescent="0.3">
      <c r="F7844" s="14"/>
    </row>
    <row r="7845" spans="6:6" x14ac:dyDescent="0.3">
      <c r="F7845" s="14"/>
    </row>
    <row r="7846" spans="6:6" x14ac:dyDescent="0.3">
      <c r="F7846" s="14"/>
    </row>
    <row r="7847" spans="6:6" x14ac:dyDescent="0.3">
      <c r="F7847" s="14"/>
    </row>
    <row r="7848" spans="6:6" x14ac:dyDescent="0.3">
      <c r="F7848" s="14"/>
    </row>
    <row r="7849" spans="6:6" x14ac:dyDescent="0.3">
      <c r="F7849" s="14"/>
    </row>
    <row r="7850" spans="6:6" x14ac:dyDescent="0.3">
      <c r="F7850" s="14"/>
    </row>
    <row r="7851" spans="6:6" x14ac:dyDescent="0.3">
      <c r="F7851" s="14"/>
    </row>
    <row r="7852" spans="6:6" x14ac:dyDescent="0.3">
      <c r="F7852" s="14"/>
    </row>
    <row r="7853" spans="6:6" x14ac:dyDescent="0.3">
      <c r="F7853" s="14"/>
    </row>
    <row r="7854" spans="6:6" x14ac:dyDescent="0.3">
      <c r="F7854" s="14"/>
    </row>
    <row r="7855" spans="6:6" x14ac:dyDescent="0.3">
      <c r="F7855" s="14"/>
    </row>
    <row r="7856" spans="6:6" x14ac:dyDescent="0.3">
      <c r="F7856" s="14"/>
    </row>
    <row r="7857" spans="6:6" x14ac:dyDescent="0.3">
      <c r="F7857" s="14"/>
    </row>
    <row r="7858" spans="6:6" x14ac:dyDescent="0.3">
      <c r="F7858" s="14"/>
    </row>
    <row r="7859" spans="6:6" x14ac:dyDescent="0.3">
      <c r="F7859" s="14"/>
    </row>
    <row r="7860" spans="6:6" x14ac:dyDescent="0.3">
      <c r="F7860" s="14"/>
    </row>
    <row r="7861" spans="6:6" x14ac:dyDescent="0.3">
      <c r="F7861" s="14"/>
    </row>
    <row r="7862" spans="6:6" x14ac:dyDescent="0.3">
      <c r="F7862" s="14"/>
    </row>
    <row r="7863" spans="6:6" x14ac:dyDescent="0.3">
      <c r="F7863" s="14"/>
    </row>
    <row r="7864" spans="6:6" x14ac:dyDescent="0.3">
      <c r="F7864" s="14"/>
    </row>
    <row r="7865" spans="6:6" x14ac:dyDescent="0.3">
      <c r="F7865" s="14"/>
    </row>
    <row r="7866" spans="6:6" x14ac:dyDescent="0.3">
      <c r="F7866" s="14"/>
    </row>
    <row r="7867" spans="6:6" x14ac:dyDescent="0.3">
      <c r="F7867" s="14"/>
    </row>
    <row r="7868" spans="6:6" x14ac:dyDescent="0.3">
      <c r="F7868" s="14"/>
    </row>
    <row r="7869" spans="6:6" x14ac:dyDescent="0.3">
      <c r="F7869" s="14"/>
    </row>
    <row r="7870" spans="6:6" x14ac:dyDescent="0.3">
      <c r="F7870" s="14"/>
    </row>
    <row r="7871" spans="6:6" x14ac:dyDescent="0.3">
      <c r="F7871" s="14"/>
    </row>
    <row r="7872" spans="6:6" x14ac:dyDescent="0.3">
      <c r="F7872" s="14"/>
    </row>
    <row r="7873" spans="6:6" x14ac:dyDescent="0.3">
      <c r="F7873" s="14"/>
    </row>
    <row r="7874" spans="6:6" x14ac:dyDescent="0.3">
      <c r="F7874" s="14"/>
    </row>
    <row r="7875" spans="6:6" x14ac:dyDescent="0.3">
      <c r="F7875" s="14"/>
    </row>
    <row r="7876" spans="6:6" x14ac:dyDescent="0.3">
      <c r="F7876" s="14"/>
    </row>
    <row r="7877" spans="6:6" x14ac:dyDescent="0.3">
      <c r="F7877" s="14"/>
    </row>
    <row r="7878" spans="6:6" x14ac:dyDescent="0.3">
      <c r="F7878" s="14"/>
    </row>
    <row r="7879" spans="6:6" x14ac:dyDescent="0.3">
      <c r="F7879" s="14"/>
    </row>
    <row r="7880" spans="6:6" x14ac:dyDescent="0.3">
      <c r="F7880" s="14"/>
    </row>
    <row r="7881" spans="6:6" x14ac:dyDescent="0.3">
      <c r="F7881" s="14"/>
    </row>
    <row r="7882" spans="6:6" x14ac:dyDescent="0.3">
      <c r="F7882" s="14"/>
    </row>
    <row r="7883" spans="6:6" x14ac:dyDescent="0.3">
      <c r="F7883" s="14"/>
    </row>
    <row r="7884" spans="6:6" x14ac:dyDescent="0.3">
      <c r="F7884" s="14"/>
    </row>
    <row r="7885" spans="6:6" x14ac:dyDescent="0.3">
      <c r="F7885" s="14"/>
    </row>
    <row r="7886" spans="6:6" x14ac:dyDescent="0.3">
      <c r="F7886" s="14"/>
    </row>
    <row r="7887" spans="6:6" x14ac:dyDescent="0.3">
      <c r="F7887" s="14"/>
    </row>
    <row r="7888" spans="6:6" x14ac:dyDescent="0.3">
      <c r="F7888" s="14"/>
    </row>
    <row r="7889" spans="6:6" x14ac:dyDescent="0.3">
      <c r="F7889" s="14"/>
    </row>
    <row r="7890" spans="6:6" x14ac:dyDescent="0.3">
      <c r="F7890" s="14"/>
    </row>
    <row r="7891" spans="6:6" x14ac:dyDescent="0.3">
      <c r="F7891" s="14"/>
    </row>
    <row r="7892" spans="6:6" x14ac:dyDescent="0.3">
      <c r="F7892" s="14"/>
    </row>
    <row r="7893" spans="6:6" x14ac:dyDescent="0.3">
      <c r="F7893" s="14"/>
    </row>
    <row r="7894" spans="6:6" x14ac:dyDescent="0.3">
      <c r="F7894" s="14"/>
    </row>
    <row r="7895" spans="6:6" x14ac:dyDescent="0.3">
      <c r="F7895" s="14"/>
    </row>
    <row r="7896" spans="6:6" x14ac:dyDescent="0.3">
      <c r="F7896" s="14"/>
    </row>
    <row r="7897" spans="6:6" x14ac:dyDescent="0.3">
      <c r="F7897" s="14"/>
    </row>
    <row r="7898" spans="6:6" x14ac:dyDescent="0.3">
      <c r="F7898" s="14"/>
    </row>
    <row r="7899" spans="6:6" x14ac:dyDescent="0.3">
      <c r="F7899" s="14"/>
    </row>
    <row r="7900" spans="6:6" x14ac:dyDescent="0.3">
      <c r="F7900" s="14"/>
    </row>
    <row r="7901" spans="6:6" x14ac:dyDescent="0.3">
      <c r="F7901" s="14"/>
    </row>
    <row r="7902" spans="6:6" x14ac:dyDescent="0.3">
      <c r="F7902" s="14"/>
    </row>
    <row r="7903" spans="6:6" x14ac:dyDescent="0.3">
      <c r="F7903" s="14"/>
    </row>
    <row r="7904" spans="6:6" x14ac:dyDescent="0.3">
      <c r="F7904" s="14"/>
    </row>
    <row r="7905" spans="6:6" x14ac:dyDescent="0.3">
      <c r="F7905" s="14"/>
    </row>
    <row r="7906" spans="6:6" x14ac:dyDescent="0.3">
      <c r="F7906" s="14"/>
    </row>
    <row r="7907" spans="6:6" x14ac:dyDescent="0.3">
      <c r="F7907" s="14"/>
    </row>
    <row r="7908" spans="6:6" x14ac:dyDescent="0.3">
      <c r="F7908" s="14"/>
    </row>
    <row r="7909" spans="6:6" x14ac:dyDescent="0.3">
      <c r="F7909" s="14"/>
    </row>
    <row r="7910" spans="6:6" x14ac:dyDescent="0.3">
      <c r="F7910" s="14"/>
    </row>
    <row r="7911" spans="6:6" x14ac:dyDescent="0.3">
      <c r="F7911" s="14"/>
    </row>
    <row r="7912" spans="6:6" x14ac:dyDescent="0.3">
      <c r="F7912" s="14"/>
    </row>
    <row r="7913" spans="6:6" x14ac:dyDescent="0.3">
      <c r="F7913" s="14"/>
    </row>
    <row r="7914" spans="6:6" x14ac:dyDescent="0.3">
      <c r="F7914" s="14"/>
    </row>
    <row r="7915" spans="6:6" x14ac:dyDescent="0.3">
      <c r="F7915" s="14"/>
    </row>
    <row r="7916" spans="6:6" x14ac:dyDescent="0.3">
      <c r="F7916" s="14"/>
    </row>
    <row r="7917" spans="6:6" x14ac:dyDescent="0.3">
      <c r="F7917" s="14"/>
    </row>
    <row r="7918" spans="6:6" x14ac:dyDescent="0.3">
      <c r="F7918" s="14"/>
    </row>
    <row r="7919" spans="6:6" x14ac:dyDescent="0.3">
      <c r="F7919" s="14"/>
    </row>
    <row r="7920" spans="6:6" x14ac:dyDescent="0.3">
      <c r="F7920" s="14"/>
    </row>
    <row r="7921" spans="6:6" x14ac:dyDescent="0.3">
      <c r="F7921" s="14"/>
    </row>
    <row r="7922" spans="6:6" x14ac:dyDescent="0.3">
      <c r="F7922" s="14"/>
    </row>
    <row r="7923" spans="6:6" x14ac:dyDescent="0.3">
      <c r="F7923" s="14"/>
    </row>
    <row r="7924" spans="6:6" x14ac:dyDescent="0.3">
      <c r="F7924" s="14"/>
    </row>
    <row r="7925" spans="6:6" x14ac:dyDescent="0.3">
      <c r="F7925" s="14"/>
    </row>
    <row r="7926" spans="6:6" x14ac:dyDescent="0.3">
      <c r="F7926" s="14"/>
    </row>
    <row r="7927" spans="6:6" x14ac:dyDescent="0.3">
      <c r="F7927" s="14"/>
    </row>
    <row r="7928" spans="6:6" x14ac:dyDescent="0.3">
      <c r="F7928" s="14"/>
    </row>
    <row r="7929" spans="6:6" x14ac:dyDescent="0.3">
      <c r="F7929" s="14"/>
    </row>
    <row r="7930" spans="6:6" x14ac:dyDescent="0.3">
      <c r="F7930" s="14"/>
    </row>
    <row r="7931" spans="6:6" x14ac:dyDescent="0.3">
      <c r="F7931" s="14"/>
    </row>
    <row r="7932" spans="6:6" x14ac:dyDescent="0.3">
      <c r="F7932" s="14"/>
    </row>
    <row r="7933" spans="6:6" x14ac:dyDescent="0.3">
      <c r="F7933" s="14"/>
    </row>
    <row r="7934" spans="6:6" x14ac:dyDescent="0.3">
      <c r="F7934" s="14"/>
    </row>
    <row r="7935" spans="6:6" x14ac:dyDescent="0.3">
      <c r="F7935" s="14"/>
    </row>
    <row r="7936" spans="6:6" x14ac:dyDescent="0.3">
      <c r="F7936" s="14"/>
    </row>
    <row r="7937" spans="6:6" x14ac:dyDescent="0.3">
      <c r="F7937" s="14"/>
    </row>
    <row r="7938" spans="6:6" x14ac:dyDescent="0.3">
      <c r="F7938" s="14"/>
    </row>
    <row r="7939" spans="6:6" x14ac:dyDescent="0.3">
      <c r="F7939" s="14"/>
    </row>
    <row r="7940" spans="6:6" x14ac:dyDescent="0.3">
      <c r="F7940" s="14"/>
    </row>
    <row r="7941" spans="6:6" x14ac:dyDescent="0.3">
      <c r="F7941" s="14"/>
    </row>
    <row r="7942" spans="6:6" x14ac:dyDescent="0.3">
      <c r="F7942" s="14"/>
    </row>
    <row r="7943" spans="6:6" x14ac:dyDescent="0.3">
      <c r="F7943" s="14"/>
    </row>
    <row r="7944" spans="6:6" x14ac:dyDescent="0.3">
      <c r="F7944" s="14"/>
    </row>
    <row r="7945" spans="6:6" x14ac:dyDescent="0.3">
      <c r="F7945" s="14"/>
    </row>
    <row r="7946" spans="6:6" x14ac:dyDescent="0.3">
      <c r="F7946" s="14"/>
    </row>
    <row r="7947" spans="6:6" x14ac:dyDescent="0.3">
      <c r="F7947" s="14"/>
    </row>
    <row r="7948" spans="6:6" x14ac:dyDescent="0.3">
      <c r="F7948" s="14"/>
    </row>
    <row r="7949" spans="6:6" x14ac:dyDescent="0.3">
      <c r="F7949" s="14"/>
    </row>
    <row r="7950" spans="6:6" x14ac:dyDescent="0.3">
      <c r="F7950" s="14"/>
    </row>
    <row r="7951" spans="6:6" x14ac:dyDescent="0.3">
      <c r="F7951" s="14"/>
    </row>
    <row r="7952" spans="6:6" x14ac:dyDescent="0.3">
      <c r="F7952" s="14"/>
    </row>
    <row r="7953" spans="6:6" x14ac:dyDescent="0.3">
      <c r="F7953" s="14"/>
    </row>
    <row r="7954" spans="6:6" x14ac:dyDescent="0.3">
      <c r="F7954" s="14"/>
    </row>
    <row r="7955" spans="6:6" x14ac:dyDescent="0.3">
      <c r="F7955" s="14"/>
    </row>
    <row r="7956" spans="6:6" x14ac:dyDescent="0.3">
      <c r="F7956" s="14"/>
    </row>
    <row r="7957" spans="6:6" x14ac:dyDescent="0.3">
      <c r="F7957" s="14"/>
    </row>
    <row r="7958" spans="6:6" x14ac:dyDescent="0.3">
      <c r="F7958" s="14"/>
    </row>
    <row r="7959" spans="6:6" x14ac:dyDescent="0.3">
      <c r="F7959" s="14"/>
    </row>
    <row r="7960" spans="6:6" x14ac:dyDescent="0.3">
      <c r="F7960" s="14"/>
    </row>
    <row r="7961" spans="6:6" x14ac:dyDescent="0.3">
      <c r="F7961" s="14"/>
    </row>
    <row r="7962" spans="6:6" x14ac:dyDescent="0.3">
      <c r="F7962" s="14"/>
    </row>
    <row r="7963" spans="6:6" x14ac:dyDescent="0.3">
      <c r="F7963" s="14"/>
    </row>
    <row r="7964" spans="6:6" x14ac:dyDescent="0.3">
      <c r="F7964" s="14"/>
    </row>
    <row r="7965" spans="6:6" x14ac:dyDescent="0.3">
      <c r="F7965" s="14"/>
    </row>
    <row r="7966" spans="6:6" x14ac:dyDescent="0.3">
      <c r="F7966" s="14"/>
    </row>
    <row r="7967" spans="6:6" x14ac:dyDescent="0.3">
      <c r="F7967" s="14"/>
    </row>
    <row r="7968" spans="6:6" x14ac:dyDescent="0.3">
      <c r="F7968" s="14"/>
    </row>
    <row r="7969" spans="6:6" x14ac:dyDescent="0.3">
      <c r="F7969" s="14"/>
    </row>
    <row r="7970" spans="6:6" x14ac:dyDescent="0.3">
      <c r="F7970" s="14"/>
    </row>
    <row r="7971" spans="6:6" x14ac:dyDescent="0.3">
      <c r="F7971" s="14"/>
    </row>
    <row r="7972" spans="6:6" x14ac:dyDescent="0.3">
      <c r="F7972" s="14"/>
    </row>
    <row r="7973" spans="6:6" x14ac:dyDescent="0.3">
      <c r="F7973" s="14"/>
    </row>
    <row r="7974" spans="6:6" x14ac:dyDescent="0.3">
      <c r="F7974" s="14"/>
    </row>
    <row r="7975" spans="6:6" x14ac:dyDescent="0.3">
      <c r="F7975" s="14"/>
    </row>
    <row r="7976" spans="6:6" x14ac:dyDescent="0.3">
      <c r="F7976" s="14"/>
    </row>
    <row r="7977" spans="6:6" x14ac:dyDescent="0.3">
      <c r="F7977" s="14"/>
    </row>
    <row r="7978" spans="6:6" x14ac:dyDescent="0.3">
      <c r="F7978" s="14"/>
    </row>
    <row r="7979" spans="6:6" x14ac:dyDescent="0.3">
      <c r="F7979" s="14"/>
    </row>
    <row r="7980" spans="6:6" x14ac:dyDescent="0.3">
      <c r="F7980" s="14"/>
    </row>
    <row r="7981" spans="6:6" x14ac:dyDescent="0.3">
      <c r="F7981" s="14"/>
    </row>
    <row r="7982" spans="6:6" x14ac:dyDescent="0.3">
      <c r="F7982" s="14"/>
    </row>
    <row r="7983" spans="6:6" x14ac:dyDescent="0.3">
      <c r="F7983" s="14"/>
    </row>
    <row r="7984" spans="6:6" x14ac:dyDescent="0.3">
      <c r="F7984" s="14"/>
    </row>
    <row r="7985" spans="6:6" x14ac:dyDescent="0.3">
      <c r="F7985" s="14"/>
    </row>
    <row r="7986" spans="6:6" x14ac:dyDescent="0.3">
      <c r="F7986" s="14"/>
    </row>
    <row r="7987" spans="6:6" x14ac:dyDescent="0.3">
      <c r="F7987" s="14"/>
    </row>
    <row r="7988" spans="6:6" x14ac:dyDescent="0.3">
      <c r="F7988" s="14"/>
    </row>
    <row r="7989" spans="6:6" x14ac:dyDescent="0.3">
      <c r="F7989" s="14"/>
    </row>
    <row r="7990" spans="6:6" x14ac:dyDescent="0.3">
      <c r="F7990" s="14"/>
    </row>
    <row r="7991" spans="6:6" x14ac:dyDescent="0.3">
      <c r="F7991" s="14"/>
    </row>
    <row r="7992" spans="6:6" x14ac:dyDescent="0.3">
      <c r="F7992" s="14"/>
    </row>
    <row r="7993" spans="6:6" x14ac:dyDescent="0.3">
      <c r="F7993" s="14"/>
    </row>
    <row r="7994" spans="6:6" x14ac:dyDescent="0.3">
      <c r="F7994" s="14"/>
    </row>
    <row r="7995" spans="6:6" x14ac:dyDescent="0.3">
      <c r="F7995" s="14"/>
    </row>
    <row r="7996" spans="6:6" x14ac:dyDescent="0.3">
      <c r="F7996" s="14"/>
    </row>
    <row r="7997" spans="6:6" x14ac:dyDescent="0.3">
      <c r="F7997" s="14"/>
    </row>
    <row r="7998" spans="6:6" x14ac:dyDescent="0.3">
      <c r="F7998" s="14"/>
    </row>
    <row r="7999" spans="6:6" x14ac:dyDescent="0.3">
      <c r="F7999" s="14"/>
    </row>
    <row r="8000" spans="6:6" x14ac:dyDescent="0.3">
      <c r="F8000" s="14"/>
    </row>
    <row r="8001" spans="6:6" x14ac:dyDescent="0.3">
      <c r="F8001" s="14"/>
    </row>
    <row r="8002" spans="6:6" x14ac:dyDescent="0.3">
      <c r="F8002" s="14"/>
    </row>
    <row r="8003" spans="6:6" x14ac:dyDescent="0.3">
      <c r="F8003" s="14"/>
    </row>
    <row r="8004" spans="6:6" x14ac:dyDescent="0.3">
      <c r="F8004" s="14"/>
    </row>
    <row r="8005" spans="6:6" x14ac:dyDescent="0.3">
      <c r="F8005" s="14"/>
    </row>
    <row r="8006" spans="6:6" x14ac:dyDescent="0.3">
      <c r="F8006" s="14"/>
    </row>
    <row r="8007" spans="6:6" x14ac:dyDescent="0.3">
      <c r="F8007" s="14"/>
    </row>
    <row r="8008" spans="6:6" x14ac:dyDescent="0.3">
      <c r="F8008" s="14"/>
    </row>
    <row r="8009" spans="6:6" x14ac:dyDescent="0.3">
      <c r="F8009" s="14"/>
    </row>
    <row r="8010" spans="6:6" x14ac:dyDescent="0.3">
      <c r="F8010" s="14"/>
    </row>
    <row r="8011" spans="6:6" x14ac:dyDescent="0.3">
      <c r="F8011" s="14"/>
    </row>
    <row r="8012" spans="6:6" x14ac:dyDescent="0.3">
      <c r="F8012" s="14"/>
    </row>
    <row r="8013" spans="6:6" x14ac:dyDescent="0.3">
      <c r="F8013" s="14"/>
    </row>
    <row r="8014" spans="6:6" x14ac:dyDescent="0.3">
      <c r="F8014" s="14"/>
    </row>
    <row r="8015" spans="6:6" x14ac:dyDescent="0.3">
      <c r="F8015" s="14"/>
    </row>
    <row r="8016" spans="6:6" x14ac:dyDescent="0.3">
      <c r="F8016" s="14"/>
    </row>
    <row r="8017" spans="6:6" x14ac:dyDescent="0.3">
      <c r="F8017" s="14"/>
    </row>
    <row r="8018" spans="6:6" x14ac:dyDescent="0.3">
      <c r="F8018" s="14"/>
    </row>
    <row r="8019" spans="6:6" x14ac:dyDescent="0.3">
      <c r="F8019" s="14"/>
    </row>
    <row r="8020" spans="6:6" x14ac:dyDescent="0.3">
      <c r="F8020" s="14"/>
    </row>
    <row r="8021" spans="6:6" x14ac:dyDescent="0.3">
      <c r="F8021" s="14"/>
    </row>
    <row r="8022" spans="6:6" x14ac:dyDescent="0.3">
      <c r="F8022" s="14"/>
    </row>
    <row r="8023" spans="6:6" x14ac:dyDescent="0.3">
      <c r="F8023" s="14"/>
    </row>
    <row r="8024" spans="6:6" x14ac:dyDescent="0.3">
      <c r="F8024" s="14"/>
    </row>
    <row r="8025" spans="6:6" x14ac:dyDescent="0.3">
      <c r="F8025" s="14"/>
    </row>
    <row r="8026" spans="6:6" x14ac:dyDescent="0.3">
      <c r="F8026" s="14"/>
    </row>
    <row r="8027" spans="6:6" x14ac:dyDescent="0.3">
      <c r="F8027" s="14"/>
    </row>
    <row r="8028" spans="6:6" x14ac:dyDescent="0.3">
      <c r="F8028" s="14"/>
    </row>
    <row r="8029" spans="6:6" x14ac:dyDescent="0.3">
      <c r="F8029" s="14"/>
    </row>
    <row r="8030" spans="6:6" x14ac:dyDescent="0.3">
      <c r="F8030" s="14"/>
    </row>
    <row r="8031" spans="6:6" x14ac:dyDescent="0.3">
      <c r="F8031" s="14"/>
    </row>
    <row r="8032" spans="6:6" x14ac:dyDescent="0.3">
      <c r="F8032" s="14"/>
    </row>
    <row r="8033" spans="6:6" x14ac:dyDescent="0.3">
      <c r="F8033" s="14"/>
    </row>
    <row r="8034" spans="6:6" x14ac:dyDescent="0.3">
      <c r="F8034" s="14"/>
    </row>
    <row r="8035" spans="6:6" x14ac:dyDescent="0.3">
      <c r="F8035" s="14"/>
    </row>
    <row r="8036" spans="6:6" x14ac:dyDescent="0.3">
      <c r="F8036" s="14"/>
    </row>
    <row r="8037" spans="6:6" x14ac:dyDescent="0.3">
      <c r="F8037" s="14"/>
    </row>
    <row r="8038" spans="6:6" x14ac:dyDescent="0.3">
      <c r="F8038" s="14"/>
    </row>
    <row r="8039" spans="6:6" x14ac:dyDescent="0.3">
      <c r="F8039" s="14"/>
    </row>
    <row r="8040" spans="6:6" x14ac:dyDescent="0.3">
      <c r="F8040" s="14"/>
    </row>
    <row r="8041" spans="6:6" x14ac:dyDescent="0.3">
      <c r="F8041" s="14"/>
    </row>
    <row r="8042" spans="6:6" x14ac:dyDescent="0.3">
      <c r="F8042" s="14"/>
    </row>
    <row r="8043" spans="6:6" x14ac:dyDescent="0.3">
      <c r="F8043" s="14"/>
    </row>
    <row r="8044" spans="6:6" x14ac:dyDescent="0.3">
      <c r="F8044" s="14"/>
    </row>
    <row r="8045" spans="6:6" x14ac:dyDescent="0.3">
      <c r="F8045" s="14"/>
    </row>
    <row r="8046" spans="6:6" x14ac:dyDescent="0.3">
      <c r="F8046" s="14"/>
    </row>
    <row r="8047" spans="6:6" x14ac:dyDescent="0.3">
      <c r="F8047" s="14"/>
    </row>
    <row r="8048" spans="6:6" x14ac:dyDescent="0.3">
      <c r="F8048" s="14"/>
    </row>
    <row r="8049" spans="6:6" x14ac:dyDescent="0.3">
      <c r="F8049" s="14"/>
    </row>
    <row r="8050" spans="6:6" x14ac:dyDescent="0.3">
      <c r="F8050" s="14"/>
    </row>
    <row r="8051" spans="6:6" x14ac:dyDescent="0.3">
      <c r="F8051" s="14"/>
    </row>
    <row r="8052" spans="6:6" x14ac:dyDescent="0.3">
      <c r="F8052" s="14"/>
    </row>
    <row r="8053" spans="6:6" x14ac:dyDescent="0.3">
      <c r="F8053" s="14"/>
    </row>
    <row r="8054" spans="6:6" x14ac:dyDescent="0.3">
      <c r="F8054" s="14"/>
    </row>
    <row r="8055" spans="6:6" x14ac:dyDescent="0.3">
      <c r="F8055" s="14"/>
    </row>
    <row r="8056" spans="6:6" x14ac:dyDescent="0.3">
      <c r="F8056" s="14"/>
    </row>
    <row r="8057" spans="6:6" x14ac:dyDescent="0.3">
      <c r="F8057" s="14"/>
    </row>
    <row r="8058" spans="6:6" x14ac:dyDescent="0.3">
      <c r="F8058" s="14"/>
    </row>
    <row r="8059" spans="6:6" x14ac:dyDescent="0.3">
      <c r="F8059" s="14"/>
    </row>
    <row r="8060" spans="6:6" x14ac:dyDescent="0.3">
      <c r="F8060" s="14"/>
    </row>
    <row r="8061" spans="6:6" x14ac:dyDescent="0.3">
      <c r="F8061" s="14"/>
    </row>
    <row r="8062" spans="6:6" x14ac:dyDescent="0.3">
      <c r="F8062" s="14"/>
    </row>
    <row r="8063" spans="6:6" x14ac:dyDescent="0.3">
      <c r="F8063" s="14"/>
    </row>
    <row r="8064" spans="6:6" x14ac:dyDescent="0.3">
      <c r="F8064" s="14"/>
    </row>
    <row r="8065" spans="6:6" x14ac:dyDescent="0.3">
      <c r="F8065" s="14"/>
    </row>
    <row r="8066" spans="6:6" x14ac:dyDescent="0.3">
      <c r="F8066" s="14"/>
    </row>
    <row r="8067" spans="6:6" x14ac:dyDescent="0.3">
      <c r="F8067" s="14"/>
    </row>
    <row r="8068" spans="6:6" x14ac:dyDescent="0.3">
      <c r="F8068" s="14"/>
    </row>
    <row r="8069" spans="6:6" x14ac:dyDescent="0.3">
      <c r="F8069" s="14"/>
    </row>
    <row r="8070" spans="6:6" x14ac:dyDescent="0.3">
      <c r="F8070" s="14"/>
    </row>
    <row r="8071" spans="6:6" x14ac:dyDescent="0.3">
      <c r="F8071" s="14"/>
    </row>
    <row r="8072" spans="6:6" x14ac:dyDescent="0.3">
      <c r="F8072" s="14"/>
    </row>
    <row r="8073" spans="6:6" x14ac:dyDescent="0.3">
      <c r="F8073" s="14"/>
    </row>
    <row r="8074" spans="6:6" x14ac:dyDescent="0.3">
      <c r="F8074" s="14"/>
    </row>
    <row r="8075" spans="6:6" x14ac:dyDescent="0.3">
      <c r="F8075" s="14"/>
    </row>
    <row r="8076" spans="6:6" x14ac:dyDescent="0.3">
      <c r="F8076" s="14"/>
    </row>
    <row r="8077" spans="6:6" x14ac:dyDescent="0.3">
      <c r="F8077" s="14"/>
    </row>
    <row r="8078" spans="6:6" x14ac:dyDescent="0.3">
      <c r="F8078" s="14"/>
    </row>
    <row r="8079" spans="6:6" x14ac:dyDescent="0.3">
      <c r="F8079" s="14"/>
    </row>
    <row r="8080" spans="6:6" x14ac:dyDescent="0.3">
      <c r="F8080" s="14"/>
    </row>
    <row r="8081" spans="6:6" x14ac:dyDescent="0.3">
      <c r="F8081" s="14"/>
    </row>
    <row r="8082" spans="6:6" x14ac:dyDescent="0.3">
      <c r="F8082" s="14"/>
    </row>
    <row r="8083" spans="6:6" x14ac:dyDescent="0.3">
      <c r="F8083" s="14"/>
    </row>
    <row r="8084" spans="6:6" x14ac:dyDescent="0.3">
      <c r="F8084" s="14"/>
    </row>
    <row r="8085" spans="6:6" x14ac:dyDescent="0.3">
      <c r="F8085" s="14"/>
    </row>
    <row r="8086" spans="6:6" x14ac:dyDescent="0.3">
      <c r="F8086" s="14"/>
    </row>
    <row r="8087" spans="6:6" x14ac:dyDescent="0.3">
      <c r="F8087" s="14"/>
    </row>
    <row r="8088" spans="6:6" x14ac:dyDescent="0.3">
      <c r="F8088" s="14"/>
    </row>
    <row r="8089" spans="6:6" x14ac:dyDescent="0.3">
      <c r="F8089" s="14"/>
    </row>
    <row r="8090" spans="6:6" x14ac:dyDescent="0.3">
      <c r="F8090" s="14"/>
    </row>
    <row r="8091" spans="6:6" x14ac:dyDescent="0.3">
      <c r="F8091" s="14"/>
    </row>
    <row r="8092" spans="6:6" x14ac:dyDescent="0.3">
      <c r="F8092" s="14"/>
    </row>
    <row r="8093" spans="6:6" x14ac:dyDescent="0.3">
      <c r="F8093" s="14"/>
    </row>
    <row r="8094" spans="6:6" x14ac:dyDescent="0.3">
      <c r="F8094" s="14"/>
    </row>
    <row r="8095" spans="6:6" x14ac:dyDescent="0.3">
      <c r="F8095" s="14"/>
    </row>
    <row r="8096" spans="6:6" x14ac:dyDescent="0.3">
      <c r="F8096" s="14"/>
    </row>
    <row r="8097" spans="6:6" x14ac:dyDescent="0.3">
      <c r="F8097" s="14"/>
    </row>
    <row r="8098" spans="6:6" x14ac:dyDescent="0.3">
      <c r="F8098" s="14"/>
    </row>
    <row r="8099" spans="6:6" x14ac:dyDescent="0.3">
      <c r="F8099" s="14"/>
    </row>
    <row r="8100" spans="6:6" x14ac:dyDescent="0.3">
      <c r="F8100" s="14"/>
    </row>
    <row r="8101" spans="6:6" x14ac:dyDescent="0.3">
      <c r="F8101" s="14"/>
    </row>
    <row r="8102" spans="6:6" x14ac:dyDescent="0.3">
      <c r="F8102" s="14"/>
    </row>
    <row r="8103" spans="6:6" x14ac:dyDescent="0.3">
      <c r="F8103" s="14"/>
    </row>
    <row r="8104" spans="6:6" x14ac:dyDescent="0.3">
      <c r="F8104" s="14"/>
    </row>
    <row r="8105" spans="6:6" x14ac:dyDescent="0.3">
      <c r="F8105" s="14"/>
    </row>
    <row r="8106" spans="6:6" x14ac:dyDescent="0.3">
      <c r="F8106" s="14"/>
    </row>
    <row r="8107" spans="6:6" x14ac:dyDescent="0.3">
      <c r="F8107" s="14"/>
    </row>
    <row r="8108" spans="6:6" x14ac:dyDescent="0.3">
      <c r="F8108" s="14"/>
    </row>
    <row r="8109" spans="6:6" x14ac:dyDescent="0.3">
      <c r="F8109" s="14"/>
    </row>
    <row r="8110" spans="6:6" x14ac:dyDescent="0.3">
      <c r="F8110" s="14"/>
    </row>
    <row r="8111" spans="6:6" x14ac:dyDescent="0.3">
      <c r="F8111" s="14"/>
    </row>
    <row r="8112" spans="6:6" x14ac:dyDescent="0.3">
      <c r="F8112" s="14"/>
    </row>
    <row r="8113" spans="6:6" x14ac:dyDescent="0.3">
      <c r="F8113" s="14"/>
    </row>
    <row r="8114" spans="6:6" x14ac:dyDescent="0.3">
      <c r="F8114" s="14"/>
    </row>
    <row r="8115" spans="6:6" x14ac:dyDescent="0.3">
      <c r="F8115" s="14"/>
    </row>
    <row r="8116" spans="6:6" x14ac:dyDescent="0.3">
      <c r="F8116" s="14"/>
    </row>
    <row r="8117" spans="6:6" x14ac:dyDescent="0.3">
      <c r="F8117" s="14"/>
    </row>
    <row r="8118" spans="6:6" x14ac:dyDescent="0.3">
      <c r="F8118" s="14"/>
    </row>
    <row r="8119" spans="6:6" x14ac:dyDescent="0.3">
      <c r="F8119" s="14"/>
    </row>
    <row r="8120" spans="6:6" x14ac:dyDescent="0.3">
      <c r="F8120" s="14"/>
    </row>
    <row r="8121" spans="6:6" x14ac:dyDescent="0.3">
      <c r="F8121" s="14"/>
    </row>
    <row r="8122" spans="6:6" x14ac:dyDescent="0.3">
      <c r="F8122" s="14"/>
    </row>
    <row r="8123" spans="6:6" x14ac:dyDescent="0.3">
      <c r="F8123" s="14"/>
    </row>
    <row r="8124" spans="6:6" x14ac:dyDescent="0.3">
      <c r="F8124" s="14"/>
    </row>
    <row r="8125" spans="6:6" x14ac:dyDescent="0.3">
      <c r="F8125" s="14"/>
    </row>
    <row r="8126" spans="6:6" x14ac:dyDescent="0.3">
      <c r="F8126" s="14"/>
    </row>
    <row r="8127" spans="6:6" x14ac:dyDescent="0.3">
      <c r="F8127" s="14"/>
    </row>
    <row r="8128" spans="6:6" x14ac:dyDescent="0.3">
      <c r="F8128" s="14"/>
    </row>
    <row r="8129" spans="6:6" x14ac:dyDescent="0.3">
      <c r="F8129" s="14"/>
    </row>
    <row r="8130" spans="6:6" x14ac:dyDescent="0.3">
      <c r="F8130" s="14"/>
    </row>
    <row r="8131" spans="6:6" x14ac:dyDescent="0.3">
      <c r="F8131" s="14"/>
    </row>
    <row r="8132" spans="6:6" x14ac:dyDescent="0.3">
      <c r="F8132" s="14"/>
    </row>
    <row r="8133" spans="6:6" x14ac:dyDescent="0.3">
      <c r="F8133" s="14"/>
    </row>
    <row r="8134" spans="6:6" x14ac:dyDescent="0.3">
      <c r="F8134" s="14"/>
    </row>
    <row r="8135" spans="6:6" x14ac:dyDescent="0.3">
      <c r="F8135" s="14"/>
    </row>
    <row r="8136" spans="6:6" x14ac:dyDescent="0.3">
      <c r="F8136" s="14"/>
    </row>
    <row r="8137" spans="6:6" x14ac:dyDescent="0.3">
      <c r="F8137" s="14"/>
    </row>
    <row r="8138" spans="6:6" x14ac:dyDescent="0.3">
      <c r="F8138" s="14"/>
    </row>
    <row r="8139" spans="6:6" x14ac:dyDescent="0.3">
      <c r="F8139" s="14"/>
    </row>
    <row r="8140" spans="6:6" x14ac:dyDescent="0.3">
      <c r="F8140" s="14"/>
    </row>
    <row r="8141" spans="6:6" x14ac:dyDescent="0.3">
      <c r="F8141" s="14"/>
    </row>
    <row r="8142" spans="6:6" x14ac:dyDescent="0.3">
      <c r="F8142" s="14"/>
    </row>
    <row r="8143" spans="6:6" x14ac:dyDescent="0.3">
      <c r="F8143" s="14"/>
    </row>
    <row r="8144" spans="6:6" x14ac:dyDescent="0.3">
      <c r="F8144" s="14"/>
    </row>
    <row r="8145" spans="6:6" x14ac:dyDescent="0.3">
      <c r="F8145" s="14"/>
    </row>
    <row r="8146" spans="6:6" x14ac:dyDescent="0.3">
      <c r="F8146" s="14"/>
    </row>
    <row r="8147" spans="6:6" x14ac:dyDescent="0.3">
      <c r="F8147" s="14"/>
    </row>
    <row r="8148" spans="6:6" x14ac:dyDescent="0.3">
      <c r="F8148" s="14"/>
    </row>
    <row r="8149" spans="6:6" x14ac:dyDescent="0.3">
      <c r="F8149" s="14"/>
    </row>
    <row r="8150" spans="6:6" x14ac:dyDescent="0.3">
      <c r="F8150" s="14"/>
    </row>
    <row r="8151" spans="6:6" x14ac:dyDescent="0.3">
      <c r="F8151" s="14"/>
    </row>
    <row r="8152" spans="6:6" x14ac:dyDescent="0.3">
      <c r="F8152" s="14"/>
    </row>
    <row r="8153" spans="6:6" x14ac:dyDescent="0.3">
      <c r="F8153" s="14"/>
    </row>
    <row r="8154" spans="6:6" x14ac:dyDescent="0.3">
      <c r="F8154" s="14"/>
    </row>
    <row r="8155" spans="6:6" x14ac:dyDescent="0.3">
      <c r="F8155" s="14"/>
    </row>
    <row r="8156" spans="6:6" x14ac:dyDescent="0.3">
      <c r="F8156" s="14"/>
    </row>
    <row r="8157" spans="6:6" x14ac:dyDescent="0.3">
      <c r="F8157" s="14"/>
    </row>
    <row r="8158" spans="6:6" x14ac:dyDescent="0.3">
      <c r="F8158" s="14"/>
    </row>
    <row r="8159" spans="6:6" x14ac:dyDescent="0.3">
      <c r="F8159" s="14"/>
    </row>
    <row r="8160" spans="6:6" x14ac:dyDescent="0.3">
      <c r="F8160" s="14"/>
    </row>
    <row r="8161" spans="6:6" x14ac:dyDescent="0.3">
      <c r="F8161" s="14"/>
    </row>
    <row r="8162" spans="6:6" x14ac:dyDescent="0.3">
      <c r="F8162" s="14"/>
    </row>
    <row r="8163" spans="6:6" x14ac:dyDescent="0.3">
      <c r="F8163" s="14"/>
    </row>
    <row r="8164" spans="6:6" x14ac:dyDescent="0.3">
      <c r="F8164" s="14"/>
    </row>
    <row r="8165" spans="6:6" x14ac:dyDescent="0.3">
      <c r="F8165" s="14"/>
    </row>
    <row r="8166" spans="6:6" x14ac:dyDescent="0.3">
      <c r="F8166" s="14"/>
    </row>
    <row r="8167" spans="6:6" x14ac:dyDescent="0.3">
      <c r="F8167" s="14"/>
    </row>
    <row r="8168" spans="6:6" x14ac:dyDescent="0.3">
      <c r="F8168" s="14"/>
    </row>
    <row r="8169" spans="6:6" x14ac:dyDescent="0.3">
      <c r="F8169" s="14"/>
    </row>
    <row r="8170" spans="6:6" x14ac:dyDescent="0.3">
      <c r="F8170" s="14"/>
    </row>
    <row r="8171" spans="6:6" x14ac:dyDescent="0.3">
      <c r="F8171" s="14"/>
    </row>
    <row r="8172" spans="6:6" x14ac:dyDescent="0.3">
      <c r="F8172" s="14"/>
    </row>
    <row r="8173" spans="6:6" x14ac:dyDescent="0.3">
      <c r="F8173" s="14"/>
    </row>
    <row r="8174" spans="6:6" x14ac:dyDescent="0.3">
      <c r="F8174" s="14"/>
    </row>
    <row r="8175" spans="6:6" x14ac:dyDescent="0.3">
      <c r="F8175" s="14"/>
    </row>
    <row r="8176" spans="6:6" x14ac:dyDescent="0.3">
      <c r="F8176" s="14"/>
    </row>
    <row r="8177" spans="6:6" x14ac:dyDescent="0.3">
      <c r="F8177" s="14"/>
    </row>
    <row r="8178" spans="6:6" x14ac:dyDescent="0.3">
      <c r="F8178" s="14"/>
    </row>
    <row r="8179" spans="6:6" x14ac:dyDescent="0.3">
      <c r="F8179" s="14"/>
    </row>
    <row r="8180" spans="6:6" x14ac:dyDescent="0.3">
      <c r="F8180" s="14"/>
    </row>
    <row r="8181" spans="6:6" x14ac:dyDescent="0.3">
      <c r="F8181" s="14"/>
    </row>
    <row r="8182" spans="6:6" x14ac:dyDescent="0.3">
      <c r="F8182" s="14"/>
    </row>
    <row r="8183" spans="6:6" x14ac:dyDescent="0.3">
      <c r="F8183" s="14"/>
    </row>
    <row r="8184" spans="6:6" x14ac:dyDescent="0.3">
      <c r="F8184" s="14"/>
    </row>
    <row r="8185" spans="6:6" x14ac:dyDescent="0.3">
      <c r="F8185" s="14"/>
    </row>
    <row r="8186" spans="6:6" x14ac:dyDescent="0.3">
      <c r="F8186" s="14"/>
    </row>
    <row r="8187" spans="6:6" x14ac:dyDescent="0.3">
      <c r="F8187" s="14"/>
    </row>
    <row r="8188" spans="6:6" x14ac:dyDescent="0.3">
      <c r="F8188" s="14"/>
    </row>
    <row r="8189" spans="6:6" x14ac:dyDescent="0.3">
      <c r="F8189" s="14"/>
    </row>
    <row r="8190" spans="6:6" x14ac:dyDescent="0.3">
      <c r="F8190" s="14"/>
    </row>
    <row r="8191" spans="6:6" x14ac:dyDescent="0.3">
      <c r="F8191" s="14"/>
    </row>
    <row r="8192" spans="6:6" x14ac:dyDescent="0.3">
      <c r="F8192" s="14"/>
    </row>
    <row r="8193" spans="6:6" x14ac:dyDescent="0.3">
      <c r="F8193" s="14"/>
    </row>
    <row r="8194" spans="6:6" x14ac:dyDescent="0.3">
      <c r="F8194" s="14"/>
    </row>
    <row r="8195" spans="6:6" x14ac:dyDescent="0.3">
      <c r="F8195" s="14"/>
    </row>
    <row r="8196" spans="6:6" x14ac:dyDescent="0.3">
      <c r="F8196" s="14"/>
    </row>
    <row r="8197" spans="6:6" x14ac:dyDescent="0.3">
      <c r="F8197" s="14"/>
    </row>
    <row r="8198" spans="6:6" x14ac:dyDescent="0.3">
      <c r="F8198" s="14"/>
    </row>
    <row r="8199" spans="6:6" x14ac:dyDescent="0.3">
      <c r="F8199" s="14"/>
    </row>
    <row r="8200" spans="6:6" x14ac:dyDescent="0.3">
      <c r="F8200" s="14"/>
    </row>
    <row r="8201" spans="6:6" x14ac:dyDescent="0.3">
      <c r="F8201" s="14"/>
    </row>
    <row r="8202" spans="6:6" x14ac:dyDescent="0.3">
      <c r="F8202" s="14"/>
    </row>
    <row r="8203" spans="6:6" x14ac:dyDescent="0.3">
      <c r="F8203" s="14"/>
    </row>
    <row r="8204" spans="6:6" x14ac:dyDescent="0.3">
      <c r="F8204" s="14"/>
    </row>
    <row r="8205" spans="6:6" x14ac:dyDescent="0.3">
      <c r="F8205" s="14"/>
    </row>
    <row r="8206" spans="6:6" x14ac:dyDescent="0.3">
      <c r="F8206" s="14"/>
    </row>
    <row r="8207" spans="6:6" x14ac:dyDescent="0.3">
      <c r="F8207" s="14"/>
    </row>
    <row r="8208" spans="6:6" x14ac:dyDescent="0.3">
      <c r="F8208" s="14"/>
    </row>
    <row r="8209" spans="6:6" x14ac:dyDescent="0.3">
      <c r="F8209" s="14"/>
    </row>
    <row r="8210" spans="6:6" x14ac:dyDescent="0.3">
      <c r="F8210" s="14"/>
    </row>
    <row r="8211" spans="6:6" x14ac:dyDescent="0.3">
      <c r="F8211" s="14"/>
    </row>
    <row r="8212" spans="6:6" x14ac:dyDescent="0.3">
      <c r="F8212" s="14"/>
    </row>
    <row r="8213" spans="6:6" x14ac:dyDescent="0.3">
      <c r="F8213" s="14"/>
    </row>
    <row r="8214" spans="6:6" x14ac:dyDescent="0.3">
      <c r="F8214" s="14"/>
    </row>
    <row r="8215" spans="6:6" x14ac:dyDescent="0.3">
      <c r="F8215" s="14"/>
    </row>
    <row r="8216" spans="6:6" x14ac:dyDescent="0.3">
      <c r="F8216" s="14"/>
    </row>
    <row r="8217" spans="6:6" x14ac:dyDescent="0.3">
      <c r="F8217" s="14"/>
    </row>
    <row r="8218" spans="6:6" x14ac:dyDescent="0.3">
      <c r="F8218" s="14"/>
    </row>
    <row r="8219" spans="6:6" x14ac:dyDescent="0.3">
      <c r="F8219" s="14"/>
    </row>
    <row r="8220" spans="6:6" x14ac:dyDescent="0.3">
      <c r="F8220" s="14"/>
    </row>
    <row r="8221" spans="6:6" x14ac:dyDescent="0.3">
      <c r="F8221" s="14"/>
    </row>
    <row r="8222" spans="6:6" x14ac:dyDescent="0.3">
      <c r="F8222" s="14"/>
    </row>
    <row r="8223" spans="6:6" x14ac:dyDescent="0.3">
      <c r="F8223" s="14"/>
    </row>
    <row r="8224" spans="6:6" x14ac:dyDescent="0.3">
      <c r="F8224" s="14"/>
    </row>
    <row r="8225" spans="6:6" x14ac:dyDescent="0.3">
      <c r="F8225" s="14"/>
    </row>
    <row r="8226" spans="6:6" x14ac:dyDescent="0.3">
      <c r="F8226" s="14"/>
    </row>
    <row r="8227" spans="6:6" x14ac:dyDescent="0.3">
      <c r="F8227" s="14"/>
    </row>
    <row r="8228" spans="6:6" x14ac:dyDescent="0.3">
      <c r="F8228" s="14"/>
    </row>
    <row r="8229" spans="6:6" x14ac:dyDescent="0.3">
      <c r="F8229" s="14"/>
    </row>
    <row r="8230" spans="6:6" x14ac:dyDescent="0.3">
      <c r="F8230" s="14"/>
    </row>
    <row r="8231" spans="6:6" x14ac:dyDescent="0.3">
      <c r="F8231" s="14"/>
    </row>
    <row r="8232" spans="6:6" x14ac:dyDescent="0.3">
      <c r="F8232" s="14"/>
    </row>
    <row r="8233" spans="6:6" x14ac:dyDescent="0.3">
      <c r="F8233" s="14"/>
    </row>
    <row r="8234" spans="6:6" x14ac:dyDescent="0.3">
      <c r="F8234" s="14"/>
    </row>
    <row r="8235" spans="6:6" x14ac:dyDescent="0.3">
      <c r="F8235" s="14"/>
    </row>
    <row r="8236" spans="6:6" x14ac:dyDescent="0.3">
      <c r="F8236" s="14"/>
    </row>
    <row r="8237" spans="6:6" x14ac:dyDescent="0.3">
      <c r="F8237" s="14"/>
    </row>
    <row r="8238" spans="6:6" x14ac:dyDescent="0.3">
      <c r="F8238" s="14"/>
    </row>
    <row r="8239" spans="6:6" x14ac:dyDescent="0.3">
      <c r="F8239" s="14"/>
    </row>
    <row r="8240" spans="6:6" x14ac:dyDescent="0.3">
      <c r="F8240" s="14"/>
    </row>
    <row r="8241" spans="6:6" x14ac:dyDescent="0.3">
      <c r="F8241" s="14"/>
    </row>
    <row r="8242" spans="6:6" x14ac:dyDescent="0.3">
      <c r="F8242" s="14"/>
    </row>
    <row r="8243" spans="6:6" x14ac:dyDescent="0.3">
      <c r="F8243" s="14"/>
    </row>
    <row r="8244" spans="6:6" x14ac:dyDescent="0.3">
      <c r="F8244" s="14"/>
    </row>
    <row r="8245" spans="6:6" x14ac:dyDescent="0.3">
      <c r="F8245" s="14"/>
    </row>
    <row r="8246" spans="6:6" x14ac:dyDescent="0.3">
      <c r="F8246" s="14"/>
    </row>
    <row r="8247" spans="6:6" x14ac:dyDescent="0.3">
      <c r="F8247" s="14"/>
    </row>
    <row r="8248" spans="6:6" x14ac:dyDescent="0.3">
      <c r="F8248" s="14"/>
    </row>
    <row r="8249" spans="6:6" x14ac:dyDescent="0.3">
      <c r="F8249" s="14"/>
    </row>
    <row r="8250" spans="6:6" x14ac:dyDescent="0.3">
      <c r="F8250" s="14"/>
    </row>
    <row r="8251" spans="6:6" x14ac:dyDescent="0.3">
      <c r="F8251" s="14"/>
    </row>
    <row r="8252" spans="6:6" x14ac:dyDescent="0.3">
      <c r="F8252" s="14"/>
    </row>
    <row r="8253" spans="6:6" x14ac:dyDescent="0.3">
      <c r="F8253" s="14"/>
    </row>
    <row r="8254" spans="6:6" x14ac:dyDescent="0.3">
      <c r="F8254" s="14"/>
    </row>
    <row r="8255" spans="6:6" x14ac:dyDescent="0.3">
      <c r="F8255" s="14"/>
    </row>
    <row r="8256" spans="6:6" x14ac:dyDescent="0.3">
      <c r="F8256" s="14"/>
    </row>
    <row r="8257" spans="6:6" x14ac:dyDescent="0.3">
      <c r="F8257" s="14"/>
    </row>
    <row r="8258" spans="6:6" x14ac:dyDescent="0.3">
      <c r="F8258" s="14"/>
    </row>
    <row r="8259" spans="6:6" x14ac:dyDescent="0.3">
      <c r="F8259" s="14"/>
    </row>
    <row r="8260" spans="6:6" x14ac:dyDescent="0.3">
      <c r="F8260" s="14"/>
    </row>
    <row r="8261" spans="6:6" x14ac:dyDescent="0.3">
      <c r="F8261" s="14"/>
    </row>
    <row r="8262" spans="6:6" x14ac:dyDescent="0.3">
      <c r="F8262" s="14"/>
    </row>
    <row r="8263" spans="6:6" x14ac:dyDescent="0.3">
      <c r="F8263" s="14"/>
    </row>
    <row r="8264" spans="6:6" x14ac:dyDescent="0.3">
      <c r="F8264" s="14"/>
    </row>
    <row r="8265" spans="6:6" x14ac:dyDescent="0.3">
      <c r="F8265" s="14"/>
    </row>
    <row r="8266" spans="6:6" x14ac:dyDescent="0.3">
      <c r="F8266" s="14"/>
    </row>
    <row r="8267" spans="6:6" x14ac:dyDescent="0.3">
      <c r="F8267" s="14"/>
    </row>
    <row r="8268" spans="6:6" x14ac:dyDescent="0.3">
      <c r="F8268" s="14"/>
    </row>
    <row r="8269" spans="6:6" x14ac:dyDescent="0.3">
      <c r="F8269" s="14"/>
    </row>
    <row r="8270" spans="6:6" x14ac:dyDescent="0.3">
      <c r="F8270" s="14"/>
    </row>
    <row r="8271" spans="6:6" x14ac:dyDescent="0.3">
      <c r="F8271" s="14"/>
    </row>
    <row r="8272" spans="6:6" x14ac:dyDescent="0.3">
      <c r="F8272" s="14"/>
    </row>
    <row r="8273" spans="6:6" x14ac:dyDescent="0.3">
      <c r="F8273" s="14"/>
    </row>
    <row r="8274" spans="6:6" x14ac:dyDescent="0.3">
      <c r="F8274" s="14"/>
    </row>
    <row r="8275" spans="6:6" x14ac:dyDescent="0.3">
      <c r="F8275" s="14"/>
    </row>
    <row r="8276" spans="6:6" x14ac:dyDescent="0.3">
      <c r="F8276" s="14"/>
    </row>
    <row r="8277" spans="6:6" x14ac:dyDescent="0.3">
      <c r="F8277" s="14"/>
    </row>
    <row r="8278" spans="6:6" x14ac:dyDescent="0.3">
      <c r="F8278" s="14"/>
    </row>
    <row r="8279" spans="6:6" x14ac:dyDescent="0.3">
      <c r="F8279" s="14"/>
    </row>
    <row r="8280" spans="6:6" x14ac:dyDescent="0.3">
      <c r="F8280" s="14"/>
    </row>
    <row r="8281" spans="6:6" x14ac:dyDescent="0.3">
      <c r="F8281" s="14"/>
    </row>
    <row r="8282" spans="6:6" x14ac:dyDescent="0.3">
      <c r="F8282" s="14"/>
    </row>
    <row r="8283" spans="6:6" x14ac:dyDescent="0.3">
      <c r="F8283" s="14"/>
    </row>
    <row r="8284" spans="6:6" x14ac:dyDescent="0.3">
      <c r="F8284" s="14"/>
    </row>
    <row r="8285" spans="6:6" x14ac:dyDescent="0.3">
      <c r="F8285" s="14"/>
    </row>
    <row r="8286" spans="6:6" x14ac:dyDescent="0.3">
      <c r="F8286" s="14"/>
    </row>
    <row r="8287" spans="6:6" x14ac:dyDescent="0.3">
      <c r="F8287" s="14"/>
    </row>
    <row r="8288" spans="6:6" x14ac:dyDescent="0.3">
      <c r="F8288" s="14"/>
    </row>
    <row r="8289" spans="6:6" x14ac:dyDescent="0.3">
      <c r="F8289" s="14"/>
    </row>
    <row r="8290" spans="6:6" x14ac:dyDescent="0.3">
      <c r="F8290" s="14"/>
    </row>
    <row r="8291" spans="6:6" x14ac:dyDescent="0.3">
      <c r="F8291" s="14"/>
    </row>
    <row r="8292" spans="6:6" x14ac:dyDescent="0.3">
      <c r="F8292" s="14"/>
    </row>
    <row r="8293" spans="6:6" x14ac:dyDescent="0.3">
      <c r="F8293" s="14"/>
    </row>
    <row r="8294" spans="6:6" x14ac:dyDescent="0.3">
      <c r="F8294" s="14"/>
    </row>
    <row r="8295" spans="6:6" x14ac:dyDescent="0.3">
      <c r="F8295" s="14"/>
    </row>
    <row r="8296" spans="6:6" x14ac:dyDescent="0.3">
      <c r="F8296" s="14"/>
    </row>
    <row r="8297" spans="6:6" x14ac:dyDescent="0.3">
      <c r="F8297" s="14"/>
    </row>
    <row r="8298" spans="6:6" x14ac:dyDescent="0.3">
      <c r="F8298" s="14"/>
    </row>
    <row r="8299" spans="6:6" x14ac:dyDescent="0.3">
      <c r="F8299" s="14"/>
    </row>
    <row r="8300" spans="6:6" x14ac:dyDescent="0.3">
      <c r="F8300" s="14"/>
    </row>
    <row r="8301" spans="6:6" x14ac:dyDescent="0.3">
      <c r="F8301" s="14"/>
    </row>
    <row r="8302" spans="6:6" x14ac:dyDescent="0.3">
      <c r="F8302" s="14"/>
    </row>
    <row r="8303" spans="6:6" x14ac:dyDescent="0.3">
      <c r="F8303" s="14"/>
    </row>
    <row r="8304" spans="6:6" x14ac:dyDescent="0.3">
      <c r="F8304" s="14"/>
    </row>
    <row r="8305" spans="6:6" x14ac:dyDescent="0.3">
      <c r="F8305" s="14"/>
    </row>
    <row r="8306" spans="6:6" x14ac:dyDescent="0.3">
      <c r="F8306" s="14"/>
    </row>
    <row r="8307" spans="6:6" x14ac:dyDescent="0.3">
      <c r="F8307" s="14"/>
    </row>
    <row r="8308" spans="6:6" x14ac:dyDescent="0.3">
      <c r="F8308" s="14"/>
    </row>
    <row r="8309" spans="6:6" x14ac:dyDescent="0.3">
      <c r="F8309" s="14"/>
    </row>
    <row r="8310" spans="6:6" x14ac:dyDescent="0.3">
      <c r="F8310" s="14"/>
    </row>
    <row r="8311" spans="6:6" x14ac:dyDescent="0.3">
      <c r="F8311" s="14"/>
    </row>
    <row r="8312" spans="6:6" x14ac:dyDescent="0.3">
      <c r="F8312" s="14"/>
    </row>
    <row r="8313" spans="6:6" x14ac:dyDescent="0.3">
      <c r="F8313" s="14"/>
    </row>
    <row r="8314" spans="6:6" x14ac:dyDescent="0.3">
      <c r="F8314" s="14"/>
    </row>
    <row r="8315" spans="6:6" x14ac:dyDescent="0.3">
      <c r="F8315" s="14"/>
    </row>
    <row r="8316" spans="6:6" x14ac:dyDescent="0.3">
      <c r="F8316" s="14"/>
    </row>
    <row r="8317" spans="6:6" x14ac:dyDescent="0.3">
      <c r="F8317" s="14"/>
    </row>
    <row r="8318" spans="6:6" x14ac:dyDescent="0.3">
      <c r="F8318" s="14"/>
    </row>
    <row r="8319" spans="6:6" x14ac:dyDescent="0.3">
      <c r="F8319" s="14"/>
    </row>
    <row r="8320" spans="6:6" x14ac:dyDescent="0.3">
      <c r="F8320" s="14"/>
    </row>
    <row r="8321" spans="6:6" x14ac:dyDescent="0.3">
      <c r="F8321" s="14"/>
    </row>
    <row r="8322" spans="6:6" x14ac:dyDescent="0.3">
      <c r="F8322" s="14"/>
    </row>
    <row r="8323" spans="6:6" x14ac:dyDescent="0.3">
      <c r="F8323" s="14"/>
    </row>
    <row r="8324" spans="6:6" x14ac:dyDescent="0.3">
      <c r="F8324" s="14"/>
    </row>
    <row r="8325" spans="6:6" x14ac:dyDescent="0.3">
      <c r="F8325" s="14"/>
    </row>
    <row r="8326" spans="6:6" x14ac:dyDescent="0.3">
      <c r="F8326" s="14"/>
    </row>
    <row r="8327" spans="6:6" x14ac:dyDescent="0.3">
      <c r="F8327" s="14"/>
    </row>
    <row r="8328" spans="6:6" x14ac:dyDescent="0.3">
      <c r="F8328" s="14"/>
    </row>
    <row r="8329" spans="6:6" x14ac:dyDescent="0.3">
      <c r="F8329" s="14"/>
    </row>
    <row r="8330" spans="6:6" x14ac:dyDescent="0.3">
      <c r="F8330" s="14"/>
    </row>
    <row r="8331" spans="6:6" x14ac:dyDescent="0.3">
      <c r="F8331" s="14"/>
    </row>
    <row r="8332" spans="6:6" x14ac:dyDescent="0.3">
      <c r="F8332" s="14"/>
    </row>
    <row r="8333" spans="6:6" x14ac:dyDescent="0.3">
      <c r="F8333" s="14"/>
    </row>
    <row r="8334" spans="6:6" x14ac:dyDescent="0.3">
      <c r="F8334" s="14"/>
    </row>
    <row r="8335" spans="6:6" x14ac:dyDescent="0.3">
      <c r="F8335" s="14"/>
    </row>
    <row r="8336" spans="6:6" x14ac:dyDescent="0.3">
      <c r="F8336" s="14"/>
    </row>
    <row r="8337" spans="6:6" x14ac:dyDescent="0.3">
      <c r="F8337" s="14"/>
    </row>
    <row r="8338" spans="6:6" x14ac:dyDescent="0.3">
      <c r="F8338" s="14"/>
    </row>
    <row r="8339" spans="6:6" x14ac:dyDescent="0.3">
      <c r="F8339" s="14"/>
    </row>
    <row r="8340" spans="6:6" x14ac:dyDescent="0.3">
      <c r="F8340" s="14"/>
    </row>
    <row r="8341" spans="6:6" x14ac:dyDescent="0.3">
      <c r="F8341" s="14"/>
    </row>
    <row r="8342" spans="6:6" x14ac:dyDescent="0.3">
      <c r="F8342" s="14"/>
    </row>
    <row r="8343" spans="6:6" x14ac:dyDescent="0.3">
      <c r="F8343" s="14"/>
    </row>
    <row r="8344" spans="6:6" x14ac:dyDescent="0.3">
      <c r="F8344" s="14"/>
    </row>
    <row r="8345" spans="6:6" x14ac:dyDescent="0.3">
      <c r="F8345" s="14"/>
    </row>
    <row r="8346" spans="6:6" x14ac:dyDescent="0.3">
      <c r="F8346" s="14"/>
    </row>
    <row r="8347" spans="6:6" x14ac:dyDescent="0.3">
      <c r="F8347" s="14"/>
    </row>
    <row r="8348" spans="6:6" x14ac:dyDescent="0.3">
      <c r="F8348" s="14"/>
    </row>
    <row r="8349" spans="6:6" x14ac:dyDescent="0.3">
      <c r="F8349" s="14"/>
    </row>
    <row r="8350" spans="6:6" x14ac:dyDescent="0.3">
      <c r="F8350" s="14"/>
    </row>
    <row r="8351" spans="6:6" x14ac:dyDescent="0.3">
      <c r="F8351" s="14"/>
    </row>
    <row r="8352" spans="6:6" x14ac:dyDescent="0.3">
      <c r="F8352" s="14"/>
    </row>
    <row r="8353" spans="6:6" x14ac:dyDescent="0.3">
      <c r="F8353" s="14"/>
    </row>
    <row r="8354" spans="6:6" x14ac:dyDescent="0.3">
      <c r="F8354" s="14"/>
    </row>
    <row r="8355" spans="6:6" x14ac:dyDescent="0.3">
      <c r="F8355" s="14"/>
    </row>
    <row r="8356" spans="6:6" x14ac:dyDescent="0.3">
      <c r="F8356" s="14"/>
    </row>
    <row r="8357" spans="6:6" x14ac:dyDescent="0.3">
      <c r="F8357" s="14"/>
    </row>
    <row r="8358" spans="6:6" x14ac:dyDescent="0.3">
      <c r="F8358" s="14"/>
    </row>
    <row r="8359" spans="6:6" x14ac:dyDescent="0.3">
      <c r="F8359" s="14"/>
    </row>
    <row r="8360" spans="6:6" x14ac:dyDescent="0.3">
      <c r="F8360" s="14"/>
    </row>
    <row r="8361" spans="6:6" x14ac:dyDescent="0.3">
      <c r="F8361" s="14"/>
    </row>
    <row r="8362" spans="6:6" x14ac:dyDescent="0.3">
      <c r="F8362" s="14"/>
    </row>
    <row r="8363" spans="6:6" x14ac:dyDescent="0.3">
      <c r="F8363" s="14"/>
    </row>
    <row r="8364" spans="6:6" x14ac:dyDescent="0.3">
      <c r="F8364" s="14"/>
    </row>
    <row r="8365" spans="6:6" x14ac:dyDescent="0.3">
      <c r="F8365" s="14"/>
    </row>
    <row r="8366" spans="6:6" x14ac:dyDescent="0.3">
      <c r="F8366" s="14"/>
    </row>
    <row r="8367" spans="6:6" x14ac:dyDescent="0.3">
      <c r="F8367" s="14"/>
    </row>
    <row r="8368" spans="6:6" x14ac:dyDescent="0.3">
      <c r="F8368" s="14"/>
    </row>
    <row r="8369" spans="6:6" x14ac:dyDescent="0.3">
      <c r="F8369" s="14"/>
    </row>
    <row r="8370" spans="6:6" x14ac:dyDescent="0.3">
      <c r="F8370" s="14"/>
    </row>
    <row r="8371" spans="6:6" x14ac:dyDescent="0.3">
      <c r="F8371" s="14"/>
    </row>
    <row r="8372" spans="6:6" x14ac:dyDescent="0.3">
      <c r="F8372" s="14"/>
    </row>
    <row r="8373" spans="6:6" x14ac:dyDescent="0.3">
      <c r="F8373" s="14"/>
    </row>
    <row r="8374" spans="6:6" x14ac:dyDescent="0.3">
      <c r="F8374" s="14"/>
    </row>
    <row r="8375" spans="6:6" x14ac:dyDescent="0.3">
      <c r="F8375" s="14"/>
    </row>
    <row r="8376" spans="6:6" x14ac:dyDescent="0.3">
      <c r="F8376" s="14"/>
    </row>
    <row r="8377" spans="6:6" x14ac:dyDescent="0.3">
      <c r="F8377" s="14"/>
    </row>
    <row r="8378" spans="6:6" x14ac:dyDescent="0.3">
      <c r="F8378" s="14"/>
    </row>
    <row r="8379" spans="6:6" x14ac:dyDescent="0.3">
      <c r="F8379" s="14"/>
    </row>
    <row r="8380" spans="6:6" x14ac:dyDescent="0.3">
      <c r="F8380" s="14"/>
    </row>
    <row r="8381" spans="6:6" x14ac:dyDescent="0.3">
      <c r="F8381" s="14"/>
    </row>
    <row r="8382" spans="6:6" x14ac:dyDescent="0.3">
      <c r="F8382" s="14"/>
    </row>
    <row r="8383" spans="6:6" x14ac:dyDescent="0.3">
      <c r="F8383" s="14"/>
    </row>
    <row r="8384" spans="6:6" x14ac:dyDescent="0.3">
      <c r="F8384" s="14"/>
    </row>
    <row r="8385" spans="6:6" x14ac:dyDescent="0.3">
      <c r="F8385" s="14"/>
    </row>
    <row r="8386" spans="6:6" x14ac:dyDescent="0.3">
      <c r="F8386" s="14"/>
    </row>
    <row r="8387" spans="6:6" x14ac:dyDescent="0.3">
      <c r="F8387" s="14"/>
    </row>
    <row r="8388" spans="6:6" x14ac:dyDescent="0.3">
      <c r="F8388" s="14"/>
    </row>
    <row r="8389" spans="6:6" x14ac:dyDescent="0.3">
      <c r="F8389" s="14"/>
    </row>
    <row r="8390" spans="6:6" x14ac:dyDescent="0.3">
      <c r="F8390" s="14"/>
    </row>
    <row r="8391" spans="6:6" x14ac:dyDescent="0.3">
      <c r="F8391" s="14"/>
    </row>
    <row r="8392" spans="6:6" x14ac:dyDescent="0.3">
      <c r="F8392" s="14"/>
    </row>
    <row r="8393" spans="6:6" x14ac:dyDescent="0.3">
      <c r="F8393" s="14"/>
    </row>
    <row r="8394" spans="6:6" x14ac:dyDescent="0.3">
      <c r="F8394" s="14"/>
    </row>
    <row r="8395" spans="6:6" x14ac:dyDescent="0.3">
      <c r="F8395" s="14"/>
    </row>
    <row r="8396" spans="6:6" x14ac:dyDescent="0.3">
      <c r="F8396" s="14"/>
    </row>
    <row r="8397" spans="6:6" x14ac:dyDescent="0.3">
      <c r="F8397" s="14"/>
    </row>
    <row r="8398" spans="6:6" x14ac:dyDescent="0.3">
      <c r="F8398" s="14"/>
    </row>
    <row r="8399" spans="6:6" x14ac:dyDescent="0.3">
      <c r="F8399" s="14"/>
    </row>
    <row r="8400" spans="6:6" x14ac:dyDescent="0.3">
      <c r="F8400" s="14"/>
    </row>
    <row r="8401" spans="6:6" x14ac:dyDescent="0.3">
      <c r="F8401" s="14"/>
    </row>
    <row r="8402" spans="6:6" x14ac:dyDescent="0.3">
      <c r="F8402" s="14"/>
    </row>
    <row r="8403" spans="6:6" x14ac:dyDescent="0.3">
      <c r="F8403" s="14"/>
    </row>
    <row r="8404" spans="6:6" x14ac:dyDescent="0.3">
      <c r="F8404" s="14"/>
    </row>
    <row r="8405" spans="6:6" x14ac:dyDescent="0.3">
      <c r="F8405" s="14"/>
    </row>
    <row r="8406" spans="6:6" x14ac:dyDescent="0.3">
      <c r="F8406" s="14"/>
    </row>
    <row r="8407" spans="6:6" x14ac:dyDescent="0.3">
      <c r="F8407" s="14"/>
    </row>
    <row r="8408" spans="6:6" x14ac:dyDescent="0.3">
      <c r="F8408" s="14"/>
    </row>
    <row r="8409" spans="6:6" x14ac:dyDescent="0.3">
      <c r="F8409" s="14"/>
    </row>
    <row r="8410" spans="6:6" x14ac:dyDescent="0.3">
      <c r="F8410" s="14"/>
    </row>
    <row r="8411" spans="6:6" x14ac:dyDescent="0.3">
      <c r="F8411" s="14"/>
    </row>
    <row r="8412" spans="6:6" x14ac:dyDescent="0.3">
      <c r="F8412" s="14"/>
    </row>
    <row r="8413" spans="6:6" x14ac:dyDescent="0.3">
      <c r="F8413" s="14"/>
    </row>
    <row r="8414" spans="6:6" x14ac:dyDescent="0.3">
      <c r="F8414" s="14"/>
    </row>
    <row r="8415" spans="6:6" x14ac:dyDescent="0.3">
      <c r="F8415" s="14"/>
    </row>
    <row r="8416" spans="6:6" x14ac:dyDescent="0.3">
      <c r="F8416" s="14"/>
    </row>
    <row r="8417" spans="6:6" x14ac:dyDescent="0.3">
      <c r="F8417" s="14"/>
    </row>
    <row r="8418" spans="6:6" x14ac:dyDescent="0.3">
      <c r="F8418" s="14"/>
    </row>
    <row r="8419" spans="6:6" x14ac:dyDescent="0.3">
      <c r="F8419" s="14"/>
    </row>
    <row r="8420" spans="6:6" x14ac:dyDescent="0.3">
      <c r="F8420" s="14"/>
    </row>
    <row r="8421" spans="6:6" x14ac:dyDescent="0.3">
      <c r="F8421" s="14"/>
    </row>
    <row r="8422" spans="6:6" x14ac:dyDescent="0.3">
      <c r="F8422" s="14"/>
    </row>
    <row r="8423" spans="6:6" x14ac:dyDescent="0.3">
      <c r="F8423" s="14"/>
    </row>
    <row r="8424" spans="6:6" x14ac:dyDescent="0.3">
      <c r="F8424" s="14"/>
    </row>
    <row r="8425" spans="6:6" x14ac:dyDescent="0.3">
      <c r="F8425" s="14"/>
    </row>
    <row r="8426" spans="6:6" x14ac:dyDescent="0.3">
      <c r="F8426" s="14"/>
    </row>
    <row r="8427" spans="6:6" x14ac:dyDescent="0.3">
      <c r="F8427" s="14"/>
    </row>
    <row r="8428" spans="6:6" x14ac:dyDescent="0.3">
      <c r="F8428" s="14"/>
    </row>
    <row r="8429" spans="6:6" x14ac:dyDescent="0.3">
      <c r="F8429" s="14"/>
    </row>
    <row r="8430" spans="6:6" x14ac:dyDescent="0.3">
      <c r="F8430" s="14"/>
    </row>
    <row r="8431" spans="6:6" x14ac:dyDescent="0.3">
      <c r="F8431" s="14"/>
    </row>
    <row r="8432" spans="6:6" x14ac:dyDescent="0.3">
      <c r="F8432" s="14"/>
    </row>
    <row r="8433" spans="6:6" x14ac:dyDescent="0.3">
      <c r="F8433" s="14"/>
    </row>
    <row r="8434" spans="6:6" x14ac:dyDescent="0.3">
      <c r="F8434" s="14"/>
    </row>
    <row r="8435" spans="6:6" x14ac:dyDescent="0.3">
      <c r="F8435" s="14"/>
    </row>
    <row r="8436" spans="6:6" x14ac:dyDescent="0.3">
      <c r="F8436" s="14"/>
    </row>
    <row r="8437" spans="6:6" x14ac:dyDescent="0.3">
      <c r="F8437" s="14"/>
    </row>
    <row r="8438" spans="6:6" x14ac:dyDescent="0.3">
      <c r="F8438" s="14"/>
    </row>
    <row r="8439" spans="6:6" x14ac:dyDescent="0.3">
      <c r="F8439" s="14"/>
    </row>
    <row r="8440" spans="6:6" x14ac:dyDescent="0.3">
      <c r="F8440" s="14"/>
    </row>
    <row r="8441" spans="6:6" x14ac:dyDescent="0.3">
      <c r="F8441" s="14"/>
    </row>
    <row r="8442" spans="6:6" x14ac:dyDescent="0.3">
      <c r="F8442" s="14"/>
    </row>
    <row r="8443" spans="6:6" x14ac:dyDescent="0.3">
      <c r="F8443" s="14"/>
    </row>
    <row r="8444" spans="6:6" x14ac:dyDescent="0.3">
      <c r="F8444" s="14"/>
    </row>
    <row r="8445" spans="6:6" x14ac:dyDescent="0.3">
      <c r="F8445" s="14"/>
    </row>
    <row r="8446" spans="6:6" x14ac:dyDescent="0.3">
      <c r="F8446" s="14"/>
    </row>
    <row r="8447" spans="6:6" x14ac:dyDescent="0.3">
      <c r="F8447" s="14"/>
    </row>
    <row r="8448" spans="6:6" x14ac:dyDescent="0.3">
      <c r="F8448" s="14"/>
    </row>
    <row r="8449" spans="6:6" x14ac:dyDescent="0.3">
      <c r="F8449" s="14"/>
    </row>
    <row r="8450" spans="6:6" x14ac:dyDescent="0.3">
      <c r="F8450" s="14"/>
    </row>
    <row r="8451" spans="6:6" x14ac:dyDescent="0.3">
      <c r="F8451" s="14"/>
    </row>
    <row r="8452" spans="6:6" x14ac:dyDescent="0.3">
      <c r="F8452" s="14"/>
    </row>
    <row r="8453" spans="6:6" x14ac:dyDescent="0.3">
      <c r="F8453" s="14"/>
    </row>
    <row r="8454" spans="6:6" x14ac:dyDescent="0.3">
      <c r="F8454" s="14"/>
    </row>
    <row r="8455" spans="6:6" x14ac:dyDescent="0.3">
      <c r="F8455" s="14"/>
    </row>
    <row r="8456" spans="6:6" x14ac:dyDescent="0.3">
      <c r="F8456" s="14"/>
    </row>
    <row r="8457" spans="6:6" x14ac:dyDescent="0.3">
      <c r="F8457" s="14"/>
    </row>
    <row r="8458" spans="6:6" x14ac:dyDescent="0.3">
      <c r="F8458" s="14"/>
    </row>
    <row r="8459" spans="6:6" x14ac:dyDescent="0.3">
      <c r="F8459" s="14"/>
    </row>
    <row r="8460" spans="6:6" x14ac:dyDescent="0.3">
      <c r="F8460" s="14"/>
    </row>
    <row r="8461" spans="6:6" x14ac:dyDescent="0.3">
      <c r="F8461" s="14"/>
    </row>
    <row r="8462" spans="6:6" x14ac:dyDescent="0.3">
      <c r="F8462" s="14"/>
    </row>
    <row r="8463" spans="6:6" x14ac:dyDescent="0.3">
      <c r="F8463" s="14"/>
    </row>
    <row r="8464" spans="6:6" x14ac:dyDescent="0.3">
      <c r="F8464" s="14"/>
    </row>
    <row r="8465" spans="6:6" x14ac:dyDescent="0.3">
      <c r="F8465" s="14"/>
    </row>
    <row r="8466" spans="6:6" x14ac:dyDescent="0.3">
      <c r="F8466" s="14"/>
    </row>
    <row r="8467" spans="6:6" x14ac:dyDescent="0.3">
      <c r="F8467" s="14"/>
    </row>
    <row r="8468" spans="6:6" x14ac:dyDescent="0.3">
      <c r="F8468" s="14"/>
    </row>
    <row r="8469" spans="6:6" x14ac:dyDescent="0.3">
      <c r="F8469" s="14"/>
    </row>
    <row r="8470" spans="6:6" x14ac:dyDescent="0.3">
      <c r="F8470" s="14"/>
    </row>
    <row r="8471" spans="6:6" x14ac:dyDescent="0.3">
      <c r="F8471" s="14"/>
    </row>
    <row r="8472" spans="6:6" x14ac:dyDescent="0.3">
      <c r="F8472" s="14"/>
    </row>
    <row r="8473" spans="6:6" x14ac:dyDescent="0.3">
      <c r="F8473" s="14"/>
    </row>
    <row r="8474" spans="6:6" x14ac:dyDescent="0.3">
      <c r="F8474" s="14"/>
    </row>
    <row r="8475" spans="6:6" x14ac:dyDescent="0.3">
      <c r="F8475" s="14"/>
    </row>
    <row r="8476" spans="6:6" x14ac:dyDescent="0.3">
      <c r="F8476" s="14"/>
    </row>
    <row r="8477" spans="6:6" x14ac:dyDescent="0.3">
      <c r="F8477" s="14"/>
    </row>
    <row r="8478" spans="6:6" x14ac:dyDescent="0.3">
      <c r="F8478" s="14"/>
    </row>
    <row r="8479" spans="6:6" x14ac:dyDescent="0.3">
      <c r="F8479" s="14"/>
    </row>
    <row r="8480" spans="6:6" x14ac:dyDescent="0.3">
      <c r="F8480" s="14"/>
    </row>
    <row r="8481" spans="6:6" x14ac:dyDescent="0.3">
      <c r="F8481" s="14"/>
    </row>
    <row r="8482" spans="6:6" x14ac:dyDescent="0.3">
      <c r="F8482" s="14"/>
    </row>
    <row r="8483" spans="6:6" x14ac:dyDescent="0.3">
      <c r="F8483" s="14"/>
    </row>
    <row r="8484" spans="6:6" x14ac:dyDescent="0.3">
      <c r="F8484" s="14"/>
    </row>
    <row r="8485" spans="6:6" x14ac:dyDescent="0.3">
      <c r="F8485" s="14"/>
    </row>
    <row r="8486" spans="6:6" x14ac:dyDescent="0.3">
      <c r="F8486" s="14"/>
    </row>
    <row r="8487" spans="6:6" x14ac:dyDescent="0.3">
      <c r="F8487" s="14"/>
    </row>
    <row r="8488" spans="6:6" x14ac:dyDescent="0.3">
      <c r="F8488" s="14"/>
    </row>
    <row r="8489" spans="6:6" x14ac:dyDescent="0.3">
      <c r="F8489" s="14"/>
    </row>
    <row r="8490" spans="6:6" x14ac:dyDescent="0.3">
      <c r="F8490" s="14"/>
    </row>
    <row r="8491" spans="6:6" x14ac:dyDescent="0.3">
      <c r="F8491" s="14"/>
    </row>
    <row r="8492" spans="6:6" x14ac:dyDescent="0.3">
      <c r="F8492" s="14"/>
    </row>
    <row r="8493" spans="6:6" x14ac:dyDescent="0.3">
      <c r="F8493" s="14"/>
    </row>
    <row r="8494" spans="6:6" x14ac:dyDescent="0.3">
      <c r="F8494" s="14"/>
    </row>
    <row r="8495" spans="6:6" x14ac:dyDescent="0.3">
      <c r="F8495" s="14"/>
    </row>
    <row r="8496" spans="6:6" x14ac:dyDescent="0.3">
      <c r="F8496" s="14"/>
    </row>
    <row r="8497" spans="6:6" x14ac:dyDescent="0.3">
      <c r="F8497" s="14"/>
    </row>
    <row r="8498" spans="6:6" x14ac:dyDescent="0.3">
      <c r="F8498" s="14"/>
    </row>
    <row r="8499" spans="6:6" x14ac:dyDescent="0.3">
      <c r="F8499" s="14"/>
    </row>
    <row r="8500" spans="6:6" x14ac:dyDescent="0.3">
      <c r="F8500" s="14"/>
    </row>
    <row r="8501" spans="6:6" x14ac:dyDescent="0.3">
      <c r="F8501" s="14"/>
    </row>
    <row r="8502" spans="6:6" x14ac:dyDescent="0.3">
      <c r="F8502" s="14"/>
    </row>
    <row r="8503" spans="6:6" x14ac:dyDescent="0.3">
      <c r="F8503" s="14"/>
    </row>
    <row r="8504" spans="6:6" x14ac:dyDescent="0.3">
      <c r="F8504" s="14"/>
    </row>
    <row r="8505" spans="6:6" x14ac:dyDescent="0.3">
      <c r="F8505" s="14"/>
    </row>
    <row r="8506" spans="6:6" x14ac:dyDescent="0.3">
      <c r="F8506" s="14"/>
    </row>
    <row r="8507" spans="6:6" x14ac:dyDescent="0.3">
      <c r="F8507" s="14"/>
    </row>
    <row r="8508" spans="6:6" x14ac:dyDescent="0.3">
      <c r="F8508" s="14"/>
    </row>
    <row r="8509" spans="6:6" x14ac:dyDescent="0.3">
      <c r="F8509" s="14"/>
    </row>
    <row r="8510" spans="6:6" x14ac:dyDescent="0.3">
      <c r="F8510" s="14"/>
    </row>
    <row r="8511" spans="6:6" x14ac:dyDescent="0.3">
      <c r="F8511" s="14"/>
    </row>
    <row r="8512" spans="6:6" x14ac:dyDescent="0.3">
      <c r="F8512" s="14"/>
    </row>
    <row r="8513" spans="6:6" x14ac:dyDescent="0.3">
      <c r="F8513" s="14"/>
    </row>
    <row r="8514" spans="6:6" x14ac:dyDescent="0.3">
      <c r="F8514" s="14"/>
    </row>
    <row r="8515" spans="6:6" x14ac:dyDescent="0.3">
      <c r="F8515" s="14"/>
    </row>
    <row r="8516" spans="6:6" x14ac:dyDescent="0.3">
      <c r="F8516" s="14"/>
    </row>
    <row r="8517" spans="6:6" x14ac:dyDescent="0.3">
      <c r="F8517" s="14"/>
    </row>
    <row r="8518" spans="6:6" x14ac:dyDescent="0.3">
      <c r="F8518" s="14"/>
    </row>
    <row r="8519" spans="6:6" x14ac:dyDescent="0.3">
      <c r="F8519" s="14"/>
    </row>
    <row r="8520" spans="6:6" x14ac:dyDescent="0.3">
      <c r="F8520" s="14"/>
    </row>
    <row r="8521" spans="6:6" x14ac:dyDescent="0.3">
      <c r="F8521" s="14"/>
    </row>
    <row r="8522" spans="6:6" x14ac:dyDescent="0.3">
      <c r="F8522" s="14"/>
    </row>
    <row r="8523" spans="6:6" x14ac:dyDescent="0.3">
      <c r="F8523" s="14"/>
    </row>
    <row r="8524" spans="6:6" x14ac:dyDescent="0.3">
      <c r="F8524" s="14"/>
    </row>
    <row r="8525" spans="6:6" x14ac:dyDescent="0.3">
      <c r="F8525" s="14"/>
    </row>
    <row r="8526" spans="6:6" x14ac:dyDescent="0.3">
      <c r="F8526" s="14"/>
    </row>
    <row r="8527" spans="6:6" x14ac:dyDescent="0.3">
      <c r="F8527" s="14"/>
    </row>
    <row r="8528" spans="6:6" x14ac:dyDescent="0.3">
      <c r="F8528" s="14"/>
    </row>
    <row r="8529" spans="6:6" x14ac:dyDescent="0.3">
      <c r="F8529" s="14"/>
    </row>
    <row r="8530" spans="6:6" x14ac:dyDescent="0.3">
      <c r="F8530" s="14"/>
    </row>
    <row r="8531" spans="6:6" x14ac:dyDescent="0.3">
      <c r="F8531" s="14"/>
    </row>
    <row r="8532" spans="6:6" x14ac:dyDescent="0.3">
      <c r="F8532" s="14"/>
    </row>
    <row r="8533" spans="6:6" x14ac:dyDescent="0.3">
      <c r="F8533" s="14"/>
    </row>
    <row r="8534" spans="6:6" x14ac:dyDescent="0.3">
      <c r="F8534" s="14"/>
    </row>
    <row r="8535" spans="6:6" x14ac:dyDescent="0.3">
      <c r="F8535" s="14"/>
    </row>
    <row r="8536" spans="6:6" x14ac:dyDescent="0.3">
      <c r="F8536" s="14"/>
    </row>
    <row r="8537" spans="6:6" x14ac:dyDescent="0.3">
      <c r="F8537" s="14"/>
    </row>
    <row r="8538" spans="6:6" x14ac:dyDescent="0.3">
      <c r="F8538" s="14"/>
    </row>
    <row r="8539" spans="6:6" x14ac:dyDescent="0.3">
      <c r="F8539" s="14"/>
    </row>
    <row r="8540" spans="6:6" x14ac:dyDescent="0.3">
      <c r="F8540" s="14"/>
    </row>
    <row r="8541" spans="6:6" x14ac:dyDescent="0.3">
      <c r="F8541" s="14"/>
    </row>
    <row r="8542" spans="6:6" x14ac:dyDescent="0.3">
      <c r="F8542" s="14"/>
    </row>
    <row r="8543" spans="6:6" x14ac:dyDescent="0.3">
      <c r="F8543" s="14"/>
    </row>
    <row r="8544" spans="6:6" x14ac:dyDescent="0.3">
      <c r="F8544" s="14"/>
    </row>
    <row r="8545" spans="6:6" x14ac:dyDescent="0.3">
      <c r="F8545" s="14"/>
    </row>
    <row r="8546" spans="6:6" x14ac:dyDescent="0.3">
      <c r="F8546" s="14"/>
    </row>
    <row r="8547" spans="6:6" x14ac:dyDescent="0.3">
      <c r="F8547" s="14"/>
    </row>
    <row r="8548" spans="6:6" x14ac:dyDescent="0.3">
      <c r="F8548" s="14"/>
    </row>
    <row r="8549" spans="6:6" x14ac:dyDescent="0.3">
      <c r="F8549" s="14"/>
    </row>
    <row r="8550" spans="6:6" x14ac:dyDescent="0.3">
      <c r="F8550" s="14"/>
    </row>
    <row r="8551" spans="6:6" x14ac:dyDescent="0.3">
      <c r="F8551" s="14"/>
    </row>
    <row r="8552" spans="6:6" x14ac:dyDescent="0.3">
      <c r="F8552" s="14"/>
    </row>
    <row r="8553" spans="6:6" x14ac:dyDescent="0.3">
      <c r="F8553" s="14"/>
    </row>
    <row r="8554" spans="6:6" x14ac:dyDescent="0.3">
      <c r="F8554" s="14"/>
    </row>
    <row r="8555" spans="6:6" x14ac:dyDescent="0.3">
      <c r="F8555" s="14"/>
    </row>
    <row r="8556" spans="6:6" x14ac:dyDescent="0.3">
      <c r="F8556" s="14"/>
    </row>
    <row r="8557" spans="6:6" x14ac:dyDescent="0.3">
      <c r="F8557" s="14"/>
    </row>
    <row r="8558" spans="6:6" x14ac:dyDescent="0.3">
      <c r="F8558" s="14"/>
    </row>
    <row r="8559" spans="6:6" x14ac:dyDescent="0.3">
      <c r="F8559" s="14"/>
    </row>
    <row r="8560" spans="6:6" x14ac:dyDescent="0.3">
      <c r="F8560" s="14"/>
    </row>
    <row r="8561" spans="6:6" x14ac:dyDescent="0.3">
      <c r="F8561" s="14"/>
    </row>
    <row r="8562" spans="6:6" x14ac:dyDescent="0.3">
      <c r="F8562" s="14"/>
    </row>
    <row r="8563" spans="6:6" x14ac:dyDescent="0.3">
      <c r="F8563" s="14"/>
    </row>
    <row r="8564" spans="6:6" x14ac:dyDescent="0.3">
      <c r="F8564" s="14"/>
    </row>
    <row r="8565" spans="6:6" x14ac:dyDescent="0.3">
      <c r="F8565" s="14"/>
    </row>
    <row r="8566" spans="6:6" x14ac:dyDescent="0.3">
      <c r="F8566" s="14"/>
    </row>
    <row r="8567" spans="6:6" x14ac:dyDescent="0.3">
      <c r="F8567" s="14"/>
    </row>
    <row r="8568" spans="6:6" x14ac:dyDescent="0.3">
      <c r="F8568" s="14"/>
    </row>
    <row r="8569" spans="6:6" x14ac:dyDescent="0.3">
      <c r="F8569" s="14"/>
    </row>
    <row r="8570" spans="6:6" x14ac:dyDescent="0.3">
      <c r="F8570" s="14"/>
    </row>
    <row r="8571" spans="6:6" x14ac:dyDescent="0.3">
      <c r="F8571" s="14"/>
    </row>
    <row r="8572" spans="6:6" x14ac:dyDescent="0.3">
      <c r="F8572" s="14"/>
    </row>
    <row r="8573" spans="6:6" x14ac:dyDescent="0.3">
      <c r="F8573" s="14"/>
    </row>
    <row r="8574" spans="6:6" x14ac:dyDescent="0.3">
      <c r="F8574" s="14"/>
    </row>
    <row r="8575" spans="6:6" x14ac:dyDescent="0.3">
      <c r="F8575" s="14"/>
    </row>
    <row r="8576" spans="6:6" x14ac:dyDescent="0.3">
      <c r="F8576" s="14"/>
    </row>
    <row r="8577" spans="6:6" x14ac:dyDescent="0.3">
      <c r="F8577" s="14"/>
    </row>
    <row r="8578" spans="6:6" x14ac:dyDescent="0.3">
      <c r="F8578" s="14"/>
    </row>
    <row r="8579" spans="6:6" x14ac:dyDescent="0.3">
      <c r="F8579" s="14"/>
    </row>
    <row r="8580" spans="6:6" x14ac:dyDescent="0.3">
      <c r="F8580" s="14"/>
    </row>
    <row r="8581" spans="6:6" x14ac:dyDescent="0.3">
      <c r="F8581" s="14"/>
    </row>
    <row r="8582" spans="6:6" x14ac:dyDescent="0.3">
      <c r="F8582" s="14"/>
    </row>
    <row r="8583" spans="6:6" x14ac:dyDescent="0.3">
      <c r="F8583" s="14"/>
    </row>
    <row r="8584" spans="6:6" x14ac:dyDescent="0.3">
      <c r="F8584" s="14"/>
    </row>
    <row r="8585" spans="6:6" x14ac:dyDescent="0.3">
      <c r="F8585" s="14"/>
    </row>
    <row r="8586" spans="6:6" x14ac:dyDescent="0.3">
      <c r="F8586" s="14"/>
    </row>
    <row r="8587" spans="6:6" x14ac:dyDescent="0.3">
      <c r="F8587" s="14"/>
    </row>
    <row r="8588" spans="6:6" x14ac:dyDescent="0.3">
      <c r="F8588" s="14"/>
    </row>
    <row r="8589" spans="6:6" x14ac:dyDescent="0.3">
      <c r="F8589" s="14"/>
    </row>
    <row r="8590" spans="6:6" x14ac:dyDescent="0.3">
      <c r="F8590" s="14"/>
    </row>
    <row r="8591" spans="6:6" x14ac:dyDescent="0.3">
      <c r="F8591" s="14"/>
    </row>
    <row r="8592" spans="6:6" x14ac:dyDescent="0.3">
      <c r="F8592" s="14"/>
    </row>
    <row r="8593" spans="6:6" x14ac:dyDescent="0.3">
      <c r="F8593" s="14"/>
    </row>
    <row r="8594" spans="6:6" x14ac:dyDescent="0.3">
      <c r="F8594" s="14"/>
    </row>
    <row r="8595" spans="6:6" x14ac:dyDescent="0.3">
      <c r="F8595" s="14"/>
    </row>
    <row r="8596" spans="6:6" x14ac:dyDescent="0.3">
      <c r="F8596" s="14"/>
    </row>
    <row r="8597" spans="6:6" x14ac:dyDescent="0.3">
      <c r="F8597" s="14"/>
    </row>
    <row r="8598" spans="6:6" x14ac:dyDescent="0.3">
      <c r="F8598" s="14"/>
    </row>
    <row r="8599" spans="6:6" x14ac:dyDescent="0.3">
      <c r="F8599" s="14"/>
    </row>
    <row r="8600" spans="6:6" x14ac:dyDescent="0.3">
      <c r="F8600" s="14"/>
    </row>
    <row r="8601" spans="6:6" x14ac:dyDescent="0.3">
      <c r="F8601" s="14"/>
    </row>
    <row r="8602" spans="6:6" x14ac:dyDescent="0.3">
      <c r="F8602" s="14"/>
    </row>
    <row r="8603" spans="6:6" x14ac:dyDescent="0.3">
      <c r="F8603" s="14"/>
    </row>
    <row r="8604" spans="6:6" x14ac:dyDescent="0.3">
      <c r="F8604" s="14"/>
    </row>
    <row r="8605" spans="6:6" x14ac:dyDescent="0.3">
      <c r="F8605" s="14"/>
    </row>
    <row r="8606" spans="6:6" x14ac:dyDescent="0.3">
      <c r="F8606" s="14"/>
    </row>
    <row r="8607" spans="6:6" x14ac:dyDescent="0.3">
      <c r="F8607" s="14"/>
    </row>
    <row r="8608" spans="6:6" x14ac:dyDescent="0.3">
      <c r="F8608" s="14"/>
    </row>
    <row r="8609" spans="6:6" x14ac:dyDescent="0.3">
      <c r="F8609" s="14"/>
    </row>
    <row r="8610" spans="6:6" x14ac:dyDescent="0.3">
      <c r="F8610" s="14"/>
    </row>
    <row r="8611" spans="6:6" x14ac:dyDescent="0.3">
      <c r="F8611" s="14"/>
    </row>
    <row r="8612" spans="6:6" x14ac:dyDescent="0.3">
      <c r="F8612" s="14"/>
    </row>
    <row r="8613" spans="6:6" x14ac:dyDescent="0.3">
      <c r="F8613" s="14"/>
    </row>
    <row r="8614" spans="6:6" x14ac:dyDescent="0.3">
      <c r="F8614" s="14"/>
    </row>
    <row r="8615" spans="6:6" x14ac:dyDescent="0.3">
      <c r="F8615" s="14"/>
    </row>
    <row r="8616" spans="6:6" x14ac:dyDescent="0.3">
      <c r="F8616" s="14"/>
    </row>
    <row r="8617" spans="6:6" x14ac:dyDescent="0.3">
      <c r="F8617" s="14"/>
    </row>
    <row r="8618" spans="6:6" x14ac:dyDescent="0.3">
      <c r="F8618" s="14"/>
    </row>
    <row r="8619" spans="6:6" x14ac:dyDescent="0.3">
      <c r="F8619" s="14"/>
    </row>
    <row r="8620" spans="6:6" x14ac:dyDescent="0.3">
      <c r="F8620" s="14"/>
    </row>
    <row r="8621" spans="6:6" x14ac:dyDescent="0.3">
      <c r="F8621" s="14"/>
    </row>
    <row r="8622" spans="6:6" x14ac:dyDescent="0.3">
      <c r="F8622" s="14"/>
    </row>
    <row r="8623" spans="6:6" x14ac:dyDescent="0.3">
      <c r="F8623" s="14"/>
    </row>
    <row r="8624" spans="6:6" x14ac:dyDescent="0.3">
      <c r="F8624" s="14"/>
    </row>
    <row r="8625" spans="6:6" x14ac:dyDescent="0.3">
      <c r="F8625" s="14"/>
    </row>
    <row r="8626" spans="6:6" x14ac:dyDescent="0.3">
      <c r="F8626" s="14"/>
    </row>
    <row r="8627" spans="6:6" x14ac:dyDescent="0.3">
      <c r="F8627" s="14"/>
    </row>
    <row r="8628" spans="6:6" x14ac:dyDescent="0.3">
      <c r="F8628" s="14"/>
    </row>
    <row r="8629" spans="6:6" x14ac:dyDescent="0.3">
      <c r="F8629" s="14"/>
    </row>
    <row r="8630" spans="6:6" x14ac:dyDescent="0.3">
      <c r="F8630" s="14"/>
    </row>
    <row r="8631" spans="6:6" x14ac:dyDescent="0.3">
      <c r="F8631" s="14"/>
    </row>
    <row r="8632" spans="6:6" x14ac:dyDescent="0.3">
      <c r="F8632" s="14"/>
    </row>
    <row r="8633" spans="6:6" x14ac:dyDescent="0.3">
      <c r="F8633" s="14"/>
    </row>
    <row r="8634" spans="6:6" x14ac:dyDescent="0.3">
      <c r="F8634" s="14"/>
    </row>
    <row r="8635" spans="6:6" x14ac:dyDescent="0.3">
      <c r="F8635" s="14"/>
    </row>
    <row r="8636" spans="6:6" x14ac:dyDescent="0.3">
      <c r="F8636" s="14"/>
    </row>
    <row r="8637" spans="6:6" x14ac:dyDescent="0.3">
      <c r="F8637" s="14"/>
    </row>
    <row r="8638" spans="6:6" x14ac:dyDescent="0.3">
      <c r="F8638" s="14"/>
    </row>
    <row r="8639" spans="6:6" x14ac:dyDescent="0.3">
      <c r="F8639" s="14"/>
    </row>
    <row r="8640" spans="6:6" x14ac:dyDescent="0.3">
      <c r="F8640" s="14"/>
    </row>
    <row r="8641" spans="6:6" x14ac:dyDescent="0.3">
      <c r="F8641" s="14"/>
    </row>
    <row r="8642" spans="6:6" x14ac:dyDescent="0.3">
      <c r="F8642" s="14"/>
    </row>
    <row r="8643" spans="6:6" x14ac:dyDescent="0.3">
      <c r="F8643" s="14"/>
    </row>
    <row r="8644" spans="6:6" x14ac:dyDescent="0.3">
      <c r="F8644" s="14"/>
    </row>
    <row r="8645" spans="6:6" x14ac:dyDescent="0.3">
      <c r="F8645" s="14"/>
    </row>
    <row r="8646" spans="6:6" x14ac:dyDescent="0.3">
      <c r="F8646" s="14"/>
    </row>
    <row r="8647" spans="6:6" x14ac:dyDescent="0.3">
      <c r="F8647" s="14"/>
    </row>
    <row r="8648" spans="6:6" x14ac:dyDescent="0.3">
      <c r="F8648" s="14"/>
    </row>
    <row r="8649" spans="6:6" x14ac:dyDescent="0.3">
      <c r="F8649" s="14"/>
    </row>
    <row r="8650" spans="6:6" x14ac:dyDescent="0.3">
      <c r="F8650" s="14"/>
    </row>
    <row r="8651" spans="6:6" x14ac:dyDescent="0.3">
      <c r="F8651" s="14"/>
    </row>
    <row r="8652" spans="6:6" x14ac:dyDescent="0.3">
      <c r="F8652" s="14"/>
    </row>
    <row r="8653" spans="6:6" x14ac:dyDescent="0.3">
      <c r="F8653" s="14"/>
    </row>
    <row r="8654" spans="6:6" x14ac:dyDescent="0.3">
      <c r="F8654" s="14"/>
    </row>
    <row r="8655" spans="6:6" x14ac:dyDescent="0.3">
      <c r="F8655" s="14"/>
    </row>
    <row r="8656" spans="6:6" x14ac:dyDescent="0.3">
      <c r="F8656" s="14"/>
    </row>
    <row r="8657" spans="6:6" x14ac:dyDescent="0.3">
      <c r="F8657" s="14"/>
    </row>
    <row r="8658" spans="6:6" x14ac:dyDescent="0.3">
      <c r="F8658" s="14"/>
    </row>
    <row r="8659" spans="6:6" x14ac:dyDescent="0.3">
      <c r="F8659" s="14"/>
    </row>
    <row r="8660" spans="6:6" x14ac:dyDescent="0.3">
      <c r="F8660" s="14"/>
    </row>
    <row r="8661" spans="6:6" x14ac:dyDescent="0.3">
      <c r="F8661" s="14"/>
    </row>
    <row r="8662" spans="6:6" x14ac:dyDescent="0.3">
      <c r="F8662" s="14"/>
    </row>
    <row r="8663" spans="6:6" x14ac:dyDescent="0.3">
      <c r="F8663" s="14"/>
    </row>
    <row r="8664" spans="6:6" x14ac:dyDescent="0.3">
      <c r="F8664" s="14"/>
    </row>
    <row r="8665" spans="6:6" x14ac:dyDescent="0.3">
      <c r="F8665" s="14"/>
    </row>
    <row r="8666" spans="6:6" x14ac:dyDescent="0.3">
      <c r="F8666" s="14"/>
    </row>
    <row r="8667" spans="6:6" x14ac:dyDescent="0.3">
      <c r="F8667" s="14"/>
    </row>
    <row r="8668" spans="6:6" x14ac:dyDescent="0.3">
      <c r="F8668" s="14"/>
    </row>
    <row r="8669" spans="6:6" x14ac:dyDescent="0.3">
      <c r="F8669" s="14"/>
    </row>
    <row r="8670" spans="6:6" x14ac:dyDescent="0.3">
      <c r="F8670" s="14"/>
    </row>
    <row r="8671" spans="6:6" x14ac:dyDescent="0.3">
      <c r="F8671" s="14"/>
    </row>
    <row r="8672" spans="6:6" x14ac:dyDescent="0.3">
      <c r="F8672" s="14"/>
    </row>
    <row r="8673" spans="6:6" x14ac:dyDescent="0.3">
      <c r="F8673" s="14"/>
    </row>
    <row r="8674" spans="6:6" x14ac:dyDescent="0.3">
      <c r="F8674" s="14"/>
    </row>
    <row r="8675" spans="6:6" x14ac:dyDescent="0.3">
      <c r="F8675" s="14"/>
    </row>
    <row r="8676" spans="6:6" x14ac:dyDescent="0.3">
      <c r="F8676" s="14"/>
    </row>
    <row r="8677" spans="6:6" x14ac:dyDescent="0.3">
      <c r="F8677" s="14"/>
    </row>
    <row r="8678" spans="6:6" x14ac:dyDescent="0.3">
      <c r="F8678" s="14"/>
    </row>
    <row r="8679" spans="6:6" x14ac:dyDescent="0.3">
      <c r="F8679" s="14"/>
    </row>
    <row r="8680" spans="6:6" x14ac:dyDescent="0.3">
      <c r="F8680" s="14"/>
    </row>
    <row r="8681" spans="6:6" x14ac:dyDescent="0.3">
      <c r="F8681" s="14"/>
    </row>
    <row r="8682" spans="6:6" x14ac:dyDescent="0.3">
      <c r="F8682" s="14"/>
    </row>
    <row r="8683" spans="6:6" x14ac:dyDescent="0.3">
      <c r="F8683" s="14"/>
    </row>
    <row r="8684" spans="6:6" x14ac:dyDescent="0.3">
      <c r="F8684" s="14"/>
    </row>
    <row r="8685" spans="6:6" x14ac:dyDescent="0.3">
      <c r="F8685" s="14"/>
    </row>
    <row r="8686" spans="6:6" x14ac:dyDescent="0.3">
      <c r="F8686" s="14"/>
    </row>
    <row r="8687" spans="6:6" x14ac:dyDescent="0.3">
      <c r="F8687" s="14"/>
    </row>
    <row r="8688" spans="6:6" x14ac:dyDescent="0.3">
      <c r="F8688" s="14"/>
    </row>
    <row r="8689" spans="6:6" x14ac:dyDescent="0.3">
      <c r="F8689" s="14"/>
    </row>
    <row r="8690" spans="6:6" x14ac:dyDescent="0.3">
      <c r="F8690" s="14"/>
    </row>
    <row r="8691" spans="6:6" x14ac:dyDescent="0.3">
      <c r="F8691" s="14"/>
    </row>
    <row r="8692" spans="6:6" x14ac:dyDescent="0.3">
      <c r="F8692" s="14"/>
    </row>
    <row r="8693" spans="6:6" x14ac:dyDescent="0.3">
      <c r="F8693" s="14"/>
    </row>
    <row r="8694" spans="6:6" x14ac:dyDescent="0.3">
      <c r="F8694" s="14"/>
    </row>
    <row r="8695" spans="6:6" x14ac:dyDescent="0.3">
      <c r="F8695" s="14"/>
    </row>
    <row r="8696" spans="6:6" x14ac:dyDescent="0.3">
      <c r="F8696" s="14"/>
    </row>
    <row r="8697" spans="6:6" x14ac:dyDescent="0.3">
      <c r="F8697" s="14"/>
    </row>
    <row r="8698" spans="6:6" x14ac:dyDescent="0.3">
      <c r="F8698" s="14"/>
    </row>
    <row r="8699" spans="6:6" x14ac:dyDescent="0.3">
      <c r="F8699" s="14"/>
    </row>
    <row r="8700" spans="6:6" x14ac:dyDescent="0.3">
      <c r="F8700" s="14"/>
    </row>
    <row r="8701" spans="6:6" x14ac:dyDescent="0.3">
      <c r="F8701" s="14"/>
    </row>
    <row r="8702" spans="6:6" x14ac:dyDescent="0.3">
      <c r="F8702" s="14"/>
    </row>
    <row r="8703" spans="6:6" x14ac:dyDescent="0.3">
      <c r="F8703" s="14"/>
    </row>
    <row r="8704" spans="6:6" x14ac:dyDescent="0.3">
      <c r="F8704" s="14"/>
    </row>
    <row r="8705" spans="6:6" x14ac:dyDescent="0.3">
      <c r="F8705" s="14"/>
    </row>
    <row r="8706" spans="6:6" x14ac:dyDescent="0.3">
      <c r="F8706" s="14"/>
    </row>
    <row r="8707" spans="6:6" x14ac:dyDescent="0.3">
      <c r="F8707" s="14"/>
    </row>
    <row r="8708" spans="6:6" x14ac:dyDescent="0.3">
      <c r="F8708" s="14"/>
    </row>
    <row r="8709" spans="6:6" x14ac:dyDescent="0.3">
      <c r="F8709" s="14"/>
    </row>
    <row r="8710" spans="6:6" x14ac:dyDescent="0.3">
      <c r="F8710" s="14"/>
    </row>
    <row r="8711" spans="6:6" x14ac:dyDescent="0.3">
      <c r="F8711" s="14"/>
    </row>
    <row r="8712" spans="6:6" x14ac:dyDescent="0.3">
      <c r="F8712" s="14"/>
    </row>
    <row r="8713" spans="6:6" x14ac:dyDescent="0.3">
      <c r="F8713" s="14"/>
    </row>
    <row r="8714" spans="6:6" x14ac:dyDescent="0.3">
      <c r="F8714" s="14"/>
    </row>
    <row r="8715" spans="6:6" x14ac:dyDescent="0.3">
      <c r="F8715" s="14"/>
    </row>
    <row r="8716" spans="6:6" x14ac:dyDescent="0.3">
      <c r="F8716" s="14"/>
    </row>
    <row r="8717" spans="6:6" x14ac:dyDescent="0.3">
      <c r="F8717" s="14"/>
    </row>
    <row r="8718" spans="6:6" x14ac:dyDescent="0.3">
      <c r="F8718" s="14"/>
    </row>
    <row r="8719" spans="6:6" x14ac:dyDescent="0.3">
      <c r="F8719" s="14"/>
    </row>
    <row r="8720" spans="6:6" x14ac:dyDescent="0.3">
      <c r="F8720" s="14"/>
    </row>
    <row r="8721" spans="6:6" x14ac:dyDescent="0.3">
      <c r="F8721" s="14"/>
    </row>
    <row r="8722" spans="6:6" x14ac:dyDescent="0.3">
      <c r="F8722" s="14"/>
    </row>
    <row r="8723" spans="6:6" x14ac:dyDescent="0.3">
      <c r="F8723" s="14"/>
    </row>
    <row r="8724" spans="6:6" x14ac:dyDescent="0.3">
      <c r="F8724" s="14"/>
    </row>
    <row r="8725" spans="6:6" x14ac:dyDescent="0.3">
      <c r="F8725" s="14"/>
    </row>
    <row r="8726" spans="6:6" x14ac:dyDescent="0.3">
      <c r="F8726" s="14"/>
    </row>
    <row r="8727" spans="6:6" x14ac:dyDescent="0.3">
      <c r="F8727" s="14"/>
    </row>
    <row r="8728" spans="6:6" x14ac:dyDescent="0.3">
      <c r="F8728" s="14"/>
    </row>
    <row r="8729" spans="6:6" x14ac:dyDescent="0.3">
      <c r="F8729" s="14"/>
    </row>
    <row r="8730" spans="6:6" x14ac:dyDescent="0.3">
      <c r="F8730" s="14"/>
    </row>
    <row r="8731" spans="6:6" x14ac:dyDescent="0.3">
      <c r="F8731" s="14"/>
    </row>
    <row r="8732" spans="6:6" x14ac:dyDescent="0.3">
      <c r="F8732" s="14"/>
    </row>
    <row r="8733" spans="6:6" x14ac:dyDescent="0.3">
      <c r="F8733" s="14"/>
    </row>
    <row r="8734" spans="6:6" x14ac:dyDescent="0.3">
      <c r="F8734" s="14"/>
    </row>
    <row r="8735" spans="6:6" x14ac:dyDescent="0.3">
      <c r="F8735" s="14"/>
    </row>
    <row r="8736" spans="6:6" x14ac:dyDescent="0.3">
      <c r="F8736" s="14"/>
    </row>
    <row r="8737" spans="6:6" x14ac:dyDescent="0.3">
      <c r="F8737" s="14"/>
    </row>
    <row r="8738" spans="6:6" x14ac:dyDescent="0.3">
      <c r="F8738" s="14"/>
    </row>
    <row r="8739" spans="6:6" x14ac:dyDescent="0.3">
      <c r="F8739" s="14"/>
    </row>
    <row r="8740" spans="6:6" x14ac:dyDescent="0.3">
      <c r="F8740" s="14"/>
    </row>
    <row r="8741" spans="6:6" x14ac:dyDescent="0.3">
      <c r="F8741" s="14"/>
    </row>
    <row r="8742" spans="6:6" x14ac:dyDescent="0.3">
      <c r="F8742" s="14"/>
    </row>
    <row r="8743" spans="6:6" x14ac:dyDescent="0.3">
      <c r="F8743" s="14"/>
    </row>
    <row r="8744" spans="6:6" x14ac:dyDescent="0.3">
      <c r="F8744" s="14"/>
    </row>
    <row r="8745" spans="6:6" x14ac:dyDescent="0.3">
      <c r="F8745" s="14"/>
    </row>
    <row r="8746" spans="6:6" x14ac:dyDescent="0.3">
      <c r="F8746" s="14"/>
    </row>
    <row r="8747" spans="6:6" x14ac:dyDescent="0.3">
      <c r="F8747" s="14"/>
    </row>
    <row r="8748" spans="6:6" x14ac:dyDescent="0.3">
      <c r="F8748" s="14"/>
    </row>
    <row r="8749" spans="6:6" x14ac:dyDescent="0.3">
      <c r="F8749" s="14"/>
    </row>
    <row r="8750" spans="6:6" x14ac:dyDescent="0.3">
      <c r="F8750" s="14"/>
    </row>
    <row r="8751" spans="6:6" x14ac:dyDescent="0.3">
      <c r="F8751" s="14"/>
    </row>
    <row r="8752" spans="6:6" x14ac:dyDescent="0.3">
      <c r="F8752" s="14"/>
    </row>
    <row r="8753" spans="6:6" x14ac:dyDescent="0.3">
      <c r="F8753" s="14"/>
    </row>
    <row r="8754" spans="6:6" x14ac:dyDescent="0.3">
      <c r="F8754" s="14"/>
    </row>
    <row r="8755" spans="6:6" x14ac:dyDescent="0.3">
      <c r="F8755" s="14"/>
    </row>
    <row r="8756" spans="6:6" x14ac:dyDescent="0.3">
      <c r="F8756" s="14"/>
    </row>
    <row r="8757" spans="6:6" x14ac:dyDescent="0.3">
      <c r="F8757" s="14"/>
    </row>
    <row r="8758" spans="6:6" x14ac:dyDescent="0.3">
      <c r="F8758" s="14"/>
    </row>
    <row r="8759" spans="6:6" x14ac:dyDescent="0.3">
      <c r="F8759" s="14"/>
    </row>
    <row r="8760" spans="6:6" x14ac:dyDescent="0.3">
      <c r="F8760" s="14"/>
    </row>
    <row r="8761" spans="6:6" x14ac:dyDescent="0.3">
      <c r="F8761" s="14"/>
    </row>
    <row r="8762" spans="6:6" x14ac:dyDescent="0.3">
      <c r="F8762" s="14"/>
    </row>
    <row r="8763" spans="6:6" x14ac:dyDescent="0.3">
      <c r="F8763" s="14"/>
    </row>
    <row r="8764" spans="6:6" x14ac:dyDescent="0.3">
      <c r="F8764" s="14"/>
    </row>
    <row r="8765" spans="6:6" x14ac:dyDescent="0.3">
      <c r="F8765" s="14"/>
    </row>
    <row r="8766" spans="6:6" x14ac:dyDescent="0.3">
      <c r="F8766" s="14"/>
    </row>
    <row r="8767" spans="6:6" x14ac:dyDescent="0.3">
      <c r="F8767" s="14"/>
    </row>
    <row r="8768" spans="6:6" x14ac:dyDescent="0.3">
      <c r="F8768" s="14"/>
    </row>
    <row r="8769" spans="6:6" x14ac:dyDescent="0.3">
      <c r="F8769" s="14"/>
    </row>
    <row r="8770" spans="6:6" x14ac:dyDescent="0.3">
      <c r="F8770" s="14"/>
    </row>
    <row r="8771" spans="6:6" x14ac:dyDescent="0.3">
      <c r="F8771" s="14"/>
    </row>
    <row r="8772" spans="6:6" x14ac:dyDescent="0.3">
      <c r="F8772" s="14"/>
    </row>
    <row r="8773" spans="6:6" x14ac:dyDescent="0.3">
      <c r="F8773" s="14"/>
    </row>
    <row r="8774" spans="6:6" x14ac:dyDescent="0.3">
      <c r="F8774" s="14"/>
    </row>
    <row r="8775" spans="6:6" x14ac:dyDescent="0.3">
      <c r="F8775" s="14"/>
    </row>
    <row r="8776" spans="6:6" x14ac:dyDescent="0.3">
      <c r="F8776" s="14"/>
    </row>
    <row r="8777" spans="6:6" x14ac:dyDescent="0.3">
      <c r="F8777" s="14"/>
    </row>
    <row r="8778" spans="6:6" x14ac:dyDescent="0.3">
      <c r="F8778" s="14"/>
    </row>
    <row r="8779" spans="6:6" x14ac:dyDescent="0.3">
      <c r="F8779" s="14"/>
    </row>
    <row r="8780" spans="6:6" x14ac:dyDescent="0.3">
      <c r="F8780" s="14"/>
    </row>
    <row r="8781" spans="6:6" x14ac:dyDescent="0.3">
      <c r="F8781" s="14"/>
    </row>
    <row r="8782" spans="6:6" x14ac:dyDescent="0.3">
      <c r="F8782" s="14"/>
    </row>
    <row r="8783" spans="6:6" x14ac:dyDescent="0.3">
      <c r="F8783" s="14"/>
    </row>
    <row r="8784" spans="6:6" x14ac:dyDescent="0.3">
      <c r="F8784" s="14"/>
    </row>
    <row r="8785" spans="6:6" x14ac:dyDescent="0.3">
      <c r="F8785" s="14"/>
    </row>
    <row r="8786" spans="6:6" x14ac:dyDescent="0.3">
      <c r="F8786" s="14"/>
    </row>
    <row r="8787" spans="6:6" x14ac:dyDescent="0.3">
      <c r="F8787" s="14"/>
    </row>
    <row r="8788" spans="6:6" x14ac:dyDescent="0.3">
      <c r="F8788" s="14"/>
    </row>
    <row r="8789" spans="6:6" x14ac:dyDescent="0.3">
      <c r="F8789" s="14"/>
    </row>
    <row r="8790" spans="6:6" x14ac:dyDescent="0.3">
      <c r="F8790" s="14"/>
    </row>
    <row r="8791" spans="6:6" x14ac:dyDescent="0.3">
      <c r="F8791" s="14"/>
    </row>
    <row r="8792" spans="6:6" x14ac:dyDescent="0.3">
      <c r="F8792" s="14"/>
    </row>
    <row r="8793" spans="6:6" x14ac:dyDescent="0.3">
      <c r="F8793" s="14"/>
    </row>
    <row r="8794" spans="6:6" x14ac:dyDescent="0.3">
      <c r="F8794" s="14"/>
    </row>
    <row r="8795" spans="6:6" x14ac:dyDescent="0.3">
      <c r="F8795" s="14"/>
    </row>
    <row r="8796" spans="6:6" x14ac:dyDescent="0.3">
      <c r="F8796" s="14"/>
    </row>
    <row r="8797" spans="6:6" x14ac:dyDescent="0.3">
      <c r="F8797" s="14"/>
    </row>
    <row r="8798" spans="6:6" x14ac:dyDescent="0.3">
      <c r="F8798" s="14"/>
    </row>
    <row r="8799" spans="6:6" x14ac:dyDescent="0.3">
      <c r="F8799" s="14"/>
    </row>
    <row r="8800" spans="6:6" x14ac:dyDescent="0.3">
      <c r="F8800" s="14"/>
    </row>
    <row r="8801" spans="6:6" x14ac:dyDescent="0.3">
      <c r="F8801" s="14"/>
    </row>
    <row r="8802" spans="6:6" x14ac:dyDescent="0.3">
      <c r="F8802" s="14"/>
    </row>
    <row r="8803" spans="6:6" x14ac:dyDescent="0.3">
      <c r="F8803" s="14"/>
    </row>
    <row r="8804" spans="6:6" x14ac:dyDescent="0.3">
      <c r="F8804" s="14"/>
    </row>
    <row r="8805" spans="6:6" x14ac:dyDescent="0.3">
      <c r="F8805" s="14"/>
    </row>
    <row r="8806" spans="6:6" x14ac:dyDescent="0.3">
      <c r="F8806" s="14"/>
    </row>
    <row r="8807" spans="6:6" x14ac:dyDescent="0.3">
      <c r="F8807" s="14"/>
    </row>
    <row r="8808" spans="6:6" x14ac:dyDescent="0.3">
      <c r="F8808" s="14"/>
    </row>
    <row r="8809" spans="6:6" x14ac:dyDescent="0.3">
      <c r="F8809" s="14"/>
    </row>
    <row r="8810" spans="6:6" x14ac:dyDescent="0.3">
      <c r="F8810" s="14"/>
    </row>
    <row r="8811" spans="6:6" x14ac:dyDescent="0.3">
      <c r="F8811" s="14"/>
    </row>
    <row r="8812" spans="6:6" x14ac:dyDescent="0.3">
      <c r="F8812" s="14"/>
    </row>
    <row r="8813" spans="6:6" x14ac:dyDescent="0.3">
      <c r="F8813" s="14"/>
    </row>
    <row r="8814" spans="6:6" x14ac:dyDescent="0.3">
      <c r="F8814" s="14"/>
    </row>
    <row r="8815" spans="6:6" x14ac:dyDescent="0.3">
      <c r="F8815" s="14"/>
    </row>
    <row r="8816" spans="6:6" x14ac:dyDescent="0.3">
      <c r="F8816" s="14"/>
    </row>
    <row r="8817" spans="6:6" x14ac:dyDescent="0.3">
      <c r="F8817" s="14"/>
    </row>
    <row r="8818" spans="6:6" x14ac:dyDescent="0.3">
      <c r="F8818" s="14"/>
    </row>
    <row r="8819" spans="6:6" x14ac:dyDescent="0.3">
      <c r="F8819" s="14"/>
    </row>
    <row r="8820" spans="6:6" x14ac:dyDescent="0.3">
      <c r="F8820" s="14"/>
    </row>
    <row r="8821" spans="6:6" x14ac:dyDescent="0.3">
      <c r="F8821" s="14"/>
    </row>
    <row r="8822" spans="6:6" x14ac:dyDescent="0.3">
      <c r="F8822" s="14"/>
    </row>
    <row r="8823" spans="6:6" x14ac:dyDescent="0.3">
      <c r="F8823" s="14"/>
    </row>
    <row r="8824" spans="6:6" x14ac:dyDescent="0.3">
      <c r="F8824" s="14"/>
    </row>
    <row r="8825" spans="6:6" x14ac:dyDescent="0.3">
      <c r="F8825" s="14"/>
    </row>
    <row r="8826" spans="6:6" x14ac:dyDescent="0.3">
      <c r="F8826" s="14"/>
    </row>
    <row r="8827" spans="6:6" x14ac:dyDescent="0.3">
      <c r="F8827" s="14"/>
    </row>
    <row r="8828" spans="6:6" x14ac:dyDescent="0.3">
      <c r="F8828" s="14"/>
    </row>
    <row r="8829" spans="6:6" x14ac:dyDescent="0.3">
      <c r="F8829" s="14"/>
    </row>
    <row r="8830" spans="6:6" x14ac:dyDescent="0.3">
      <c r="F8830" s="14"/>
    </row>
    <row r="8831" spans="6:6" x14ac:dyDescent="0.3">
      <c r="F8831" s="14"/>
    </row>
    <row r="8832" spans="6:6" x14ac:dyDescent="0.3">
      <c r="F8832" s="14"/>
    </row>
    <row r="8833" spans="6:6" x14ac:dyDescent="0.3">
      <c r="F8833" s="14"/>
    </row>
    <row r="8834" spans="6:6" x14ac:dyDescent="0.3">
      <c r="F8834" s="14"/>
    </row>
    <row r="8835" spans="6:6" x14ac:dyDescent="0.3">
      <c r="F8835" s="14"/>
    </row>
    <row r="8836" spans="6:6" x14ac:dyDescent="0.3">
      <c r="F8836" s="14"/>
    </row>
    <row r="8837" spans="6:6" x14ac:dyDescent="0.3">
      <c r="F8837" s="14"/>
    </row>
    <row r="8838" spans="6:6" x14ac:dyDescent="0.3">
      <c r="F8838" s="14"/>
    </row>
    <row r="8839" spans="6:6" x14ac:dyDescent="0.3">
      <c r="F8839" s="14"/>
    </row>
    <row r="8840" spans="6:6" x14ac:dyDescent="0.3">
      <c r="F8840" s="14"/>
    </row>
    <row r="8841" spans="6:6" x14ac:dyDescent="0.3">
      <c r="F8841" s="14"/>
    </row>
    <row r="8842" spans="6:6" x14ac:dyDescent="0.3">
      <c r="F8842" s="14"/>
    </row>
    <row r="8843" spans="6:6" x14ac:dyDescent="0.3">
      <c r="F8843" s="14"/>
    </row>
    <row r="8844" spans="6:6" x14ac:dyDescent="0.3">
      <c r="F8844" s="14"/>
    </row>
    <row r="8845" spans="6:6" x14ac:dyDescent="0.3">
      <c r="F8845" s="14"/>
    </row>
    <row r="8846" spans="6:6" x14ac:dyDescent="0.3">
      <c r="F8846" s="14"/>
    </row>
    <row r="8847" spans="6:6" x14ac:dyDescent="0.3">
      <c r="F8847" s="14"/>
    </row>
    <row r="8848" spans="6:6" x14ac:dyDescent="0.3">
      <c r="F8848" s="14"/>
    </row>
    <row r="8849" spans="6:6" x14ac:dyDescent="0.3">
      <c r="F8849" s="14"/>
    </row>
    <row r="8850" spans="6:6" x14ac:dyDescent="0.3">
      <c r="F8850" s="14"/>
    </row>
    <row r="8851" spans="6:6" x14ac:dyDescent="0.3">
      <c r="F8851" s="14"/>
    </row>
    <row r="8852" spans="6:6" x14ac:dyDescent="0.3">
      <c r="F8852" s="14"/>
    </row>
    <row r="8853" spans="6:6" x14ac:dyDescent="0.3">
      <c r="F8853" s="14"/>
    </row>
    <row r="8854" spans="6:6" x14ac:dyDescent="0.3">
      <c r="F8854" s="14"/>
    </row>
    <row r="8855" spans="6:6" x14ac:dyDescent="0.3">
      <c r="F8855" s="14"/>
    </row>
    <row r="8856" spans="6:6" x14ac:dyDescent="0.3">
      <c r="F8856" s="14"/>
    </row>
    <row r="8857" spans="6:6" x14ac:dyDescent="0.3">
      <c r="F8857" s="14"/>
    </row>
    <row r="8858" spans="6:6" x14ac:dyDescent="0.3">
      <c r="F8858" s="14"/>
    </row>
    <row r="8859" spans="6:6" x14ac:dyDescent="0.3">
      <c r="F8859" s="14"/>
    </row>
    <row r="8860" spans="6:6" x14ac:dyDescent="0.3">
      <c r="F8860" s="14"/>
    </row>
    <row r="8861" spans="6:6" x14ac:dyDescent="0.3">
      <c r="F8861" s="14"/>
    </row>
    <row r="8862" spans="6:6" x14ac:dyDescent="0.3">
      <c r="F8862" s="14"/>
    </row>
    <row r="8863" spans="6:6" x14ac:dyDescent="0.3">
      <c r="F8863" s="14"/>
    </row>
    <row r="8864" spans="6:6" x14ac:dyDescent="0.3">
      <c r="F8864" s="14"/>
    </row>
    <row r="8865" spans="6:6" x14ac:dyDescent="0.3">
      <c r="F8865" s="14"/>
    </row>
    <row r="8866" spans="6:6" x14ac:dyDescent="0.3">
      <c r="F8866" s="14"/>
    </row>
    <row r="8867" spans="6:6" x14ac:dyDescent="0.3">
      <c r="F8867" s="14"/>
    </row>
    <row r="8868" spans="6:6" x14ac:dyDescent="0.3">
      <c r="F8868" s="14"/>
    </row>
    <row r="8869" spans="6:6" x14ac:dyDescent="0.3">
      <c r="F8869" s="14"/>
    </row>
    <row r="8870" spans="6:6" x14ac:dyDescent="0.3">
      <c r="F8870" s="14"/>
    </row>
    <row r="8871" spans="6:6" x14ac:dyDescent="0.3">
      <c r="F8871" s="14"/>
    </row>
    <row r="8872" spans="6:6" x14ac:dyDescent="0.3">
      <c r="F8872" s="14"/>
    </row>
    <row r="8873" spans="6:6" x14ac:dyDescent="0.3">
      <c r="F8873" s="14"/>
    </row>
    <row r="8874" spans="6:6" x14ac:dyDescent="0.3">
      <c r="F8874" s="14"/>
    </row>
    <row r="8875" spans="6:6" x14ac:dyDescent="0.3">
      <c r="F8875" s="14"/>
    </row>
    <row r="8876" spans="6:6" x14ac:dyDescent="0.3">
      <c r="F8876" s="14"/>
    </row>
    <row r="8877" spans="6:6" x14ac:dyDescent="0.3">
      <c r="F8877" s="14"/>
    </row>
    <row r="8878" spans="6:6" x14ac:dyDescent="0.3">
      <c r="F8878" s="14"/>
    </row>
    <row r="8879" spans="6:6" x14ac:dyDescent="0.3">
      <c r="F8879" s="14"/>
    </row>
    <row r="8880" spans="6:6" x14ac:dyDescent="0.3">
      <c r="F8880" s="14"/>
    </row>
    <row r="8881" spans="6:6" x14ac:dyDescent="0.3">
      <c r="F8881" s="14"/>
    </row>
    <row r="8882" spans="6:6" x14ac:dyDescent="0.3">
      <c r="F8882" s="14"/>
    </row>
    <row r="8883" spans="6:6" x14ac:dyDescent="0.3">
      <c r="F8883" s="14"/>
    </row>
    <row r="8884" spans="6:6" x14ac:dyDescent="0.3">
      <c r="F8884" s="14"/>
    </row>
    <row r="8885" spans="6:6" x14ac:dyDescent="0.3">
      <c r="F8885" s="14"/>
    </row>
    <row r="8886" spans="6:6" x14ac:dyDescent="0.3">
      <c r="F8886" s="14"/>
    </row>
    <row r="8887" spans="6:6" x14ac:dyDescent="0.3">
      <c r="F8887" s="14"/>
    </row>
    <row r="8888" spans="6:6" x14ac:dyDescent="0.3">
      <c r="F8888" s="14"/>
    </row>
    <row r="8889" spans="6:6" x14ac:dyDescent="0.3">
      <c r="F8889" s="14"/>
    </row>
    <row r="8890" spans="6:6" x14ac:dyDescent="0.3">
      <c r="F8890" s="14"/>
    </row>
    <row r="8891" spans="6:6" x14ac:dyDescent="0.3">
      <c r="F8891" s="14"/>
    </row>
    <row r="8892" spans="6:6" x14ac:dyDescent="0.3">
      <c r="F8892" s="14"/>
    </row>
    <row r="8893" spans="6:6" x14ac:dyDescent="0.3">
      <c r="F8893" s="14"/>
    </row>
    <row r="8894" spans="6:6" x14ac:dyDescent="0.3">
      <c r="F8894" s="14"/>
    </row>
    <row r="8895" spans="6:6" x14ac:dyDescent="0.3">
      <c r="F8895" s="14"/>
    </row>
    <row r="8896" spans="6:6" x14ac:dyDescent="0.3">
      <c r="F8896" s="14"/>
    </row>
    <row r="8897" spans="6:6" x14ac:dyDescent="0.3">
      <c r="F8897" s="14"/>
    </row>
    <row r="8898" spans="6:6" x14ac:dyDescent="0.3">
      <c r="F8898" s="14"/>
    </row>
    <row r="8899" spans="6:6" x14ac:dyDescent="0.3">
      <c r="F8899" s="14"/>
    </row>
    <row r="8900" spans="6:6" x14ac:dyDescent="0.3">
      <c r="F8900" s="14"/>
    </row>
    <row r="8901" spans="6:6" x14ac:dyDescent="0.3">
      <c r="F8901" s="14"/>
    </row>
    <row r="8902" spans="6:6" x14ac:dyDescent="0.3">
      <c r="F8902" s="14"/>
    </row>
    <row r="8903" spans="6:6" x14ac:dyDescent="0.3">
      <c r="F8903" s="14"/>
    </row>
    <row r="8904" spans="6:6" x14ac:dyDescent="0.3">
      <c r="F8904" s="14"/>
    </row>
    <row r="8905" spans="6:6" x14ac:dyDescent="0.3">
      <c r="F8905" s="14"/>
    </row>
    <row r="8906" spans="6:6" x14ac:dyDescent="0.3">
      <c r="F8906" s="14"/>
    </row>
    <row r="8907" spans="6:6" x14ac:dyDescent="0.3">
      <c r="F8907" s="14"/>
    </row>
    <row r="8908" spans="6:6" x14ac:dyDescent="0.3">
      <c r="F8908" s="14"/>
    </row>
    <row r="8909" spans="6:6" x14ac:dyDescent="0.3">
      <c r="F8909" s="14"/>
    </row>
    <row r="8910" spans="6:6" x14ac:dyDescent="0.3">
      <c r="F8910" s="14"/>
    </row>
    <row r="8911" spans="6:6" x14ac:dyDescent="0.3">
      <c r="F8911" s="14"/>
    </row>
    <row r="8912" spans="6:6" x14ac:dyDescent="0.3">
      <c r="F8912" s="14"/>
    </row>
    <row r="8913" spans="6:6" x14ac:dyDescent="0.3">
      <c r="F8913" s="14"/>
    </row>
    <row r="8914" spans="6:6" x14ac:dyDescent="0.3">
      <c r="F8914" s="14"/>
    </row>
    <row r="8915" spans="6:6" x14ac:dyDescent="0.3">
      <c r="F8915" s="14"/>
    </row>
    <row r="8916" spans="6:6" x14ac:dyDescent="0.3">
      <c r="F8916" s="14"/>
    </row>
    <row r="8917" spans="6:6" x14ac:dyDescent="0.3">
      <c r="F8917" s="14"/>
    </row>
    <row r="8918" spans="6:6" x14ac:dyDescent="0.3">
      <c r="F8918" s="14"/>
    </row>
    <row r="8919" spans="6:6" x14ac:dyDescent="0.3">
      <c r="F8919" s="14"/>
    </row>
    <row r="8920" spans="6:6" x14ac:dyDescent="0.3">
      <c r="F8920" s="14"/>
    </row>
    <row r="8921" spans="6:6" x14ac:dyDescent="0.3">
      <c r="F8921" s="14"/>
    </row>
    <row r="8922" spans="6:6" x14ac:dyDescent="0.3">
      <c r="F8922" s="14"/>
    </row>
    <row r="8923" spans="6:6" x14ac:dyDescent="0.3">
      <c r="F8923" s="14"/>
    </row>
    <row r="8924" spans="6:6" x14ac:dyDescent="0.3">
      <c r="F8924" s="14"/>
    </row>
    <row r="8925" spans="6:6" x14ac:dyDescent="0.3">
      <c r="F8925" s="14"/>
    </row>
    <row r="8926" spans="6:6" x14ac:dyDescent="0.3">
      <c r="F8926" s="14"/>
    </row>
    <row r="8927" spans="6:6" x14ac:dyDescent="0.3">
      <c r="F8927" s="14"/>
    </row>
    <row r="8928" spans="6:6" x14ac:dyDescent="0.3">
      <c r="F8928" s="14"/>
    </row>
    <row r="8929" spans="6:6" x14ac:dyDescent="0.3">
      <c r="F8929" s="14"/>
    </row>
    <row r="8930" spans="6:6" x14ac:dyDescent="0.3">
      <c r="F8930" s="14"/>
    </row>
    <row r="8931" spans="6:6" x14ac:dyDescent="0.3">
      <c r="F8931" s="14"/>
    </row>
    <row r="8932" spans="6:6" x14ac:dyDescent="0.3">
      <c r="F8932" s="14"/>
    </row>
    <row r="8933" spans="6:6" x14ac:dyDescent="0.3">
      <c r="F8933" s="14"/>
    </row>
    <row r="8934" spans="6:6" x14ac:dyDescent="0.3">
      <c r="F8934" s="14"/>
    </row>
    <row r="8935" spans="6:6" x14ac:dyDescent="0.3">
      <c r="F8935" s="14"/>
    </row>
    <row r="8936" spans="6:6" x14ac:dyDescent="0.3">
      <c r="F8936" s="14"/>
    </row>
    <row r="8937" spans="6:6" x14ac:dyDescent="0.3">
      <c r="F8937" s="14"/>
    </row>
    <row r="8938" spans="6:6" x14ac:dyDescent="0.3">
      <c r="F8938" s="14"/>
    </row>
    <row r="8939" spans="6:6" x14ac:dyDescent="0.3">
      <c r="F8939" s="14"/>
    </row>
    <row r="8940" spans="6:6" x14ac:dyDescent="0.3">
      <c r="F8940" s="14"/>
    </row>
    <row r="8941" spans="6:6" x14ac:dyDescent="0.3">
      <c r="F8941" s="14"/>
    </row>
    <row r="8942" spans="6:6" x14ac:dyDescent="0.3">
      <c r="F8942" s="14"/>
    </row>
    <row r="8943" spans="6:6" x14ac:dyDescent="0.3">
      <c r="F8943" s="14"/>
    </row>
    <row r="8944" spans="6:6" x14ac:dyDescent="0.3">
      <c r="F8944" s="14"/>
    </row>
    <row r="8945" spans="6:6" x14ac:dyDescent="0.3">
      <c r="F8945" s="14"/>
    </row>
    <row r="8946" spans="6:6" x14ac:dyDescent="0.3">
      <c r="F8946" s="14"/>
    </row>
    <row r="8947" spans="6:6" x14ac:dyDescent="0.3">
      <c r="F8947" s="14"/>
    </row>
    <row r="8948" spans="6:6" x14ac:dyDescent="0.3">
      <c r="F8948" s="14"/>
    </row>
    <row r="8949" spans="6:6" x14ac:dyDescent="0.3">
      <c r="F8949" s="14"/>
    </row>
    <row r="8950" spans="6:6" x14ac:dyDescent="0.3">
      <c r="F8950" s="14"/>
    </row>
    <row r="8951" spans="6:6" x14ac:dyDescent="0.3">
      <c r="F8951" s="1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75099-E2AF-4534-80E8-5EBFBCBF342B}">
  <dimension ref="A1:AH8951"/>
  <sheetViews>
    <sheetView showGridLines="0" tabSelected="1" topLeftCell="A944" zoomScaleNormal="100" workbookViewId="0">
      <selection activeCell="G968" sqref="G968"/>
    </sheetView>
  </sheetViews>
  <sheetFormatPr defaultRowHeight="14.4" x14ac:dyDescent="0.3"/>
  <cols>
    <col min="1" max="1" width="14.33203125" style="15" bestFit="1" customWidth="1"/>
    <col min="2" max="2" width="12.109375" style="15" bestFit="1" customWidth="1"/>
    <col min="3" max="3" width="12" style="15" bestFit="1" customWidth="1"/>
    <col min="4" max="4" width="9.33203125" style="15" bestFit="1" customWidth="1"/>
    <col min="5" max="5" width="13.109375" style="15" bestFit="1" customWidth="1"/>
    <col min="6" max="6" width="12.44140625" style="15" bestFit="1" customWidth="1"/>
    <col min="7" max="7" width="16.5546875" style="15" bestFit="1" customWidth="1"/>
    <col min="8" max="8" width="11" style="15" bestFit="1" customWidth="1"/>
    <col min="9" max="9" width="10.33203125" style="15" bestFit="1" customWidth="1"/>
    <col min="10" max="10" width="11.33203125" style="15" bestFit="1" customWidth="1"/>
    <col min="11" max="11" width="15.21875" style="15" bestFit="1" customWidth="1"/>
    <col min="12" max="12" width="28.21875" style="15" bestFit="1" customWidth="1"/>
    <col min="13" max="13" width="8.33203125" style="15" bestFit="1" customWidth="1"/>
    <col min="14" max="14" width="20.109375" bestFit="1" customWidth="1"/>
    <col min="15" max="15" width="15" customWidth="1"/>
    <col min="16" max="16" width="19.33203125" customWidth="1"/>
    <col min="18" max="18" width="25.88671875" bestFit="1" customWidth="1"/>
    <col min="20" max="22" width="8.88671875" style="15"/>
    <col min="23" max="23" width="10.88671875" style="15" customWidth="1"/>
    <col min="24" max="24" width="8.88671875" style="15"/>
    <col min="25" max="25" width="13" style="15" customWidth="1"/>
    <col min="26" max="16384" width="8.88671875" style="15"/>
  </cols>
  <sheetData>
    <row r="1" spans="1:34" x14ac:dyDescent="0.3">
      <c r="A1" s="15" t="s">
        <v>0</v>
      </c>
      <c r="B1" s="15" t="s">
        <v>1</v>
      </c>
      <c r="C1" s="15" t="s">
        <v>2</v>
      </c>
      <c r="D1" s="15" t="s">
        <v>3</v>
      </c>
      <c r="E1" s="15" t="s">
        <v>4</v>
      </c>
      <c r="F1" s="15" t="s">
        <v>5</v>
      </c>
      <c r="G1" s="15" t="s">
        <v>6</v>
      </c>
      <c r="H1" s="15" t="s">
        <v>7</v>
      </c>
      <c r="I1" s="15" t="s">
        <v>8</v>
      </c>
      <c r="J1" s="15" t="s">
        <v>9</v>
      </c>
      <c r="K1" s="15" t="s">
        <v>10</v>
      </c>
      <c r="L1" s="15" t="s">
        <v>11</v>
      </c>
      <c r="M1" s="15" t="s">
        <v>12</v>
      </c>
      <c r="N1" s="15" t="s">
        <v>13</v>
      </c>
      <c r="O1" s="17" t="s">
        <v>1878</v>
      </c>
      <c r="P1" s="17" t="s">
        <v>1879</v>
      </c>
      <c r="Q1" s="17" t="s">
        <v>1880</v>
      </c>
      <c r="R1" s="18" t="s">
        <v>1881</v>
      </c>
      <c r="S1" s="15"/>
    </row>
    <row r="2" spans="1:34" x14ac:dyDescent="0.3">
      <c r="A2" s="15" t="s">
        <v>14</v>
      </c>
      <c r="B2" s="15" t="s">
        <v>15</v>
      </c>
      <c r="C2" s="15" t="s">
        <v>16</v>
      </c>
      <c r="D2" s="15" t="s">
        <v>17</v>
      </c>
      <c r="E2" s="15" t="s">
        <v>18</v>
      </c>
      <c r="F2" s="15" t="s">
        <v>19</v>
      </c>
      <c r="G2" s="15" t="s">
        <v>20</v>
      </c>
      <c r="H2" s="16">
        <v>29264</v>
      </c>
      <c r="I2" s="16">
        <v>42476</v>
      </c>
      <c r="J2" s="16">
        <v>44382</v>
      </c>
      <c r="K2" s="15" t="s">
        <v>21</v>
      </c>
      <c r="L2" s="15" t="s">
        <v>22</v>
      </c>
      <c r="M2" s="15">
        <v>81552</v>
      </c>
      <c r="N2" s="15" t="s">
        <v>23</v>
      </c>
      <c r="O2" s="15">
        <v>5.2219178082191782</v>
      </c>
      <c r="P2" s="15" t="s">
        <v>1862</v>
      </c>
      <c r="Q2" s="15">
        <f t="shared" ref="Q2:Q65" ca="1" si="0">DATEDIF(H2, TODAY(), "Y")</f>
        <v>45</v>
      </c>
      <c r="R2" s="15" t="str">
        <f>IF(M2:M967&gt;100000,"High",IF(M2:M967&gt;60000,"Medium","Low"))</f>
        <v>Medium</v>
      </c>
      <c r="S2" s="15"/>
      <c r="V2" s="26" t="s">
        <v>1882</v>
      </c>
      <c r="W2" s="26"/>
      <c r="X2" s="24" t="s">
        <v>1883</v>
      </c>
      <c r="Y2" s="24" t="s">
        <v>1884</v>
      </c>
    </row>
    <row r="3" spans="1:34" x14ac:dyDescent="0.3">
      <c r="A3" s="15" t="s">
        <v>24</v>
      </c>
      <c r="B3" s="15" t="s">
        <v>25</v>
      </c>
      <c r="C3" s="15" t="s">
        <v>26</v>
      </c>
      <c r="D3" s="15" t="s">
        <v>27</v>
      </c>
      <c r="E3" s="15" t="s">
        <v>28</v>
      </c>
      <c r="F3" s="15" t="s">
        <v>29</v>
      </c>
      <c r="G3" s="15" t="s">
        <v>30</v>
      </c>
      <c r="H3" s="16">
        <v>32042</v>
      </c>
      <c r="I3" s="16">
        <v>42775</v>
      </c>
      <c r="J3" s="16">
        <v>43630</v>
      </c>
      <c r="K3" s="15" t="s">
        <v>31</v>
      </c>
      <c r="L3" s="15" t="s">
        <v>32</v>
      </c>
      <c r="M3" s="15">
        <v>107520</v>
      </c>
      <c r="N3" s="15" t="s">
        <v>33</v>
      </c>
      <c r="O3" s="15">
        <v>2.342465753424658</v>
      </c>
      <c r="P3" s="15" t="s">
        <v>1862</v>
      </c>
      <c r="Q3" s="15">
        <f t="shared" ca="1" si="0"/>
        <v>38</v>
      </c>
      <c r="R3" s="15" t="str">
        <f t="shared" ref="R3:R66" si="1">IF(M3:M968&gt;100000,"High",IF(M3:M968&gt;60000,"Medium","Low"))</f>
        <v>High</v>
      </c>
      <c r="S3" s="15"/>
      <c r="V3" s="24"/>
      <c r="W3" s="24"/>
      <c r="X3" s="24">
        <f ca="1">AVERAGEIF(D2:D968,X2,Q2:Q968)</f>
        <v>42.076470588235296</v>
      </c>
      <c r="Y3" s="24">
        <f ca="1">AVERAGEIF(D2:D968,Y2,Q2:Q968)</f>
        <v>40.881578947368418</v>
      </c>
    </row>
    <row r="4" spans="1:34" x14ac:dyDescent="0.3">
      <c r="A4" s="15" t="s">
        <v>34</v>
      </c>
      <c r="B4" s="15" t="s">
        <v>35</v>
      </c>
      <c r="C4" s="15" t="s">
        <v>36</v>
      </c>
      <c r="D4" s="15" t="s">
        <v>27</v>
      </c>
      <c r="E4" s="15" t="s">
        <v>18</v>
      </c>
      <c r="F4" s="15" t="s">
        <v>19</v>
      </c>
      <c r="G4" s="15" t="s">
        <v>30</v>
      </c>
      <c r="H4" s="16">
        <v>34473</v>
      </c>
      <c r="I4" s="16">
        <v>42403</v>
      </c>
      <c r="J4" s="16">
        <v>44261</v>
      </c>
      <c r="K4" s="15" t="s">
        <v>37</v>
      </c>
      <c r="L4" s="15" t="s">
        <v>38</v>
      </c>
      <c r="M4" s="15">
        <v>61104</v>
      </c>
      <c r="N4" s="15" t="s">
        <v>33</v>
      </c>
      <c r="O4" s="15">
        <v>5.0904109589041093</v>
      </c>
      <c r="P4" s="15" t="s">
        <v>1862</v>
      </c>
      <c r="Q4" s="15">
        <f t="shared" ca="1" si="0"/>
        <v>31</v>
      </c>
      <c r="R4" s="15" t="str">
        <f t="shared" si="1"/>
        <v>Medium</v>
      </c>
      <c r="S4" s="15"/>
    </row>
    <row r="5" spans="1:34" x14ac:dyDescent="0.3">
      <c r="A5" s="15" t="s">
        <v>39</v>
      </c>
      <c r="B5" s="15" t="s">
        <v>40</v>
      </c>
      <c r="C5" s="15" t="s">
        <v>16</v>
      </c>
      <c r="D5" s="15" t="s">
        <v>27</v>
      </c>
      <c r="E5" s="15" t="s">
        <v>18</v>
      </c>
      <c r="F5" s="15" t="s">
        <v>19</v>
      </c>
      <c r="G5" s="15" t="s">
        <v>30</v>
      </c>
      <c r="H5" s="16">
        <v>29329</v>
      </c>
      <c r="I5" s="16">
        <v>42406</v>
      </c>
      <c r="J5" s="16">
        <v>43410</v>
      </c>
      <c r="K5" s="15" t="s">
        <v>37</v>
      </c>
      <c r="L5" s="15" t="s">
        <v>41</v>
      </c>
      <c r="M5" s="15">
        <v>73770</v>
      </c>
      <c r="N5" s="15" t="s">
        <v>33</v>
      </c>
      <c r="O5" s="15">
        <v>2.7506849315068491</v>
      </c>
      <c r="P5" s="15" t="s">
        <v>1862</v>
      </c>
      <c r="Q5" s="15">
        <f t="shared" ca="1" si="0"/>
        <v>45</v>
      </c>
      <c r="R5" s="15" t="str">
        <f t="shared" si="1"/>
        <v>Medium</v>
      </c>
      <c r="S5" s="15"/>
    </row>
    <row r="6" spans="1:34" x14ac:dyDescent="0.3">
      <c r="A6" s="15" t="s">
        <v>45</v>
      </c>
      <c r="B6" s="15" t="s">
        <v>46</v>
      </c>
      <c r="C6" s="15" t="s">
        <v>47</v>
      </c>
      <c r="D6" s="15" t="s">
        <v>17</v>
      </c>
      <c r="E6" s="15" t="s">
        <v>18</v>
      </c>
      <c r="F6" s="15" t="s">
        <v>19</v>
      </c>
      <c r="G6" s="15" t="s">
        <v>30</v>
      </c>
      <c r="H6" s="16">
        <v>32294</v>
      </c>
      <c r="I6" s="16">
        <v>44834</v>
      </c>
      <c r="J6" s="16">
        <v>45014</v>
      </c>
      <c r="K6" s="15" t="s">
        <v>37</v>
      </c>
      <c r="L6" s="15" t="s">
        <v>43</v>
      </c>
      <c r="M6" s="15">
        <v>73800</v>
      </c>
      <c r="N6" s="15" t="s">
        <v>33</v>
      </c>
      <c r="O6" s="15">
        <v>10.24931506849315</v>
      </c>
      <c r="P6" s="15" t="s">
        <v>1861</v>
      </c>
      <c r="Q6" s="15">
        <f t="shared" ca="1" si="0"/>
        <v>37</v>
      </c>
      <c r="R6" s="15" t="str">
        <f t="shared" si="1"/>
        <v>Medium</v>
      </c>
      <c r="S6" s="15"/>
      <c r="V6" s="26" t="s">
        <v>1885</v>
      </c>
      <c r="W6" s="26"/>
      <c r="X6" s="23">
        <v>20000</v>
      </c>
      <c r="Y6" s="23">
        <v>40000</v>
      </c>
      <c r="Z6" s="23">
        <v>60000</v>
      </c>
      <c r="AA6" s="23">
        <v>80000</v>
      </c>
      <c r="AB6" s="23">
        <v>100000</v>
      </c>
    </row>
    <row r="7" spans="1:34" x14ac:dyDescent="0.3">
      <c r="A7" s="15" t="s">
        <v>48</v>
      </c>
      <c r="B7" s="15" t="s">
        <v>49</v>
      </c>
      <c r="C7" s="15" t="s">
        <v>50</v>
      </c>
      <c r="D7" s="15" t="s">
        <v>27</v>
      </c>
      <c r="E7" s="15" t="s">
        <v>18</v>
      </c>
      <c r="F7" s="15" t="s">
        <v>19</v>
      </c>
      <c r="G7" s="15" t="s">
        <v>30</v>
      </c>
      <c r="H7" s="16">
        <v>33435</v>
      </c>
      <c r="I7" s="16">
        <v>44059</v>
      </c>
      <c r="J7" s="16">
        <v>44239</v>
      </c>
      <c r="K7" s="15" t="s">
        <v>51</v>
      </c>
      <c r="L7" s="15" t="s">
        <v>52</v>
      </c>
      <c r="M7" s="15">
        <v>68181</v>
      </c>
      <c r="N7" s="15" t="s">
        <v>33</v>
      </c>
      <c r="O7" s="15">
        <v>0.49315068493150682</v>
      </c>
      <c r="P7" s="15" t="s">
        <v>1862</v>
      </c>
      <c r="Q7" s="15">
        <f t="shared" ca="1" si="0"/>
        <v>34</v>
      </c>
      <c r="R7" s="15" t="str">
        <f t="shared" si="1"/>
        <v>Medium</v>
      </c>
      <c r="S7" s="15"/>
      <c r="V7" s="24"/>
      <c r="W7" s="24"/>
      <c r="X7" s="24">
        <f>FREQUENCY(M2:M968,X6)</f>
        <v>0</v>
      </c>
      <c r="Y7" s="24">
        <f>FREQUENCY(N2:N968,Y6)</f>
        <v>0</v>
      </c>
      <c r="Z7" s="24">
        <f>FREQUENCY(O2:O968,Z6)</f>
        <v>966</v>
      </c>
      <c r="AA7" s="24">
        <f>FREQUENCY(P2:P968,AA6)</f>
        <v>0</v>
      </c>
      <c r="AB7" s="24">
        <f ca="1">FREQUENCY(Q2:Q968,AB6)</f>
        <v>966</v>
      </c>
      <c r="AC7"/>
    </row>
    <row r="8" spans="1:34" x14ac:dyDescent="0.3">
      <c r="A8" s="15" t="s">
        <v>53</v>
      </c>
      <c r="B8" s="15" t="s">
        <v>54</v>
      </c>
      <c r="C8" s="15" t="s">
        <v>55</v>
      </c>
      <c r="D8" s="15" t="s">
        <v>17</v>
      </c>
      <c r="E8" s="15" t="s">
        <v>18</v>
      </c>
      <c r="F8" s="15" t="s">
        <v>19</v>
      </c>
      <c r="G8" s="15" t="s">
        <v>30</v>
      </c>
      <c r="H8" s="16">
        <v>34961</v>
      </c>
      <c r="I8" s="16">
        <v>44856</v>
      </c>
      <c r="J8" s="16">
        <v>45036</v>
      </c>
      <c r="K8" s="15" t="s">
        <v>51</v>
      </c>
      <c r="L8" s="15" t="s">
        <v>56</v>
      </c>
      <c r="M8" s="15">
        <v>54499</v>
      </c>
      <c r="N8" s="15" t="s">
        <v>33</v>
      </c>
      <c r="O8" s="15">
        <v>0.49315068493150682</v>
      </c>
      <c r="P8" s="15" t="s">
        <v>1861</v>
      </c>
      <c r="Q8" s="15">
        <f t="shared" ca="1" si="0"/>
        <v>30</v>
      </c>
      <c r="R8" s="15" t="str">
        <f t="shared" si="1"/>
        <v>Low</v>
      </c>
      <c r="S8" s="15"/>
    </row>
    <row r="9" spans="1:34" x14ac:dyDescent="0.3">
      <c r="A9" s="15" t="s">
        <v>57</v>
      </c>
      <c r="B9" s="15" t="s">
        <v>58</v>
      </c>
      <c r="C9" s="15" t="s">
        <v>59</v>
      </c>
      <c r="D9" s="15" t="s">
        <v>27</v>
      </c>
      <c r="E9" s="15" t="s">
        <v>18</v>
      </c>
      <c r="F9" s="15" t="s">
        <v>19</v>
      </c>
      <c r="G9" s="15" t="s">
        <v>20</v>
      </c>
      <c r="H9" s="16">
        <v>37387</v>
      </c>
      <c r="I9" s="16">
        <v>42868</v>
      </c>
      <c r="J9" s="16">
        <v>44515</v>
      </c>
      <c r="K9" s="15" t="s">
        <v>37</v>
      </c>
      <c r="L9" s="15" t="s">
        <v>41</v>
      </c>
      <c r="M9" s="15">
        <v>57340</v>
      </c>
      <c r="N9" s="15" t="s">
        <v>23</v>
      </c>
      <c r="O9" s="15">
        <v>0.49315068493150682</v>
      </c>
      <c r="P9" s="15" t="s">
        <v>1861</v>
      </c>
      <c r="Q9" s="15">
        <f t="shared" ca="1" si="0"/>
        <v>23</v>
      </c>
      <c r="R9" s="15" t="str">
        <f t="shared" si="1"/>
        <v>Low</v>
      </c>
      <c r="S9" s="15"/>
    </row>
    <row r="10" spans="1:34" x14ac:dyDescent="0.3">
      <c r="A10" s="15" t="s">
        <v>60</v>
      </c>
      <c r="B10" s="15" t="s">
        <v>54</v>
      </c>
      <c r="C10" s="15" t="s">
        <v>61</v>
      </c>
      <c r="D10" s="15" t="s">
        <v>17</v>
      </c>
      <c r="E10" s="15" t="s">
        <v>18</v>
      </c>
      <c r="F10" s="15" t="s">
        <v>19</v>
      </c>
      <c r="G10" s="15" t="s">
        <v>30</v>
      </c>
      <c r="H10" s="16">
        <v>29546</v>
      </c>
      <c r="I10" s="16">
        <v>43397</v>
      </c>
      <c r="J10" s="16">
        <v>44650</v>
      </c>
      <c r="K10" s="15" t="s">
        <v>37</v>
      </c>
      <c r="L10" s="15" t="s">
        <v>38</v>
      </c>
      <c r="M10" s="15">
        <v>54065</v>
      </c>
      <c r="N10" s="15" t="s">
        <v>33</v>
      </c>
      <c r="O10" s="15">
        <v>4.5123287671232877</v>
      </c>
      <c r="P10" s="15" t="s">
        <v>1861</v>
      </c>
      <c r="Q10" s="15">
        <f t="shared" ca="1" si="0"/>
        <v>45</v>
      </c>
      <c r="R10" s="15" t="str">
        <f t="shared" si="1"/>
        <v>Low</v>
      </c>
      <c r="S10" s="15"/>
      <c r="W10" s="2"/>
      <c r="X10" s="2"/>
      <c r="Y10" s="2"/>
      <c r="Z10"/>
      <c r="AA10"/>
    </row>
    <row r="11" spans="1:34" x14ac:dyDescent="0.3">
      <c r="A11" s="15" t="s">
        <v>62</v>
      </c>
      <c r="B11" s="15" t="s">
        <v>63</v>
      </c>
      <c r="C11" s="15" t="s">
        <v>64</v>
      </c>
      <c r="D11" s="15" t="s">
        <v>17</v>
      </c>
      <c r="E11" s="15" t="s">
        <v>18</v>
      </c>
      <c r="F11" s="15" t="s">
        <v>19</v>
      </c>
      <c r="G11" s="15" t="s">
        <v>20</v>
      </c>
      <c r="H11" s="16">
        <v>34373</v>
      </c>
      <c r="I11" s="16">
        <v>44234</v>
      </c>
      <c r="J11" s="16">
        <v>44414</v>
      </c>
      <c r="K11" s="15" t="s">
        <v>65</v>
      </c>
      <c r="L11" s="15" t="s">
        <v>66</v>
      </c>
      <c r="M11" s="15">
        <v>83262</v>
      </c>
      <c r="N11" s="15" t="s">
        <v>23</v>
      </c>
      <c r="O11" s="15">
        <v>3.4328767123287669</v>
      </c>
      <c r="P11" s="15" t="s">
        <v>1861</v>
      </c>
      <c r="Q11" s="15">
        <f t="shared" ca="1" si="0"/>
        <v>31</v>
      </c>
      <c r="R11" s="15" t="str">
        <f t="shared" si="1"/>
        <v>Medium</v>
      </c>
      <c r="S11" s="15"/>
      <c r="V11" s="26" t="s">
        <v>1856</v>
      </c>
      <c r="W11" s="26"/>
      <c r="X11" s="24">
        <f>COUNTA(A2:A967)</f>
        <v>966</v>
      </c>
      <c r="Y11"/>
      <c r="Z11"/>
      <c r="AA11"/>
      <c r="AB11" t="s">
        <v>1926</v>
      </c>
      <c r="AC11"/>
      <c r="AD11"/>
      <c r="AE11"/>
      <c r="AF11"/>
      <c r="AG11"/>
      <c r="AH11"/>
    </row>
    <row r="12" spans="1:34" x14ac:dyDescent="0.3">
      <c r="A12" s="15" t="s">
        <v>67</v>
      </c>
      <c r="B12" s="15" t="s">
        <v>68</v>
      </c>
      <c r="C12" s="15" t="s">
        <v>69</v>
      </c>
      <c r="D12" s="15" t="s">
        <v>17</v>
      </c>
      <c r="E12" s="15" t="s">
        <v>18</v>
      </c>
      <c r="F12" s="15" t="s">
        <v>19</v>
      </c>
      <c r="G12" s="15" t="s">
        <v>20</v>
      </c>
      <c r="H12" s="16">
        <v>27145</v>
      </c>
      <c r="I12" s="16">
        <v>43933</v>
      </c>
      <c r="J12" s="16">
        <v>45319</v>
      </c>
      <c r="K12" s="15" t="s">
        <v>70</v>
      </c>
      <c r="L12" s="15" t="s">
        <v>71</v>
      </c>
      <c r="M12" s="15">
        <v>61651</v>
      </c>
      <c r="N12" s="15" t="s">
        <v>23</v>
      </c>
      <c r="O12" s="15">
        <v>0.49315068493150682</v>
      </c>
      <c r="P12" s="15" t="s">
        <v>1862</v>
      </c>
      <c r="Q12" s="15">
        <f t="shared" ca="1" si="0"/>
        <v>51</v>
      </c>
      <c r="R12" s="15" t="str">
        <f t="shared" si="1"/>
        <v>Medium</v>
      </c>
      <c r="S12" s="15"/>
      <c r="V12" s="26" t="s">
        <v>1857</v>
      </c>
      <c r="W12" s="26"/>
      <c r="X12" s="24">
        <f>COUNTIF(P2:P967,P28)</f>
        <v>489</v>
      </c>
      <c r="Y12"/>
      <c r="Z12"/>
      <c r="AA12"/>
      <c r="AB12"/>
      <c r="AC12"/>
      <c r="AD12"/>
      <c r="AE12"/>
      <c r="AF12"/>
      <c r="AG12"/>
      <c r="AH12"/>
    </row>
    <row r="13" spans="1:34" ht="15" thickBot="1" x14ac:dyDescent="0.35">
      <c r="A13" s="15" t="s">
        <v>72</v>
      </c>
      <c r="B13" s="15" t="s">
        <v>73</v>
      </c>
      <c r="C13" s="15" t="s">
        <v>74</v>
      </c>
      <c r="D13" s="15" t="s">
        <v>27</v>
      </c>
      <c r="E13" s="15" t="s">
        <v>18</v>
      </c>
      <c r="F13" s="15" t="s">
        <v>19</v>
      </c>
      <c r="G13" s="15" t="s">
        <v>30</v>
      </c>
      <c r="H13" s="16">
        <v>24618</v>
      </c>
      <c r="I13" s="16">
        <v>42944</v>
      </c>
      <c r="J13" s="16">
        <v>43124</v>
      </c>
      <c r="K13" s="15" t="s">
        <v>37</v>
      </c>
      <c r="L13" s="15" t="s">
        <v>43</v>
      </c>
      <c r="M13" s="15">
        <v>75509</v>
      </c>
      <c r="N13" s="15" t="s">
        <v>33</v>
      </c>
      <c r="O13" s="15">
        <v>3.7972602739726029</v>
      </c>
      <c r="P13" s="15" t="s">
        <v>1862</v>
      </c>
      <c r="Q13" s="15">
        <f t="shared" ca="1" si="0"/>
        <v>58</v>
      </c>
      <c r="R13" s="15" t="str">
        <f t="shared" si="1"/>
        <v>Medium</v>
      </c>
      <c r="S13" s="15"/>
      <c r="V13" s="26" t="s">
        <v>1858</v>
      </c>
      <c r="W13" s="26"/>
      <c r="X13" s="24">
        <f>COUNTIF(P3:P968,P26)</f>
        <v>476</v>
      </c>
      <c r="Y13"/>
      <c r="Z13"/>
      <c r="AA13"/>
      <c r="AB13" t="s">
        <v>1927</v>
      </c>
      <c r="AC13"/>
      <c r="AD13"/>
      <c r="AE13"/>
      <c r="AF13"/>
      <c r="AG13"/>
      <c r="AH13"/>
    </row>
    <row r="14" spans="1:34" x14ac:dyDescent="0.3">
      <c r="A14" s="15" t="s">
        <v>75</v>
      </c>
      <c r="B14" s="15" t="s">
        <v>76</v>
      </c>
      <c r="C14" s="15" t="s">
        <v>77</v>
      </c>
      <c r="D14" s="15" t="s">
        <v>17</v>
      </c>
      <c r="E14" s="15" t="s">
        <v>18</v>
      </c>
      <c r="F14" s="15" t="s">
        <v>19</v>
      </c>
      <c r="G14" s="15" t="s">
        <v>20</v>
      </c>
      <c r="H14" s="16">
        <v>37098</v>
      </c>
      <c r="I14" s="16">
        <v>43861</v>
      </c>
      <c r="J14" s="16">
        <v>44041</v>
      </c>
      <c r="K14" s="15" t="s">
        <v>21</v>
      </c>
      <c r="L14" s="15" t="s">
        <v>22</v>
      </c>
      <c r="M14" s="15">
        <v>67011</v>
      </c>
      <c r="N14" s="15" t="s">
        <v>23</v>
      </c>
      <c r="O14" s="15">
        <v>0.49315068493150682</v>
      </c>
      <c r="P14" s="15" t="s">
        <v>1861</v>
      </c>
      <c r="Q14" s="15">
        <f t="shared" ca="1" si="0"/>
        <v>24</v>
      </c>
      <c r="R14" s="15" t="str">
        <f t="shared" si="1"/>
        <v>Medium</v>
      </c>
      <c r="S14" s="15"/>
      <c r="V14" s="26" t="s">
        <v>1859</v>
      </c>
      <c r="W14" s="26"/>
      <c r="X14" s="24">
        <f ca="1">AVERAGE(Q2:Q967)</f>
        <v>41.512422360248451</v>
      </c>
      <c r="Y14" t="s">
        <v>1900</v>
      </c>
      <c r="Z14">
        <f ca="1">_xlfn.MODE.SNGL(Q2:Q967)</f>
        <v>42</v>
      </c>
      <c r="AA14"/>
      <c r="AB14" s="20" t="s">
        <v>1928</v>
      </c>
      <c r="AC14" s="20" t="s">
        <v>1929</v>
      </c>
      <c r="AD14" s="20" t="s">
        <v>1930</v>
      </c>
      <c r="AE14" s="20" t="s">
        <v>1931</v>
      </c>
      <c r="AF14" s="20" t="s">
        <v>1932</v>
      </c>
      <c r="AG14"/>
      <c r="AH14"/>
    </row>
    <row r="15" spans="1:34" x14ac:dyDescent="0.3">
      <c r="A15" s="15" t="s">
        <v>78</v>
      </c>
      <c r="B15" s="15" t="s">
        <v>79</v>
      </c>
      <c r="C15" s="15" t="s">
        <v>80</v>
      </c>
      <c r="D15" s="15" t="s">
        <v>27</v>
      </c>
      <c r="E15" s="15" t="s">
        <v>81</v>
      </c>
      <c r="F15" s="15" t="s">
        <v>82</v>
      </c>
      <c r="G15" s="15" t="s">
        <v>30</v>
      </c>
      <c r="H15" s="16">
        <v>31919</v>
      </c>
      <c r="I15" s="16">
        <v>44802</v>
      </c>
      <c r="J15" s="16">
        <v>44982</v>
      </c>
      <c r="K15" s="15" t="s">
        <v>31</v>
      </c>
      <c r="L15" s="15" t="s">
        <v>83</v>
      </c>
      <c r="M15" s="15">
        <v>60136</v>
      </c>
      <c r="N15" s="15" t="s">
        <v>33</v>
      </c>
      <c r="O15" s="15">
        <v>0.49315068493150682</v>
      </c>
      <c r="P15" s="15" t="s">
        <v>1862</v>
      </c>
      <c r="Q15" s="15">
        <f t="shared" ca="1" si="0"/>
        <v>38</v>
      </c>
      <c r="R15" s="15" t="str">
        <f t="shared" si="1"/>
        <v>Medium</v>
      </c>
      <c r="S15" s="15"/>
      <c r="V15" s="26" t="s">
        <v>1860</v>
      </c>
      <c r="W15" s="26"/>
      <c r="X15" s="24">
        <f>AVERAGE(M2:M967)</f>
        <v>71074.91925465838</v>
      </c>
      <c r="Y15"/>
      <c r="Z15"/>
      <c r="AA15"/>
      <c r="AB15">
        <v>42476</v>
      </c>
      <c r="AC15">
        <v>965</v>
      </c>
      <c r="AD15">
        <v>42188557</v>
      </c>
      <c r="AE15">
        <v>43718.711917098444</v>
      </c>
      <c r="AF15">
        <v>821201.46463999385</v>
      </c>
      <c r="AG15"/>
      <c r="AH15"/>
    </row>
    <row r="16" spans="1:34" ht="15" thickBot="1" x14ac:dyDescent="0.35">
      <c r="A16" s="15" t="s">
        <v>84</v>
      </c>
      <c r="B16" s="15" t="s">
        <v>85</v>
      </c>
      <c r="C16" s="15" t="s">
        <v>86</v>
      </c>
      <c r="D16" s="15" t="s">
        <v>27</v>
      </c>
      <c r="E16" s="15" t="s">
        <v>18</v>
      </c>
      <c r="F16" s="15" t="s">
        <v>19</v>
      </c>
      <c r="G16" s="15" t="s">
        <v>30</v>
      </c>
      <c r="H16" s="16">
        <v>23358</v>
      </c>
      <c r="I16" s="16">
        <v>45001</v>
      </c>
      <c r="J16" s="16">
        <v>45181</v>
      </c>
      <c r="K16" s="15" t="s">
        <v>37</v>
      </c>
      <c r="L16" s="15" t="s">
        <v>38</v>
      </c>
      <c r="M16" s="15">
        <v>67552</v>
      </c>
      <c r="N16" s="15" t="s">
        <v>44</v>
      </c>
      <c r="O16" s="15">
        <v>0.49315068493150682</v>
      </c>
      <c r="P16" s="15" t="s">
        <v>1861</v>
      </c>
      <c r="Q16" s="15">
        <f t="shared" ca="1" si="0"/>
        <v>62</v>
      </c>
      <c r="R16" s="15" t="str">
        <f t="shared" si="1"/>
        <v>Medium</v>
      </c>
      <c r="S16" s="15"/>
      <c r="V16" s="26" t="s">
        <v>1887</v>
      </c>
      <c r="W16" s="26"/>
      <c r="X16" s="24">
        <f>MAX(M2:M967)</f>
        <v>131494</v>
      </c>
      <c r="Y16"/>
      <c r="Z16"/>
      <c r="AA16"/>
      <c r="AB16" s="19">
        <v>44382</v>
      </c>
      <c r="AC16" s="19">
        <v>965</v>
      </c>
      <c r="AD16" s="19">
        <v>42860428</v>
      </c>
      <c r="AE16" s="19">
        <v>44414.951295336788</v>
      </c>
      <c r="AF16" s="19">
        <v>626946.04845527047</v>
      </c>
      <c r="AG16"/>
      <c r="AH16"/>
    </row>
    <row r="17" spans="1:34" x14ac:dyDescent="0.3">
      <c r="A17" s="15" t="s">
        <v>87</v>
      </c>
      <c r="B17" s="15" t="s">
        <v>88</v>
      </c>
      <c r="C17" s="15" t="s">
        <v>89</v>
      </c>
      <c r="D17" s="15" t="s">
        <v>27</v>
      </c>
      <c r="E17" s="15" t="s">
        <v>81</v>
      </c>
      <c r="F17" s="15" t="s">
        <v>82</v>
      </c>
      <c r="G17" s="15" t="s">
        <v>30</v>
      </c>
      <c r="H17" s="16">
        <v>37616</v>
      </c>
      <c r="I17" s="16">
        <v>44285</v>
      </c>
      <c r="J17" s="16">
        <v>44465</v>
      </c>
      <c r="K17" s="15" t="s">
        <v>37</v>
      </c>
      <c r="L17" s="15" t="s">
        <v>41</v>
      </c>
      <c r="M17" s="15">
        <v>59934</v>
      </c>
      <c r="N17" s="15" t="s">
        <v>33</v>
      </c>
      <c r="O17" s="15">
        <v>0.49315068493150682</v>
      </c>
      <c r="P17" s="15" t="s">
        <v>1861</v>
      </c>
      <c r="Q17" s="15">
        <f t="shared" ca="1" si="0"/>
        <v>23</v>
      </c>
      <c r="R17" s="15" t="str">
        <f t="shared" si="1"/>
        <v>Low</v>
      </c>
      <c r="S17" s="15"/>
      <c r="V17" s="26" t="s">
        <v>1888</v>
      </c>
      <c r="W17" s="26"/>
      <c r="X17" s="24">
        <f>MIN(M2:M967)</f>
        <v>51865</v>
      </c>
      <c r="Y17"/>
      <c r="Z17"/>
      <c r="AA17"/>
      <c r="AB17"/>
      <c r="AC17"/>
      <c r="AD17"/>
      <c r="AE17"/>
      <c r="AF17"/>
      <c r="AG17"/>
      <c r="AH17"/>
    </row>
    <row r="18" spans="1:34" x14ac:dyDescent="0.3">
      <c r="A18" s="15" t="s">
        <v>90</v>
      </c>
      <c r="B18" s="15" t="s">
        <v>91</v>
      </c>
      <c r="C18" s="15" t="s">
        <v>92</v>
      </c>
      <c r="D18" s="15" t="s">
        <v>17</v>
      </c>
      <c r="E18" s="15" t="s">
        <v>18</v>
      </c>
      <c r="F18" s="15" t="s">
        <v>19</v>
      </c>
      <c r="G18" s="15" t="s">
        <v>93</v>
      </c>
      <c r="H18" s="16">
        <v>23102</v>
      </c>
      <c r="I18" s="16">
        <v>43433</v>
      </c>
      <c r="J18" s="16">
        <v>43807</v>
      </c>
      <c r="K18" s="15" t="s">
        <v>94</v>
      </c>
      <c r="L18" s="15" t="s">
        <v>95</v>
      </c>
      <c r="M18" s="15">
        <v>104162</v>
      </c>
      <c r="N18" s="15" t="s">
        <v>96</v>
      </c>
      <c r="O18" s="15">
        <v>0.49315068493150682</v>
      </c>
      <c r="P18" s="15" t="s">
        <v>1861</v>
      </c>
      <c r="Q18" s="15">
        <f t="shared" ca="1" si="0"/>
        <v>62</v>
      </c>
      <c r="R18" s="15" t="str">
        <f t="shared" si="1"/>
        <v>High</v>
      </c>
      <c r="S18" s="15"/>
      <c r="V18" s="26" t="s">
        <v>1889</v>
      </c>
      <c r="W18" s="26"/>
      <c r="X18" s="24">
        <f>_xlfn.STDEV.S(M2:M967)</f>
        <v>14076.368059438097</v>
      </c>
      <c r="Y18"/>
      <c r="Z18"/>
      <c r="AA18"/>
      <c r="AB18"/>
      <c r="AC18"/>
      <c r="AD18"/>
      <c r="AE18"/>
      <c r="AF18"/>
      <c r="AG18"/>
      <c r="AH18"/>
    </row>
    <row r="19" spans="1:34" ht="15" thickBot="1" x14ac:dyDescent="0.35">
      <c r="A19" s="15" t="s">
        <v>97</v>
      </c>
      <c r="B19" s="15" t="s">
        <v>98</v>
      </c>
      <c r="C19" s="15" t="s">
        <v>99</v>
      </c>
      <c r="D19" s="15" t="s">
        <v>27</v>
      </c>
      <c r="E19" s="15" t="s">
        <v>18</v>
      </c>
      <c r="F19" s="15" t="s">
        <v>19</v>
      </c>
      <c r="G19" s="15" t="s">
        <v>30</v>
      </c>
      <c r="H19" s="16">
        <v>23045</v>
      </c>
      <c r="I19" s="16">
        <v>42477</v>
      </c>
      <c r="J19" s="16">
        <v>44955</v>
      </c>
      <c r="K19" s="15" t="s">
        <v>21</v>
      </c>
      <c r="L19" s="15" t="s">
        <v>100</v>
      </c>
      <c r="M19" s="15">
        <v>63873</v>
      </c>
      <c r="N19" s="15" t="s">
        <v>33</v>
      </c>
      <c r="O19" s="15">
        <v>1.0246575342465749</v>
      </c>
      <c r="P19" s="15" t="s">
        <v>1861</v>
      </c>
      <c r="Q19" s="15">
        <f t="shared" ca="1" si="0"/>
        <v>62</v>
      </c>
      <c r="R19" s="15" t="str">
        <f t="shared" si="1"/>
        <v>Medium</v>
      </c>
      <c r="S19" s="15"/>
      <c r="V19" s="26" t="s">
        <v>1899</v>
      </c>
      <c r="W19" s="26"/>
      <c r="X19" s="24">
        <f>AVERAGE(O2:O967)</f>
        <v>2.1457528574264937</v>
      </c>
      <c r="Y19"/>
      <c r="Z19"/>
      <c r="AA19"/>
      <c r="AB19" t="s">
        <v>1909</v>
      </c>
      <c r="AC19"/>
      <c r="AD19"/>
      <c r="AE19"/>
      <c r="AF19"/>
      <c r="AG19"/>
      <c r="AH19"/>
    </row>
    <row r="20" spans="1:34" x14ac:dyDescent="0.3">
      <c r="A20" s="15" t="s">
        <v>101</v>
      </c>
      <c r="B20" s="15" t="s">
        <v>102</v>
      </c>
      <c r="C20" s="15" t="s">
        <v>103</v>
      </c>
      <c r="D20" s="15" t="s">
        <v>27</v>
      </c>
      <c r="E20" s="15" t="s">
        <v>81</v>
      </c>
      <c r="F20" s="15" t="s">
        <v>104</v>
      </c>
      <c r="G20" s="15" t="s">
        <v>30</v>
      </c>
      <c r="H20" s="16">
        <v>21729</v>
      </c>
      <c r="I20" s="16">
        <v>44625</v>
      </c>
      <c r="J20" s="16">
        <v>44805</v>
      </c>
      <c r="K20" s="15" t="s">
        <v>31</v>
      </c>
      <c r="L20" s="15" t="s">
        <v>83</v>
      </c>
      <c r="M20" s="15">
        <v>66250</v>
      </c>
      <c r="N20" s="15" t="s">
        <v>96</v>
      </c>
      <c r="O20" s="15">
        <v>6.7890410958904113</v>
      </c>
      <c r="P20" s="15" t="s">
        <v>1862</v>
      </c>
      <c r="Q20" s="15">
        <f t="shared" ca="1" si="0"/>
        <v>66</v>
      </c>
      <c r="R20" s="15" t="str">
        <f t="shared" si="1"/>
        <v>Medium</v>
      </c>
      <c r="S20" s="15"/>
      <c r="V20" s="26" t="s">
        <v>1901</v>
      </c>
      <c r="W20" s="26"/>
      <c r="X20" s="24">
        <f>SUM(M2:M967)</f>
        <v>68658372</v>
      </c>
      <c r="Y20"/>
      <c r="Z20"/>
      <c r="AA20"/>
      <c r="AB20" s="20" t="s">
        <v>1933</v>
      </c>
      <c r="AC20" s="20" t="s">
        <v>1915</v>
      </c>
      <c r="AD20" s="20" t="s">
        <v>1914</v>
      </c>
      <c r="AE20" s="20" t="s">
        <v>1916</v>
      </c>
      <c r="AF20" s="20" t="s">
        <v>1917</v>
      </c>
      <c r="AG20" s="20" t="s">
        <v>1921</v>
      </c>
      <c r="AH20" s="20" t="s">
        <v>1934</v>
      </c>
    </row>
    <row r="21" spans="1:34" x14ac:dyDescent="0.3">
      <c r="A21" s="15" t="s">
        <v>105</v>
      </c>
      <c r="B21" s="15" t="s">
        <v>106</v>
      </c>
      <c r="C21" s="15" t="s">
        <v>107</v>
      </c>
      <c r="D21" s="15" t="s">
        <v>27</v>
      </c>
      <c r="E21" s="15" t="s">
        <v>18</v>
      </c>
      <c r="F21" s="15" t="s">
        <v>19</v>
      </c>
      <c r="G21" s="15" t="s">
        <v>30</v>
      </c>
      <c r="H21" s="16">
        <v>26921</v>
      </c>
      <c r="I21" s="16">
        <v>42839</v>
      </c>
      <c r="J21" s="16">
        <v>45459</v>
      </c>
      <c r="K21" s="15" t="s">
        <v>21</v>
      </c>
      <c r="L21" s="15" t="s">
        <v>108</v>
      </c>
      <c r="M21" s="15">
        <v>61729</v>
      </c>
      <c r="N21" s="15" t="s">
        <v>44</v>
      </c>
      <c r="O21" s="15">
        <v>0.49315068493150682</v>
      </c>
      <c r="P21" s="15" t="s">
        <v>1862</v>
      </c>
      <c r="Q21" s="15">
        <f t="shared" ca="1" si="0"/>
        <v>52</v>
      </c>
      <c r="R21" s="15" t="str">
        <f t="shared" si="1"/>
        <v>Medium</v>
      </c>
      <c r="S21" s="15"/>
      <c r="W21"/>
      <c r="X21"/>
      <c r="Y21" s="1"/>
      <c r="Z21"/>
      <c r="AA21"/>
      <c r="AB21" t="s">
        <v>1935</v>
      </c>
      <c r="AC21">
        <v>233891523.64818478</v>
      </c>
      <c r="AD21">
        <v>1</v>
      </c>
      <c r="AE21">
        <v>233891523.64818478</v>
      </c>
      <c r="AF21">
        <v>323.02168326521661</v>
      </c>
      <c r="AG21">
        <v>6.7412102816085069E-67</v>
      </c>
      <c r="AH21">
        <v>3.8462865157919164</v>
      </c>
    </row>
    <row r="22" spans="1:34" x14ac:dyDescent="0.3">
      <c r="A22" s="15" t="s">
        <v>109</v>
      </c>
      <c r="B22" s="15" t="s">
        <v>110</v>
      </c>
      <c r="C22" s="15" t="s">
        <v>111</v>
      </c>
      <c r="D22" s="15" t="s">
        <v>17</v>
      </c>
      <c r="E22" s="15" t="s">
        <v>18</v>
      </c>
      <c r="F22" s="15" t="s">
        <v>19</v>
      </c>
      <c r="G22" s="15" t="s">
        <v>112</v>
      </c>
      <c r="H22" s="16">
        <v>29035</v>
      </c>
      <c r="I22" s="16">
        <v>42763</v>
      </c>
      <c r="J22" s="16">
        <v>44779</v>
      </c>
      <c r="K22" s="15" t="s">
        <v>94</v>
      </c>
      <c r="L22" s="15" t="s">
        <v>95</v>
      </c>
      <c r="M22" s="15">
        <v>84046</v>
      </c>
      <c r="N22" s="15" t="s">
        <v>33</v>
      </c>
      <c r="O22" s="15">
        <v>7.1780821917808222</v>
      </c>
      <c r="P22" s="15" t="s">
        <v>1862</v>
      </c>
      <c r="Q22" s="15">
        <f t="shared" ca="1" si="0"/>
        <v>46</v>
      </c>
      <c r="R22" s="15" t="str">
        <f t="shared" si="1"/>
        <v>Medium</v>
      </c>
      <c r="S22" s="15"/>
      <c r="Y22"/>
      <c r="Z22"/>
      <c r="AA22"/>
      <c r="AB22" t="s">
        <v>1936</v>
      </c>
      <c r="AC22">
        <v>1396014202.6238348</v>
      </c>
      <c r="AD22">
        <v>1928</v>
      </c>
      <c r="AE22">
        <v>724073.75654763216</v>
      </c>
      <c r="AF22"/>
      <c r="AG22"/>
      <c r="AH22"/>
    </row>
    <row r="23" spans="1:34" x14ac:dyDescent="0.3">
      <c r="A23" s="15" t="s">
        <v>113</v>
      </c>
      <c r="B23" s="15" t="s">
        <v>114</v>
      </c>
      <c r="C23" s="15" t="s">
        <v>115</v>
      </c>
      <c r="D23" s="15" t="s">
        <v>27</v>
      </c>
      <c r="E23" s="15" t="s">
        <v>28</v>
      </c>
      <c r="F23" s="15" t="s">
        <v>116</v>
      </c>
      <c r="G23" s="15" t="s">
        <v>93</v>
      </c>
      <c r="H23" s="16">
        <v>34525</v>
      </c>
      <c r="I23" s="16">
        <v>43019</v>
      </c>
      <c r="J23" s="16">
        <v>43199</v>
      </c>
      <c r="K23" s="15" t="s">
        <v>94</v>
      </c>
      <c r="L23" s="15" t="s">
        <v>117</v>
      </c>
      <c r="M23" s="15">
        <v>69318</v>
      </c>
      <c r="N23" s="15" t="s">
        <v>96</v>
      </c>
      <c r="O23" s="15">
        <v>5.5232876712328771</v>
      </c>
      <c r="P23" s="15" t="s">
        <v>1862</v>
      </c>
      <c r="Q23" s="15">
        <f t="shared" ca="1" si="0"/>
        <v>31</v>
      </c>
      <c r="R23" s="15" t="str">
        <f t="shared" si="1"/>
        <v>Medium</v>
      </c>
      <c r="S23" s="15"/>
      <c r="V23"/>
      <c r="W23"/>
      <c r="X23"/>
      <c r="AB23"/>
      <c r="AC23"/>
      <c r="AD23"/>
      <c r="AE23"/>
      <c r="AF23"/>
      <c r="AG23"/>
      <c r="AH23"/>
    </row>
    <row r="24" spans="1:34" ht="15" thickBot="1" x14ac:dyDescent="0.35">
      <c r="A24" s="15" t="s">
        <v>118</v>
      </c>
      <c r="B24" s="15" t="s">
        <v>25</v>
      </c>
      <c r="C24" s="15" t="s">
        <v>119</v>
      </c>
      <c r="D24" s="15" t="s">
        <v>27</v>
      </c>
      <c r="E24" s="15" t="s">
        <v>120</v>
      </c>
      <c r="F24" s="15" t="s">
        <v>121</v>
      </c>
      <c r="G24" s="15" t="s">
        <v>30</v>
      </c>
      <c r="H24" s="16">
        <v>37452</v>
      </c>
      <c r="I24" s="16">
        <v>43570</v>
      </c>
      <c r="J24" s="16">
        <v>43750</v>
      </c>
      <c r="K24" s="15" t="s">
        <v>94</v>
      </c>
      <c r="L24" s="15" t="s">
        <v>122</v>
      </c>
      <c r="M24" s="15">
        <v>99002</v>
      </c>
      <c r="N24" s="15" t="s">
        <v>44</v>
      </c>
      <c r="O24" s="15">
        <v>0.49315068493150682</v>
      </c>
      <c r="P24" s="15" t="s">
        <v>1861</v>
      </c>
      <c r="Q24" s="15">
        <f t="shared" ca="1" si="0"/>
        <v>23</v>
      </c>
      <c r="R24" s="15" t="str">
        <f t="shared" si="1"/>
        <v>Medium</v>
      </c>
      <c r="S24" s="15"/>
      <c r="U24" s="22"/>
      <c r="V24" s="22"/>
      <c r="W24" s="14"/>
      <c r="AB24" s="19" t="s">
        <v>1912</v>
      </c>
      <c r="AC24" s="19">
        <v>1629905726.2720196</v>
      </c>
      <c r="AD24" s="19">
        <v>1929</v>
      </c>
      <c r="AE24" s="19"/>
      <c r="AF24" s="19"/>
      <c r="AG24" s="19"/>
      <c r="AH24" s="19"/>
    </row>
    <row r="25" spans="1:34" x14ac:dyDescent="0.3">
      <c r="A25" s="15" t="s">
        <v>123</v>
      </c>
      <c r="B25" s="15" t="s">
        <v>124</v>
      </c>
      <c r="C25" s="15" t="s">
        <v>125</v>
      </c>
      <c r="D25" s="15" t="s">
        <v>27</v>
      </c>
      <c r="E25" s="15" t="s">
        <v>18</v>
      </c>
      <c r="F25" s="15" t="s">
        <v>19</v>
      </c>
      <c r="G25" s="15" t="s">
        <v>30</v>
      </c>
      <c r="H25" s="16">
        <v>32979</v>
      </c>
      <c r="I25" s="16">
        <v>42952</v>
      </c>
      <c r="J25" s="16">
        <v>43137</v>
      </c>
      <c r="K25" s="15" t="s">
        <v>37</v>
      </c>
      <c r="L25" s="15" t="s">
        <v>38</v>
      </c>
      <c r="M25" s="15">
        <v>69163</v>
      </c>
      <c r="N25" s="15" t="s">
        <v>33</v>
      </c>
      <c r="O25" s="15">
        <v>0.49315068493150682</v>
      </c>
      <c r="P25" s="15" t="s">
        <v>1862</v>
      </c>
      <c r="Q25" s="15">
        <f t="shared" ca="1" si="0"/>
        <v>35</v>
      </c>
      <c r="R25" s="15" t="str">
        <f t="shared" si="1"/>
        <v>Medium</v>
      </c>
      <c r="S25" s="15"/>
      <c r="U25" s="22"/>
      <c r="V25"/>
    </row>
    <row r="26" spans="1:34" x14ac:dyDescent="0.3">
      <c r="A26" s="15" t="s">
        <v>126</v>
      </c>
      <c r="B26" s="15" t="s">
        <v>127</v>
      </c>
      <c r="C26" s="15" t="s">
        <v>128</v>
      </c>
      <c r="D26" s="15" t="s">
        <v>27</v>
      </c>
      <c r="E26" s="15" t="s">
        <v>18</v>
      </c>
      <c r="F26" s="15" t="s">
        <v>19</v>
      </c>
      <c r="G26" s="15" t="s">
        <v>30</v>
      </c>
      <c r="H26" s="16">
        <v>33956</v>
      </c>
      <c r="I26" s="16">
        <v>44129</v>
      </c>
      <c r="J26" s="16">
        <v>44496</v>
      </c>
      <c r="K26" s="15" t="s">
        <v>37</v>
      </c>
      <c r="L26" s="15" t="s">
        <v>41</v>
      </c>
      <c r="M26" s="15">
        <v>65830</v>
      </c>
      <c r="N26" s="15" t="s">
        <v>33</v>
      </c>
      <c r="O26" s="15">
        <v>0.50684931506849318</v>
      </c>
      <c r="P26" s="15" t="s">
        <v>1862</v>
      </c>
      <c r="Q26" s="15">
        <f t="shared" ca="1" si="0"/>
        <v>33</v>
      </c>
      <c r="R26" s="15" t="str">
        <f t="shared" si="1"/>
        <v>Medium</v>
      </c>
      <c r="S26" s="15"/>
      <c r="U26" s="22"/>
      <c r="V26"/>
      <c r="W26" t="s">
        <v>1902</v>
      </c>
      <c r="X26"/>
      <c r="Y26"/>
      <c r="Z26"/>
      <c r="AA26"/>
      <c r="AB26"/>
      <c r="AC26"/>
      <c r="AD26"/>
      <c r="AE26"/>
    </row>
    <row r="27" spans="1:34" ht="15" thickBot="1" x14ac:dyDescent="0.35">
      <c r="A27" s="15" t="s">
        <v>132</v>
      </c>
      <c r="B27" s="15" t="s">
        <v>58</v>
      </c>
      <c r="C27" s="15" t="s">
        <v>133</v>
      </c>
      <c r="D27" s="15" t="s">
        <v>27</v>
      </c>
      <c r="E27" s="15" t="s">
        <v>18</v>
      </c>
      <c r="F27" s="15" t="s">
        <v>19</v>
      </c>
      <c r="G27" s="15" t="s">
        <v>30</v>
      </c>
      <c r="H27" s="16">
        <v>34079</v>
      </c>
      <c r="I27" s="16">
        <v>43856</v>
      </c>
      <c r="J27" s="16">
        <v>44295</v>
      </c>
      <c r="K27" s="15" t="s">
        <v>94</v>
      </c>
      <c r="L27" s="15" t="s">
        <v>117</v>
      </c>
      <c r="M27" s="15">
        <v>71110</v>
      </c>
      <c r="N27" s="15" t="s">
        <v>23</v>
      </c>
      <c r="O27" s="15">
        <v>1.0054794520547941</v>
      </c>
      <c r="P27" s="15" t="s">
        <v>1862</v>
      </c>
      <c r="Q27" s="15">
        <f t="shared" ca="1" si="0"/>
        <v>32</v>
      </c>
      <c r="R27" s="15" t="str">
        <f t="shared" si="1"/>
        <v>Medium</v>
      </c>
      <c r="S27" s="15"/>
      <c r="U27" s="22"/>
      <c r="V27"/>
      <c r="W27"/>
      <c r="X27"/>
      <c r="Y27"/>
      <c r="Z27"/>
      <c r="AA27"/>
      <c r="AB27"/>
      <c r="AC27"/>
      <c r="AD27"/>
      <c r="AE27"/>
    </row>
    <row r="28" spans="1:34" x14ac:dyDescent="0.3">
      <c r="A28" s="15" t="s">
        <v>134</v>
      </c>
      <c r="B28" s="15" t="s">
        <v>135</v>
      </c>
      <c r="C28" s="15" t="s">
        <v>136</v>
      </c>
      <c r="D28" s="15" t="s">
        <v>27</v>
      </c>
      <c r="E28" s="15" t="s">
        <v>137</v>
      </c>
      <c r="F28" s="15" t="s">
        <v>138</v>
      </c>
      <c r="G28" s="15" t="s">
        <v>30</v>
      </c>
      <c r="H28" s="16">
        <v>28515</v>
      </c>
      <c r="I28" s="16">
        <v>43076</v>
      </c>
      <c r="J28" s="16">
        <v>43255</v>
      </c>
      <c r="K28" s="15" t="s">
        <v>31</v>
      </c>
      <c r="L28" s="15" t="s">
        <v>32</v>
      </c>
      <c r="M28" s="15">
        <v>84205</v>
      </c>
      <c r="N28" s="15" t="s">
        <v>96</v>
      </c>
      <c r="O28" s="15">
        <v>8.2410958904109588</v>
      </c>
      <c r="P28" s="15" t="s">
        <v>1861</v>
      </c>
      <c r="Q28" s="15">
        <f t="shared" ca="1" si="0"/>
        <v>47</v>
      </c>
      <c r="R28" s="15" t="str">
        <f t="shared" si="1"/>
        <v>Medium</v>
      </c>
      <c r="S28" s="15"/>
      <c r="U28" s="22"/>
      <c r="W28" s="21" t="s">
        <v>1903</v>
      </c>
      <c r="X28" s="21"/>
      <c r="Y28"/>
      <c r="Z28"/>
      <c r="AA28"/>
      <c r="AB28"/>
      <c r="AC28"/>
      <c r="AD28"/>
      <c r="AE28"/>
    </row>
    <row r="29" spans="1:34" x14ac:dyDescent="0.3">
      <c r="A29" s="15" t="s">
        <v>139</v>
      </c>
      <c r="B29" s="15" t="s">
        <v>140</v>
      </c>
      <c r="C29" s="15" t="s">
        <v>61</v>
      </c>
      <c r="D29" s="15" t="s">
        <v>27</v>
      </c>
      <c r="E29" s="15" t="s">
        <v>18</v>
      </c>
      <c r="F29" s="15" t="s">
        <v>19</v>
      </c>
      <c r="G29" s="15" t="s">
        <v>112</v>
      </c>
      <c r="H29" s="16">
        <v>30212</v>
      </c>
      <c r="I29" s="16">
        <v>43293</v>
      </c>
      <c r="J29" s="16">
        <v>43473</v>
      </c>
      <c r="K29" s="15" t="s">
        <v>94</v>
      </c>
      <c r="L29" s="15" t="s">
        <v>117</v>
      </c>
      <c r="M29" s="15">
        <v>67953</v>
      </c>
      <c r="N29" s="15" t="s">
        <v>33</v>
      </c>
      <c r="O29" s="15">
        <v>1.2027397260273971</v>
      </c>
      <c r="P29" s="15" t="s">
        <v>1862</v>
      </c>
      <c r="Q29" s="15">
        <f t="shared" ca="1" si="0"/>
        <v>43</v>
      </c>
      <c r="R29" s="15" t="str">
        <f t="shared" si="1"/>
        <v>Medium</v>
      </c>
      <c r="S29" s="15"/>
      <c r="U29" s="22"/>
      <c r="W29" t="s">
        <v>1904</v>
      </c>
      <c r="X29">
        <v>9.8599162538995005E-2</v>
      </c>
      <c r="Y29"/>
      <c r="Z29"/>
      <c r="AA29"/>
      <c r="AB29"/>
      <c r="AC29"/>
      <c r="AD29"/>
      <c r="AE29"/>
    </row>
    <row r="30" spans="1:34" x14ac:dyDescent="0.3">
      <c r="A30" s="15" t="s">
        <v>141</v>
      </c>
      <c r="B30" s="15" t="s">
        <v>142</v>
      </c>
      <c r="C30" s="15" t="s">
        <v>143</v>
      </c>
      <c r="D30" s="15" t="s">
        <v>27</v>
      </c>
      <c r="E30" s="15" t="s">
        <v>18</v>
      </c>
      <c r="F30" s="15" t="s">
        <v>19</v>
      </c>
      <c r="G30" s="15" t="s">
        <v>20</v>
      </c>
      <c r="H30" s="16">
        <v>22184</v>
      </c>
      <c r="I30" s="16">
        <v>42548</v>
      </c>
      <c r="J30" s="16">
        <v>44326</v>
      </c>
      <c r="K30" s="15" t="s">
        <v>31</v>
      </c>
      <c r="L30" s="15" t="s">
        <v>83</v>
      </c>
      <c r="M30" s="15">
        <v>58445</v>
      </c>
      <c r="N30" s="15" t="s">
        <v>23</v>
      </c>
      <c r="O30" s="15">
        <v>0.49041095890410957</v>
      </c>
      <c r="P30" s="15" t="s">
        <v>1862</v>
      </c>
      <c r="Q30" s="15">
        <f t="shared" ca="1" si="0"/>
        <v>65</v>
      </c>
      <c r="R30" s="15" t="str">
        <f t="shared" si="1"/>
        <v>Low</v>
      </c>
      <c r="S30" s="15"/>
      <c r="U30" s="22"/>
      <c r="W30" t="s">
        <v>1905</v>
      </c>
      <c r="X30">
        <v>9.721794853391157E-3</v>
      </c>
      <c r="Y30"/>
      <c r="Z30"/>
      <c r="AA30"/>
      <c r="AB30"/>
      <c r="AC30"/>
      <c r="AD30"/>
      <c r="AE30"/>
    </row>
    <row r="31" spans="1:34" x14ac:dyDescent="0.3">
      <c r="A31" s="15" t="s">
        <v>144</v>
      </c>
      <c r="B31" s="15" t="s">
        <v>145</v>
      </c>
      <c r="C31" s="15" t="s">
        <v>26</v>
      </c>
      <c r="D31" s="15" t="s">
        <v>17</v>
      </c>
      <c r="E31" s="15" t="s">
        <v>18</v>
      </c>
      <c r="F31" s="15" t="s">
        <v>19</v>
      </c>
      <c r="G31" s="15" t="s">
        <v>30</v>
      </c>
      <c r="H31" s="16">
        <v>33802</v>
      </c>
      <c r="I31" s="16">
        <v>43025</v>
      </c>
      <c r="J31" s="16">
        <v>44516</v>
      </c>
      <c r="K31" s="15" t="s">
        <v>21</v>
      </c>
      <c r="L31" s="15" t="s">
        <v>100</v>
      </c>
      <c r="M31" s="15">
        <v>58697</v>
      </c>
      <c r="N31" s="15" t="s">
        <v>44</v>
      </c>
      <c r="O31" s="15">
        <v>0.49315068493150682</v>
      </c>
      <c r="P31" s="15" t="s">
        <v>1862</v>
      </c>
      <c r="Q31" s="15">
        <f t="shared" ca="1" si="0"/>
        <v>33</v>
      </c>
      <c r="R31" s="15" t="str">
        <f t="shared" si="1"/>
        <v>Low</v>
      </c>
      <c r="S31" s="15"/>
      <c r="U31" s="22"/>
      <c r="W31" t="s">
        <v>1906</v>
      </c>
      <c r="X31">
        <v>8.6934685759803478E-3</v>
      </c>
      <c r="Y31"/>
      <c r="Z31"/>
      <c r="AA31"/>
      <c r="AB31"/>
      <c r="AC31"/>
      <c r="AD31"/>
      <c r="AE31"/>
    </row>
    <row r="32" spans="1:34" x14ac:dyDescent="0.3">
      <c r="A32" s="15" t="s">
        <v>146</v>
      </c>
      <c r="B32" s="15" t="s">
        <v>46</v>
      </c>
      <c r="C32" s="15" t="s">
        <v>147</v>
      </c>
      <c r="D32" s="15" t="s">
        <v>27</v>
      </c>
      <c r="E32" s="15" t="s">
        <v>18</v>
      </c>
      <c r="F32" s="15" t="s">
        <v>19</v>
      </c>
      <c r="G32" s="15" t="s">
        <v>93</v>
      </c>
      <c r="H32" s="16">
        <v>25700</v>
      </c>
      <c r="I32" s="16">
        <v>44058</v>
      </c>
      <c r="J32" s="16">
        <v>44882</v>
      </c>
      <c r="K32" s="15" t="s">
        <v>94</v>
      </c>
      <c r="L32" s="15" t="s">
        <v>117</v>
      </c>
      <c r="M32" s="15">
        <v>77156</v>
      </c>
      <c r="N32" s="15" t="s">
        <v>96</v>
      </c>
      <c r="O32" s="15">
        <v>4.8712328767123294</v>
      </c>
      <c r="P32" s="15" t="s">
        <v>1862</v>
      </c>
      <c r="Q32" s="15">
        <f t="shared" ca="1" si="0"/>
        <v>55</v>
      </c>
      <c r="R32" s="15" t="str">
        <f t="shared" si="1"/>
        <v>Medium</v>
      </c>
      <c r="S32" s="15"/>
      <c r="U32" s="22"/>
      <c r="W32" t="s">
        <v>1907</v>
      </c>
      <c r="X32">
        <v>14018.285886168947</v>
      </c>
      <c r="Y32"/>
      <c r="Z32"/>
      <c r="AA32"/>
      <c r="AB32"/>
      <c r="AC32"/>
      <c r="AD32"/>
      <c r="AE32"/>
    </row>
    <row r="33" spans="1:31" ht="15" thickBot="1" x14ac:dyDescent="0.35">
      <c r="A33" s="15" t="s">
        <v>148</v>
      </c>
      <c r="B33" s="15" t="s">
        <v>149</v>
      </c>
      <c r="C33" s="15" t="s">
        <v>150</v>
      </c>
      <c r="D33" s="15" t="s">
        <v>17</v>
      </c>
      <c r="E33" s="15" t="s">
        <v>18</v>
      </c>
      <c r="F33" s="15" t="s">
        <v>19</v>
      </c>
      <c r="G33" s="15" t="s">
        <v>30</v>
      </c>
      <c r="H33" s="16">
        <v>37589</v>
      </c>
      <c r="I33" s="16">
        <v>45432</v>
      </c>
      <c r="J33" s="16">
        <v>45612</v>
      </c>
      <c r="K33" s="15" t="s">
        <v>94</v>
      </c>
      <c r="L33" s="15" t="s">
        <v>117</v>
      </c>
      <c r="M33" s="15">
        <v>81038</v>
      </c>
      <c r="N33" s="15" t="s">
        <v>96</v>
      </c>
      <c r="O33" s="15">
        <v>4.0849315068493146</v>
      </c>
      <c r="P33" s="15" t="s">
        <v>1861</v>
      </c>
      <c r="Q33" s="15">
        <f t="shared" ca="1" si="0"/>
        <v>23</v>
      </c>
      <c r="R33" s="15" t="str">
        <f t="shared" si="1"/>
        <v>Medium</v>
      </c>
      <c r="S33" s="15"/>
      <c r="U33" s="22"/>
      <c r="W33" s="19" t="s">
        <v>1908</v>
      </c>
      <c r="X33" s="19">
        <v>965</v>
      </c>
      <c r="Y33"/>
      <c r="Z33"/>
      <c r="AA33"/>
      <c r="AB33"/>
      <c r="AC33"/>
      <c r="AD33"/>
      <c r="AE33"/>
    </row>
    <row r="34" spans="1:31" x14ac:dyDescent="0.3">
      <c r="A34" s="15" t="s">
        <v>151</v>
      </c>
      <c r="B34" s="15" t="s">
        <v>127</v>
      </c>
      <c r="C34" s="15" t="s">
        <v>152</v>
      </c>
      <c r="D34" s="15" t="s">
        <v>27</v>
      </c>
      <c r="E34" s="15" t="s">
        <v>18</v>
      </c>
      <c r="F34" s="15" t="s">
        <v>19</v>
      </c>
      <c r="G34" s="15" t="s">
        <v>30</v>
      </c>
      <c r="H34" s="16">
        <v>29362</v>
      </c>
      <c r="I34" s="16">
        <v>42933</v>
      </c>
      <c r="J34" s="16">
        <v>43113</v>
      </c>
      <c r="K34" s="15" t="s">
        <v>51</v>
      </c>
      <c r="L34" s="15" t="s">
        <v>56</v>
      </c>
      <c r="M34" s="15">
        <v>71339</v>
      </c>
      <c r="N34" s="15" t="s">
        <v>44</v>
      </c>
      <c r="O34" s="15">
        <v>2.257534246575343</v>
      </c>
      <c r="P34" s="15" t="s">
        <v>1862</v>
      </c>
      <c r="Q34" s="15">
        <f t="shared" ca="1" si="0"/>
        <v>45</v>
      </c>
      <c r="R34" s="15" t="str">
        <f t="shared" si="1"/>
        <v>Medium</v>
      </c>
      <c r="S34" s="15"/>
      <c r="U34" s="22"/>
      <c r="W34"/>
      <c r="X34"/>
      <c r="Y34"/>
      <c r="Z34"/>
      <c r="AA34"/>
      <c r="AB34"/>
      <c r="AC34"/>
      <c r="AD34"/>
      <c r="AE34"/>
    </row>
    <row r="35" spans="1:31" ht="15" thickBot="1" x14ac:dyDescent="0.35">
      <c r="A35" s="15" t="s">
        <v>153</v>
      </c>
      <c r="B35" s="15" t="s">
        <v>154</v>
      </c>
      <c r="C35" s="15" t="s">
        <v>155</v>
      </c>
      <c r="D35" s="15" t="s">
        <v>27</v>
      </c>
      <c r="E35" s="15" t="s">
        <v>18</v>
      </c>
      <c r="F35" s="15" t="s">
        <v>19</v>
      </c>
      <c r="G35" s="15" t="s">
        <v>112</v>
      </c>
      <c r="H35" s="16">
        <v>30366</v>
      </c>
      <c r="I35" s="16">
        <v>44896</v>
      </c>
      <c r="J35" s="16">
        <v>45076</v>
      </c>
      <c r="K35" s="15" t="s">
        <v>37</v>
      </c>
      <c r="L35" s="15" t="s">
        <v>43</v>
      </c>
      <c r="M35" s="15">
        <v>81316</v>
      </c>
      <c r="N35" s="15" t="s">
        <v>96</v>
      </c>
      <c r="O35" s="15">
        <v>0.49315068493150682</v>
      </c>
      <c r="P35" s="15" t="s">
        <v>1862</v>
      </c>
      <c r="Q35" s="15">
        <f t="shared" ca="1" si="0"/>
        <v>42</v>
      </c>
      <c r="R35" s="15" t="str">
        <f t="shared" si="1"/>
        <v>Medium</v>
      </c>
      <c r="S35" s="15"/>
      <c r="W35" t="s">
        <v>1909</v>
      </c>
      <c r="X35"/>
      <c r="Y35"/>
      <c r="Z35"/>
      <c r="AA35"/>
      <c r="AB35"/>
      <c r="AC35"/>
      <c r="AD35"/>
      <c r="AE35"/>
    </row>
    <row r="36" spans="1:31" x14ac:dyDescent="0.3">
      <c r="A36" s="15" t="s">
        <v>156</v>
      </c>
      <c r="B36" s="15" t="s">
        <v>157</v>
      </c>
      <c r="C36" s="15" t="s">
        <v>158</v>
      </c>
      <c r="D36" s="15" t="s">
        <v>17</v>
      </c>
      <c r="E36" s="15" t="s">
        <v>18</v>
      </c>
      <c r="F36" s="15" t="s">
        <v>19</v>
      </c>
      <c r="G36" s="15" t="s">
        <v>30</v>
      </c>
      <c r="H36" s="16">
        <v>37065</v>
      </c>
      <c r="I36" s="16">
        <v>44869</v>
      </c>
      <c r="J36" s="16">
        <v>45336</v>
      </c>
      <c r="K36" s="15" t="s">
        <v>31</v>
      </c>
      <c r="L36" s="15" t="s">
        <v>159</v>
      </c>
      <c r="M36" s="15">
        <v>96947</v>
      </c>
      <c r="N36" s="15" t="s">
        <v>96</v>
      </c>
      <c r="O36" s="15">
        <v>0.49315068493150682</v>
      </c>
      <c r="P36" s="15" t="s">
        <v>1861</v>
      </c>
      <c r="Q36" s="15">
        <f t="shared" ca="1" si="0"/>
        <v>24</v>
      </c>
      <c r="R36" s="15" t="str">
        <f t="shared" si="1"/>
        <v>Medium</v>
      </c>
      <c r="S36" s="15"/>
      <c r="W36" s="20"/>
      <c r="X36" s="20" t="s">
        <v>1914</v>
      </c>
      <c r="Y36" s="20" t="s">
        <v>1915</v>
      </c>
      <c r="Z36" s="20" t="s">
        <v>1916</v>
      </c>
      <c r="AA36" s="20" t="s">
        <v>1917</v>
      </c>
      <c r="AB36" s="20" t="s">
        <v>1918</v>
      </c>
      <c r="AC36"/>
      <c r="AD36"/>
      <c r="AE36"/>
    </row>
    <row r="37" spans="1:31" x14ac:dyDescent="0.3">
      <c r="A37" s="15" t="s">
        <v>160</v>
      </c>
      <c r="B37" s="15" t="s">
        <v>161</v>
      </c>
      <c r="C37" s="15" t="s">
        <v>162</v>
      </c>
      <c r="D37" s="15" t="s">
        <v>27</v>
      </c>
      <c r="E37" s="15" t="s">
        <v>18</v>
      </c>
      <c r="F37" s="15" t="s">
        <v>19</v>
      </c>
      <c r="G37" s="15" t="s">
        <v>30</v>
      </c>
      <c r="H37" s="16">
        <v>30761</v>
      </c>
      <c r="I37" s="16">
        <v>43615</v>
      </c>
      <c r="J37" s="16">
        <v>44315</v>
      </c>
      <c r="K37" s="15" t="s">
        <v>37</v>
      </c>
      <c r="L37" s="15" t="s">
        <v>38</v>
      </c>
      <c r="M37" s="15">
        <v>67437</v>
      </c>
      <c r="N37" s="15" t="s">
        <v>96</v>
      </c>
      <c r="O37" s="15">
        <v>0.49315068493150682</v>
      </c>
      <c r="P37" s="15" t="s">
        <v>1862</v>
      </c>
      <c r="Q37" s="15">
        <f t="shared" ca="1" si="0"/>
        <v>41</v>
      </c>
      <c r="R37" s="15" t="str">
        <f t="shared" si="1"/>
        <v>Medium</v>
      </c>
      <c r="S37" s="15"/>
      <c r="W37" t="s">
        <v>1910</v>
      </c>
      <c r="X37">
        <v>1</v>
      </c>
      <c r="Y37">
        <v>1857827315.8010864</v>
      </c>
      <c r="Z37">
        <v>1857827315.8010864</v>
      </c>
      <c r="AA37">
        <v>9.4539982755953353</v>
      </c>
      <c r="AB37">
        <v>2.1662900553878002E-3</v>
      </c>
      <c r="AC37"/>
      <c r="AD37"/>
      <c r="AE37"/>
    </row>
    <row r="38" spans="1:31" x14ac:dyDescent="0.3">
      <c r="A38" s="15" t="s">
        <v>163</v>
      </c>
      <c r="B38" s="15" t="s">
        <v>164</v>
      </c>
      <c r="C38" s="15" t="s">
        <v>165</v>
      </c>
      <c r="D38" s="15" t="s">
        <v>17</v>
      </c>
      <c r="E38" s="15" t="s">
        <v>81</v>
      </c>
      <c r="F38" s="15" t="s">
        <v>166</v>
      </c>
      <c r="G38" s="15" t="s">
        <v>93</v>
      </c>
      <c r="H38" s="16">
        <v>25343</v>
      </c>
      <c r="I38" s="16">
        <v>43305</v>
      </c>
      <c r="J38" s="16">
        <v>43485</v>
      </c>
      <c r="K38" s="15" t="s">
        <v>94</v>
      </c>
      <c r="L38" s="15" t="s">
        <v>122</v>
      </c>
      <c r="M38" s="15">
        <v>116328</v>
      </c>
      <c r="N38" s="15" t="s">
        <v>96</v>
      </c>
      <c r="O38" s="15">
        <v>1.279452054794521</v>
      </c>
      <c r="P38" s="15" t="s">
        <v>1862</v>
      </c>
      <c r="Q38" s="15">
        <f t="shared" ca="1" si="0"/>
        <v>56</v>
      </c>
      <c r="R38" s="15" t="str">
        <f t="shared" si="1"/>
        <v>High</v>
      </c>
      <c r="S38" s="15"/>
      <c r="W38" t="s">
        <v>1911</v>
      </c>
      <c r="X38">
        <v>963</v>
      </c>
      <c r="Y38">
        <v>189241382636.46808</v>
      </c>
      <c r="Z38">
        <v>196512339.18636352</v>
      </c>
      <c r="AA38"/>
      <c r="AB38"/>
      <c r="AC38"/>
      <c r="AD38"/>
      <c r="AE38"/>
    </row>
    <row r="39" spans="1:31" ht="15" thickBot="1" x14ac:dyDescent="0.35">
      <c r="A39" s="15" t="s">
        <v>167</v>
      </c>
      <c r="B39" s="15" t="s">
        <v>25</v>
      </c>
      <c r="C39" s="15" t="s">
        <v>168</v>
      </c>
      <c r="D39" s="15" t="s">
        <v>27</v>
      </c>
      <c r="E39" s="15" t="s">
        <v>169</v>
      </c>
      <c r="F39" s="15" t="s">
        <v>170</v>
      </c>
      <c r="G39" s="15" t="s">
        <v>30</v>
      </c>
      <c r="H39" s="16">
        <v>26313</v>
      </c>
      <c r="I39" s="16">
        <v>42740</v>
      </c>
      <c r="J39" s="16">
        <v>43125</v>
      </c>
      <c r="K39" s="15" t="s">
        <v>37</v>
      </c>
      <c r="L39" s="15" t="s">
        <v>38</v>
      </c>
      <c r="M39" s="15">
        <v>67630</v>
      </c>
      <c r="N39" s="15" t="s">
        <v>44</v>
      </c>
      <c r="O39" s="15">
        <v>1.9178082191780821</v>
      </c>
      <c r="P39" s="15" t="s">
        <v>1862</v>
      </c>
      <c r="Q39" s="15">
        <f t="shared" ca="1" si="0"/>
        <v>54</v>
      </c>
      <c r="R39" s="15" t="str">
        <f t="shared" si="1"/>
        <v>Medium</v>
      </c>
      <c r="S39" s="15"/>
      <c r="W39" s="19" t="s">
        <v>1912</v>
      </c>
      <c r="X39" s="19">
        <v>964</v>
      </c>
      <c r="Y39" s="19">
        <v>191099209952.26917</v>
      </c>
      <c r="Z39" s="19"/>
      <c r="AA39" s="19"/>
      <c r="AB39" s="19"/>
      <c r="AC39"/>
      <c r="AD39"/>
      <c r="AE39"/>
    </row>
    <row r="40" spans="1:31" ht="15" thickBot="1" x14ac:dyDescent="0.35">
      <c r="A40" s="15" t="s">
        <v>171</v>
      </c>
      <c r="B40" s="15" t="s">
        <v>161</v>
      </c>
      <c r="C40" s="15" t="s">
        <v>172</v>
      </c>
      <c r="D40" s="15" t="s">
        <v>17</v>
      </c>
      <c r="E40" s="15" t="s">
        <v>18</v>
      </c>
      <c r="F40" s="15" t="s">
        <v>19</v>
      </c>
      <c r="G40" s="15" t="s">
        <v>30</v>
      </c>
      <c r="H40" s="16">
        <v>29813</v>
      </c>
      <c r="I40" s="16">
        <v>44174</v>
      </c>
      <c r="J40" s="16">
        <v>44541</v>
      </c>
      <c r="K40" s="15" t="s">
        <v>37</v>
      </c>
      <c r="L40" s="15" t="s">
        <v>38</v>
      </c>
      <c r="M40" s="15">
        <v>53898</v>
      </c>
      <c r="N40" s="15" t="s">
        <v>33</v>
      </c>
      <c r="O40" s="15">
        <v>0.49315068493150682</v>
      </c>
      <c r="P40" s="15" t="s">
        <v>1861</v>
      </c>
      <c r="Q40" s="15">
        <f t="shared" ca="1" si="0"/>
        <v>44</v>
      </c>
      <c r="R40" s="15" t="str">
        <f t="shared" si="1"/>
        <v>Low</v>
      </c>
      <c r="S40" s="15"/>
      <c r="W40"/>
      <c r="X40"/>
      <c r="Y40"/>
      <c r="Z40"/>
      <c r="AA40"/>
      <c r="AB40"/>
      <c r="AC40"/>
      <c r="AD40"/>
      <c r="AE40"/>
    </row>
    <row r="41" spans="1:31" x14ac:dyDescent="0.3">
      <c r="A41" s="15" t="s">
        <v>173</v>
      </c>
      <c r="B41" s="15" t="s">
        <v>174</v>
      </c>
      <c r="C41" s="15" t="s">
        <v>175</v>
      </c>
      <c r="D41" s="15" t="s">
        <v>17</v>
      </c>
      <c r="E41" s="15" t="s">
        <v>18</v>
      </c>
      <c r="F41" s="15" t="s">
        <v>19</v>
      </c>
      <c r="G41" s="15" t="s">
        <v>30</v>
      </c>
      <c r="H41" s="16">
        <v>37935</v>
      </c>
      <c r="I41" s="16">
        <v>44810</v>
      </c>
      <c r="J41" s="16">
        <v>44990</v>
      </c>
      <c r="K41" s="15" t="s">
        <v>94</v>
      </c>
      <c r="L41" s="15" t="s">
        <v>117</v>
      </c>
      <c r="M41" s="15">
        <v>61534</v>
      </c>
      <c r="N41" s="15" t="s">
        <v>33</v>
      </c>
      <c r="O41" s="15">
        <v>1.054794520547945</v>
      </c>
      <c r="P41" s="15" t="s">
        <v>1862</v>
      </c>
      <c r="Q41" s="15">
        <f t="shared" ca="1" si="0"/>
        <v>22</v>
      </c>
      <c r="R41" s="15" t="str">
        <f t="shared" si="1"/>
        <v>Medium</v>
      </c>
      <c r="S41" s="15"/>
      <c r="W41" s="20"/>
      <c r="X41" s="20" t="s">
        <v>1919</v>
      </c>
      <c r="Y41" s="20" t="s">
        <v>1907</v>
      </c>
      <c r="Z41" s="20" t="s">
        <v>1920</v>
      </c>
      <c r="AA41" s="20" t="s">
        <v>1921</v>
      </c>
      <c r="AB41" s="20" t="s">
        <v>1922</v>
      </c>
      <c r="AC41" s="20" t="s">
        <v>1923</v>
      </c>
      <c r="AD41" s="20" t="s">
        <v>1924</v>
      </c>
      <c r="AE41" s="20" t="s">
        <v>1925</v>
      </c>
    </row>
    <row r="42" spans="1:31" x14ac:dyDescent="0.3">
      <c r="A42" s="15" t="s">
        <v>176</v>
      </c>
      <c r="B42" s="15" t="s">
        <v>63</v>
      </c>
      <c r="C42" s="15" t="s">
        <v>177</v>
      </c>
      <c r="D42" s="15" t="s">
        <v>27</v>
      </c>
      <c r="E42" s="15" t="s">
        <v>18</v>
      </c>
      <c r="F42" s="15" t="s">
        <v>19</v>
      </c>
      <c r="G42" s="15" t="s">
        <v>20</v>
      </c>
      <c r="H42" s="16">
        <v>29185</v>
      </c>
      <c r="I42" s="16">
        <v>45353</v>
      </c>
      <c r="J42" s="16">
        <v>45554</v>
      </c>
      <c r="K42" s="15" t="s">
        <v>65</v>
      </c>
      <c r="L42" s="15" t="s">
        <v>66</v>
      </c>
      <c r="M42" s="15">
        <v>78184</v>
      </c>
      <c r="N42" s="15" t="s">
        <v>23</v>
      </c>
      <c r="O42" s="15">
        <v>1.0054794520547941</v>
      </c>
      <c r="P42" s="15" t="s">
        <v>1862</v>
      </c>
      <c r="Q42" s="15">
        <f t="shared" ca="1" si="0"/>
        <v>46</v>
      </c>
      <c r="R42" s="15" t="str">
        <f t="shared" si="1"/>
        <v>Medium</v>
      </c>
      <c r="S42" s="15"/>
      <c r="W42" t="s">
        <v>1913</v>
      </c>
      <c r="X42">
        <v>66184.5652374036</v>
      </c>
      <c r="Y42">
        <v>1649.8778641727015</v>
      </c>
      <c r="Z42">
        <v>40.114827087876918</v>
      </c>
      <c r="AA42">
        <v>1.1640541677602975E-207</v>
      </c>
      <c r="AB42">
        <v>62946.794680208186</v>
      </c>
      <c r="AC42">
        <v>69422.335794599014</v>
      </c>
      <c r="AD42">
        <v>62946.794680208186</v>
      </c>
      <c r="AE42">
        <v>69422.335794599014</v>
      </c>
    </row>
    <row r="43" spans="1:31" ht="15" thickBot="1" x14ac:dyDescent="0.35">
      <c r="A43" s="15" t="s">
        <v>178</v>
      </c>
      <c r="B43" s="15" t="s">
        <v>102</v>
      </c>
      <c r="C43" s="15" t="s">
        <v>179</v>
      </c>
      <c r="D43" s="15" t="s">
        <v>17</v>
      </c>
      <c r="E43" s="15" t="s">
        <v>18</v>
      </c>
      <c r="F43" s="15" t="s">
        <v>19</v>
      </c>
      <c r="G43" s="15" t="s">
        <v>30</v>
      </c>
      <c r="H43" s="16">
        <v>29329</v>
      </c>
      <c r="I43" s="16">
        <v>42345</v>
      </c>
      <c r="J43" s="16">
        <v>44998</v>
      </c>
      <c r="K43" s="15" t="s">
        <v>37</v>
      </c>
      <c r="L43" s="15" t="s">
        <v>41</v>
      </c>
      <c r="M43" s="15">
        <v>56559</v>
      </c>
      <c r="N43" s="15" t="s">
        <v>33</v>
      </c>
      <c r="O43" s="15">
        <v>0.49315068493150682</v>
      </c>
      <c r="P43" s="15" t="s">
        <v>1861</v>
      </c>
      <c r="Q43" s="15">
        <f t="shared" ca="1" si="0"/>
        <v>45</v>
      </c>
      <c r="R43" s="15" t="str">
        <f t="shared" si="1"/>
        <v>Low</v>
      </c>
      <c r="S43" s="15"/>
      <c r="W43" s="19">
        <v>45</v>
      </c>
      <c r="X43" s="19">
        <v>119.82376634108248</v>
      </c>
      <c r="Y43" s="19">
        <v>38.970430821612212</v>
      </c>
      <c r="Z43" s="19">
        <v>3.0747354805898284</v>
      </c>
      <c r="AA43" s="19">
        <v>2.1662900553847233E-3</v>
      </c>
      <c r="AB43" s="19">
        <v>43.347006299995527</v>
      </c>
      <c r="AC43" s="19">
        <v>196.30052638216944</v>
      </c>
      <c r="AD43" s="19">
        <v>43.347006299995527</v>
      </c>
      <c r="AE43" s="19">
        <v>196.30052638216944</v>
      </c>
    </row>
    <row r="44" spans="1:31" x14ac:dyDescent="0.3">
      <c r="A44" s="15" t="s">
        <v>180</v>
      </c>
      <c r="B44" s="15" t="s">
        <v>140</v>
      </c>
      <c r="C44" s="15" t="s">
        <v>181</v>
      </c>
      <c r="D44" s="15" t="s">
        <v>27</v>
      </c>
      <c r="E44" s="15" t="s">
        <v>18</v>
      </c>
      <c r="F44" s="15" t="s">
        <v>19</v>
      </c>
      <c r="G44" s="15" t="s">
        <v>30</v>
      </c>
      <c r="H44" s="16">
        <v>21893</v>
      </c>
      <c r="I44" s="16">
        <v>43031</v>
      </c>
      <c r="J44" s="16">
        <v>43436</v>
      </c>
      <c r="K44" s="15" t="s">
        <v>21</v>
      </c>
      <c r="L44" s="15" t="s">
        <v>108</v>
      </c>
      <c r="M44" s="15">
        <v>68635</v>
      </c>
      <c r="N44" s="15" t="s">
        <v>44</v>
      </c>
      <c r="O44" s="15">
        <v>0.55068493150684927</v>
      </c>
      <c r="P44" s="15" t="s">
        <v>1862</v>
      </c>
      <c r="Q44" s="15">
        <f t="shared" ca="1" si="0"/>
        <v>66</v>
      </c>
      <c r="R44" s="15" t="str">
        <f t="shared" si="1"/>
        <v>Medium</v>
      </c>
      <c r="S44" s="15"/>
      <c r="W44"/>
      <c r="X44"/>
      <c r="Y44"/>
      <c r="Z44"/>
      <c r="AA44"/>
      <c r="AB44"/>
      <c r="AC44"/>
      <c r="AD44"/>
      <c r="AE44"/>
    </row>
    <row r="45" spans="1:31" x14ac:dyDescent="0.3">
      <c r="A45" s="15" t="s">
        <v>183</v>
      </c>
      <c r="B45" s="15" t="s">
        <v>184</v>
      </c>
      <c r="C45" s="15" t="s">
        <v>185</v>
      </c>
      <c r="D45" s="15" t="s">
        <v>17</v>
      </c>
      <c r="E45" s="15" t="s">
        <v>18</v>
      </c>
      <c r="F45" s="15" t="s">
        <v>19</v>
      </c>
      <c r="G45" s="15" t="s">
        <v>30</v>
      </c>
      <c r="H45" s="16">
        <v>29921</v>
      </c>
      <c r="I45" s="16">
        <v>43297</v>
      </c>
      <c r="J45" s="16">
        <v>43477</v>
      </c>
      <c r="K45" s="15" t="s">
        <v>37</v>
      </c>
      <c r="L45" s="15" t="s">
        <v>41</v>
      </c>
      <c r="M45" s="15">
        <v>63169</v>
      </c>
      <c r="N45" s="15" t="s">
        <v>33</v>
      </c>
      <c r="O45" s="15">
        <v>7.2684931506849324</v>
      </c>
      <c r="P45" s="15" t="s">
        <v>1862</v>
      </c>
      <c r="Q45" s="15">
        <f t="shared" ca="1" si="0"/>
        <v>44</v>
      </c>
      <c r="R45" s="15" t="str">
        <f t="shared" si="1"/>
        <v>Medium</v>
      </c>
      <c r="S45" s="15"/>
      <c r="W45"/>
      <c r="X45"/>
      <c r="Y45"/>
      <c r="Z45"/>
      <c r="AA45"/>
      <c r="AB45"/>
      <c r="AC45"/>
      <c r="AD45"/>
      <c r="AE45"/>
    </row>
    <row r="46" spans="1:31" x14ac:dyDescent="0.3">
      <c r="A46" s="15" t="s">
        <v>186</v>
      </c>
      <c r="B46" s="15" t="s">
        <v>114</v>
      </c>
      <c r="C46" s="15" t="s">
        <v>187</v>
      </c>
      <c r="D46" s="15" t="s">
        <v>17</v>
      </c>
      <c r="E46" s="15" t="s">
        <v>120</v>
      </c>
      <c r="F46" s="15" t="s">
        <v>121</v>
      </c>
      <c r="G46" s="15" t="s">
        <v>112</v>
      </c>
      <c r="H46" s="16">
        <v>30243</v>
      </c>
      <c r="I46" s="16">
        <v>42666</v>
      </c>
      <c r="J46" s="16">
        <v>43621</v>
      </c>
      <c r="K46" s="15" t="s">
        <v>94</v>
      </c>
      <c r="L46" s="15" t="s">
        <v>122</v>
      </c>
      <c r="M46" s="15">
        <v>71142</v>
      </c>
      <c r="N46" s="15" t="s">
        <v>33</v>
      </c>
      <c r="O46" s="15">
        <v>1.10958904109589</v>
      </c>
      <c r="P46" s="15" t="s">
        <v>1862</v>
      </c>
      <c r="Q46" s="15">
        <f t="shared" ca="1" si="0"/>
        <v>43</v>
      </c>
      <c r="R46" s="15" t="str">
        <f t="shared" si="1"/>
        <v>Medium</v>
      </c>
      <c r="S46" s="15"/>
      <c r="W46"/>
      <c r="X46"/>
      <c r="Y46"/>
      <c r="Z46"/>
      <c r="AA46"/>
      <c r="AB46"/>
      <c r="AC46"/>
      <c r="AD46"/>
      <c r="AE46"/>
    </row>
    <row r="47" spans="1:31" x14ac:dyDescent="0.3">
      <c r="A47" s="15" t="s">
        <v>188</v>
      </c>
      <c r="B47" s="15" t="s">
        <v>189</v>
      </c>
      <c r="C47" s="15" t="s">
        <v>190</v>
      </c>
      <c r="D47" s="15" t="s">
        <v>27</v>
      </c>
      <c r="E47" s="15" t="s">
        <v>18</v>
      </c>
      <c r="F47" s="15" t="s">
        <v>19</v>
      </c>
      <c r="G47" s="15" t="s">
        <v>20</v>
      </c>
      <c r="H47" s="16">
        <v>30575</v>
      </c>
      <c r="I47" s="16">
        <v>43094</v>
      </c>
      <c r="J47" s="16">
        <v>43441</v>
      </c>
      <c r="K47" s="15" t="s">
        <v>37</v>
      </c>
      <c r="L47" s="15" t="s">
        <v>41</v>
      </c>
      <c r="M47" s="15">
        <v>58830</v>
      </c>
      <c r="N47" s="15" t="s">
        <v>23</v>
      </c>
      <c r="O47" s="15">
        <v>8.3506849315068497</v>
      </c>
      <c r="P47" s="15" t="s">
        <v>1861</v>
      </c>
      <c r="Q47" s="15">
        <f t="shared" ca="1" si="0"/>
        <v>42</v>
      </c>
      <c r="R47" s="15" t="str">
        <f t="shared" si="1"/>
        <v>Low</v>
      </c>
      <c r="S47" s="15"/>
    </row>
    <row r="48" spans="1:31" x14ac:dyDescent="0.3">
      <c r="A48" s="15" t="s">
        <v>191</v>
      </c>
      <c r="B48" s="15" t="s">
        <v>192</v>
      </c>
      <c r="C48" s="15" t="s">
        <v>193</v>
      </c>
      <c r="D48" s="15" t="s">
        <v>17</v>
      </c>
      <c r="E48" s="15" t="s">
        <v>81</v>
      </c>
      <c r="F48" s="15" t="s">
        <v>82</v>
      </c>
      <c r="G48" s="15" t="s">
        <v>30</v>
      </c>
      <c r="H48" s="16">
        <v>25682</v>
      </c>
      <c r="I48" s="16">
        <v>45417</v>
      </c>
      <c r="J48" s="16">
        <v>45597</v>
      </c>
      <c r="K48" s="15" t="s">
        <v>21</v>
      </c>
      <c r="L48" s="15" t="s">
        <v>100</v>
      </c>
      <c r="M48" s="15">
        <v>66218</v>
      </c>
      <c r="N48" s="15" t="s">
        <v>44</v>
      </c>
      <c r="O48" s="15">
        <v>0.49315068493150682</v>
      </c>
      <c r="P48" s="15" t="s">
        <v>1862</v>
      </c>
      <c r="Q48" s="15">
        <f t="shared" ca="1" si="0"/>
        <v>55</v>
      </c>
      <c r="R48" s="15" t="str">
        <f t="shared" si="1"/>
        <v>Medium</v>
      </c>
      <c r="S48" s="15"/>
    </row>
    <row r="49" spans="1:18" s="15" customFormat="1" x14ac:dyDescent="0.3">
      <c r="A49" s="15" t="s">
        <v>194</v>
      </c>
      <c r="B49" s="15" t="s">
        <v>195</v>
      </c>
      <c r="C49" s="15" t="s">
        <v>196</v>
      </c>
      <c r="D49" s="15" t="s">
        <v>17</v>
      </c>
      <c r="E49" s="15" t="s">
        <v>18</v>
      </c>
      <c r="F49" s="15" t="s">
        <v>19</v>
      </c>
      <c r="G49" s="15" t="s">
        <v>20</v>
      </c>
      <c r="H49" s="16">
        <v>29166</v>
      </c>
      <c r="I49" s="16">
        <v>44702</v>
      </c>
      <c r="J49" s="16">
        <v>44882</v>
      </c>
      <c r="K49" s="15" t="s">
        <v>65</v>
      </c>
      <c r="L49" s="15" t="s">
        <v>66</v>
      </c>
      <c r="M49" s="15">
        <v>88887</v>
      </c>
      <c r="N49" s="15" t="s">
        <v>23</v>
      </c>
      <c r="O49" s="15">
        <v>2.6164383561643829</v>
      </c>
      <c r="P49" s="15" t="s">
        <v>1862</v>
      </c>
      <c r="Q49" s="15">
        <f t="shared" ca="1" si="0"/>
        <v>46</v>
      </c>
      <c r="R49" s="15" t="str">
        <f t="shared" si="1"/>
        <v>Medium</v>
      </c>
    </row>
    <row r="50" spans="1:18" s="15" customFormat="1" x14ac:dyDescent="0.3">
      <c r="A50" s="15" t="s">
        <v>197</v>
      </c>
      <c r="B50" s="15" t="s">
        <v>198</v>
      </c>
      <c r="C50" s="15" t="s">
        <v>199</v>
      </c>
      <c r="D50" s="15" t="s">
        <v>27</v>
      </c>
      <c r="E50" s="15" t="s">
        <v>18</v>
      </c>
      <c r="F50" s="15" t="s">
        <v>19</v>
      </c>
      <c r="G50" s="15" t="s">
        <v>93</v>
      </c>
      <c r="H50" s="16">
        <v>21767</v>
      </c>
      <c r="I50" s="16">
        <v>43220</v>
      </c>
      <c r="J50" s="16">
        <v>45246</v>
      </c>
      <c r="K50" s="15" t="s">
        <v>94</v>
      </c>
      <c r="L50" s="15" t="s">
        <v>122</v>
      </c>
      <c r="M50" s="15">
        <v>72859</v>
      </c>
      <c r="N50" s="15" t="s">
        <v>96</v>
      </c>
      <c r="O50" s="15">
        <v>0.9506849315068493</v>
      </c>
      <c r="P50" s="15" t="s">
        <v>1862</v>
      </c>
      <c r="Q50" s="15">
        <f t="shared" ca="1" si="0"/>
        <v>66</v>
      </c>
      <c r="R50" s="15" t="str">
        <f t="shared" si="1"/>
        <v>Medium</v>
      </c>
    </row>
    <row r="51" spans="1:18" s="15" customFormat="1" x14ac:dyDescent="0.3">
      <c r="A51" s="15" t="s">
        <v>200</v>
      </c>
      <c r="B51" s="15" t="s">
        <v>25</v>
      </c>
      <c r="C51" s="15" t="s">
        <v>201</v>
      </c>
      <c r="D51" s="15" t="s">
        <v>27</v>
      </c>
      <c r="E51" s="15" t="s">
        <v>18</v>
      </c>
      <c r="F51" s="15" t="s">
        <v>19</v>
      </c>
      <c r="G51" s="15" t="s">
        <v>30</v>
      </c>
      <c r="H51" s="16">
        <v>31062</v>
      </c>
      <c r="I51" s="16">
        <v>42956</v>
      </c>
      <c r="J51" s="16">
        <v>43136</v>
      </c>
      <c r="K51" s="15" t="s">
        <v>37</v>
      </c>
      <c r="L51" s="15" t="s">
        <v>38</v>
      </c>
      <c r="M51" s="15">
        <v>67630</v>
      </c>
      <c r="N51" s="15" t="s">
        <v>96</v>
      </c>
      <c r="O51" s="15">
        <v>0.49315068493150682</v>
      </c>
      <c r="P51" s="15" t="s">
        <v>1861</v>
      </c>
      <c r="Q51" s="15">
        <f t="shared" ca="1" si="0"/>
        <v>41</v>
      </c>
      <c r="R51" s="15" t="str">
        <f t="shared" si="1"/>
        <v>Medium</v>
      </c>
    </row>
    <row r="52" spans="1:18" s="15" customFormat="1" x14ac:dyDescent="0.3">
      <c r="A52" s="15" t="s">
        <v>202</v>
      </c>
      <c r="B52" s="15" t="s">
        <v>203</v>
      </c>
      <c r="C52" s="15" t="s">
        <v>204</v>
      </c>
      <c r="D52" s="15" t="s">
        <v>27</v>
      </c>
      <c r="E52" s="15" t="s">
        <v>18</v>
      </c>
      <c r="F52" s="15" t="s">
        <v>19</v>
      </c>
      <c r="G52" s="15" t="s">
        <v>30</v>
      </c>
      <c r="H52" s="16">
        <v>33410</v>
      </c>
      <c r="I52" s="16">
        <v>44019</v>
      </c>
      <c r="J52" s="16">
        <v>45640</v>
      </c>
      <c r="K52" s="15" t="s">
        <v>37</v>
      </c>
      <c r="L52" s="15" t="s">
        <v>41</v>
      </c>
      <c r="M52" s="15">
        <v>61574</v>
      </c>
      <c r="N52" s="15" t="s">
        <v>96</v>
      </c>
      <c r="O52" s="15">
        <v>0.49315068493150682</v>
      </c>
      <c r="P52" s="15" t="s">
        <v>1862</v>
      </c>
      <c r="Q52" s="15">
        <f t="shared" ca="1" si="0"/>
        <v>34</v>
      </c>
      <c r="R52" s="15" t="str">
        <f t="shared" si="1"/>
        <v>Medium</v>
      </c>
    </row>
    <row r="53" spans="1:18" s="15" customFormat="1" x14ac:dyDescent="0.3">
      <c r="A53" s="15" t="s">
        <v>205</v>
      </c>
      <c r="B53" s="15" t="s">
        <v>206</v>
      </c>
      <c r="C53" s="15" t="s">
        <v>207</v>
      </c>
      <c r="D53" s="15" t="s">
        <v>27</v>
      </c>
      <c r="E53" s="15" t="s">
        <v>18</v>
      </c>
      <c r="F53" s="15" t="s">
        <v>19</v>
      </c>
      <c r="G53" s="15" t="s">
        <v>112</v>
      </c>
      <c r="H53" s="16">
        <v>25805</v>
      </c>
      <c r="I53" s="16">
        <v>42211</v>
      </c>
      <c r="J53" s="16">
        <v>45278</v>
      </c>
      <c r="K53" s="15" t="s">
        <v>31</v>
      </c>
      <c r="L53" s="15" t="s">
        <v>159</v>
      </c>
      <c r="M53" s="15">
        <v>103756</v>
      </c>
      <c r="N53" s="15" t="s">
        <v>96</v>
      </c>
      <c r="O53" s="15">
        <v>5.5506849315068489</v>
      </c>
      <c r="P53" s="15" t="s">
        <v>1861</v>
      </c>
      <c r="Q53" s="15">
        <f t="shared" ca="1" si="0"/>
        <v>55</v>
      </c>
      <c r="R53" s="15" t="str">
        <f t="shared" si="1"/>
        <v>High</v>
      </c>
    </row>
    <row r="54" spans="1:18" s="15" customFormat="1" x14ac:dyDescent="0.3">
      <c r="A54" s="15" t="s">
        <v>208</v>
      </c>
      <c r="B54" s="15" t="s">
        <v>209</v>
      </c>
      <c r="C54" s="15" t="s">
        <v>210</v>
      </c>
      <c r="D54" s="15" t="s">
        <v>27</v>
      </c>
      <c r="E54" s="15" t="s">
        <v>18</v>
      </c>
      <c r="F54" s="15" t="s">
        <v>19</v>
      </c>
      <c r="G54" s="15" t="s">
        <v>30</v>
      </c>
      <c r="H54" s="16">
        <v>29581</v>
      </c>
      <c r="I54" s="16">
        <v>42920</v>
      </c>
      <c r="J54" s="16">
        <v>44559</v>
      </c>
      <c r="K54" s="15" t="s">
        <v>37</v>
      </c>
      <c r="L54" s="15" t="s">
        <v>38</v>
      </c>
      <c r="M54" s="15">
        <v>63227</v>
      </c>
      <c r="N54" s="15" t="s">
        <v>96</v>
      </c>
      <c r="O54" s="15">
        <v>0.49315068493150682</v>
      </c>
      <c r="P54" s="15" t="s">
        <v>1862</v>
      </c>
      <c r="Q54" s="15">
        <f t="shared" ca="1" si="0"/>
        <v>45</v>
      </c>
      <c r="R54" s="15" t="str">
        <f t="shared" si="1"/>
        <v>Medium</v>
      </c>
    </row>
    <row r="55" spans="1:18" s="15" customFormat="1" x14ac:dyDescent="0.3">
      <c r="A55" s="15" t="s">
        <v>212</v>
      </c>
      <c r="B55" s="15" t="s">
        <v>213</v>
      </c>
      <c r="C55" s="15" t="s">
        <v>214</v>
      </c>
      <c r="D55" s="15" t="s">
        <v>17</v>
      </c>
      <c r="E55" s="15" t="s">
        <v>18</v>
      </c>
      <c r="F55" s="15" t="s">
        <v>19</v>
      </c>
      <c r="G55" s="15" t="s">
        <v>30</v>
      </c>
      <c r="H55" s="16">
        <v>24647</v>
      </c>
      <c r="I55" s="16">
        <v>43548</v>
      </c>
      <c r="J55" s="16">
        <v>43728</v>
      </c>
      <c r="K55" s="15" t="s">
        <v>21</v>
      </c>
      <c r="L55" s="15" t="s">
        <v>22</v>
      </c>
      <c r="M55" s="15">
        <v>90880</v>
      </c>
      <c r="N55" s="15" t="s">
        <v>44</v>
      </c>
      <c r="O55" s="15">
        <v>4.441095890410959</v>
      </c>
      <c r="P55" s="15" t="s">
        <v>1862</v>
      </c>
      <c r="Q55" s="15">
        <f t="shared" ca="1" si="0"/>
        <v>58</v>
      </c>
      <c r="R55" s="15" t="str">
        <f t="shared" si="1"/>
        <v>Medium</v>
      </c>
    </row>
    <row r="56" spans="1:18" s="15" customFormat="1" x14ac:dyDescent="0.3">
      <c r="A56" s="15" t="s">
        <v>215</v>
      </c>
      <c r="B56" s="15" t="s">
        <v>216</v>
      </c>
      <c r="C56" s="15" t="s">
        <v>155</v>
      </c>
      <c r="D56" s="15" t="s">
        <v>17</v>
      </c>
      <c r="E56" s="15" t="s">
        <v>120</v>
      </c>
      <c r="F56" s="15" t="s">
        <v>121</v>
      </c>
      <c r="G56" s="15" t="s">
        <v>20</v>
      </c>
      <c r="H56" s="16">
        <v>30475</v>
      </c>
      <c r="I56" s="16">
        <v>44098</v>
      </c>
      <c r="J56" s="16">
        <v>44806</v>
      </c>
      <c r="K56" s="15" t="s">
        <v>65</v>
      </c>
      <c r="L56" s="15" t="s">
        <v>131</v>
      </c>
      <c r="M56" s="15">
        <v>52954</v>
      </c>
      <c r="N56" s="15" t="s">
        <v>96</v>
      </c>
      <c r="O56" s="15">
        <v>8.4027397260273968</v>
      </c>
      <c r="P56" s="15" t="s">
        <v>1862</v>
      </c>
      <c r="Q56" s="15">
        <f t="shared" ca="1" si="0"/>
        <v>42</v>
      </c>
      <c r="R56" s="15" t="str">
        <f t="shared" si="1"/>
        <v>Low</v>
      </c>
    </row>
    <row r="57" spans="1:18" s="15" customFormat="1" x14ac:dyDescent="0.3">
      <c r="A57" s="15" t="s">
        <v>217</v>
      </c>
      <c r="B57" s="15" t="s">
        <v>218</v>
      </c>
      <c r="C57" s="15" t="s">
        <v>219</v>
      </c>
      <c r="D57" s="15" t="s">
        <v>17</v>
      </c>
      <c r="E57" s="15" t="s">
        <v>18</v>
      </c>
      <c r="F57" s="15" t="s">
        <v>19</v>
      </c>
      <c r="G57" s="15" t="s">
        <v>30</v>
      </c>
      <c r="H57" s="16">
        <v>28261</v>
      </c>
      <c r="I57" s="16">
        <v>42996</v>
      </c>
      <c r="J57" s="16">
        <v>43175</v>
      </c>
      <c r="K57" s="15" t="s">
        <v>37</v>
      </c>
      <c r="L57" s="15" t="s">
        <v>41</v>
      </c>
      <c r="M57" s="15">
        <v>64475</v>
      </c>
      <c r="N57" s="15" t="s">
        <v>33</v>
      </c>
      <c r="O57" s="15">
        <v>4.4904109589041097</v>
      </c>
      <c r="P57" s="15" t="s">
        <v>1862</v>
      </c>
      <c r="Q57" s="15">
        <f t="shared" ca="1" si="0"/>
        <v>48</v>
      </c>
      <c r="R57" s="15" t="str">
        <f t="shared" si="1"/>
        <v>Medium</v>
      </c>
    </row>
    <row r="58" spans="1:18" s="15" customFormat="1" x14ac:dyDescent="0.3">
      <c r="A58" s="15" t="s">
        <v>220</v>
      </c>
      <c r="B58" s="15" t="s">
        <v>221</v>
      </c>
      <c r="C58" s="15" t="s">
        <v>222</v>
      </c>
      <c r="D58" s="15" t="s">
        <v>17</v>
      </c>
      <c r="E58" s="15" t="s">
        <v>120</v>
      </c>
      <c r="F58" s="15" t="s">
        <v>223</v>
      </c>
      <c r="G58" s="15" t="s">
        <v>93</v>
      </c>
      <c r="H58" s="16">
        <v>29247</v>
      </c>
      <c r="I58" s="16">
        <v>44763</v>
      </c>
      <c r="J58" s="16">
        <v>44943</v>
      </c>
      <c r="K58" s="15" t="s">
        <v>94</v>
      </c>
      <c r="L58" s="15" t="s">
        <v>117</v>
      </c>
      <c r="M58" s="15">
        <v>93238</v>
      </c>
      <c r="N58" s="15" t="s">
        <v>96</v>
      </c>
      <c r="O58" s="15">
        <v>8.7178082191780817</v>
      </c>
      <c r="P58" s="15" t="s">
        <v>1861</v>
      </c>
      <c r="Q58" s="15">
        <f t="shared" ca="1" si="0"/>
        <v>45</v>
      </c>
      <c r="R58" s="15" t="str">
        <f t="shared" si="1"/>
        <v>Medium</v>
      </c>
    </row>
    <row r="59" spans="1:18" s="15" customFormat="1" x14ac:dyDescent="0.3">
      <c r="A59" s="15" t="s">
        <v>224</v>
      </c>
      <c r="B59" s="15" t="s">
        <v>225</v>
      </c>
      <c r="C59" s="15" t="s">
        <v>226</v>
      </c>
      <c r="D59" s="15" t="s">
        <v>17</v>
      </c>
      <c r="E59" s="15" t="s">
        <v>81</v>
      </c>
      <c r="F59" s="15" t="s">
        <v>82</v>
      </c>
      <c r="G59" s="15" t="s">
        <v>20</v>
      </c>
      <c r="H59" s="16">
        <v>37594</v>
      </c>
      <c r="I59" s="16">
        <v>43490</v>
      </c>
      <c r="J59" s="16">
        <v>44907</v>
      </c>
      <c r="K59" s="15" t="s">
        <v>37</v>
      </c>
      <c r="L59" s="15" t="s">
        <v>41</v>
      </c>
      <c r="M59" s="15">
        <v>58713</v>
      </c>
      <c r="N59" s="15" t="s">
        <v>23</v>
      </c>
      <c r="O59" s="15">
        <v>0.49315068493150682</v>
      </c>
      <c r="P59" s="15" t="s">
        <v>1862</v>
      </c>
      <c r="Q59" s="15">
        <f t="shared" ca="1" si="0"/>
        <v>23</v>
      </c>
      <c r="R59" s="15" t="str">
        <f t="shared" si="1"/>
        <v>Low</v>
      </c>
    </row>
    <row r="60" spans="1:18" s="15" customFormat="1" x14ac:dyDescent="0.3">
      <c r="A60" s="15" t="s">
        <v>227</v>
      </c>
      <c r="B60" s="15" t="s">
        <v>63</v>
      </c>
      <c r="C60" s="15" t="s">
        <v>228</v>
      </c>
      <c r="D60" s="15" t="s">
        <v>17</v>
      </c>
      <c r="E60" s="15" t="s">
        <v>18</v>
      </c>
      <c r="F60" s="15" t="s">
        <v>19</v>
      </c>
      <c r="G60" s="15" t="s">
        <v>30</v>
      </c>
      <c r="H60" s="16">
        <v>25465</v>
      </c>
      <c r="I60" s="16">
        <v>45381</v>
      </c>
      <c r="J60" s="16">
        <v>45561</v>
      </c>
      <c r="K60" s="15" t="s">
        <v>31</v>
      </c>
      <c r="L60" s="15" t="s">
        <v>159</v>
      </c>
      <c r="M60" s="15">
        <v>91896</v>
      </c>
      <c r="N60" s="15" t="s">
        <v>23</v>
      </c>
      <c r="O60" s="15">
        <v>1.9397260273972601</v>
      </c>
      <c r="P60" s="15" t="s">
        <v>1862</v>
      </c>
      <c r="Q60" s="15">
        <f t="shared" ca="1" si="0"/>
        <v>56</v>
      </c>
      <c r="R60" s="15" t="str">
        <f t="shared" si="1"/>
        <v>Medium</v>
      </c>
    </row>
    <row r="61" spans="1:18" s="15" customFormat="1" x14ac:dyDescent="0.3">
      <c r="A61" s="15" t="s">
        <v>229</v>
      </c>
      <c r="B61" s="15" t="s">
        <v>230</v>
      </c>
      <c r="C61" s="15" t="s">
        <v>193</v>
      </c>
      <c r="D61" s="15" t="s">
        <v>27</v>
      </c>
      <c r="E61" s="15" t="s">
        <v>18</v>
      </c>
      <c r="F61" s="15" t="s">
        <v>19</v>
      </c>
      <c r="G61" s="15" t="s">
        <v>30</v>
      </c>
      <c r="H61" s="16">
        <v>27047</v>
      </c>
      <c r="I61" s="16">
        <v>44836</v>
      </c>
      <c r="J61" s="16">
        <v>45016</v>
      </c>
      <c r="K61" s="15" t="s">
        <v>37</v>
      </c>
      <c r="L61" s="15" t="s">
        <v>41</v>
      </c>
      <c r="M61" s="15">
        <v>71608</v>
      </c>
      <c r="N61" s="15" t="s">
        <v>96</v>
      </c>
      <c r="O61" s="15">
        <v>0.49041095890410957</v>
      </c>
      <c r="P61" s="15" t="s">
        <v>1862</v>
      </c>
      <c r="Q61" s="15">
        <f t="shared" ca="1" si="0"/>
        <v>51</v>
      </c>
      <c r="R61" s="15" t="str">
        <f t="shared" si="1"/>
        <v>Medium</v>
      </c>
    </row>
    <row r="62" spans="1:18" s="15" customFormat="1" x14ac:dyDescent="0.3">
      <c r="A62" s="15" t="s">
        <v>231</v>
      </c>
      <c r="B62" s="15" t="s">
        <v>232</v>
      </c>
      <c r="C62" s="15" t="s">
        <v>130</v>
      </c>
      <c r="D62" s="15" t="s">
        <v>17</v>
      </c>
      <c r="E62" s="15" t="s">
        <v>18</v>
      </c>
      <c r="F62" s="15" t="s">
        <v>19</v>
      </c>
      <c r="G62" s="15" t="s">
        <v>30</v>
      </c>
      <c r="H62" s="16">
        <v>30504</v>
      </c>
      <c r="I62" s="16">
        <v>43087</v>
      </c>
      <c r="J62" s="16">
        <v>43267</v>
      </c>
      <c r="K62" s="15" t="s">
        <v>51</v>
      </c>
      <c r="L62" s="15" t="s">
        <v>233</v>
      </c>
      <c r="M62" s="15">
        <v>71404</v>
      </c>
      <c r="N62" s="15" t="s">
        <v>44</v>
      </c>
      <c r="O62" s="15">
        <v>0.49315068493150682</v>
      </c>
      <c r="P62" s="15" t="s">
        <v>1862</v>
      </c>
      <c r="Q62" s="15">
        <f t="shared" ca="1" si="0"/>
        <v>42</v>
      </c>
      <c r="R62" s="15" t="str">
        <f t="shared" si="1"/>
        <v>Medium</v>
      </c>
    </row>
    <row r="63" spans="1:18" s="15" customFormat="1" x14ac:dyDescent="0.3">
      <c r="A63" s="15" t="s">
        <v>234</v>
      </c>
      <c r="B63" s="15" t="s">
        <v>235</v>
      </c>
      <c r="C63" s="15" t="s">
        <v>236</v>
      </c>
      <c r="D63" s="15" t="s">
        <v>27</v>
      </c>
      <c r="E63" s="15" t="s">
        <v>18</v>
      </c>
      <c r="F63" s="15" t="s">
        <v>19</v>
      </c>
      <c r="G63" s="15" t="s">
        <v>30</v>
      </c>
      <c r="H63" s="16">
        <v>33638</v>
      </c>
      <c r="I63" s="16">
        <v>42935</v>
      </c>
      <c r="J63" s="16">
        <v>44332</v>
      </c>
      <c r="K63" s="15" t="s">
        <v>37</v>
      </c>
      <c r="L63" s="15" t="s">
        <v>38</v>
      </c>
      <c r="M63" s="15">
        <v>59423</v>
      </c>
      <c r="N63" s="15" t="s">
        <v>33</v>
      </c>
      <c r="O63" s="15">
        <v>3.882191780821918</v>
      </c>
      <c r="P63" s="15" t="s">
        <v>1862</v>
      </c>
      <c r="Q63" s="15">
        <f t="shared" ca="1" si="0"/>
        <v>33</v>
      </c>
      <c r="R63" s="15" t="str">
        <f t="shared" si="1"/>
        <v>Low</v>
      </c>
    </row>
    <row r="64" spans="1:18" s="15" customFormat="1" x14ac:dyDescent="0.3">
      <c r="A64" s="15" t="s">
        <v>237</v>
      </c>
      <c r="B64" s="15" t="s">
        <v>25</v>
      </c>
      <c r="C64" s="15" t="s">
        <v>238</v>
      </c>
      <c r="D64" s="15" t="s">
        <v>17</v>
      </c>
      <c r="E64" s="15" t="s">
        <v>18</v>
      </c>
      <c r="F64" s="15" t="s">
        <v>19</v>
      </c>
      <c r="G64" s="15" t="s">
        <v>30</v>
      </c>
      <c r="H64" s="16">
        <v>30243</v>
      </c>
      <c r="I64" s="16">
        <v>43549</v>
      </c>
      <c r="J64" s="16">
        <v>43729</v>
      </c>
      <c r="K64" s="15" t="s">
        <v>37</v>
      </c>
      <c r="L64" s="15" t="s">
        <v>43</v>
      </c>
      <c r="M64" s="15">
        <v>64183</v>
      </c>
      <c r="N64" s="15" t="s">
        <v>23</v>
      </c>
      <c r="O64" s="15">
        <v>0.49315068493150682</v>
      </c>
      <c r="P64" s="15" t="s">
        <v>1861</v>
      </c>
      <c r="Q64" s="15">
        <f t="shared" ca="1" si="0"/>
        <v>43</v>
      </c>
      <c r="R64" s="15" t="str">
        <f t="shared" si="1"/>
        <v>Medium</v>
      </c>
    </row>
    <row r="65" spans="1:18" s="15" customFormat="1" x14ac:dyDescent="0.3">
      <c r="A65" s="15" t="s">
        <v>239</v>
      </c>
      <c r="B65" s="15" t="s">
        <v>240</v>
      </c>
      <c r="C65" s="15" t="s">
        <v>241</v>
      </c>
      <c r="D65" s="15" t="s">
        <v>27</v>
      </c>
      <c r="E65" s="15" t="s">
        <v>18</v>
      </c>
      <c r="F65" s="15" t="s">
        <v>19</v>
      </c>
      <c r="G65" s="15" t="s">
        <v>112</v>
      </c>
      <c r="H65" s="16">
        <v>31604</v>
      </c>
      <c r="I65" s="16">
        <v>44904</v>
      </c>
      <c r="J65" s="16">
        <v>45084</v>
      </c>
      <c r="K65" s="15" t="s">
        <v>37</v>
      </c>
      <c r="L65" s="15" t="s">
        <v>43</v>
      </c>
      <c r="M65" s="15">
        <v>76824</v>
      </c>
      <c r="N65" s="15" t="s">
        <v>96</v>
      </c>
      <c r="O65" s="15">
        <v>0.49315068493150682</v>
      </c>
      <c r="P65" s="15" t="s">
        <v>1862</v>
      </c>
      <c r="Q65" s="15">
        <f t="shared" ca="1" si="0"/>
        <v>39</v>
      </c>
      <c r="R65" s="15" t="str">
        <f t="shared" si="1"/>
        <v>Medium</v>
      </c>
    </row>
    <row r="66" spans="1:18" s="15" customFormat="1" x14ac:dyDescent="0.3">
      <c r="A66" s="15" t="s">
        <v>242</v>
      </c>
      <c r="B66" s="15" t="s">
        <v>190</v>
      </c>
      <c r="C66" s="15" t="s">
        <v>243</v>
      </c>
      <c r="D66" s="15" t="s">
        <v>17</v>
      </c>
      <c r="E66" s="15" t="s">
        <v>18</v>
      </c>
      <c r="F66" s="15" t="s">
        <v>19</v>
      </c>
      <c r="G66" s="15" t="s">
        <v>30</v>
      </c>
      <c r="H66" s="16">
        <v>37704</v>
      </c>
      <c r="I66" s="16">
        <v>43404</v>
      </c>
      <c r="J66" s="16">
        <v>43584</v>
      </c>
      <c r="K66" s="15" t="s">
        <v>51</v>
      </c>
      <c r="L66" s="15" t="s">
        <v>52</v>
      </c>
      <c r="M66" s="15">
        <v>54093</v>
      </c>
      <c r="N66" s="15" t="s">
        <v>44</v>
      </c>
      <c r="O66" s="15">
        <v>0.49315068493150682</v>
      </c>
      <c r="P66" s="15" t="s">
        <v>1862</v>
      </c>
      <c r="Q66" s="15">
        <f t="shared" ref="Q66:Q129" ca="1" si="2">DATEDIF(H66, TODAY(), "Y")</f>
        <v>22</v>
      </c>
      <c r="R66" s="15" t="str">
        <f t="shared" si="1"/>
        <v>Low</v>
      </c>
    </row>
    <row r="67" spans="1:18" s="15" customFormat="1" x14ac:dyDescent="0.3">
      <c r="A67" s="15" t="s">
        <v>244</v>
      </c>
      <c r="B67" s="15" t="s">
        <v>245</v>
      </c>
      <c r="C67" s="15" t="s">
        <v>246</v>
      </c>
      <c r="D67" s="15" t="s">
        <v>27</v>
      </c>
      <c r="E67" s="15" t="s">
        <v>18</v>
      </c>
      <c r="F67" s="15" t="s">
        <v>19</v>
      </c>
      <c r="G67" s="15" t="s">
        <v>30</v>
      </c>
      <c r="H67" s="16">
        <v>23380</v>
      </c>
      <c r="I67" s="16">
        <v>43502</v>
      </c>
      <c r="J67" s="16">
        <v>44260</v>
      </c>
      <c r="K67" s="15" t="s">
        <v>51</v>
      </c>
      <c r="L67" s="15" t="s">
        <v>52</v>
      </c>
      <c r="M67" s="15">
        <v>95124</v>
      </c>
      <c r="N67" s="15" t="s">
        <v>23</v>
      </c>
      <c r="O67" s="15">
        <v>3.827397260273973</v>
      </c>
      <c r="P67" s="15" t="s">
        <v>1861</v>
      </c>
      <c r="Q67" s="15">
        <f t="shared" ca="1" si="2"/>
        <v>62</v>
      </c>
      <c r="R67" s="15" t="str">
        <f t="shared" ref="R67:R130" si="3">IF(M67:M1032&gt;100000,"High",IF(M67:M1032&gt;60000,"Medium","Low"))</f>
        <v>Medium</v>
      </c>
    </row>
    <row r="68" spans="1:18" s="15" customFormat="1" x14ac:dyDescent="0.3">
      <c r="A68" s="15" t="s">
        <v>247</v>
      </c>
      <c r="B68" s="15" t="s">
        <v>248</v>
      </c>
      <c r="C68" s="15" t="s">
        <v>249</v>
      </c>
      <c r="D68" s="15" t="s">
        <v>17</v>
      </c>
      <c r="E68" s="15" t="s">
        <v>18</v>
      </c>
      <c r="F68" s="15" t="s">
        <v>19</v>
      </c>
      <c r="G68" s="15" t="s">
        <v>112</v>
      </c>
      <c r="H68" s="16">
        <v>23998</v>
      </c>
      <c r="I68" s="16">
        <v>45091</v>
      </c>
      <c r="J68" s="16">
        <v>45271</v>
      </c>
      <c r="K68" s="15" t="s">
        <v>94</v>
      </c>
      <c r="L68" s="15" t="s">
        <v>117</v>
      </c>
      <c r="M68" s="15">
        <v>68345</v>
      </c>
      <c r="N68" s="15" t="s">
        <v>96</v>
      </c>
      <c r="O68" s="15">
        <v>0.49315068493150682</v>
      </c>
      <c r="P68" s="15" t="s">
        <v>1862</v>
      </c>
      <c r="Q68" s="15">
        <f t="shared" ca="1" si="2"/>
        <v>60</v>
      </c>
      <c r="R68" s="15" t="str">
        <f t="shared" si="3"/>
        <v>Medium</v>
      </c>
    </row>
    <row r="69" spans="1:18" s="15" customFormat="1" x14ac:dyDescent="0.3">
      <c r="A69" s="15" t="s">
        <v>250</v>
      </c>
      <c r="B69" s="15" t="s">
        <v>251</v>
      </c>
      <c r="C69" s="15" t="s">
        <v>252</v>
      </c>
      <c r="D69" s="15" t="s">
        <v>17</v>
      </c>
      <c r="E69" s="15" t="s">
        <v>18</v>
      </c>
      <c r="F69" s="15" t="s">
        <v>19</v>
      </c>
      <c r="G69" s="15" t="s">
        <v>30</v>
      </c>
      <c r="H69" s="16">
        <v>28700</v>
      </c>
      <c r="I69" s="16">
        <v>45313</v>
      </c>
      <c r="J69" s="16">
        <v>45493</v>
      </c>
      <c r="K69" s="15" t="s">
        <v>21</v>
      </c>
      <c r="L69" s="15" t="s">
        <v>22</v>
      </c>
      <c r="M69" s="15">
        <v>61403</v>
      </c>
      <c r="N69" s="15" t="s">
        <v>33</v>
      </c>
      <c r="O69" s="15">
        <v>0.49315068493150682</v>
      </c>
      <c r="P69" s="15" t="s">
        <v>1861</v>
      </c>
      <c r="Q69" s="15">
        <f t="shared" ca="1" si="2"/>
        <v>47</v>
      </c>
      <c r="R69" s="15" t="str">
        <f t="shared" si="3"/>
        <v>Medium</v>
      </c>
    </row>
    <row r="70" spans="1:18" s="15" customFormat="1" x14ac:dyDescent="0.3">
      <c r="A70" s="15" t="s">
        <v>253</v>
      </c>
      <c r="B70" s="15" t="s">
        <v>254</v>
      </c>
      <c r="C70" s="15" t="s">
        <v>255</v>
      </c>
      <c r="D70" s="15" t="s">
        <v>27</v>
      </c>
      <c r="E70" s="15" t="s">
        <v>18</v>
      </c>
      <c r="F70" s="15" t="s">
        <v>19</v>
      </c>
      <c r="G70" s="15" t="s">
        <v>30</v>
      </c>
      <c r="H70" s="16">
        <v>32384</v>
      </c>
      <c r="I70" s="16">
        <v>42774</v>
      </c>
      <c r="J70" s="16">
        <v>45165</v>
      </c>
      <c r="K70" s="15" t="s">
        <v>37</v>
      </c>
      <c r="L70" s="15" t="s">
        <v>41</v>
      </c>
      <c r="M70" s="15">
        <v>60320</v>
      </c>
      <c r="N70" s="15" t="s">
        <v>33</v>
      </c>
      <c r="O70" s="15">
        <v>0.49315068493150682</v>
      </c>
      <c r="P70" s="15" t="s">
        <v>1861</v>
      </c>
      <c r="Q70" s="15">
        <f t="shared" ca="1" si="2"/>
        <v>37</v>
      </c>
      <c r="R70" s="15" t="str">
        <f t="shared" si="3"/>
        <v>Medium</v>
      </c>
    </row>
    <row r="71" spans="1:18" s="15" customFormat="1" x14ac:dyDescent="0.3">
      <c r="A71" s="15" t="s">
        <v>256</v>
      </c>
      <c r="B71" s="15" t="s">
        <v>257</v>
      </c>
      <c r="C71" s="15" t="s">
        <v>258</v>
      </c>
      <c r="D71" s="15" t="s">
        <v>17</v>
      </c>
      <c r="E71" s="15" t="s">
        <v>18</v>
      </c>
      <c r="F71" s="15" t="s">
        <v>19</v>
      </c>
      <c r="G71" s="15" t="s">
        <v>20</v>
      </c>
      <c r="H71" s="16">
        <v>24136</v>
      </c>
      <c r="I71" s="16">
        <v>44872</v>
      </c>
      <c r="J71" s="16">
        <v>45052</v>
      </c>
      <c r="K71" s="15" t="s">
        <v>37</v>
      </c>
      <c r="L71" s="15" t="s">
        <v>41</v>
      </c>
      <c r="M71" s="15">
        <v>55060</v>
      </c>
      <c r="N71" s="15" t="s">
        <v>96</v>
      </c>
      <c r="O71" s="15">
        <v>2.076712328767123</v>
      </c>
      <c r="P71" s="15" t="s">
        <v>1861</v>
      </c>
      <c r="Q71" s="15">
        <f t="shared" ca="1" si="2"/>
        <v>59</v>
      </c>
      <c r="R71" s="15" t="str">
        <f t="shared" si="3"/>
        <v>Low</v>
      </c>
    </row>
    <row r="72" spans="1:18" s="15" customFormat="1" x14ac:dyDescent="0.3">
      <c r="A72" s="15" t="s">
        <v>259</v>
      </c>
      <c r="B72" s="15" t="s">
        <v>260</v>
      </c>
      <c r="C72" s="15" t="s">
        <v>226</v>
      </c>
      <c r="D72" s="15" t="s">
        <v>27</v>
      </c>
      <c r="E72" s="15" t="s">
        <v>18</v>
      </c>
      <c r="F72" s="15" t="s">
        <v>19</v>
      </c>
      <c r="G72" s="15" t="s">
        <v>112</v>
      </c>
      <c r="H72" s="16">
        <v>23214</v>
      </c>
      <c r="I72" s="16">
        <v>42809</v>
      </c>
      <c r="J72" s="16">
        <v>43226</v>
      </c>
      <c r="K72" s="15" t="s">
        <v>37</v>
      </c>
      <c r="L72" s="15" t="s">
        <v>261</v>
      </c>
      <c r="M72" s="15">
        <v>82834</v>
      </c>
      <c r="N72" s="15" t="s">
        <v>96</v>
      </c>
      <c r="O72" s="15">
        <v>0.49315068493150682</v>
      </c>
      <c r="P72" s="15" t="s">
        <v>1861</v>
      </c>
      <c r="Q72" s="15">
        <f t="shared" ca="1" si="2"/>
        <v>62</v>
      </c>
      <c r="R72" s="15" t="str">
        <f t="shared" si="3"/>
        <v>Medium</v>
      </c>
    </row>
    <row r="73" spans="1:18" s="15" customFormat="1" x14ac:dyDescent="0.3">
      <c r="A73" s="15" t="s">
        <v>262</v>
      </c>
      <c r="B73" s="15" t="s">
        <v>174</v>
      </c>
      <c r="C73" s="15" t="s">
        <v>26</v>
      </c>
      <c r="D73" s="15" t="s">
        <v>17</v>
      </c>
      <c r="E73" s="15" t="s">
        <v>18</v>
      </c>
      <c r="F73" s="15" t="s">
        <v>19</v>
      </c>
      <c r="G73" s="15" t="s">
        <v>93</v>
      </c>
      <c r="H73" s="16">
        <v>32334</v>
      </c>
      <c r="I73" s="16">
        <v>42441</v>
      </c>
      <c r="J73" s="16">
        <v>42691</v>
      </c>
      <c r="K73" s="15" t="s">
        <v>51</v>
      </c>
      <c r="L73" s="15" t="s">
        <v>233</v>
      </c>
      <c r="M73" s="15">
        <v>76564</v>
      </c>
      <c r="N73" s="15" t="s">
        <v>96</v>
      </c>
      <c r="O73" s="15">
        <v>0.49315068493150682</v>
      </c>
      <c r="P73" s="15" t="s">
        <v>1861</v>
      </c>
      <c r="Q73" s="15">
        <f t="shared" ca="1" si="2"/>
        <v>37</v>
      </c>
      <c r="R73" s="15" t="str">
        <f t="shared" si="3"/>
        <v>Medium</v>
      </c>
    </row>
    <row r="74" spans="1:18" s="15" customFormat="1" x14ac:dyDescent="0.3">
      <c r="A74" s="15" t="s">
        <v>263</v>
      </c>
      <c r="B74" s="15" t="s">
        <v>54</v>
      </c>
      <c r="C74" s="15" t="s">
        <v>226</v>
      </c>
      <c r="D74" s="15" t="s">
        <v>27</v>
      </c>
      <c r="E74" s="15" t="s">
        <v>18</v>
      </c>
      <c r="F74" s="15" t="s">
        <v>19</v>
      </c>
      <c r="G74" s="15" t="s">
        <v>30</v>
      </c>
      <c r="H74" s="16">
        <v>33518</v>
      </c>
      <c r="I74" s="16">
        <v>44189</v>
      </c>
      <c r="J74" s="16">
        <v>45503</v>
      </c>
      <c r="K74" s="15" t="s">
        <v>51</v>
      </c>
      <c r="L74" s="15" t="s">
        <v>52</v>
      </c>
      <c r="M74" s="15">
        <v>63056</v>
      </c>
      <c r="N74" s="15" t="s">
        <v>33</v>
      </c>
      <c r="O74" s="15">
        <v>6.5506849315068489</v>
      </c>
      <c r="P74" s="15" t="s">
        <v>1861</v>
      </c>
      <c r="Q74" s="15">
        <f t="shared" ca="1" si="2"/>
        <v>34</v>
      </c>
      <c r="R74" s="15" t="str">
        <f t="shared" si="3"/>
        <v>Medium</v>
      </c>
    </row>
    <row r="75" spans="1:18" s="15" customFormat="1" x14ac:dyDescent="0.3">
      <c r="A75" s="15" t="s">
        <v>264</v>
      </c>
      <c r="B75" s="15" t="s">
        <v>265</v>
      </c>
      <c r="C75" s="15" t="s">
        <v>266</v>
      </c>
      <c r="D75" s="15" t="s">
        <v>27</v>
      </c>
      <c r="E75" s="15" t="s">
        <v>18</v>
      </c>
      <c r="F75" s="15" t="s">
        <v>19</v>
      </c>
      <c r="G75" s="15" t="s">
        <v>30</v>
      </c>
      <c r="H75" s="16">
        <v>30937</v>
      </c>
      <c r="I75" s="16">
        <v>43068</v>
      </c>
      <c r="J75" s="16">
        <v>43248</v>
      </c>
      <c r="K75" s="15" t="s">
        <v>51</v>
      </c>
      <c r="L75" s="15" t="s">
        <v>52</v>
      </c>
      <c r="M75" s="15">
        <v>78616</v>
      </c>
      <c r="N75" s="15" t="s">
        <v>44</v>
      </c>
      <c r="O75" s="15">
        <v>0.49315068493150682</v>
      </c>
      <c r="P75" s="15" t="s">
        <v>1861</v>
      </c>
      <c r="Q75" s="15">
        <f t="shared" ca="1" si="2"/>
        <v>41</v>
      </c>
      <c r="R75" s="15" t="str">
        <f t="shared" si="3"/>
        <v>Medium</v>
      </c>
    </row>
    <row r="76" spans="1:18" s="15" customFormat="1" x14ac:dyDescent="0.3">
      <c r="A76" s="15" t="s">
        <v>267</v>
      </c>
      <c r="B76" s="15" t="s">
        <v>268</v>
      </c>
      <c r="C76" s="15" t="s">
        <v>269</v>
      </c>
      <c r="D76" s="15" t="s">
        <v>17</v>
      </c>
      <c r="E76" s="15" t="s">
        <v>18</v>
      </c>
      <c r="F76" s="15" t="s">
        <v>19</v>
      </c>
      <c r="G76" s="15" t="s">
        <v>30</v>
      </c>
      <c r="H76" s="16">
        <v>29749</v>
      </c>
      <c r="I76" s="16">
        <v>43825</v>
      </c>
      <c r="J76" s="16">
        <v>44005</v>
      </c>
      <c r="K76" s="15" t="s">
        <v>37</v>
      </c>
      <c r="L76" s="15" t="s">
        <v>38</v>
      </c>
      <c r="M76" s="15">
        <v>61198</v>
      </c>
      <c r="N76" s="15" t="s">
        <v>44</v>
      </c>
      <c r="O76" s="15">
        <v>1.1424657534246581</v>
      </c>
      <c r="P76" s="15" t="s">
        <v>1861</v>
      </c>
      <c r="Q76" s="15">
        <f t="shared" ca="1" si="2"/>
        <v>44</v>
      </c>
      <c r="R76" s="15" t="str">
        <f t="shared" si="3"/>
        <v>Medium</v>
      </c>
    </row>
    <row r="77" spans="1:18" s="15" customFormat="1" x14ac:dyDescent="0.3">
      <c r="A77" s="15" t="s">
        <v>270</v>
      </c>
      <c r="B77" s="15" t="s">
        <v>271</v>
      </c>
      <c r="C77" s="15" t="s">
        <v>272</v>
      </c>
      <c r="D77" s="15" t="s">
        <v>27</v>
      </c>
      <c r="E77" s="15" t="s">
        <v>18</v>
      </c>
      <c r="F77" s="15" t="s">
        <v>19</v>
      </c>
      <c r="G77" s="15" t="s">
        <v>30</v>
      </c>
      <c r="H77" s="16">
        <v>37065</v>
      </c>
      <c r="I77" s="16">
        <v>43988</v>
      </c>
      <c r="J77" s="16">
        <v>44168</v>
      </c>
      <c r="K77" s="15" t="s">
        <v>31</v>
      </c>
      <c r="L77" s="15" t="s">
        <v>83</v>
      </c>
      <c r="M77" s="15">
        <v>58331</v>
      </c>
      <c r="N77" s="15" t="s">
        <v>96</v>
      </c>
      <c r="O77" s="15">
        <v>0.68493150684931503</v>
      </c>
      <c r="P77" s="15" t="s">
        <v>1861</v>
      </c>
      <c r="Q77" s="15">
        <f t="shared" ca="1" si="2"/>
        <v>24</v>
      </c>
      <c r="R77" s="15" t="str">
        <f t="shared" si="3"/>
        <v>Low</v>
      </c>
    </row>
    <row r="78" spans="1:18" s="15" customFormat="1" x14ac:dyDescent="0.3">
      <c r="A78" s="15" t="s">
        <v>273</v>
      </c>
      <c r="B78" s="15" t="s">
        <v>274</v>
      </c>
      <c r="C78" s="15" t="s">
        <v>61</v>
      </c>
      <c r="D78" s="15" t="s">
        <v>17</v>
      </c>
      <c r="E78" s="15" t="s">
        <v>137</v>
      </c>
      <c r="F78" s="15" t="s">
        <v>275</v>
      </c>
      <c r="G78" s="15" t="s">
        <v>30</v>
      </c>
      <c r="H78" s="16">
        <v>24162</v>
      </c>
      <c r="I78" s="16">
        <v>44717</v>
      </c>
      <c r="J78" s="16">
        <v>45602</v>
      </c>
      <c r="K78" s="15" t="s">
        <v>37</v>
      </c>
      <c r="L78" s="15" t="s">
        <v>38</v>
      </c>
      <c r="M78" s="15">
        <v>62398</v>
      </c>
      <c r="N78" s="15" t="s">
        <v>33</v>
      </c>
      <c r="O78" s="15">
        <v>3.6</v>
      </c>
      <c r="P78" s="15" t="s">
        <v>1861</v>
      </c>
      <c r="Q78" s="15">
        <f t="shared" ca="1" si="2"/>
        <v>59</v>
      </c>
      <c r="R78" s="15" t="str">
        <f t="shared" si="3"/>
        <v>Medium</v>
      </c>
    </row>
    <row r="79" spans="1:18" s="15" customFormat="1" x14ac:dyDescent="0.3">
      <c r="A79" s="15" t="s">
        <v>276</v>
      </c>
      <c r="B79" s="15" t="s">
        <v>277</v>
      </c>
      <c r="C79" s="15" t="s">
        <v>211</v>
      </c>
      <c r="D79" s="15" t="s">
        <v>27</v>
      </c>
      <c r="E79" s="15" t="s">
        <v>18</v>
      </c>
      <c r="F79" s="15" t="s">
        <v>19</v>
      </c>
      <c r="G79" s="15" t="s">
        <v>30</v>
      </c>
      <c r="H79" s="16">
        <v>30919</v>
      </c>
      <c r="I79" s="16">
        <v>45292</v>
      </c>
      <c r="J79" s="16">
        <v>45472</v>
      </c>
      <c r="K79" s="15" t="s">
        <v>94</v>
      </c>
      <c r="L79" s="15" t="s">
        <v>122</v>
      </c>
      <c r="M79" s="15">
        <v>94930</v>
      </c>
      <c r="N79" s="15" t="s">
        <v>96</v>
      </c>
      <c r="O79" s="15">
        <v>0.49315068493150682</v>
      </c>
      <c r="P79" s="15" t="s">
        <v>1861</v>
      </c>
      <c r="Q79" s="15">
        <f t="shared" ca="1" si="2"/>
        <v>41</v>
      </c>
      <c r="R79" s="15" t="str">
        <f t="shared" si="3"/>
        <v>Medium</v>
      </c>
    </row>
    <row r="80" spans="1:18" s="15" customFormat="1" x14ac:dyDescent="0.3">
      <c r="A80" s="15" t="s">
        <v>278</v>
      </c>
      <c r="B80" s="15" t="s">
        <v>279</v>
      </c>
      <c r="C80" s="15" t="s">
        <v>147</v>
      </c>
      <c r="D80" s="15" t="s">
        <v>17</v>
      </c>
      <c r="E80" s="15" t="s">
        <v>18</v>
      </c>
      <c r="F80" s="15" t="s">
        <v>19</v>
      </c>
      <c r="G80" s="15" t="s">
        <v>30</v>
      </c>
      <c r="H80" s="16">
        <v>35972</v>
      </c>
      <c r="I80" s="16">
        <v>43040</v>
      </c>
      <c r="J80" s="16">
        <v>44261</v>
      </c>
      <c r="K80" s="15" t="s">
        <v>21</v>
      </c>
      <c r="L80" s="15" t="s">
        <v>100</v>
      </c>
      <c r="M80" s="15">
        <v>59179</v>
      </c>
      <c r="N80" s="15" t="s">
        <v>33</v>
      </c>
      <c r="O80" s="15">
        <v>8.7041095890410958</v>
      </c>
      <c r="P80" s="15" t="s">
        <v>1861</v>
      </c>
      <c r="Q80" s="15">
        <f t="shared" ca="1" si="2"/>
        <v>27</v>
      </c>
      <c r="R80" s="15" t="str">
        <f t="shared" si="3"/>
        <v>Low</v>
      </c>
    </row>
    <row r="81" spans="1:18" s="15" customFormat="1" x14ac:dyDescent="0.3">
      <c r="A81" s="15" t="s">
        <v>280</v>
      </c>
      <c r="B81" s="15" t="s">
        <v>281</v>
      </c>
      <c r="C81" s="15" t="s">
        <v>106</v>
      </c>
      <c r="D81" s="15" t="s">
        <v>27</v>
      </c>
      <c r="E81" s="15" t="s">
        <v>28</v>
      </c>
      <c r="F81" s="15" t="s">
        <v>282</v>
      </c>
      <c r="G81" s="15" t="s">
        <v>30</v>
      </c>
      <c r="H81" s="16">
        <v>27896</v>
      </c>
      <c r="I81" s="16">
        <v>43006</v>
      </c>
      <c r="J81" s="16">
        <v>45328</v>
      </c>
      <c r="K81" s="15" t="s">
        <v>37</v>
      </c>
      <c r="L81" s="15" t="s">
        <v>38</v>
      </c>
      <c r="M81" s="15">
        <v>74555</v>
      </c>
      <c r="N81" s="15" t="s">
        <v>33</v>
      </c>
      <c r="O81" s="15">
        <v>0.49315068493150682</v>
      </c>
      <c r="P81" s="15" t="s">
        <v>1861</v>
      </c>
      <c r="Q81" s="15">
        <f t="shared" ca="1" si="2"/>
        <v>49</v>
      </c>
      <c r="R81" s="15" t="str">
        <f t="shared" si="3"/>
        <v>Medium</v>
      </c>
    </row>
    <row r="82" spans="1:18" s="15" customFormat="1" x14ac:dyDescent="0.3">
      <c r="A82" s="15" t="s">
        <v>284</v>
      </c>
      <c r="B82" s="15" t="s">
        <v>285</v>
      </c>
      <c r="C82" s="15" t="s">
        <v>286</v>
      </c>
      <c r="D82" s="15" t="s">
        <v>17</v>
      </c>
      <c r="E82" s="15" t="s">
        <v>18</v>
      </c>
      <c r="F82" s="15" t="s">
        <v>19</v>
      </c>
      <c r="G82" s="15" t="s">
        <v>30</v>
      </c>
      <c r="H82" s="16">
        <v>33102</v>
      </c>
      <c r="I82" s="16">
        <v>42443</v>
      </c>
      <c r="J82" s="16">
        <v>42623</v>
      </c>
      <c r="K82" s="15" t="s">
        <v>65</v>
      </c>
      <c r="L82" s="15" t="s">
        <v>66</v>
      </c>
      <c r="M82" s="15">
        <v>81253</v>
      </c>
      <c r="N82" s="15" t="s">
        <v>96</v>
      </c>
      <c r="O82" s="15">
        <v>0.49315068493150682</v>
      </c>
      <c r="P82" s="15" t="s">
        <v>1861</v>
      </c>
      <c r="Q82" s="15">
        <f t="shared" ca="1" si="2"/>
        <v>35</v>
      </c>
      <c r="R82" s="15" t="str">
        <f t="shared" si="3"/>
        <v>Medium</v>
      </c>
    </row>
    <row r="83" spans="1:18" s="15" customFormat="1" x14ac:dyDescent="0.3">
      <c r="A83" s="15" t="s">
        <v>287</v>
      </c>
      <c r="B83" s="15" t="s">
        <v>288</v>
      </c>
      <c r="C83" s="15" t="s">
        <v>269</v>
      </c>
      <c r="D83" s="15" t="s">
        <v>17</v>
      </c>
      <c r="E83" s="15" t="s">
        <v>18</v>
      </c>
      <c r="F83" s="15" t="s">
        <v>19</v>
      </c>
      <c r="G83" s="15" t="s">
        <v>20</v>
      </c>
      <c r="H83" s="16">
        <v>32416</v>
      </c>
      <c r="I83" s="16">
        <v>42960</v>
      </c>
      <c r="J83" s="16">
        <v>43900</v>
      </c>
      <c r="K83" s="15" t="s">
        <v>21</v>
      </c>
      <c r="L83" s="15" t="s">
        <v>100</v>
      </c>
      <c r="M83" s="15">
        <v>56922</v>
      </c>
      <c r="N83" s="15" t="s">
        <v>23</v>
      </c>
      <c r="O83" s="15">
        <v>2.4246575342465748</v>
      </c>
      <c r="P83" s="15" t="s">
        <v>1861</v>
      </c>
      <c r="Q83" s="15">
        <f t="shared" ca="1" si="2"/>
        <v>37</v>
      </c>
      <c r="R83" s="15" t="str">
        <f t="shared" si="3"/>
        <v>Low</v>
      </c>
    </row>
    <row r="84" spans="1:18" s="15" customFormat="1" x14ac:dyDescent="0.3">
      <c r="A84" s="15" t="s">
        <v>289</v>
      </c>
      <c r="B84" s="15" t="s">
        <v>290</v>
      </c>
      <c r="C84" s="15" t="s">
        <v>291</v>
      </c>
      <c r="D84" s="15" t="s">
        <v>17</v>
      </c>
      <c r="E84" s="15" t="s">
        <v>18</v>
      </c>
      <c r="F84" s="15" t="s">
        <v>19</v>
      </c>
      <c r="G84" s="15" t="s">
        <v>30</v>
      </c>
      <c r="H84" s="16">
        <v>30115</v>
      </c>
      <c r="I84" s="16">
        <v>43222</v>
      </c>
      <c r="J84" s="16">
        <v>43902</v>
      </c>
      <c r="K84" s="15" t="s">
        <v>65</v>
      </c>
      <c r="L84" s="15" t="s">
        <v>131</v>
      </c>
      <c r="M84" s="15">
        <v>65108</v>
      </c>
      <c r="N84" s="15" t="s">
        <v>44</v>
      </c>
      <c r="O84" s="15">
        <v>0.49315068493150682</v>
      </c>
      <c r="P84" s="15" t="s">
        <v>1862</v>
      </c>
      <c r="Q84" s="15">
        <f t="shared" ca="1" si="2"/>
        <v>43</v>
      </c>
      <c r="R84" s="15" t="str">
        <f t="shared" si="3"/>
        <v>Medium</v>
      </c>
    </row>
    <row r="85" spans="1:18" s="15" customFormat="1" x14ac:dyDescent="0.3">
      <c r="A85" s="15" t="s">
        <v>292</v>
      </c>
      <c r="B85" s="15" t="s">
        <v>293</v>
      </c>
      <c r="C85" s="15" t="s">
        <v>150</v>
      </c>
      <c r="D85" s="15" t="s">
        <v>17</v>
      </c>
      <c r="E85" s="15" t="s">
        <v>18</v>
      </c>
      <c r="F85" s="15" t="s">
        <v>19</v>
      </c>
      <c r="G85" s="15" t="s">
        <v>30</v>
      </c>
      <c r="H85" s="16">
        <v>27698</v>
      </c>
      <c r="I85" s="16">
        <v>44757</v>
      </c>
      <c r="J85" s="16">
        <v>44937</v>
      </c>
      <c r="K85" s="15" t="s">
        <v>37</v>
      </c>
      <c r="L85" s="15" t="s">
        <v>38</v>
      </c>
      <c r="M85" s="15">
        <v>61958</v>
      </c>
      <c r="N85" s="15" t="s">
        <v>33</v>
      </c>
      <c r="O85" s="15">
        <v>3.3452054794520549</v>
      </c>
      <c r="P85" s="15" t="s">
        <v>1862</v>
      </c>
      <c r="Q85" s="15">
        <f t="shared" ca="1" si="2"/>
        <v>50</v>
      </c>
      <c r="R85" s="15" t="str">
        <f t="shared" si="3"/>
        <v>Medium</v>
      </c>
    </row>
    <row r="86" spans="1:18" s="15" customFormat="1" x14ac:dyDescent="0.3">
      <c r="A86" s="15" t="s">
        <v>294</v>
      </c>
      <c r="B86" s="15" t="s">
        <v>295</v>
      </c>
      <c r="C86" s="15" t="s">
        <v>296</v>
      </c>
      <c r="D86" s="15" t="s">
        <v>17</v>
      </c>
      <c r="E86" s="15" t="s">
        <v>18</v>
      </c>
      <c r="F86" s="15" t="s">
        <v>19</v>
      </c>
      <c r="G86" s="15" t="s">
        <v>30</v>
      </c>
      <c r="H86" s="16">
        <v>36171</v>
      </c>
      <c r="I86" s="16">
        <v>43853</v>
      </c>
      <c r="J86" s="16">
        <v>44772</v>
      </c>
      <c r="K86" s="15" t="s">
        <v>21</v>
      </c>
      <c r="L86" s="15" t="s">
        <v>108</v>
      </c>
      <c r="M86" s="15">
        <v>55038</v>
      </c>
      <c r="N86" s="15" t="s">
        <v>33</v>
      </c>
      <c r="O86" s="15">
        <v>6.3616438356164382</v>
      </c>
      <c r="P86" s="15" t="s">
        <v>1862</v>
      </c>
      <c r="Q86" s="15">
        <f t="shared" ca="1" si="2"/>
        <v>27</v>
      </c>
      <c r="R86" s="15" t="str">
        <f t="shared" si="3"/>
        <v>Low</v>
      </c>
    </row>
    <row r="87" spans="1:18" s="15" customFormat="1" x14ac:dyDescent="0.3">
      <c r="A87" s="15" t="s">
        <v>297</v>
      </c>
      <c r="B87" s="15" t="s">
        <v>283</v>
      </c>
      <c r="C87" s="15" t="s">
        <v>204</v>
      </c>
      <c r="D87" s="15" t="s">
        <v>17</v>
      </c>
      <c r="E87" s="15" t="s">
        <v>18</v>
      </c>
      <c r="F87" s="15" t="s">
        <v>19</v>
      </c>
      <c r="G87" s="15" t="s">
        <v>112</v>
      </c>
      <c r="H87" s="16">
        <v>37293</v>
      </c>
      <c r="I87" s="16">
        <v>42808</v>
      </c>
      <c r="J87" s="16">
        <v>45036</v>
      </c>
      <c r="K87" s="15" t="s">
        <v>70</v>
      </c>
      <c r="L87" s="15" t="s">
        <v>298</v>
      </c>
      <c r="M87" s="15">
        <v>63666</v>
      </c>
      <c r="N87" s="15" t="s">
        <v>96</v>
      </c>
      <c r="O87" s="15">
        <v>9.6876712328767116</v>
      </c>
      <c r="P87" s="15" t="s">
        <v>1861</v>
      </c>
      <c r="Q87" s="15">
        <f t="shared" ca="1" si="2"/>
        <v>23</v>
      </c>
      <c r="R87" s="15" t="str">
        <f t="shared" si="3"/>
        <v>Medium</v>
      </c>
    </row>
    <row r="88" spans="1:18" s="15" customFormat="1" x14ac:dyDescent="0.3">
      <c r="A88" s="15" t="s">
        <v>299</v>
      </c>
      <c r="B88" s="15" t="s">
        <v>300</v>
      </c>
      <c r="C88" s="15" t="s">
        <v>301</v>
      </c>
      <c r="D88" s="15" t="s">
        <v>17</v>
      </c>
      <c r="E88" s="15" t="s">
        <v>18</v>
      </c>
      <c r="F88" s="15" t="s">
        <v>19</v>
      </c>
      <c r="G88" s="15" t="s">
        <v>20</v>
      </c>
      <c r="H88" s="16">
        <v>29168</v>
      </c>
      <c r="I88" s="16">
        <v>43070</v>
      </c>
      <c r="J88" s="16">
        <v>44238</v>
      </c>
      <c r="K88" s="15" t="s">
        <v>21</v>
      </c>
      <c r="L88" s="15" t="s">
        <v>22</v>
      </c>
      <c r="M88" s="15">
        <v>58264</v>
      </c>
      <c r="N88" s="15" t="s">
        <v>96</v>
      </c>
      <c r="O88" s="15">
        <v>0.49315068493150682</v>
      </c>
      <c r="P88" s="15" t="s">
        <v>1861</v>
      </c>
      <c r="Q88" s="15">
        <f t="shared" ca="1" si="2"/>
        <v>46</v>
      </c>
      <c r="R88" s="15" t="str">
        <f t="shared" si="3"/>
        <v>Low</v>
      </c>
    </row>
    <row r="89" spans="1:18" s="15" customFormat="1" x14ac:dyDescent="0.3">
      <c r="A89" s="15" t="s">
        <v>302</v>
      </c>
      <c r="B89" s="15" t="s">
        <v>303</v>
      </c>
      <c r="C89" s="15" t="s">
        <v>172</v>
      </c>
      <c r="D89" s="15" t="s">
        <v>27</v>
      </c>
      <c r="E89" s="15" t="s">
        <v>18</v>
      </c>
      <c r="F89" s="15" t="s">
        <v>19</v>
      </c>
      <c r="G89" s="15" t="s">
        <v>30</v>
      </c>
      <c r="H89" s="16">
        <v>37658</v>
      </c>
      <c r="I89" s="16">
        <v>43081</v>
      </c>
      <c r="J89" s="16">
        <v>44831</v>
      </c>
      <c r="K89" s="15" t="s">
        <v>94</v>
      </c>
      <c r="L89" s="15" t="s">
        <v>182</v>
      </c>
      <c r="M89" s="15">
        <v>65128</v>
      </c>
      <c r="N89" s="15" t="s">
        <v>44</v>
      </c>
      <c r="O89" s="15">
        <v>2.5753424657534252</v>
      </c>
      <c r="P89" s="15" t="s">
        <v>1862</v>
      </c>
      <c r="Q89" s="15">
        <f t="shared" ca="1" si="2"/>
        <v>22</v>
      </c>
      <c r="R89" s="15" t="str">
        <f t="shared" si="3"/>
        <v>Medium</v>
      </c>
    </row>
    <row r="90" spans="1:18" s="15" customFormat="1" x14ac:dyDescent="0.3">
      <c r="A90" s="15" t="s">
        <v>304</v>
      </c>
      <c r="B90" s="15" t="s">
        <v>190</v>
      </c>
      <c r="C90" s="15" t="s">
        <v>305</v>
      </c>
      <c r="D90" s="15" t="s">
        <v>27</v>
      </c>
      <c r="E90" s="15" t="s">
        <v>18</v>
      </c>
      <c r="F90" s="15" t="s">
        <v>19</v>
      </c>
      <c r="G90" s="15" t="s">
        <v>112</v>
      </c>
      <c r="H90" s="16">
        <v>24689</v>
      </c>
      <c r="I90" s="16">
        <v>44577</v>
      </c>
      <c r="J90" s="16">
        <v>44757</v>
      </c>
      <c r="K90" s="15" t="s">
        <v>94</v>
      </c>
      <c r="L90" s="15" t="s">
        <v>122</v>
      </c>
      <c r="M90" s="15">
        <v>69316</v>
      </c>
      <c r="N90" s="15" t="s">
        <v>96</v>
      </c>
      <c r="O90" s="15">
        <v>1.8630136986301371</v>
      </c>
      <c r="P90" s="15" t="s">
        <v>1861</v>
      </c>
      <c r="Q90" s="15">
        <f t="shared" ca="1" si="2"/>
        <v>58</v>
      </c>
      <c r="R90" s="15" t="str">
        <f t="shared" si="3"/>
        <v>Medium</v>
      </c>
    </row>
    <row r="91" spans="1:18" s="15" customFormat="1" x14ac:dyDescent="0.3">
      <c r="A91" s="15" t="s">
        <v>306</v>
      </c>
      <c r="B91" s="15" t="s">
        <v>307</v>
      </c>
      <c r="C91" s="15" t="s">
        <v>308</v>
      </c>
      <c r="D91" s="15" t="s">
        <v>27</v>
      </c>
      <c r="E91" s="15" t="s">
        <v>18</v>
      </c>
      <c r="F91" s="15" t="s">
        <v>19</v>
      </c>
      <c r="G91" s="15" t="s">
        <v>20</v>
      </c>
      <c r="H91" s="16">
        <v>33899</v>
      </c>
      <c r="I91" s="16">
        <v>42962</v>
      </c>
      <c r="J91" s="16">
        <v>43142</v>
      </c>
      <c r="K91" s="15" t="s">
        <v>37</v>
      </c>
      <c r="L91" s="15" t="s">
        <v>41</v>
      </c>
      <c r="M91" s="15">
        <v>56431</v>
      </c>
      <c r="N91" s="15" t="s">
        <v>23</v>
      </c>
      <c r="O91" s="15">
        <v>0.49315068493150682</v>
      </c>
      <c r="P91" s="15" t="s">
        <v>1861</v>
      </c>
      <c r="Q91" s="15">
        <f t="shared" ca="1" si="2"/>
        <v>33</v>
      </c>
      <c r="R91" s="15" t="str">
        <f t="shared" si="3"/>
        <v>Low</v>
      </c>
    </row>
    <row r="92" spans="1:18" s="15" customFormat="1" x14ac:dyDescent="0.3">
      <c r="A92" s="15" t="s">
        <v>309</v>
      </c>
      <c r="B92" s="15" t="s">
        <v>310</v>
      </c>
      <c r="C92" s="15" t="s">
        <v>311</v>
      </c>
      <c r="D92" s="15" t="s">
        <v>27</v>
      </c>
      <c r="E92" s="15" t="s">
        <v>18</v>
      </c>
      <c r="F92" s="15" t="s">
        <v>19</v>
      </c>
      <c r="G92" s="15" t="s">
        <v>30</v>
      </c>
      <c r="H92" s="16">
        <v>35600</v>
      </c>
      <c r="I92" s="16">
        <v>45028</v>
      </c>
      <c r="J92" s="16">
        <v>45208</v>
      </c>
      <c r="K92" s="15" t="s">
        <v>94</v>
      </c>
      <c r="L92" s="15" t="s">
        <v>182</v>
      </c>
      <c r="M92" s="15">
        <v>79043</v>
      </c>
      <c r="N92" s="15" t="s">
        <v>33</v>
      </c>
      <c r="O92" s="15">
        <v>2.517808219178082</v>
      </c>
      <c r="P92" s="15" t="s">
        <v>1861</v>
      </c>
      <c r="Q92" s="15">
        <f t="shared" ca="1" si="2"/>
        <v>28</v>
      </c>
      <c r="R92" s="15" t="str">
        <f t="shared" si="3"/>
        <v>Medium</v>
      </c>
    </row>
    <row r="93" spans="1:18" s="15" customFormat="1" x14ac:dyDescent="0.3">
      <c r="A93" s="15" t="s">
        <v>312</v>
      </c>
      <c r="B93" s="15" t="s">
        <v>218</v>
      </c>
      <c r="C93" s="15" t="s">
        <v>313</v>
      </c>
      <c r="D93" s="15" t="s">
        <v>17</v>
      </c>
      <c r="E93" s="15" t="s">
        <v>18</v>
      </c>
      <c r="F93" s="15" t="s">
        <v>19</v>
      </c>
      <c r="G93" s="15" t="s">
        <v>30</v>
      </c>
      <c r="H93" s="16">
        <v>32445</v>
      </c>
      <c r="I93" s="16">
        <v>43558</v>
      </c>
      <c r="J93" s="16">
        <v>45538</v>
      </c>
      <c r="K93" s="15" t="s">
        <v>65</v>
      </c>
      <c r="L93" s="15" t="s">
        <v>314</v>
      </c>
      <c r="M93" s="15">
        <v>59137</v>
      </c>
      <c r="N93" s="15" t="s">
        <v>33</v>
      </c>
      <c r="O93" s="15">
        <v>6.1041095890410961</v>
      </c>
      <c r="P93" s="15" t="s">
        <v>1862</v>
      </c>
      <c r="Q93" s="15">
        <f t="shared" ca="1" si="2"/>
        <v>37</v>
      </c>
      <c r="R93" s="15" t="str">
        <f t="shared" si="3"/>
        <v>Low</v>
      </c>
    </row>
    <row r="94" spans="1:18" s="15" customFormat="1" x14ac:dyDescent="0.3">
      <c r="A94" s="15" t="s">
        <v>315</v>
      </c>
      <c r="B94" s="15" t="s">
        <v>316</v>
      </c>
      <c r="C94" s="15" t="s">
        <v>210</v>
      </c>
      <c r="D94" s="15" t="s">
        <v>27</v>
      </c>
      <c r="E94" s="15" t="s">
        <v>18</v>
      </c>
      <c r="F94" s="15" t="s">
        <v>19</v>
      </c>
      <c r="G94" s="15" t="s">
        <v>30</v>
      </c>
      <c r="H94" s="16">
        <v>30308</v>
      </c>
      <c r="I94" s="16">
        <v>43351</v>
      </c>
      <c r="J94" s="16">
        <v>43662</v>
      </c>
      <c r="K94" s="15" t="s">
        <v>31</v>
      </c>
      <c r="L94" s="15" t="s">
        <v>159</v>
      </c>
      <c r="M94" s="15">
        <v>89897</v>
      </c>
      <c r="N94" s="15" t="s">
        <v>33</v>
      </c>
      <c r="O94" s="15">
        <v>3.2</v>
      </c>
      <c r="P94" s="15" t="s">
        <v>1862</v>
      </c>
      <c r="Q94" s="15">
        <f t="shared" ca="1" si="2"/>
        <v>43</v>
      </c>
      <c r="R94" s="15" t="str">
        <f t="shared" si="3"/>
        <v>Medium</v>
      </c>
    </row>
    <row r="95" spans="1:18" s="15" customFormat="1" x14ac:dyDescent="0.3">
      <c r="A95" s="15" t="s">
        <v>317</v>
      </c>
      <c r="B95" s="15" t="s">
        <v>318</v>
      </c>
      <c r="C95" s="15" t="s">
        <v>311</v>
      </c>
      <c r="D95" s="15" t="s">
        <v>17</v>
      </c>
      <c r="E95" s="15" t="s">
        <v>18</v>
      </c>
      <c r="F95" s="15" t="s">
        <v>19</v>
      </c>
      <c r="G95" s="15" t="s">
        <v>30</v>
      </c>
      <c r="H95" s="16">
        <v>30925</v>
      </c>
      <c r="I95" s="16">
        <v>43027</v>
      </c>
      <c r="J95" s="16">
        <v>44229</v>
      </c>
      <c r="K95" s="15" t="s">
        <v>31</v>
      </c>
      <c r="L95" s="15" t="s">
        <v>159</v>
      </c>
      <c r="M95" s="15">
        <v>80501</v>
      </c>
      <c r="N95" s="15" t="s">
        <v>33</v>
      </c>
      <c r="O95" s="15">
        <v>4.7945205479452051</v>
      </c>
      <c r="P95" s="15" t="s">
        <v>1861</v>
      </c>
      <c r="Q95" s="15">
        <f t="shared" ca="1" si="2"/>
        <v>41</v>
      </c>
      <c r="R95" s="15" t="str">
        <f t="shared" si="3"/>
        <v>Medium</v>
      </c>
    </row>
    <row r="96" spans="1:18" s="15" customFormat="1" x14ac:dyDescent="0.3">
      <c r="A96" s="15" t="s">
        <v>319</v>
      </c>
      <c r="B96" s="15" t="s">
        <v>320</v>
      </c>
      <c r="C96" s="15" t="s">
        <v>193</v>
      </c>
      <c r="D96" s="15" t="s">
        <v>27</v>
      </c>
      <c r="E96" s="15" t="s">
        <v>81</v>
      </c>
      <c r="F96" s="15" t="s">
        <v>166</v>
      </c>
      <c r="G96" s="15" t="s">
        <v>112</v>
      </c>
      <c r="H96" s="16">
        <v>30777</v>
      </c>
      <c r="I96" s="16">
        <v>44072</v>
      </c>
      <c r="J96" s="16">
        <v>44252</v>
      </c>
      <c r="K96" s="15" t="s">
        <v>37</v>
      </c>
      <c r="L96" s="15" t="s">
        <v>43</v>
      </c>
      <c r="M96" s="15">
        <v>83772</v>
      </c>
      <c r="N96" s="15" t="s">
        <v>33</v>
      </c>
      <c r="O96" s="15">
        <v>0.49315068493150682</v>
      </c>
      <c r="P96" s="15" t="s">
        <v>1862</v>
      </c>
      <c r="Q96" s="15">
        <f t="shared" ca="1" si="2"/>
        <v>41</v>
      </c>
      <c r="R96" s="15" t="str">
        <f t="shared" si="3"/>
        <v>Medium</v>
      </c>
    </row>
    <row r="97" spans="1:18" s="15" customFormat="1" x14ac:dyDescent="0.3">
      <c r="A97" s="15" t="s">
        <v>321</v>
      </c>
      <c r="B97" s="15" t="s">
        <v>322</v>
      </c>
      <c r="C97" s="15" t="s">
        <v>165</v>
      </c>
      <c r="D97" s="15" t="s">
        <v>27</v>
      </c>
      <c r="E97" s="15" t="s">
        <v>18</v>
      </c>
      <c r="F97" s="15" t="s">
        <v>19</v>
      </c>
      <c r="G97" s="15" t="s">
        <v>112</v>
      </c>
      <c r="H97" s="16">
        <v>30229</v>
      </c>
      <c r="I97" s="16">
        <v>43859</v>
      </c>
      <c r="J97" s="16">
        <v>44039</v>
      </c>
      <c r="K97" s="15" t="s">
        <v>37</v>
      </c>
      <c r="L97" s="15" t="s">
        <v>43</v>
      </c>
      <c r="M97" s="15">
        <v>55106</v>
      </c>
      <c r="N97" s="15" t="s">
        <v>96</v>
      </c>
      <c r="O97" s="15">
        <v>0.49315068493150682</v>
      </c>
      <c r="P97" s="15" t="s">
        <v>1861</v>
      </c>
      <c r="Q97" s="15">
        <f t="shared" ca="1" si="2"/>
        <v>43</v>
      </c>
      <c r="R97" s="15" t="str">
        <f t="shared" si="3"/>
        <v>Low</v>
      </c>
    </row>
    <row r="98" spans="1:18" s="15" customFormat="1" x14ac:dyDescent="0.3">
      <c r="A98" s="15" t="s">
        <v>323</v>
      </c>
      <c r="B98" s="15" t="s">
        <v>216</v>
      </c>
      <c r="C98" s="15" t="s">
        <v>324</v>
      </c>
      <c r="D98" s="15" t="s">
        <v>27</v>
      </c>
      <c r="E98" s="15" t="s">
        <v>18</v>
      </c>
      <c r="F98" s="15" t="s">
        <v>19</v>
      </c>
      <c r="G98" s="15" t="s">
        <v>20</v>
      </c>
      <c r="H98" s="16">
        <v>27969</v>
      </c>
      <c r="I98" s="16">
        <v>43442</v>
      </c>
      <c r="J98" s="16">
        <v>44311</v>
      </c>
      <c r="K98" s="15" t="s">
        <v>21</v>
      </c>
      <c r="L98" s="15" t="s">
        <v>22</v>
      </c>
      <c r="M98" s="15">
        <v>82441</v>
      </c>
      <c r="N98" s="15" t="s">
        <v>23</v>
      </c>
      <c r="O98" s="15">
        <v>0.49315068493150682</v>
      </c>
      <c r="P98" s="15" t="s">
        <v>1861</v>
      </c>
      <c r="Q98" s="15">
        <f t="shared" ca="1" si="2"/>
        <v>49</v>
      </c>
      <c r="R98" s="15" t="str">
        <f t="shared" si="3"/>
        <v>Medium</v>
      </c>
    </row>
    <row r="99" spans="1:18" s="15" customFormat="1" x14ac:dyDescent="0.3">
      <c r="A99" s="15" t="s">
        <v>325</v>
      </c>
      <c r="B99" s="15" t="s">
        <v>25</v>
      </c>
      <c r="C99" s="15" t="s">
        <v>106</v>
      </c>
      <c r="D99" s="15" t="s">
        <v>27</v>
      </c>
      <c r="E99" s="15" t="s">
        <v>81</v>
      </c>
      <c r="F99" s="15" t="s">
        <v>104</v>
      </c>
      <c r="G99" s="15" t="s">
        <v>30</v>
      </c>
      <c r="H99" s="16">
        <v>22916</v>
      </c>
      <c r="I99" s="16">
        <v>44732</v>
      </c>
      <c r="J99" s="16">
        <v>44912</v>
      </c>
      <c r="K99" s="15" t="s">
        <v>51</v>
      </c>
      <c r="L99" s="15" t="s">
        <v>52</v>
      </c>
      <c r="M99" s="15">
        <v>85555</v>
      </c>
      <c r="N99" s="15" t="s">
        <v>33</v>
      </c>
      <c r="O99" s="15">
        <v>5.4246575342465757</v>
      </c>
      <c r="P99" s="15" t="s">
        <v>1861</v>
      </c>
      <c r="Q99" s="15">
        <f t="shared" ca="1" si="2"/>
        <v>63</v>
      </c>
      <c r="R99" s="15" t="str">
        <f t="shared" si="3"/>
        <v>Medium</v>
      </c>
    </row>
    <row r="100" spans="1:18" s="15" customFormat="1" x14ac:dyDescent="0.3">
      <c r="A100" s="15" t="s">
        <v>326</v>
      </c>
      <c r="B100" s="15" t="s">
        <v>327</v>
      </c>
      <c r="C100" s="15" t="s">
        <v>328</v>
      </c>
      <c r="D100" s="15" t="s">
        <v>17</v>
      </c>
      <c r="E100" s="15" t="s">
        <v>18</v>
      </c>
      <c r="F100" s="15" t="s">
        <v>19</v>
      </c>
      <c r="G100" s="15" t="s">
        <v>30</v>
      </c>
      <c r="H100" s="16">
        <v>32721</v>
      </c>
      <c r="I100" s="16">
        <v>42973</v>
      </c>
      <c r="J100" s="16">
        <v>43153</v>
      </c>
      <c r="K100" s="15" t="s">
        <v>94</v>
      </c>
      <c r="L100" s="15" t="s">
        <v>122</v>
      </c>
      <c r="M100" s="15">
        <v>64372</v>
      </c>
      <c r="N100" s="15" t="s">
        <v>44</v>
      </c>
      <c r="O100" s="15">
        <v>0.852054794520548</v>
      </c>
      <c r="P100" s="15" t="s">
        <v>1861</v>
      </c>
      <c r="Q100" s="15">
        <f t="shared" ca="1" si="2"/>
        <v>36</v>
      </c>
      <c r="R100" s="15" t="str">
        <f t="shared" si="3"/>
        <v>Medium</v>
      </c>
    </row>
    <row r="101" spans="1:18" s="15" customFormat="1" x14ac:dyDescent="0.3">
      <c r="A101" s="15" t="s">
        <v>329</v>
      </c>
      <c r="B101" s="15" t="s">
        <v>330</v>
      </c>
      <c r="C101" s="15" t="s">
        <v>331</v>
      </c>
      <c r="D101" s="15" t="s">
        <v>17</v>
      </c>
      <c r="E101" s="15" t="s">
        <v>81</v>
      </c>
      <c r="F101" s="15" t="s">
        <v>82</v>
      </c>
      <c r="G101" s="15" t="s">
        <v>30</v>
      </c>
      <c r="H101" s="16">
        <v>26007</v>
      </c>
      <c r="I101" s="16">
        <v>43305</v>
      </c>
      <c r="J101" s="16">
        <v>43485</v>
      </c>
      <c r="K101" s="15" t="s">
        <v>21</v>
      </c>
      <c r="L101" s="15" t="s">
        <v>100</v>
      </c>
      <c r="M101" s="15">
        <v>63278</v>
      </c>
      <c r="N101" s="15" t="s">
        <v>33</v>
      </c>
      <c r="O101" s="15">
        <v>3.2931506849315069</v>
      </c>
      <c r="P101" s="15" t="s">
        <v>1861</v>
      </c>
      <c r="Q101" s="15">
        <f t="shared" ca="1" si="2"/>
        <v>54</v>
      </c>
      <c r="R101" s="15" t="str">
        <f t="shared" si="3"/>
        <v>Medium</v>
      </c>
    </row>
    <row r="102" spans="1:18" s="15" customFormat="1" x14ac:dyDescent="0.3">
      <c r="A102" s="15" t="s">
        <v>332</v>
      </c>
      <c r="B102" s="15" t="s">
        <v>333</v>
      </c>
      <c r="C102" s="15" t="s">
        <v>334</v>
      </c>
      <c r="D102" s="15" t="s">
        <v>27</v>
      </c>
      <c r="E102" s="15" t="s">
        <v>169</v>
      </c>
      <c r="F102" s="15" t="s">
        <v>335</v>
      </c>
      <c r="G102" s="15" t="s">
        <v>30</v>
      </c>
      <c r="H102" s="16">
        <v>35829</v>
      </c>
      <c r="I102" s="16">
        <v>45408</v>
      </c>
      <c r="J102" s="16">
        <v>45588</v>
      </c>
      <c r="K102" s="15" t="s">
        <v>65</v>
      </c>
      <c r="L102" s="15" t="s">
        <v>131</v>
      </c>
      <c r="M102" s="15">
        <v>65358</v>
      </c>
      <c r="N102" s="15" t="s">
        <v>23</v>
      </c>
      <c r="O102" s="15">
        <v>0.49315068493150682</v>
      </c>
      <c r="P102" s="15" t="s">
        <v>1861</v>
      </c>
      <c r="Q102" s="15">
        <f t="shared" ca="1" si="2"/>
        <v>27</v>
      </c>
      <c r="R102" s="15" t="str">
        <f t="shared" si="3"/>
        <v>Medium</v>
      </c>
    </row>
    <row r="103" spans="1:18" s="15" customFormat="1" x14ac:dyDescent="0.3">
      <c r="A103" s="15" t="s">
        <v>336</v>
      </c>
      <c r="B103" s="15" t="s">
        <v>216</v>
      </c>
      <c r="C103" s="15" t="s">
        <v>99</v>
      </c>
      <c r="D103" s="15" t="s">
        <v>27</v>
      </c>
      <c r="E103" s="15" t="s">
        <v>81</v>
      </c>
      <c r="F103" s="15" t="s">
        <v>82</v>
      </c>
      <c r="G103" s="15" t="s">
        <v>30</v>
      </c>
      <c r="H103" s="16">
        <v>30653</v>
      </c>
      <c r="I103" s="16">
        <v>43077</v>
      </c>
      <c r="J103" s="16">
        <v>43257</v>
      </c>
      <c r="K103" s="15" t="s">
        <v>31</v>
      </c>
      <c r="L103" s="15" t="s">
        <v>32</v>
      </c>
      <c r="M103" s="15">
        <v>77267</v>
      </c>
      <c r="N103" s="15" t="s">
        <v>33</v>
      </c>
      <c r="O103" s="15">
        <v>0.49315068493150682</v>
      </c>
      <c r="P103" s="15" t="s">
        <v>1861</v>
      </c>
      <c r="Q103" s="15">
        <f t="shared" ca="1" si="2"/>
        <v>42</v>
      </c>
      <c r="R103" s="15" t="str">
        <f t="shared" si="3"/>
        <v>Medium</v>
      </c>
    </row>
    <row r="104" spans="1:18" s="15" customFormat="1" x14ac:dyDescent="0.3">
      <c r="A104" s="15" t="s">
        <v>337</v>
      </c>
      <c r="B104" s="15" t="s">
        <v>338</v>
      </c>
      <c r="C104" s="15" t="s">
        <v>172</v>
      </c>
      <c r="D104" s="15" t="s">
        <v>17</v>
      </c>
      <c r="E104" s="15" t="s">
        <v>18</v>
      </c>
      <c r="F104" s="15" t="s">
        <v>19</v>
      </c>
      <c r="G104" s="15" t="s">
        <v>30</v>
      </c>
      <c r="H104" s="16">
        <v>37323</v>
      </c>
      <c r="I104" s="16">
        <v>44968</v>
      </c>
      <c r="J104" s="16">
        <v>45148</v>
      </c>
      <c r="K104" s="15" t="s">
        <v>94</v>
      </c>
      <c r="L104" s="15" t="s">
        <v>182</v>
      </c>
      <c r="M104" s="15">
        <v>51865</v>
      </c>
      <c r="N104" s="15" t="s">
        <v>33</v>
      </c>
      <c r="O104" s="15">
        <v>8.1342465753424662</v>
      </c>
      <c r="P104" s="15" t="s">
        <v>1861</v>
      </c>
      <c r="Q104" s="15">
        <f t="shared" ca="1" si="2"/>
        <v>23</v>
      </c>
      <c r="R104" s="15" t="str">
        <f t="shared" si="3"/>
        <v>Low</v>
      </c>
    </row>
    <row r="105" spans="1:18" s="15" customFormat="1" x14ac:dyDescent="0.3">
      <c r="A105" s="15" t="s">
        <v>339</v>
      </c>
      <c r="B105" s="15" t="s">
        <v>340</v>
      </c>
      <c r="C105" s="15" t="s">
        <v>341</v>
      </c>
      <c r="D105" s="15" t="s">
        <v>27</v>
      </c>
      <c r="E105" s="15" t="s">
        <v>18</v>
      </c>
      <c r="F105" s="15" t="s">
        <v>19</v>
      </c>
      <c r="G105" s="15" t="s">
        <v>112</v>
      </c>
      <c r="H105" s="16">
        <v>25834</v>
      </c>
      <c r="I105" s="16">
        <v>42845</v>
      </c>
      <c r="J105" s="16">
        <v>45645</v>
      </c>
      <c r="K105" s="15" t="s">
        <v>31</v>
      </c>
      <c r="L105" s="15" t="s">
        <v>32</v>
      </c>
      <c r="M105" s="15">
        <v>92780</v>
      </c>
      <c r="N105" s="15" t="s">
        <v>96</v>
      </c>
      <c r="O105" s="15">
        <v>2.3808219178082188</v>
      </c>
      <c r="P105" s="15" t="s">
        <v>1862</v>
      </c>
      <c r="Q105" s="15">
        <f t="shared" ca="1" si="2"/>
        <v>55</v>
      </c>
      <c r="R105" s="15" t="str">
        <f t="shared" si="3"/>
        <v>Medium</v>
      </c>
    </row>
    <row r="106" spans="1:18" s="15" customFormat="1" x14ac:dyDescent="0.3">
      <c r="A106" s="15" t="s">
        <v>342</v>
      </c>
      <c r="B106" s="15" t="s">
        <v>343</v>
      </c>
      <c r="C106" s="15" t="s">
        <v>344</v>
      </c>
      <c r="D106" s="15" t="s">
        <v>17</v>
      </c>
      <c r="E106" s="15" t="s">
        <v>120</v>
      </c>
      <c r="F106" s="15" t="s">
        <v>223</v>
      </c>
      <c r="G106" s="15" t="s">
        <v>30</v>
      </c>
      <c r="H106" s="16">
        <v>33729</v>
      </c>
      <c r="I106" s="16">
        <v>45006</v>
      </c>
      <c r="J106" s="16">
        <v>45186</v>
      </c>
      <c r="K106" s="15" t="s">
        <v>21</v>
      </c>
      <c r="L106" s="15" t="s">
        <v>100</v>
      </c>
      <c r="M106" s="15">
        <v>52588</v>
      </c>
      <c r="N106" s="15" t="s">
        <v>33</v>
      </c>
      <c r="O106" s="15">
        <v>0.49315068493150682</v>
      </c>
      <c r="P106" s="15" t="s">
        <v>1861</v>
      </c>
      <c r="Q106" s="15">
        <f t="shared" ca="1" si="2"/>
        <v>33</v>
      </c>
      <c r="R106" s="15" t="str">
        <f t="shared" si="3"/>
        <v>Low</v>
      </c>
    </row>
    <row r="107" spans="1:18" s="15" customFormat="1" x14ac:dyDescent="0.3">
      <c r="A107" s="15" t="s">
        <v>345</v>
      </c>
      <c r="B107" s="15" t="s">
        <v>346</v>
      </c>
      <c r="C107" s="15" t="s">
        <v>347</v>
      </c>
      <c r="D107" s="15" t="s">
        <v>17</v>
      </c>
      <c r="E107" s="15" t="s">
        <v>81</v>
      </c>
      <c r="F107" s="15" t="s">
        <v>166</v>
      </c>
      <c r="G107" s="15" t="s">
        <v>30</v>
      </c>
      <c r="H107" s="16">
        <v>26473</v>
      </c>
      <c r="I107" s="16">
        <v>45123</v>
      </c>
      <c r="J107" s="16">
        <v>45303</v>
      </c>
      <c r="K107" s="15" t="s">
        <v>37</v>
      </c>
      <c r="L107" s="15" t="s">
        <v>41</v>
      </c>
      <c r="M107" s="15">
        <v>64186</v>
      </c>
      <c r="N107" s="15" t="s">
        <v>33</v>
      </c>
      <c r="O107" s="15">
        <v>0.49315068493150682</v>
      </c>
      <c r="P107" s="15" t="s">
        <v>1862</v>
      </c>
      <c r="Q107" s="15">
        <f t="shared" ca="1" si="2"/>
        <v>53</v>
      </c>
      <c r="R107" s="15" t="str">
        <f t="shared" si="3"/>
        <v>Medium</v>
      </c>
    </row>
    <row r="108" spans="1:18" s="15" customFormat="1" x14ac:dyDescent="0.3">
      <c r="A108" s="15" t="s">
        <v>348</v>
      </c>
      <c r="B108" s="15" t="s">
        <v>195</v>
      </c>
      <c r="C108" s="15" t="s">
        <v>349</v>
      </c>
      <c r="D108" s="15" t="s">
        <v>27</v>
      </c>
      <c r="E108" s="15" t="s">
        <v>18</v>
      </c>
      <c r="F108" s="15" t="s">
        <v>19</v>
      </c>
      <c r="G108" s="15" t="s">
        <v>20</v>
      </c>
      <c r="H108" s="16">
        <v>28636</v>
      </c>
      <c r="I108" s="16">
        <v>43064</v>
      </c>
      <c r="J108" s="16">
        <v>43243</v>
      </c>
      <c r="K108" s="15" t="s">
        <v>37</v>
      </c>
      <c r="L108" s="15" t="s">
        <v>41</v>
      </c>
      <c r="M108" s="15">
        <v>61124</v>
      </c>
      <c r="N108" s="15" t="s">
        <v>23</v>
      </c>
      <c r="O108" s="15">
        <v>0.49315068493150682</v>
      </c>
      <c r="P108" s="15" t="s">
        <v>1861</v>
      </c>
      <c r="Q108" s="15">
        <f t="shared" ca="1" si="2"/>
        <v>47</v>
      </c>
      <c r="R108" s="15" t="str">
        <f t="shared" si="3"/>
        <v>Medium</v>
      </c>
    </row>
    <row r="109" spans="1:18" s="15" customFormat="1" x14ac:dyDescent="0.3">
      <c r="A109" s="15" t="s">
        <v>350</v>
      </c>
      <c r="B109" s="15" t="s">
        <v>351</v>
      </c>
      <c r="C109" s="15" t="s">
        <v>352</v>
      </c>
      <c r="D109" s="15" t="s">
        <v>17</v>
      </c>
      <c r="E109" s="15" t="s">
        <v>18</v>
      </c>
      <c r="F109" s="15" t="s">
        <v>19</v>
      </c>
      <c r="G109" s="15" t="s">
        <v>20</v>
      </c>
      <c r="H109" s="16">
        <v>30149</v>
      </c>
      <c r="I109" s="16">
        <v>44884</v>
      </c>
      <c r="J109" s="16">
        <v>45064</v>
      </c>
      <c r="K109" s="15" t="s">
        <v>70</v>
      </c>
      <c r="L109" s="15" t="s">
        <v>71</v>
      </c>
      <c r="M109" s="15">
        <v>65797</v>
      </c>
      <c r="N109" s="15" t="s">
        <v>23</v>
      </c>
      <c r="O109" s="15">
        <v>0.49315068493150682</v>
      </c>
      <c r="P109" s="15" t="s">
        <v>1862</v>
      </c>
      <c r="Q109" s="15">
        <f t="shared" ca="1" si="2"/>
        <v>43</v>
      </c>
      <c r="R109" s="15" t="str">
        <f t="shared" si="3"/>
        <v>Medium</v>
      </c>
    </row>
    <row r="110" spans="1:18" s="15" customFormat="1" x14ac:dyDescent="0.3">
      <c r="A110" s="15" t="s">
        <v>353</v>
      </c>
      <c r="B110" s="15" t="s">
        <v>54</v>
      </c>
      <c r="C110" s="15" t="s">
        <v>193</v>
      </c>
      <c r="D110" s="15" t="s">
        <v>17</v>
      </c>
      <c r="E110" s="15" t="s">
        <v>354</v>
      </c>
      <c r="F110" s="15" t="s">
        <v>355</v>
      </c>
      <c r="G110" s="15" t="s">
        <v>112</v>
      </c>
      <c r="H110" s="16">
        <v>36916</v>
      </c>
      <c r="I110" s="16">
        <v>45226</v>
      </c>
      <c r="J110" s="16">
        <v>45406</v>
      </c>
      <c r="K110" s="15" t="s">
        <v>94</v>
      </c>
      <c r="L110" s="15" t="s">
        <v>95</v>
      </c>
      <c r="M110" s="15">
        <v>114050</v>
      </c>
      <c r="N110" s="15" t="s">
        <v>33</v>
      </c>
      <c r="O110" s="15">
        <v>0.49315068493150682</v>
      </c>
      <c r="P110" s="15" t="s">
        <v>1861</v>
      </c>
      <c r="Q110" s="15">
        <f t="shared" ca="1" si="2"/>
        <v>24</v>
      </c>
      <c r="R110" s="15" t="str">
        <f t="shared" si="3"/>
        <v>High</v>
      </c>
    </row>
    <row r="111" spans="1:18" s="15" customFormat="1" x14ac:dyDescent="0.3">
      <c r="A111" s="15" t="s">
        <v>356</v>
      </c>
      <c r="B111" s="15" t="s">
        <v>76</v>
      </c>
      <c r="C111" s="15" t="s">
        <v>357</v>
      </c>
      <c r="D111" s="15" t="s">
        <v>17</v>
      </c>
      <c r="E111" s="15" t="s">
        <v>18</v>
      </c>
      <c r="F111" s="15" t="s">
        <v>19</v>
      </c>
      <c r="G111" s="15" t="s">
        <v>20</v>
      </c>
      <c r="H111" s="16">
        <v>27680</v>
      </c>
      <c r="I111" s="16">
        <v>43893</v>
      </c>
      <c r="J111" s="16">
        <v>44073</v>
      </c>
      <c r="K111" s="15" t="s">
        <v>21</v>
      </c>
      <c r="L111" s="15" t="s">
        <v>22</v>
      </c>
      <c r="M111" s="15">
        <v>64313</v>
      </c>
      <c r="N111" s="15" t="s">
        <v>96</v>
      </c>
      <c r="O111" s="15">
        <v>0.49315068493150682</v>
      </c>
      <c r="P111" s="15" t="s">
        <v>1861</v>
      </c>
      <c r="Q111" s="15">
        <f t="shared" ca="1" si="2"/>
        <v>50</v>
      </c>
      <c r="R111" s="15" t="str">
        <f t="shared" si="3"/>
        <v>Medium</v>
      </c>
    </row>
    <row r="112" spans="1:18" s="15" customFormat="1" x14ac:dyDescent="0.3">
      <c r="A112" s="15" t="s">
        <v>358</v>
      </c>
      <c r="B112" s="15" t="s">
        <v>255</v>
      </c>
      <c r="C112" s="15" t="s">
        <v>359</v>
      </c>
      <c r="D112" s="15" t="s">
        <v>27</v>
      </c>
      <c r="E112" s="15" t="s">
        <v>81</v>
      </c>
      <c r="F112" s="15" t="s">
        <v>82</v>
      </c>
      <c r="G112" s="15" t="s">
        <v>30</v>
      </c>
      <c r="H112" s="16">
        <v>32762</v>
      </c>
      <c r="I112" s="16">
        <v>43267</v>
      </c>
      <c r="J112" s="16">
        <v>44658</v>
      </c>
      <c r="K112" s="15" t="s">
        <v>21</v>
      </c>
      <c r="L112" s="15" t="s">
        <v>108</v>
      </c>
      <c r="M112" s="15">
        <v>63557</v>
      </c>
      <c r="N112" s="15" t="s">
        <v>44</v>
      </c>
      <c r="O112" s="15">
        <v>7.6712328767123283</v>
      </c>
      <c r="P112" s="15" t="s">
        <v>1861</v>
      </c>
      <c r="Q112" s="15">
        <f t="shared" ca="1" si="2"/>
        <v>36</v>
      </c>
      <c r="R112" s="15" t="str">
        <f t="shared" si="3"/>
        <v>Medium</v>
      </c>
    </row>
    <row r="113" spans="1:18" s="15" customFormat="1" x14ac:dyDescent="0.3">
      <c r="A113" s="15" t="s">
        <v>360</v>
      </c>
      <c r="B113" s="15" t="s">
        <v>361</v>
      </c>
      <c r="C113" s="15" t="s">
        <v>196</v>
      </c>
      <c r="D113" s="15" t="s">
        <v>27</v>
      </c>
      <c r="E113" s="15" t="s">
        <v>81</v>
      </c>
      <c r="F113" s="15" t="s">
        <v>166</v>
      </c>
      <c r="G113" s="15" t="s">
        <v>20</v>
      </c>
      <c r="H113" s="16">
        <v>31380</v>
      </c>
      <c r="I113" s="16">
        <v>43078</v>
      </c>
      <c r="J113" s="16">
        <v>43628</v>
      </c>
      <c r="K113" s="15" t="s">
        <v>37</v>
      </c>
      <c r="L113" s="15" t="s">
        <v>41</v>
      </c>
      <c r="M113" s="15">
        <v>59128</v>
      </c>
      <c r="N113" s="15" t="s">
        <v>23</v>
      </c>
      <c r="O113" s="15">
        <v>0.49315068493150682</v>
      </c>
      <c r="P113" s="15" t="s">
        <v>1861</v>
      </c>
      <c r="Q113" s="15">
        <f t="shared" ca="1" si="2"/>
        <v>40</v>
      </c>
      <c r="R113" s="15" t="str">
        <f t="shared" si="3"/>
        <v>Low</v>
      </c>
    </row>
    <row r="114" spans="1:18" s="15" customFormat="1" x14ac:dyDescent="0.3">
      <c r="A114" s="15" t="s">
        <v>362</v>
      </c>
      <c r="B114" s="15" t="s">
        <v>363</v>
      </c>
      <c r="C114" s="15" t="s">
        <v>187</v>
      </c>
      <c r="D114" s="15" t="s">
        <v>17</v>
      </c>
      <c r="E114" s="15" t="s">
        <v>18</v>
      </c>
      <c r="F114" s="15" t="s">
        <v>19</v>
      </c>
      <c r="G114" s="15" t="s">
        <v>20</v>
      </c>
      <c r="H114" s="16">
        <v>32567</v>
      </c>
      <c r="I114" s="16">
        <v>43844</v>
      </c>
      <c r="J114" s="16">
        <v>44024</v>
      </c>
      <c r="K114" s="15" t="s">
        <v>21</v>
      </c>
      <c r="L114" s="15" t="s">
        <v>108</v>
      </c>
      <c r="M114" s="15">
        <v>54770</v>
      </c>
      <c r="N114" s="15" t="s">
        <v>23</v>
      </c>
      <c r="O114" s="15">
        <v>0.49315068493150682</v>
      </c>
      <c r="P114" s="15" t="s">
        <v>1861</v>
      </c>
      <c r="Q114" s="15">
        <f t="shared" ca="1" si="2"/>
        <v>36</v>
      </c>
      <c r="R114" s="15" t="str">
        <f t="shared" si="3"/>
        <v>Low</v>
      </c>
    </row>
    <row r="115" spans="1:18" s="15" customFormat="1" x14ac:dyDescent="0.3">
      <c r="A115" s="15" t="s">
        <v>364</v>
      </c>
      <c r="B115" s="15" t="s">
        <v>268</v>
      </c>
      <c r="C115" s="15" t="s">
        <v>365</v>
      </c>
      <c r="D115" s="15" t="s">
        <v>27</v>
      </c>
      <c r="E115" s="15" t="s">
        <v>18</v>
      </c>
      <c r="F115" s="15" t="s">
        <v>19</v>
      </c>
      <c r="G115" s="15" t="s">
        <v>30</v>
      </c>
      <c r="H115" s="16">
        <v>36985</v>
      </c>
      <c r="I115" s="16">
        <v>43523</v>
      </c>
      <c r="J115" s="16">
        <v>43703</v>
      </c>
      <c r="K115" s="15" t="s">
        <v>21</v>
      </c>
      <c r="L115" s="15" t="s">
        <v>108</v>
      </c>
      <c r="M115" s="15">
        <v>64438</v>
      </c>
      <c r="N115" s="15" t="s">
        <v>44</v>
      </c>
      <c r="O115" s="15">
        <v>0.49041095890410957</v>
      </c>
      <c r="P115" s="15" t="s">
        <v>1861</v>
      </c>
      <c r="Q115" s="15">
        <f t="shared" ca="1" si="2"/>
        <v>24</v>
      </c>
      <c r="R115" s="15" t="str">
        <f t="shared" si="3"/>
        <v>Medium</v>
      </c>
    </row>
    <row r="116" spans="1:18" s="15" customFormat="1" x14ac:dyDescent="0.3">
      <c r="A116" s="15" t="s">
        <v>366</v>
      </c>
      <c r="B116" s="15" t="s">
        <v>246</v>
      </c>
      <c r="C116" s="15" t="s">
        <v>89</v>
      </c>
      <c r="D116" s="15" t="s">
        <v>17</v>
      </c>
      <c r="E116" s="15" t="s">
        <v>18</v>
      </c>
      <c r="F116" s="15" t="s">
        <v>19</v>
      </c>
      <c r="G116" s="15" t="s">
        <v>20</v>
      </c>
      <c r="H116" s="16">
        <v>25738</v>
      </c>
      <c r="I116" s="16">
        <v>45068</v>
      </c>
      <c r="J116" s="16">
        <v>45248</v>
      </c>
      <c r="K116" s="15" t="s">
        <v>70</v>
      </c>
      <c r="L116" s="15" t="s">
        <v>71</v>
      </c>
      <c r="M116" s="15">
        <v>58119</v>
      </c>
      <c r="N116" s="15" t="s">
        <v>23</v>
      </c>
      <c r="O116" s="15">
        <v>0.49315068493150682</v>
      </c>
      <c r="P116" s="15" t="s">
        <v>1861</v>
      </c>
      <c r="Q116" s="15">
        <f t="shared" ca="1" si="2"/>
        <v>55</v>
      </c>
      <c r="R116" s="15" t="str">
        <f t="shared" si="3"/>
        <v>Low</v>
      </c>
    </row>
    <row r="117" spans="1:18" s="15" customFormat="1" x14ac:dyDescent="0.3">
      <c r="A117" s="15" t="s">
        <v>367</v>
      </c>
      <c r="B117" s="15" t="s">
        <v>277</v>
      </c>
      <c r="C117" s="15" t="s">
        <v>368</v>
      </c>
      <c r="D117" s="15" t="s">
        <v>17</v>
      </c>
      <c r="E117" s="15" t="s">
        <v>28</v>
      </c>
      <c r="F117" s="15" t="s">
        <v>116</v>
      </c>
      <c r="G117" s="15" t="s">
        <v>20</v>
      </c>
      <c r="H117" s="16">
        <v>27901</v>
      </c>
      <c r="I117" s="16">
        <v>44896</v>
      </c>
      <c r="J117" s="16">
        <v>45076</v>
      </c>
      <c r="K117" s="15" t="s">
        <v>21</v>
      </c>
      <c r="L117" s="15" t="s">
        <v>22</v>
      </c>
      <c r="M117" s="15">
        <v>82922</v>
      </c>
      <c r="N117" s="15" t="s">
        <v>23</v>
      </c>
      <c r="O117" s="15">
        <v>0.49315068493150682</v>
      </c>
      <c r="P117" s="15" t="s">
        <v>1861</v>
      </c>
      <c r="Q117" s="15">
        <f t="shared" ca="1" si="2"/>
        <v>49</v>
      </c>
      <c r="R117" s="15" t="str">
        <f t="shared" si="3"/>
        <v>Medium</v>
      </c>
    </row>
    <row r="118" spans="1:18" s="15" customFormat="1" x14ac:dyDescent="0.3">
      <c r="A118" s="15" t="s">
        <v>369</v>
      </c>
      <c r="B118" s="15" t="s">
        <v>370</v>
      </c>
      <c r="C118" s="15" t="s">
        <v>371</v>
      </c>
      <c r="D118" s="15" t="s">
        <v>17</v>
      </c>
      <c r="E118" s="15" t="s">
        <v>18</v>
      </c>
      <c r="F118" s="15" t="s">
        <v>19</v>
      </c>
      <c r="G118" s="15" t="s">
        <v>30</v>
      </c>
      <c r="H118" s="16">
        <v>26352</v>
      </c>
      <c r="I118" s="16">
        <v>44826</v>
      </c>
      <c r="J118" s="16">
        <v>45006</v>
      </c>
      <c r="K118" s="15" t="s">
        <v>65</v>
      </c>
      <c r="L118" s="15" t="s">
        <v>314</v>
      </c>
      <c r="M118" s="15">
        <v>74811</v>
      </c>
      <c r="N118" s="15" t="s">
        <v>44</v>
      </c>
      <c r="O118" s="15">
        <v>0.49315068493150682</v>
      </c>
      <c r="P118" s="15" t="s">
        <v>1861</v>
      </c>
      <c r="Q118" s="15">
        <f t="shared" ca="1" si="2"/>
        <v>53</v>
      </c>
      <c r="R118" s="15" t="str">
        <f t="shared" si="3"/>
        <v>Medium</v>
      </c>
    </row>
    <row r="119" spans="1:18" s="15" customFormat="1" x14ac:dyDescent="0.3">
      <c r="A119" s="15" t="s">
        <v>372</v>
      </c>
      <c r="B119" s="15" t="s">
        <v>25</v>
      </c>
      <c r="C119" s="15" t="s">
        <v>99</v>
      </c>
      <c r="D119" s="15" t="s">
        <v>27</v>
      </c>
      <c r="E119" s="15" t="s">
        <v>28</v>
      </c>
      <c r="F119" s="15" t="s">
        <v>282</v>
      </c>
      <c r="G119" s="15" t="s">
        <v>93</v>
      </c>
      <c r="H119" s="16">
        <v>30277</v>
      </c>
      <c r="I119" s="16">
        <v>43403</v>
      </c>
      <c r="J119" s="16">
        <v>44433</v>
      </c>
      <c r="K119" s="15" t="s">
        <v>51</v>
      </c>
      <c r="L119" s="15" t="s">
        <v>233</v>
      </c>
      <c r="M119" s="15">
        <v>93475</v>
      </c>
      <c r="N119" s="15" t="s">
        <v>96</v>
      </c>
      <c r="O119" s="15">
        <v>3.8109589041095888</v>
      </c>
      <c r="P119" s="15" t="s">
        <v>1861</v>
      </c>
      <c r="Q119" s="15">
        <f t="shared" ca="1" si="2"/>
        <v>43</v>
      </c>
      <c r="R119" s="15" t="str">
        <f t="shared" si="3"/>
        <v>Medium</v>
      </c>
    </row>
    <row r="120" spans="1:18" s="15" customFormat="1" x14ac:dyDescent="0.3">
      <c r="A120" s="15" t="s">
        <v>373</v>
      </c>
      <c r="B120" s="15" t="s">
        <v>374</v>
      </c>
      <c r="C120" s="15" t="s">
        <v>375</v>
      </c>
      <c r="D120" s="15" t="s">
        <v>27</v>
      </c>
      <c r="E120" s="15" t="s">
        <v>137</v>
      </c>
      <c r="F120" s="15" t="s">
        <v>138</v>
      </c>
      <c r="G120" s="15" t="s">
        <v>20</v>
      </c>
      <c r="H120" s="16">
        <v>37262</v>
      </c>
      <c r="I120" s="16">
        <v>44438</v>
      </c>
      <c r="J120" s="16">
        <v>44618</v>
      </c>
      <c r="K120" s="15" t="s">
        <v>21</v>
      </c>
      <c r="L120" s="15" t="s">
        <v>100</v>
      </c>
      <c r="M120" s="15">
        <v>59676</v>
      </c>
      <c r="N120" s="15" t="s">
        <v>23</v>
      </c>
      <c r="O120" s="15">
        <v>1.506849315068493</v>
      </c>
      <c r="P120" s="15" t="s">
        <v>1861</v>
      </c>
      <c r="Q120" s="15">
        <f t="shared" ca="1" si="2"/>
        <v>24</v>
      </c>
      <c r="R120" s="15" t="str">
        <f t="shared" si="3"/>
        <v>Low</v>
      </c>
    </row>
    <row r="121" spans="1:18" s="15" customFormat="1" x14ac:dyDescent="0.3">
      <c r="A121" s="15" t="s">
        <v>376</v>
      </c>
      <c r="B121" s="15" t="s">
        <v>377</v>
      </c>
      <c r="C121" s="15" t="s">
        <v>378</v>
      </c>
      <c r="D121" s="15" t="s">
        <v>27</v>
      </c>
      <c r="E121" s="15" t="s">
        <v>18</v>
      </c>
      <c r="F121" s="15" t="s">
        <v>19</v>
      </c>
      <c r="G121" s="15" t="s">
        <v>30</v>
      </c>
      <c r="H121" s="16">
        <v>24827</v>
      </c>
      <c r="I121" s="16">
        <v>44653</v>
      </c>
      <c r="J121" s="16">
        <v>44833</v>
      </c>
      <c r="K121" s="15" t="s">
        <v>94</v>
      </c>
      <c r="L121" s="15" t="s">
        <v>182</v>
      </c>
      <c r="M121" s="15">
        <v>77283</v>
      </c>
      <c r="N121" s="15" t="s">
        <v>23</v>
      </c>
      <c r="O121" s="15">
        <v>0.49315068493150682</v>
      </c>
      <c r="P121" s="15" t="s">
        <v>1862</v>
      </c>
      <c r="Q121" s="15">
        <f t="shared" ca="1" si="2"/>
        <v>58</v>
      </c>
      <c r="R121" s="15" t="str">
        <f t="shared" si="3"/>
        <v>Medium</v>
      </c>
    </row>
    <row r="122" spans="1:18" s="15" customFormat="1" x14ac:dyDescent="0.3">
      <c r="A122" s="15" t="s">
        <v>379</v>
      </c>
      <c r="B122" s="15" t="s">
        <v>260</v>
      </c>
      <c r="C122" s="15" t="s">
        <v>380</v>
      </c>
      <c r="D122" s="15" t="s">
        <v>27</v>
      </c>
      <c r="E122" s="15" t="s">
        <v>18</v>
      </c>
      <c r="F122" s="15" t="s">
        <v>19</v>
      </c>
      <c r="G122" s="15" t="s">
        <v>30</v>
      </c>
      <c r="H122" s="16">
        <v>29231</v>
      </c>
      <c r="I122" s="16">
        <v>44876</v>
      </c>
      <c r="J122" s="16">
        <v>45056</v>
      </c>
      <c r="K122" s="15" t="s">
        <v>65</v>
      </c>
      <c r="L122" s="15" t="s">
        <v>131</v>
      </c>
      <c r="M122" s="15">
        <v>62224</v>
      </c>
      <c r="N122" s="15" t="s">
        <v>44</v>
      </c>
      <c r="O122" s="15">
        <v>0.49315068493150682</v>
      </c>
      <c r="P122" s="15" t="s">
        <v>1862</v>
      </c>
      <c r="Q122" s="15">
        <f t="shared" ca="1" si="2"/>
        <v>46</v>
      </c>
      <c r="R122" s="15" t="str">
        <f t="shared" si="3"/>
        <v>Medium</v>
      </c>
    </row>
    <row r="123" spans="1:18" s="15" customFormat="1" x14ac:dyDescent="0.3">
      <c r="A123" s="15" t="s">
        <v>381</v>
      </c>
      <c r="B123" s="15" t="s">
        <v>382</v>
      </c>
      <c r="C123" s="15" t="s">
        <v>383</v>
      </c>
      <c r="D123" s="15" t="s">
        <v>27</v>
      </c>
      <c r="E123" s="15" t="s">
        <v>18</v>
      </c>
      <c r="F123" s="15" t="s">
        <v>19</v>
      </c>
      <c r="G123" s="15" t="s">
        <v>30</v>
      </c>
      <c r="H123" s="16">
        <v>35483</v>
      </c>
      <c r="I123" s="16">
        <v>43900</v>
      </c>
      <c r="J123" s="16">
        <v>44080</v>
      </c>
      <c r="K123" s="15" t="s">
        <v>37</v>
      </c>
      <c r="L123" s="15" t="s">
        <v>38</v>
      </c>
      <c r="M123" s="15">
        <v>68683</v>
      </c>
      <c r="N123" s="15" t="s">
        <v>23</v>
      </c>
      <c r="O123" s="15">
        <v>0.49315068493150682</v>
      </c>
      <c r="P123" s="15" t="s">
        <v>1861</v>
      </c>
      <c r="Q123" s="15">
        <f t="shared" ca="1" si="2"/>
        <v>28</v>
      </c>
      <c r="R123" s="15" t="str">
        <f t="shared" si="3"/>
        <v>Medium</v>
      </c>
    </row>
    <row r="124" spans="1:18" s="15" customFormat="1" x14ac:dyDescent="0.3">
      <c r="A124" s="15" t="s">
        <v>384</v>
      </c>
      <c r="B124" s="15" t="s">
        <v>290</v>
      </c>
      <c r="C124" s="15" t="s">
        <v>385</v>
      </c>
      <c r="D124" s="15" t="s">
        <v>17</v>
      </c>
      <c r="E124" s="15" t="s">
        <v>18</v>
      </c>
      <c r="F124" s="15" t="s">
        <v>19</v>
      </c>
      <c r="G124" s="15" t="s">
        <v>20</v>
      </c>
      <c r="H124" s="16">
        <v>24490</v>
      </c>
      <c r="I124" s="16">
        <v>43461</v>
      </c>
      <c r="J124" s="16">
        <v>43641</v>
      </c>
      <c r="K124" s="15" t="s">
        <v>21</v>
      </c>
      <c r="L124" s="15" t="s">
        <v>100</v>
      </c>
      <c r="M124" s="15">
        <v>63830</v>
      </c>
      <c r="N124" s="15" t="s">
        <v>23</v>
      </c>
      <c r="O124" s="15">
        <v>0.49315068493150682</v>
      </c>
      <c r="P124" s="15" t="s">
        <v>1862</v>
      </c>
      <c r="Q124" s="15">
        <f t="shared" ca="1" si="2"/>
        <v>58</v>
      </c>
      <c r="R124" s="15" t="str">
        <f t="shared" si="3"/>
        <v>Medium</v>
      </c>
    </row>
    <row r="125" spans="1:18" s="15" customFormat="1" x14ac:dyDescent="0.3">
      <c r="A125" s="15" t="s">
        <v>386</v>
      </c>
      <c r="B125" s="15" t="s">
        <v>251</v>
      </c>
      <c r="C125" s="15" t="s">
        <v>387</v>
      </c>
      <c r="D125" s="15" t="s">
        <v>27</v>
      </c>
      <c r="E125" s="15" t="s">
        <v>18</v>
      </c>
      <c r="F125" s="15" t="s">
        <v>19</v>
      </c>
      <c r="G125" s="15" t="s">
        <v>112</v>
      </c>
      <c r="H125" s="16">
        <v>36047</v>
      </c>
      <c r="I125" s="16">
        <v>44482</v>
      </c>
      <c r="J125" s="16">
        <v>44662</v>
      </c>
      <c r="K125" s="15" t="s">
        <v>94</v>
      </c>
      <c r="L125" s="15" t="s">
        <v>117</v>
      </c>
      <c r="M125" s="15">
        <v>75850</v>
      </c>
      <c r="N125" s="15" t="s">
        <v>96</v>
      </c>
      <c r="O125" s="15">
        <v>0.49315068493150682</v>
      </c>
      <c r="P125" s="15" t="s">
        <v>1862</v>
      </c>
      <c r="Q125" s="15">
        <f t="shared" ca="1" si="2"/>
        <v>27</v>
      </c>
      <c r="R125" s="15" t="str">
        <f t="shared" si="3"/>
        <v>Medium</v>
      </c>
    </row>
    <row r="126" spans="1:18" s="15" customFormat="1" x14ac:dyDescent="0.3">
      <c r="A126" s="15" t="s">
        <v>388</v>
      </c>
      <c r="B126" s="15" t="s">
        <v>206</v>
      </c>
      <c r="C126" s="15" t="s">
        <v>175</v>
      </c>
      <c r="D126" s="15" t="s">
        <v>27</v>
      </c>
      <c r="E126" s="15" t="s">
        <v>18</v>
      </c>
      <c r="F126" s="15" t="s">
        <v>19</v>
      </c>
      <c r="G126" s="15" t="s">
        <v>20</v>
      </c>
      <c r="H126" s="16">
        <v>35046</v>
      </c>
      <c r="I126" s="16">
        <v>43041</v>
      </c>
      <c r="J126" s="16">
        <v>43220</v>
      </c>
      <c r="K126" s="15" t="s">
        <v>21</v>
      </c>
      <c r="L126" s="15" t="s">
        <v>22</v>
      </c>
      <c r="M126" s="15">
        <v>82965</v>
      </c>
      <c r="N126" s="15" t="s">
        <v>96</v>
      </c>
      <c r="O126" s="15">
        <v>2.8219178082191778</v>
      </c>
      <c r="P126" s="15" t="s">
        <v>1861</v>
      </c>
      <c r="Q126" s="15">
        <f t="shared" ca="1" si="2"/>
        <v>30</v>
      </c>
      <c r="R126" s="15" t="str">
        <f t="shared" si="3"/>
        <v>Medium</v>
      </c>
    </row>
    <row r="127" spans="1:18" s="15" customFormat="1" x14ac:dyDescent="0.3">
      <c r="A127" s="15" t="s">
        <v>389</v>
      </c>
      <c r="B127" s="15" t="s">
        <v>110</v>
      </c>
      <c r="C127" s="15" t="s">
        <v>390</v>
      </c>
      <c r="D127" s="15" t="s">
        <v>17</v>
      </c>
      <c r="E127" s="15" t="s">
        <v>18</v>
      </c>
      <c r="F127" s="15" t="s">
        <v>19</v>
      </c>
      <c r="G127" s="15" t="s">
        <v>30</v>
      </c>
      <c r="H127" s="16">
        <v>27013</v>
      </c>
      <c r="I127" s="16">
        <v>43481</v>
      </c>
      <c r="J127" s="16">
        <v>43661</v>
      </c>
      <c r="K127" s="15" t="s">
        <v>37</v>
      </c>
      <c r="L127" s="15" t="s">
        <v>38</v>
      </c>
      <c r="M127" s="15">
        <v>54011</v>
      </c>
      <c r="N127" s="15" t="s">
        <v>33</v>
      </c>
      <c r="O127" s="15">
        <v>0.49315068493150682</v>
      </c>
      <c r="P127" s="15" t="s">
        <v>1862</v>
      </c>
      <c r="Q127" s="15">
        <f t="shared" ca="1" si="2"/>
        <v>52</v>
      </c>
      <c r="R127" s="15" t="str">
        <f t="shared" si="3"/>
        <v>Low</v>
      </c>
    </row>
    <row r="128" spans="1:18" s="15" customFormat="1" x14ac:dyDescent="0.3">
      <c r="A128" s="15" t="s">
        <v>391</v>
      </c>
      <c r="B128" s="15" t="s">
        <v>392</v>
      </c>
      <c r="C128" s="15" t="s">
        <v>393</v>
      </c>
      <c r="D128" s="15" t="s">
        <v>27</v>
      </c>
      <c r="E128" s="15" t="s">
        <v>18</v>
      </c>
      <c r="F128" s="15" t="s">
        <v>19</v>
      </c>
      <c r="G128" s="15" t="s">
        <v>30</v>
      </c>
      <c r="H128" s="16">
        <v>28990</v>
      </c>
      <c r="I128" s="16">
        <v>43418</v>
      </c>
      <c r="J128" s="16">
        <v>44596</v>
      </c>
      <c r="K128" s="15" t="s">
        <v>94</v>
      </c>
      <c r="L128" s="15" t="s">
        <v>182</v>
      </c>
      <c r="M128" s="15">
        <v>80131</v>
      </c>
      <c r="N128" s="15" t="s">
        <v>33</v>
      </c>
      <c r="O128" s="15">
        <v>0.49315068493150682</v>
      </c>
      <c r="P128" s="15" t="s">
        <v>1862</v>
      </c>
      <c r="Q128" s="15">
        <f t="shared" ca="1" si="2"/>
        <v>46</v>
      </c>
      <c r="R128" s="15" t="str">
        <f t="shared" si="3"/>
        <v>Medium</v>
      </c>
    </row>
    <row r="129" spans="1:18" s="15" customFormat="1" x14ac:dyDescent="0.3">
      <c r="A129" s="15" t="s">
        <v>394</v>
      </c>
      <c r="B129" s="15" t="s">
        <v>295</v>
      </c>
      <c r="C129" s="15" t="s">
        <v>395</v>
      </c>
      <c r="D129" s="15" t="s">
        <v>17</v>
      </c>
      <c r="E129" s="15" t="s">
        <v>18</v>
      </c>
      <c r="F129" s="15" t="s">
        <v>19</v>
      </c>
      <c r="G129" s="15" t="s">
        <v>30</v>
      </c>
      <c r="H129" s="16">
        <v>36658</v>
      </c>
      <c r="I129" s="16">
        <v>44149</v>
      </c>
      <c r="J129" s="16">
        <v>44329</v>
      </c>
      <c r="K129" s="15" t="s">
        <v>37</v>
      </c>
      <c r="L129" s="15" t="s">
        <v>41</v>
      </c>
      <c r="M129" s="15">
        <v>55778</v>
      </c>
      <c r="N129" s="15" t="s">
        <v>33</v>
      </c>
      <c r="O129" s="15">
        <v>0.49315068493150682</v>
      </c>
      <c r="P129" s="15" t="s">
        <v>1861</v>
      </c>
      <c r="Q129" s="15">
        <f t="shared" ca="1" si="2"/>
        <v>25</v>
      </c>
      <c r="R129" s="15" t="str">
        <f t="shared" si="3"/>
        <v>Low</v>
      </c>
    </row>
    <row r="130" spans="1:18" s="15" customFormat="1" x14ac:dyDescent="0.3">
      <c r="A130" s="15" t="s">
        <v>396</v>
      </c>
      <c r="B130" s="15" t="s">
        <v>397</v>
      </c>
      <c r="C130" s="15" t="s">
        <v>130</v>
      </c>
      <c r="D130" s="15" t="s">
        <v>27</v>
      </c>
      <c r="E130" s="15" t="s">
        <v>18</v>
      </c>
      <c r="F130" s="15" t="s">
        <v>19</v>
      </c>
      <c r="G130" s="15" t="s">
        <v>93</v>
      </c>
      <c r="H130" s="16">
        <v>24026</v>
      </c>
      <c r="I130" s="16">
        <v>42379</v>
      </c>
      <c r="J130" s="16">
        <v>44489</v>
      </c>
      <c r="K130" s="15" t="s">
        <v>94</v>
      </c>
      <c r="L130" s="15" t="s">
        <v>122</v>
      </c>
      <c r="M130" s="15">
        <v>88444</v>
      </c>
      <c r="N130" s="15" t="s">
        <v>96</v>
      </c>
      <c r="O130" s="15">
        <v>0.49315068493150682</v>
      </c>
      <c r="P130" s="15" t="s">
        <v>1861</v>
      </c>
      <c r="Q130" s="15">
        <f t="shared" ref="Q130:Q193" ca="1" si="4">DATEDIF(H130, TODAY(), "Y")</f>
        <v>60</v>
      </c>
      <c r="R130" s="15" t="str">
        <f t="shared" si="3"/>
        <v>Medium</v>
      </c>
    </row>
    <row r="131" spans="1:18" s="15" customFormat="1" x14ac:dyDescent="0.3">
      <c r="A131" s="15" t="s">
        <v>398</v>
      </c>
      <c r="B131" s="15" t="s">
        <v>399</v>
      </c>
      <c r="C131" s="15" t="s">
        <v>149</v>
      </c>
      <c r="D131" s="15" t="s">
        <v>17</v>
      </c>
      <c r="E131" s="15" t="s">
        <v>18</v>
      </c>
      <c r="F131" s="15" t="s">
        <v>19</v>
      </c>
      <c r="G131" s="15" t="s">
        <v>30</v>
      </c>
      <c r="H131" s="16">
        <v>25513</v>
      </c>
      <c r="I131" s="16">
        <v>44305</v>
      </c>
      <c r="J131" s="16">
        <v>44678</v>
      </c>
      <c r="K131" s="15" t="s">
        <v>94</v>
      </c>
      <c r="L131" s="15" t="s">
        <v>182</v>
      </c>
      <c r="M131" s="15">
        <v>75303</v>
      </c>
      <c r="N131" s="15" t="s">
        <v>33</v>
      </c>
      <c r="O131" s="15">
        <v>0.49315068493150682</v>
      </c>
      <c r="P131" s="15" t="s">
        <v>1861</v>
      </c>
      <c r="Q131" s="15">
        <f t="shared" ca="1" si="4"/>
        <v>56</v>
      </c>
      <c r="R131" s="15" t="str">
        <f t="shared" ref="R131:R194" si="5">IF(M131:M1096&gt;100000,"High",IF(M131:M1096&gt;60000,"Medium","Low"))</f>
        <v>Medium</v>
      </c>
    </row>
    <row r="132" spans="1:18" s="15" customFormat="1" x14ac:dyDescent="0.3">
      <c r="A132" s="15" t="s">
        <v>400</v>
      </c>
      <c r="B132" s="15" t="s">
        <v>260</v>
      </c>
      <c r="C132" s="15" t="s">
        <v>401</v>
      </c>
      <c r="D132" s="15" t="s">
        <v>17</v>
      </c>
      <c r="E132" s="15" t="s">
        <v>28</v>
      </c>
      <c r="F132" s="15" t="s">
        <v>282</v>
      </c>
      <c r="G132" s="15" t="s">
        <v>112</v>
      </c>
      <c r="H132" s="16">
        <v>36456</v>
      </c>
      <c r="I132" s="16">
        <v>44670</v>
      </c>
      <c r="J132" s="16">
        <v>44850</v>
      </c>
      <c r="K132" s="15" t="s">
        <v>31</v>
      </c>
      <c r="L132" s="15" t="s">
        <v>159</v>
      </c>
      <c r="M132" s="15">
        <v>98297</v>
      </c>
      <c r="N132" s="15" t="s">
        <v>96</v>
      </c>
      <c r="O132" s="15">
        <v>0.49315068493150682</v>
      </c>
      <c r="P132" s="15" t="s">
        <v>1862</v>
      </c>
      <c r="Q132" s="15">
        <f t="shared" ca="1" si="4"/>
        <v>26</v>
      </c>
      <c r="R132" s="15" t="str">
        <f t="shared" si="5"/>
        <v>Medium</v>
      </c>
    </row>
    <row r="133" spans="1:18" s="15" customFormat="1" x14ac:dyDescent="0.3">
      <c r="A133" s="15" t="s">
        <v>402</v>
      </c>
      <c r="B133" s="15" t="s">
        <v>68</v>
      </c>
      <c r="C133" s="15" t="s">
        <v>403</v>
      </c>
      <c r="D133" s="15" t="s">
        <v>27</v>
      </c>
      <c r="E133" s="15" t="s">
        <v>354</v>
      </c>
      <c r="F133" s="15" t="s">
        <v>404</v>
      </c>
      <c r="G133" s="15" t="s">
        <v>30</v>
      </c>
      <c r="H133" s="16">
        <v>36174</v>
      </c>
      <c r="I133" s="16">
        <v>42999</v>
      </c>
      <c r="J133" s="16">
        <v>45383</v>
      </c>
      <c r="K133" s="15" t="s">
        <v>94</v>
      </c>
      <c r="L133" s="15" t="s">
        <v>182</v>
      </c>
      <c r="M133" s="15">
        <v>65506</v>
      </c>
      <c r="N133" s="15" t="s">
        <v>33</v>
      </c>
      <c r="O133" s="15">
        <v>0.49041095890410957</v>
      </c>
      <c r="P133" s="15" t="s">
        <v>1861</v>
      </c>
      <c r="Q133" s="15">
        <f t="shared" ca="1" si="4"/>
        <v>27</v>
      </c>
      <c r="R133" s="15" t="str">
        <f t="shared" si="5"/>
        <v>Medium</v>
      </c>
    </row>
    <row r="134" spans="1:18" s="15" customFormat="1" x14ac:dyDescent="0.3">
      <c r="A134" s="15" t="s">
        <v>405</v>
      </c>
      <c r="B134" s="15" t="s">
        <v>406</v>
      </c>
      <c r="C134" s="15" t="s">
        <v>407</v>
      </c>
      <c r="D134" s="15" t="s">
        <v>27</v>
      </c>
      <c r="E134" s="15" t="s">
        <v>18</v>
      </c>
      <c r="F134" s="15" t="s">
        <v>19</v>
      </c>
      <c r="G134" s="15" t="s">
        <v>93</v>
      </c>
      <c r="H134" s="16">
        <v>33492</v>
      </c>
      <c r="I134" s="16">
        <v>44207</v>
      </c>
      <c r="J134" s="16">
        <v>44387</v>
      </c>
      <c r="K134" s="15" t="s">
        <v>51</v>
      </c>
      <c r="L134" s="15" t="s">
        <v>233</v>
      </c>
      <c r="M134" s="15">
        <v>86731</v>
      </c>
      <c r="N134" s="15" t="s">
        <v>96</v>
      </c>
      <c r="O134" s="15">
        <v>0.49315068493150682</v>
      </c>
      <c r="P134" s="15" t="s">
        <v>1862</v>
      </c>
      <c r="Q134" s="15">
        <f t="shared" ca="1" si="4"/>
        <v>34</v>
      </c>
      <c r="R134" s="15" t="str">
        <f t="shared" si="5"/>
        <v>Medium</v>
      </c>
    </row>
    <row r="135" spans="1:18" s="15" customFormat="1" x14ac:dyDescent="0.3">
      <c r="A135" s="15" t="s">
        <v>408</v>
      </c>
      <c r="B135" s="15" t="s">
        <v>409</v>
      </c>
      <c r="C135" s="15" t="s">
        <v>410</v>
      </c>
      <c r="D135" s="15" t="s">
        <v>27</v>
      </c>
      <c r="E135" s="15" t="s">
        <v>18</v>
      </c>
      <c r="F135" s="15" t="s">
        <v>19</v>
      </c>
      <c r="G135" s="15" t="s">
        <v>30</v>
      </c>
      <c r="H135" s="16">
        <v>27005</v>
      </c>
      <c r="I135" s="16">
        <v>44996</v>
      </c>
      <c r="J135" s="16">
        <v>45176</v>
      </c>
      <c r="K135" s="15" t="s">
        <v>94</v>
      </c>
      <c r="L135" s="15" t="s">
        <v>182</v>
      </c>
      <c r="M135" s="15">
        <v>78643</v>
      </c>
      <c r="N135" s="15" t="s">
        <v>44</v>
      </c>
      <c r="O135" s="15">
        <v>3.227397260273972</v>
      </c>
      <c r="P135" s="15" t="s">
        <v>1861</v>
      </c>
      <c r="Q135" s="15">
        <f t="shared" ca="1" si="4"/>
        <v>52</v>
      </c>
      <c r="R135" s="15" t="str">
        <f t="shared" si="5"/>
        <v>Medium</v>
      </c>
    </row>
    <row r="136" spans="1:18" s="15" customFormat="1" x14ac:dyDescent="0.3">
      <c r="A136" s="15" t="s">
        <v>411</v>
      </c>
      <c r="B136" s="15" t="s">
        <v>412</v>
      </c>
      <c r="C136" s="15" t="s">
        <v>413</v>
      </c>
      <c r="D136" s="15" t="s">
        <v>17</v>
      </c>
      <c r="E136" s="15" t="s">
        <v>81</v>
      </c>
      <c r="F136" s="15" t="s">
        <v>104</v>
      </c>
      <c r="G136" s="15" t="s">
        <v>30</v>
      </c>
      <c r="H136" s="16">
        <v>27760</v>
      </c>
      <c r="I136" s="16">
        <v>43845</v>
      </c>
      <c r="J136" s="16">
        <v>44025</v>
      </c>
      <c r="K136" s="15" t="s">
        <v>21</v>
      </c>
      <c r="L136" s="15" t="s">
        <v>100</v>
      </c>
      <c r="M136" s="15">
        <v>64159</v>
      </c>
      <c r="N136" s="15" t="s">
        <v>33</v>
      </c>
      <c r="O136" s="15">
        <v>0.49315068493150682</v>
      </c>
      <c r="P136" s="15" t="s">
        <v>1862</v>
      </c>
      <c r="Q136" s="15">
        <f t="shared" ca="1" si="4"/>
        <v>50</v>
      </c>
      <c r="R136" s="15" t="str">
        <f t="shared" si="5"/>
        <v>Medium</v>
      </c>
    </row>
    <row r="137" spans="1:18" s="15" customFormat="1" x14ac:dyDescent="0.3">
      <c r="A137" s="15" t="s">
        <v>414</v>
      </c>
      <c r="B137" s="15" t="s">
        <v>157</v>
      </c>
      <c r="C137" s="15" t="s">
        <v>415</v>
      </c>
      <c r="D137" s="15" t="s">
        <v>27</v>
      </c>
      <c r="E137" s="15" t="s">
        <v>18</v>
      </c>
      <c r="F137" s="15" t="s">
        <v>19</v>
      </c>
      <c r="G137" s="15" t="s">
        <v>30</v>
      </c>
      <c r="H137" s="16">
        <v>29963</v>
      </c>
      <c r="I137" s="16">
        <v>44844</v>
      </c>
      <c r="J137" s="16">
        <v>45024</v>
      </c>
      <c r="K137" s="15" t="s">
        <v>94</v>
      </c>
      <c r="L137" s="15" t="s">
        <v>182</v>
      </c>
      <c r="M137" s="15">
        <v>66358</v>
      </c>
      <c r="N137" s="15" t="s">
        <v>33</v>
      </c>
      <c r="O137" s="15">
        <v>5.7808219178082192</v>
      </c>
      <c r="P137" s="15" t="s">
        <v>1862</v>
      </c>
      <c r="Q137" s="15">
        <f t="shared" ca="1" si="4"/>
        <v>44</v>
      </c>
      <c r="R137" s="15" t="str">
        <f t="shared" si="5"/>
        <v>Medium</v>
      </c>
    </row>
    <row r="138" spans="1:18" s="15" customFormat="1" x14ac:dyDescent="0.3">
      <c r="A138" s="15" t="s">
        <v>416</v>
      </c>
      <c r="B138" s="15" t="s">
        <v>417</v>
      </c>
      <c r="C138" s="15" t="s">
        <v>418</v>
      </c>
      <c r="D138" s="15" t="s">
        <v>17</v>
      </c>
      <c r="E138" s="15" t="s">
        <v>81</v>
      </c>
      <c r="F138" s="15" t="s">
        <v>104</v>
      </c>
      <c r="G138" s="15" t="s">
        <v>30</v>
      </c>
      <c r="H138" s="16">
        <v>30181</v>
      </c>
      <c r="I138" s="16">
        <v>42934</v>
      </c>
      <c r="J138" s="16">
        <v>44522</v>
      </c>
      <c r="K138" s="15" t="s">
        <v>37</v>
      </c>
      <c r="L138" s="15" t="s">
        <v>41</v>
      </c>
      <c r="M138" s="15">
        <v>57185</v>
      </c>
      <c r="N138" s="15" t="s">
        <v>33</v>
      </c>
      <c r="O138" s="15">
        <v>1.021917808219178</v>
      </c>
      <c r="P138" s="15" t="s">
        <v>1861</v>
      </c>
      <c r="Q138" s="15">
        <f t="shared" ca="1" si="4"/>
        <v>43</v>
      </c>
      <c r="R138" s="15" t="str">
        <f t="shared" si="5"/>
        <v>Low</v>
      </c>
    </row>
    <row r="139" spans="1:18" s="15" customFormat="1" x14ac:dyDescent="0.3">
      <c r="A139" s="15" t="s">
        <v>419</v>
      </c>
      <c r="B139" s="15" t="s">
        <v>409</v>
      </c>
      <c r="C139" s="15" t="s">
        <v>420</v>
      </c>
      <c r="D139" s="15" t="s">
        <v>17</v>
      </c>
      <c r="E139" s="15" t="s">
        <v>18</v>
      </c>
      <c r="F139" s="15" t="s">
        <v>19</v>
      </c>
      <c r="G139" s="15" t="s">
        <v>30</v>
      </c>
      <c r="H139" s="16">
        <v>34136</v>
      </c>
      <c r="I139" s="16">
        <v>42443</v>
      </c>
      <c r="J139" s="16">
        <v>43306</v>
      </c>
      <c r="K139" s="15" t="s">
        <v>31</v>
      </c>
      <c r="L139" s="15" t="s">
        <v>83</v>
      </c>
      <c r="M139" s="15">
        <v>57924</v>
      </c>
      <c r="N139" s="15" t="s">
        <v>96</v>
      </c>
      <c r="O139" s="15">
        <v>0.49315068493150682</v>
      </c>
      <c r="P139" s="15" t="s">
        <v>1862</v>
      </c>
      <c r="Q139" s="15">
        <f t="shared" ca="1" si="4"/>
        <v>32</v>
      </c>
      <c r="R139" s="15" t="str">
        <f t="shared" si="5"/>
        <v>Low</v>
      </c>
    </row>
    <row r="140" spans="1:18" s="15" customFormat="1" x14ac:dyDescent="0.3">
      <c r="A140" s="15" t="s">
        <v>421</v>
      </c>
      <c r="B140" s="15" t="s">
        <v>422</v>
      </c>
      <c r="C140" s="15" t="s">
        <v>423</v>
      </c>
      <c r="D140" s="15" t="s">
        <v>17</v>
      </c>
      <c r="E140" s="15" t="s">
        <v>18</v>
      </c>
      <c r="F140" s="15" t="s">
        <v>19</v>
      </c>
      <c r="G140" s="15" t="s">
        <v>30</v>
      </c>
      <c r="H140" s="16">
        <v>26089</v>
      </c>
      <c r="I140" s="16">
        <v>43466</v>
      </c>
      <c r="J140" s="16">
        <v>45524</v>
      </c>
      <c r="K140" s="15" t="s">
        <v>37</v>
      </c>
      <c r="L140" s="15" t="s">
        <v>41</v>
      </c>
      <c r="M140" s="15">
        <v>57730</v>
      </c>
      <c r="N140" s="15" t="s">
        <v>44</v>
      </c>
      <c r="O140" s="15">
        <v>6.5315068493150683</v>
      </c>
      <c r="P140" s="15" t="s">
        <v>1861</v>
      </c>
      <c r="Q140" s="15">
        <f t="shared" ca="1" si="4"/>
        <v>54</v>
      </c>
      <c r="R140" s="15" t="str">
        <f t="shared" si="5"/>
        <v>Low</v>
      </c>
    </row>
    <row r="141" spans="1:18" s="15" customFormat="1" x14ac:dyDescent="0.3">
      <c r="A141" s="15" t="s">
        <v>424</v>
      </c>
      <c r="B141" s="15" t="s">
        <v>425</v>
      </c>
      <c r="C141" s="15" t="s">
        <v>426</v>
      </c>
      <c r="D141" s="15" t="s">
        <v>17</v>
      </c>
      <c r="E141" s="15" t="s">
        <v>18</v>
      </c>
      <c r="F141" s="15" t="s">
        <v>19</v>
      </c>
      <c r="G141" s="15" t="s">
        <v>20</v>
      </c>
      <c r="H141" s="16">
        <v>27682</v>
      </c>
      <c r="I141" s="16">
        <v>43366</v>
      </c>
      <c r="J141" s="16">
        <v>43546</v>
      </c>
      <c r="K141" s="15" t="s">
        <v>37</v>
      </c>
      <c r="L141" s="15" t="s">
        <v>41</v>
      </c>
      <c r="M141" s="15">
        <v>56753</v>
      </c>
      <c r="N141" s="15" t="s">
        <v>23</v>
      </c>
      <c r="O141" s="15">
        <v>0.49315068493150682</v>
      </c>
      <c r="P141" s="15" t="s">
        <v>1861</v>
      </c>
      <c r="Q141" s="15">
        <f t="shared" ca="1" si="4"/>
        <v>50</v>
      </c>
      <c r="R141" s="15" t="str">
        <f t="shared" si="5"/>
        <v>Low</v>
      </c>
    </row>
    <row r="142" spans="1:18" s="15" customFormat="1" x14ac:dyDescent="0.3">
      <c r="A142" s="15" t="s">
        <v>427</v>
      </c>
      <c r="B142" s="15" t="s">
        <v>140</v>
      </c>
      <c r="C142" s="15" t="s">
        <v>428</v>
      </c>
      <c r="D142" s="15" t="s">
        <v>27</v>
      </c>
      <c r="E142" s="15" t="s">
        <v>18</v>
      </c>
      <c r="F142" s="15" t="s">
        <v>19</v>
      </c>
      <c r="G142" s="15" t="s">
        <v>30</v>
      </c>
      <c r="H142" s="16">
        <v>27580</v>
      </c>
      <c r="I142" s="16">
        <v>44457</v>
      </c>
      <c r="J142" s="16">
        <v>44637</v>
      </c>
      <c r="K142" s="15" t="s">
        <v>94</v>
      </c>
      <c r="L142" s="15" t="s">
        <v>182</v>
      </c>
      <c r="M142" s="15">
        <v>62015</v>
      </c>
      <c r="N142" s="15" t="s">
        <v>33</v>
      </c>
      <c r="O142" s="15">
        <v>0.49315068493150682</v>
      </c>
      <c r="P142" s="15" t="s">
        <v>1861</v>
      </c>
      <c r="Q142" s="15">
        <f t="shared" ca="1" si="4"/>
        <v>50</v>
      </c>
      <c r="R142" s="15" t="str">
        <f t="shared" si="5"/>
        <v>Medium</v>
      </c>
    </row>
    <row r="143" spans="1:18" s="15" customFormat="1" x14ac:dyDescent="0.3">
      <c r="A143" s="15" t="s">
        <v>429</v>
      </c>
      <c r="B143" s="15" t="s">
        <v>218</v>
      </c>
      <c r="C143" s="15" t="s">
        <v>430</v>
      </c>
      <c r="D143" s="15" t="s">
        <v>27</v>
      </c>
      <c r="E143" s="15" t="s">
        <v>18</v>
      </c>
      <c r="F143" s="15" t="s">
        <v>19</v>
      </c>
      <c r="G143" s="15" t="s">
        <v>30</v>
      </c>
      <c r="H143" s="16">
        <v>35439</v>
      </c>
      <c r="I143" s="16">
        <v>42993</v>
      </c>
      <c r="J143" s="16">
        <v>43172</v>
      </c>
      <c r="K143" s="15" t="s">
        <v>37</v>
      </c>
      <c r="L143" s="15" t="s">
        <v>43</v>
      </c>
      <c r="M143" s="15">
        <v>82241</v>
      </c>
      <c r="N143" s="15" t="s">
        <v>23</v>
      </c>
      <c r="O143" s="15">
        <v>0.49315068493150682</v>
      </c>
      <c r="P143" s="15" t="s">
        <v>1861</v>
      </c>
      <c r="Q143" s="15">
        <f t="shared" ca="1" si="4"/>
        <v>29</v>
      </c>
      <c r="R143" s="15" t="str">
        <f t="shared" si="5"/>
        <v>Medium</v>
      </c>
    </row>
    <row r="144" spans="1:18" s="15" customFormat="1" x14ac:dyDescent="0.3">
      <c r="A144" s="15" t="s">
        <v>431</v>
      </c>
      <c r="B144" s="15" t="s">
        <v>295</v>
      </c>
      <c r="C144" s="15" t="s">
        <v>432</v>
      </c>
      <c r="D144" s="15" t="s">
        <v>17</v>
      </c>
      <c r="E144" s="15" t="s">
        <v>18</v>
      </c>
      <c r="F144" s="15" t="s">
        <v>19</v>
      </c>
      <c r="G144" s="15" t="s">
        <v>93</v>
      </c>
      <c r="H144" s="16">
        <v>30340</v>
      </c>
      <c r="I144" s="16">
        <v>44819</v>
      </c>
      <c r="J144" s="16">
        <v>44999</v>
      </c>
      <c r="K144" s="15" t="s">
        <v>94</v>
      </c>
      <c r="L144" s="15" t="s">
        <v>122</v>
      </c>
      <c r="M144" s="15">
        <v>87980</v>
      </c>
      <c r="N144" s="15" t="s">
        <v>96</v>
      </c>
      <c r="O144" s="15">
        <v>0.49315068493150682</v>
      </c>
      <c r="P144" s="15" t="s">
        <v>1861</v>
      </c>
      <c r="Q144" s="15">
        <f t="shared" ca="1" si="4"/>
        <v>42</v>
      </c>
      <c r="R144" s="15" t="str">
        <f t="shared" si="5"/>
        <v>Medium</v>
      </c>
    </row>
    <row r="145" spans="1:18" s="15" customFormat="1" x14ac:dyDescent="0.3">
      <c r="A145" s="15" t="s">
        <v>433</v>
      </c>
      <c r="B145" s="15" t="s">
        <v>434</v>
      </c>
      <c r="C145" s="15" t="s">
        <v>435</v>
      </c>
      <c r="D145" s="15" t="s">
        <v>17</v>
      </c>
      <c r="E145" s="15" t="s">
        <v>18</v>
      </c>
      <c r="F145" s="15" t="s">
        <v>19</v>
      </c>
      <c r="G145" s="15" t="s">
        <v>30</v>
      </c>
      <c r="H145" s="16">
        <v>31829</v>
      </c>
      <c r="I145" s="16">
        <v>44678</v>
      </c>
      <c r="J145" s="16">
        <v>44858</v>
      </c>
      <c r="K145" s="15" t="s">
        <v>94</v>
      </c>
      <c r="L145" s="15" t="s">
        <v>182</v>
      </c>
      <c r="M145" s="15">
        <v>68240</v>
      </c>
      <c r="N145" s="15" t="s">
        <v>33</v>
      </c>
      <c r="O145" s="15">
        <v>4.3506849315068497</v>
      </c>
      <c r="P145" s="15" t="s">
        <v>1861</v>
      </c>
      <c r="Q145" s="15">
        <f t="shared" ca="1" si="4"/>
        <v>38</v>
      </c>
      <c r="R145" s="15" t="str">
        <f t="shared" si="5"/>
        <v>Medium</v>
      </c>
    </row>
    <row r="146" spans="1:18" s="15" customFormat="1" x14ac:dyDescent="0.3">
      <c r="A146" s="15" t="s">
        <v>436</v>
      </c>
      <c r="B146" s="15" t="s">
        <v>437</v>
      </c>
      <c r="C146" s="15" t="s">
        <v>438</v>
      </c>
      <c r="D146" s="15" t="s">
        <v>27</v>
      </c>
      <c r="E146" s="15" t="s">
        <v>18</v>
      </c>
      <c r="F146" s="15" t="s">
        <v>19</v>
      </c>
      <c r="G146" s="15" t="s">
        <v>30</v>
      </c>
      <c r="H146" s="16">
        <v>31110</v>
      </c>
      <c r="I146" s="16">
        <v>43592</v>
      </c>
      <c r="J146" s="16">
        <v>44067</v>
      </c>
      <c r="K146" s="15" t="s">
        <v>37</v>
      </c>
      <c r="L146" s="15" t="s">
        <v>261</v>
      </c>
      <c r="M146" s="15">
        <v>109148</v>
      </c>
      <c r="N146" s="15" t="s">
        <v>33</v>
      </c>
      <c r="O146" s="15">
        <v>2.364383561643836</v>
      </c>
      <c r="P146" s="15" t="s">
        <v>1861</v>
      </c>
      <c r="Q146" s="15">
        <f t="shared" ca="1" si="4"/>
        <v>40</v>
      </c>
      <c r="R146" s="15" t="str">
        <f t="shared" si="5"/>
        <v>High</v>
      </c>
    </row>
    <row r="147" spans="1:18" s="15" customFormat="1" x14ac:dyDescent="0.3">
      <c r="A147" s="15" t="s">
        <v>441</v>
      </c>
      <c r="B147" s="15" t="s">
        <v>218</v>
      </c>
      <c r="C147" s="15" t="s">
        <v>442</v>
      </c>
      <c r="D147" s="15" t="s">
        <v>27</v>
      </c>
      <c r="E147" s="15" t="s">
        <v>18</v>
      </c>
      <c r="F147" s="15" t="s">
        <v>19</v>
      </c>
      <c r="G147" s="15" t="s">
        <v>30</v>
      </c>
      <c r="H147" s="16">
        <v>29534</v>
      </c>
      <c r="I147" s="16">
        <v>43248</v>
      </c>
      <c r="J147" s="16">
        <v>45425</v>
      </c>
      <c r="K147" s="15" t="s">
        <v>94</v>
      </c>
      <c r="L147" s="15" t="s">
        <v>117</v>
      </c>
      <c r="M147" s="15">
        <v>71634</v>
      </c>
      <c r="N147" s="15" t="s">
        <v>44</v>
      </c>
      <c r="O147" s="15">
        <v>5.6383561643835618</v>
      </c>
      <c r="P147" s="15" t="s">
        <v>1861</v>
      </c>
      <c r="Q147" s="15">
        <f t="shared" ca="1" si="4"/>
        <v>45</v>
      </c>
      <c r="R147" s="15" t="str">
        <f t="shared" si="5"/>
        <v>Medium</v>
      </c>
    </row>
    <row r="148" spans="1:18" s="15" customFormat="1" x14ac:dyDescent="0.3">
      <c r="A148" s="15" t="s">
        <v>443</v>
      </c>
      <c r="B148" s="15" t="s">
        <v>35</v>
      </c>
      <c r="C148" s="15" t="s">
        <v>444</v>
      </c>
      <c r="D148" s="15" t="s">
        <v>27</v>
      </c>
      <c r="E148" s="15" t="s">
        <v>18</v>
      </c>
      <c r="F148" s="15" t="s">
        <v>19</v>
      </c>
      <c r="G148" s="15" t="s">
        <v>30</v>
      </c>
      <c r="H148" s="16">
        <v>32463</v>
      </c>
      <c r="I148" s="16">
        <v>42975</v>
      </c>
      <c r="J148" s="16">
        <v>44871</v>
      </c>
      <c r="K148" s="15" t="s">
        <v>31</v>
      </c>
      <c r="L148" s="15" t="s">
        <v>83</v>
      </c>
      <c r="M148" s="15">
        <v>73488</v>
      </c>
      <c r="N148" s="15" t="s">
        <v>44</v>
      </c>
      <c r="O148" s="15">
        <v>0.49315068493150682</v>
      </c>
      <c r="P148" s="15" t="s">
        <v>1862</v>
      </c>
      <c r="Q148" s="15">
        <f t="shared" ca="1" si="4"/>
        <v>37</v>
      </c>
      <c r="R148" s="15" t="str">
        <f t="shared" si="5"/>
        <v>Medium</v>
      </c>
    </row>
    <row r="149" spans="1:18" s="15" customFormat="1" x14ac:dyDescent="0.3">
      <c r="A149" s="15" t="s">
        <v>445</v>
      </c>
      <c r="B149" s="15" t="s">
        <v>190</v>
      </c>
      <c r="C149" s="15" t="s">
        <v>446</v>
      </c>
      <c r="D149" s="15" t="s">
        <v>27</v>
      </c>
      <c r="E149" s="15" t="s">
        <v>18</v>
      </c>
      <c r="F149" s="15" t="s">
        <v>19</v>
      </c>
      <c r="G149" s="15" t="s">
        <v>20</v>
      </c>
      <c r="H149" s="16">
        <v>30231</v>
      </c>
      <c r="I149" s="16">
        <v>44885</v>
      </c>
      <c r="J149" s="16">
        <v>45065</v>
      </c>
      <c r="K149" s="15" t="s">
        <v>37</v>
      </c>
      <c r="L149" s="15" t="s">
        <v>41</v>
      </c>
      <c r="M149" s="15">
        <v>61678</v>
      </c>
      <c r="N149" s="15" t="s">
        <v>23</v>
      </c>
      <c r="O149" s="15">
        <v>0.49315068493150682</v>
      </c>
      <c r="P149" s="15" t="s">
        <v>1861</v>
      </c>
      <c r="Q149" s="15">
        <f t="shared" ca="1" si="4"/>
        <v>43</v>
      </c>
      <c r="R149" s="15" t="str">
        <f t="shared" si="5"/>
        <v>Medium</v>
      </c>
    </row>
    <row r="150" spans="1:18" s="15" customFormat="1" x14ac:dyDescent="0.3">
      <c r="A150" s="15" t="s">
        <v>447</v>
      </c>
      <c r="B150" s="15" t="s">
        <v>448</v>
      </c>
      <c r="C150" s="15" t="s">
        <v>106</v>
      </c>
      <c r="D150" s="15" t="s">
        <v>17</v>
      </c>
      <c r="E150" s="15" t="s">
        <v>18</v>
      </c>
      <c r="F150" s="15" t="s">
        <v>19</v>
      </c>
      <c r="G150" s="15" t="s">
        <v>30</v>
      </c>
      <c r="H150" s="16">
        <v>33747</v>
      </c>
      <c r="I150" s="16">
        <v>43267</v>
      </c>
      <c r="J150" s="16">
        <v>43447</v>
      </c>
      <c r="K150" s="15" t="s">
        <v>31</v>
      </c>
      <c r="L150" s="15" t="s">
        <v>159</v>
      </c>
      <c r="M150" s="15">
        <v>94594</v>
      </c>
      <c r="N150" s="15" t="s">
        <v>44</v>
      </c>
      <c r="O150" s="15">
        <v>0.49041095890410957</v>
      </c>
      <c r="P150" s="15" t="s">
        <v>1862</v>
      </c>
      <c r="Q150" s="15">
        <f t="shared" ca="1" si="4"/>
        <v>33</v>
      </c>
      <c r="R150" s="15" t="str">
        <f t="shared" si="5"/>
        <v>Medium</v>
      </c>
    </row>
    <row r="151" spans="1:18" s="15" customFormat="1" x14ac:dyDescent="0.3">
      <c r="A151" s="15" t="s">
        <v>451</v>
      </c>
      <c r="B151" s="15" t="s">
        <v>452</v>
      </c>
      <c r="C151" s="15" t="s">
        <v>453</v>
      </c>
      <c r="D151" s="15" t="s">
        <v>17</v>
      </c>
      <c r="E151" s="15" t="s">
        <v>18</v>
      </c>
      <c r="F151" s="15" t="s">
        <v>19</v>
      </c>
      <c r="G151" s="15" t="s">
        <v>30</v>
      </c>
      <c r="H151" s="16">
        <v>34835</v>
      </c>
      <c r="I151" s="16">
        <v>45374</v>
      </c>
      <c r="J151" s="16">
        <v>45554</v>
      </c>
      <c r="K151" s="15" t="s">
        <v>37</v>
      </c>
      <c r="L151" s="15" t="s">
        <v>38</v>
      </c>
      <c r="M151" s="15">
        <v>60859</v>
      </c>
      <c r="N151" s="15" t="s">
        <v>44</v>
      </c>
      <c r="O151" s="15">
        <v>0.49315068493150682</v>
      </c>
      <c r="P151" s="15" t="s">
        <v>1861</v>
      </c>
      <c r="Q151" s="15">
        <f t="shared" ca="1" si="4"/>
        <v>30</v>
      </c>
      <c r="R151" s="15" t="str">
        <f t="shared" si="5"/>
        <v>Medium</v>
      </c>
    </row>
    <row r="152" spans="1:18" s="15" customFormat="1" x14ac:dyDescent="0.3">
      <c r="A152" s="15" t="s">
        <v>454</v>
      </c>
      <c r="B152" s="15" t="s">
        <v>437</v>
      </c>
      <c r="C152" s="15" t="s">
        <v>455</v>
      </c>
      <c r="D152" s="15" t="s">
        <v>17</v>
      </c>
      <c r="E152" s="15" t="s">
        <v>18</v>
      </c>
      <c r="F152" s="15" t="s">
        <v>19</v>
      </c>
      <c r="G152" s="15" t="s">
        <v>20</v>
      </c>
      <c r="H152" s="16">
        <v>35731</v>
      </c>
      <c r="I152" s="16">
        <v>43410</v>
      </c>
      <c r="J152" s="16">
        <v>43590</v>
      </c>
      <c r="K152" s="15" t="s">
        <v>65</v>
      </c>
      <c r="L152" s="15" t="s">
        <v>131</v>
      </c>
      <c r="M152" s="15">
        <v>52939</v>
      </c>
      <c r="N152" s="15" t="s">
        <v>23</v>
      </c>
      <c r="O152" s="15">
        <v>0.49315068493150682</v>
      </c>
      <c r="P152" s="15" t="s">
        <v>1862</v>
      </c>
      <c r="Q152" s="15">
        <f t="shared" ca="1" si="4"/>
        <v>28</v>
      </c>
      <c r="R152" s="15" t="str">
        <f t="shared" si="5"/>
        <v>Low</v>
      </c>
    </row>
    <row r="153" spans="1:18" s="15" customFormat="1" x14ac:dyDescent="0.3">
      <c r="A153" s="15" t="s">
        <v>456</v>
      </c>
      <c r="B153" s="15" t="s">
        <v>290</v>
      </c>
      <c r="C153" s="15" t="s">
        <v>457</v>
      </c>
      <c r="D153" s="15" t="s">
        <v>27</v>
      </c>
      <c r="E153" s="15" t="s">
        <v>18</v>
      </c>
      <c r="F153" s="15" t="s">
        <v>19</v>
      </c>
      <c r="G153" s="15" t="s">
        <v>93</v>
      </c>
      <c r="H153" s="16">
        <v>34194</v>
      </c>
      <c r="I153" s="16">
        <v>44672</v>
      </c>
      <c r="J153" s="16">
        <v>45452</v>
      </c>
      <c r="K153" s="15" t="s">
        <v>94</v>
      </c>
      <c r="L153" s="15" t="s">
        <v>117</v>
      </c>
      <c r="M153" s="15">
        <v>62230</v>
      </c>
      <c r="N153" s="15" t="s">
        <v>96</v>
      </c>
      <c r="O153" s="15">
        <v>1.3013698630136989</v>
      </c>
      <c r="P153" s="15" t="s">
        <v>1862</v>
      </c>
      <c r="Q153" s="15">
        <f t="shared" ca="1" si="4"/>
        <v>32</v>
      </c>
      <c r="R153" s="15" t="str">
        <f t="shared" si="5"/>
        <v>Medium</v>
      </c>
    </row>
    <row r="154" spans="1:18" s="15" customFormat="1" x14ac:dyDescent="0.3">
      <c r="A154" s="15" t="s">
        <v>458</v>
      </c>
      <c r="B154" s="15" t="s">
        <v>459</v>
      </c>
      <c r="C154" s="15" t="s">
        <v>460</v>
      </c>
      <c r="D154" s="15" t="s">
        <v>27</v>
      </c>
      <c r="E154" s="15" t="s">
        <v>18</v>
      </c>
      <c r="F154" s="15" t="s">
        <v>19</v>
      </c>
      <c r="G154" s="15" t="s">
        <v>30</v>
      </c>
      <c r="H154" s="16">
        <v>36081</v>
      </c>
      <c r="I154" s="16">
        <v>45057</v>
      </c>
      <c r="J154" s="16">
        <v>45237</v>
      </c>
      <c r="K154" s="15" t="s">
        <v>31</v>
      </c>
      <c r="L154" s="15" t="s">
        <v>83</v>
      </c>
      <c r="M154" s="15">
        <v>68297</v>
      </c>
      <c r="N154" s="15" t="s">
        <v>33</v>
      </c>
      <c r="O154" s="15">
        <v>9.1424657534246574</v>
      </c>
      <c r="P154" s="15" t="s">
        <v>1861</v>
      </c>
      <c r="Q154" s="15">
        <f t="shared" ca="1" si="4"/>
        <v>27</v>
      </c>
      <c r="R154" s="15" t="str">
        <f t="shared" si="5"/>
        <v>Medium</v>
      </c>
    </row>
    <row r="155" spans="1:18" s="15" customFormat="1" x14ac:dyDescent="0.3">
      <c r="A155" s="15" t="s">
        <v>462</v>
      </c>
      <c r="B155" s="15" t="s">
        <v>254</v>
      </c>
      <c r="C155" s="15" t="s">
        <v>393</v>
      </c>
      <c r="D155" s="15" t="s">
        <v>17</v>
      </c>
      <c r="E155" s="15" t="s">
        <v>28</v>
      </c>
      <c r="F155" s="15" t="s">
        <v>29</v>
      </c>
      <c r="G155" s="15" t="s">
        <v>112</v>
      </c>
      <c r="H155" s="16">
        <v>21997</v>
      </c>
      <c r="I155" s="16">
        <v>43178</v>
      </c>
      <c r="J155" s="16">
        <v>43358</v>
      </c>
      <c r="K155" s="15" t="s">
        <v>31</v>
      </c>
      <c r="L155" s="15" t="s">
        <v>159</v>
      </c>
      <c r="M155" s="15">
        <v>96606</v>
      </c>
      <c r="N155" s="15" t="s">
        <v>33</v>
      </c>
      <c r="O155" s="15">
        <v>5.9643835616438352</v>
      </c>
      <c r="P155" s="15" t="s">
        <v>1862</v>
      </c>
      <c r="Q155" s="15">
        <f t="shared" ca="1" si="4"/>
        <v>65</v>
      </c>
      <c r="R155" s="15" t="str">
        <f t="shared" si="5"/>
        <v>Medium</v>
      </c>
    </row>
    <row r="156" spans="1:18" s="15" customFormat="1" x14ac:dyDescent="0.3">
      <c r="A156" s="15" t="s">
        <v>463</v>
      </c>
      <c r="B156" s="15" t="s">
        <v>464</v>
      </c>
      <c r="C156" s="15" t="s">
        <v>89</v>
      </c>
      <c r="D156" s="15" t="s">
        <v>27</v>
      </c>
      <c r="E156" s="15" t="s">
        <v>18</v>
      </c>
      <c r="F156" s="15" t="s">
        <v>19</v>
      </c>
      <c r="G156" s="15" t="s">
        <v>20</v>
      </c>
      <c r="H156" s="16">
        <v>31388</v>
      </c>
      <c r="I156" s="16">
        <v>44746</v>
      </c>
      <c r="J156" s="16">
        <v>44926</v>
      </c>
      <c r="K156" s="15" t="s">
        <v>37</v>
      </c>
      <c r="L156" s="15" t="s">
        <v>41</v>
      </c>
      <c r="M156" s="15">
        <v>55854</v>
      </c>
      <c r="N156" s="15" t="s">
        <v>23</v>
      </c>
      <c r="O156" s="15">
        <v>5.1945205479452046</v>
      </c>
      <c r="P156" s="15" t="s">
        <v>1861</v>
      </c>
      <c r="Q156" s="15">
        <f t="shared" ca="1" si="4"/>
        <v>40</v>
      </c>
      <c r="R156" s="15" t="str">
        <f t="shared" si="5"/>
        <v>Low</v>
      </c>
    </row>
    <row r="157" spans="1:18" s="15" customFormat="1" x14ac:dyDescent="0.3">
      <c r="A157" s="15" t="s">
        <v>465</v>
      </c>
      <c r="B157" s="15" t="s">
        <v>466</v>
      </c>
      <c r="C157" s="15" t="s">
        <v>467</v>
      </c>
      <c r="D157" s="15" t="s">
        <v>17</v>
      </c>
      <c r="E157" s="15" t="s">
        <v>137</v>
      </c>
      <c r="F157" s="15" t="s">
        <v>138</v>
      </c>
      <c r="G157" s="15" t="s">
        <v>30</v>
      </c>
      <c r="H157" s="16">
        <v>35325</v>
      </c>
      <c r="I157" s="16">
        <v>44007</v>
      </c>
      <c r="J157" s="16">
        <v>44187</v>
      </c>
      <c r="K157" s="15" t="s">
        <v>21</v>
      </c>
      <c r="L157" s="15" t="s">
        <v>100</v>
      </c>
      <c r="M157" s="15">
        <v>54580</v>
      </c>
      <c r="N157" s="15" t="s">
        <v>44</v>
      </c>
      <c r="O157" s="15">
        <v>0.49315068493150682</v>
      </c>
      <c r="P157" s="15" t="s">
        <v>1861</v>
      </c>
      <c r="Q157" s="15">
        <f t="shared" ca="1" si="4"/>
        <v>29</v>
      </c>
      <c r="R157" s="15" t="str">
        <f t="shared" si="5"/>
        <v>Low</v>
      </c>
    </row>
    <row r="158" spans="1:18" s="15" customFormat="1" x14ac:dyDescent="0.3">
      <c r="A158" s="15" t="s">
        <v>468</v>
      </c>
      <c r="B158" s="15" t="s">
        <v>251</v>
      </c>
      <c r="C158" s="15" t="s">
        <v>469</v>
      </c>
      <c r="D158" s="15" t="s">
        <v>17</v>
      </c>
      <c r="E158" s="15" t="s">
        <v>18</v>
      </c>
      <c r="F158" s="15" t="s">
        <v>19</v>
      </c>
      <c r="G158" s="15" t="s">
        <v>30</v>
      </c>
      <c r="H158" s="16">
        <v>35919</v>
      </c>
      <c r="I158" s="16">
        <v>44637</v>
      </c>
      <c r="J158" s="16">
        <v>44817</v>
      </c>
      <c r="K158" s="15" t="s">
        <v>37</v>
      </c>
      <c r="L158" s="15" t="s">
        <v>41</v>
      </c>
      <c r="M158" s="15">
        <v>58131</v>
      </c>
      <c r="N158" s="15" t="s">
        <v>44</v>
      </c>
      <c r="O158" s="15">
        <v>0.49315068493150682</v>
      </c>
      <c r="P158" s="15" t="s">
        <v>1861</v>
      </c>
      <c r="Q158" s="15">
        <f t="shared" ca="1" si="4"/>
        <v>27</v>
      </c>
      <c r="R158" s="15" t="str">
        <f t="shared" si="5"/>
        <v>Low</v>
      </c>
    </row>
    <row r="159" spans="1:18" s="15" customFormat="1" x14ac:dyDescent="0.3">
      <c r="A159" s="15" t="s">
        <v>470</v>
      </c>
      <c r="B159" s="15" t="s">
        <v>140</v>
      </c>
      <c r="C159" s="15" t="s">
        <v>471</v>
      </c>
      <c r="D159" s="15" t="s">
        <v>17</v>
      </c>
      <c r="E159" s="15" t="s">
        <v>137</v>
      </c>
      <c r="F159" s="15" t="s">
        <v>275</v>
      </c>
      <c r="G159" s="15" t="s">
        <v>30</v>
      </c>
      <c r="H159" s="16">
        <v>26500</v>
      </c>
      <c r="I159" s="16">
        <v>42891</v>
      </c>
      <c r="J159" s="16">
        <v>44547</v>
      </c>
      <c r="K159" s="15" t="s">
        <v>37</v>
      </c>
      <c r="L159" s="15" t="s">
        <v>41</v>
      </c>
      <c r="M159" s="15">
        <v>64260</v>
      </c>
      <c r="N159" s="15" t="s">
        <v>33</v>
      </c>
      <c r="O159" s="15">
        <v>7.9315068493150687</v>
      </c>
      <c r="P159" s="15" t="s">
        <v>1861</v>
      </c>
      <c r="Q159" s="15">
        <f t="shared" ca="1" si="4"/>
        <v>53</v>
      </c>
      <c r="R159" s="15" t="str">
        <f t="shared" si="5"/>
        <v>Medium</v>
      </c>
    </row>
    <row r="160" spans="1:18" s="15" customFormat="1" x14ac:dyDescent="0.3">
      <c r="A160" s="15" t="s">
        <v>472</v>
      </c>
      <c r="B160" s="15" t="s">
        <v>25</v>
      </c>
      <c r="C160" s="15" t="s">
        <v>145</v>
      </c>
      <c r="D160" s="15" t="s">
        <v>17</v>
      </c>
      <c r="E160" s="15" t="s">
        <v>81</v>
      </c>
      <c r="F160" s="15" t="s">
        <v>82</v>
      </c>
      <c r="G160" s="15" t="s">
        <v>20</v>
      </c>
      <c r="H160" s="16">
        <v>35174</v>
      </c>
      <c r="I160" s="16">
        <v>42738</v>
      </c>
      <c r="J160" s="16">
        <v>44463</v>
      </c>
      <c r="K160" s="15" t="s">
        <v>21</v>
      </c>
      <c r="L160" s="15" t="s">
        <v>22</v>
      </c>
      <c r="M160" s="15">
        <v>63590</v>
      </c>
      <c r="N160" s="15" t="s">
        <v>23</v>
      </c>
      <c r="O160" s="15">
        <v>0.49315068493150682</v>
      </c>
      <c r="P160" s="15" t="s">
        <v>1862</v>
      </c>
      <c r="Q160" s="15">
        <f t="shared" ca="1" si="4"/>
        <v>29</v>
      </c>
      <c r="R160" s="15" t="str">
        <f t="shared" si="5"/>
        <v>Medium</v>
      </c>
    </row>
    <row r="161" spans="1:18" s="15" customFormat="1" x14ac:dyDescent="0.3">
      <c r="A161" s="15" t="s">
        <v>473</v>
      </c>
      <c r="B161" s="15" t="s">
        <v>474</v>
      </c>
      <c r="C161" s="15" t="s">
        <v>475</v>
      </c>
      <c r="D161" s="15" t="s">
        <v>17</v>
      </c>
      <c r="E161" s="15" t="s">
        <v>18</v>
      </c>
      <c r="F161" s="15" t="s">
        <v>19</v>
      </c>
      <c r="G161" s="15" t="s">
        <v>20</v>
      </c>
      <c r="H161" s="16">
        <v>26149</v>
      </c>
      <c r="I161" s="16">
        <v>43444</v>
      </c>
      <c r="J161" s="16">
        <v>44339</v>
      </c>
      <c r="K161" s="15" t="s">
        <v>21</v>
      </c>
      <c r="L161" s="15" t="s">
        <v>100</v>
      </c>
      <c r="M161" s="15">
        <v>63956</v>
      </c>
      <c r="N161" s="15" t="s">
        <v>96</v>
      </c>
      <c r="O161" s="15">
        <v>0.49315068493150682</v>
      </c>
      <c r="P161" s="15" t="s">
        <v>1861</v>
      </c>
      <c r="Q161" s="15">
        <f t="shared" ca="1" si="4"/>
        <v>54</v>
      </c>
      <c r="R161" s="15" t="str">
        <f t="shared" si="5"/>
        <v>Medium</v>
      </c>
    </row>
    <row r="162" spans="1:18" s="15" customFormat="1" x14ac:dyDescent="0.3">
      <c r="A162" s="15" t="s">
        <v>476</v>
      </c>
      <c r="B162" s="15" t="s">
        <v>157</v>
      </c>
      <c r="C162" s="15" t="s">
        <v>477</v>
      </c>
      <c r="D162" s="15" t="s">
        <v>27</v>
      </c>
      <c r="E162" s="15" t="s">
        <v>81</v>
      </c>
      <c r="F162" s="15" t="s">
        <v>104</v>
      </c>
      <c r="G162" s="15" t="s">
        <v>30</v>
      </c>
      <c r="H162" s="16">
        <v>30635</v>
      </c>
      <c r="I162" s="16">
        <v>42804</v>
      </c>
      <c r="J162" s="16">
        <v>45419</v>
      </c>
      <c r="K162" s="15" t="s">
        <v>65</v>
      </c>
      <c r="L162" s="15" t="s">
        <v>131</v>
      </c>
      <c r="M162" s="15">
        <v>67857</v>
      </c>
      <c r="N162" s="15" t="s">
        <v>33</v>
      </c>
      <c r="O162" s="15">
        <v>2.1369863013698631</v>
      </c>
      <c r="P162" s="15" t="s">
        <v>1861</v>
      </c>
      <c r="Q162" s="15">
        <f t="shared" ca="1" si="4"/>
        <v>42</v>
      </c>
      <c r="R162" s="15" t="str">
        <f t="shared" si="5"/>
        <v>Medium</v>
      </c>
    </row>
    <row r="163" spans="1:18" s="15" customFormat="1" x14ac:dyDescent="0.3">
      <c r="A163" s="15" t="s">
        <v>478</v>
      </c>
      <c r="B163" s="15" t="s">
        <v>58</v>
      </c>
      <c r="C163" s="15" t="s">
        <v>479</v>
      </c>
      <c r="D163" s="15" t="s">
        <v>17</v>
      </c>
      <c r="E163" s="15" t="s">
        <v>18</v>
      </c>
      <c r="F163" s="15" t="s">
        <v>19</v>
      </c>
      <c r="G163" s="15" t="s">
        <v>30</v>
      </c>
      <c r="H163" s="16">
        <v>32169</v>
      </c>
      <c r="I163" s="16">
        <v>44742</v>
      </c>
      <c r="J163" s="16">
        <v>44922</v>
      </c>
      <c r="K163" s="15" t="s">
        <v>21</v>
      </c>
      <c r="L163" s="15" t="s">
        <v>100</v>
      </c>
      <c r="M163" s="15">
        <v>53458</v>
      </c>
      <c r="N163" s="15" t="s">
        <v>33</v>
      </c>
      <c r="O163" s="15">
        <v>0.49315068493150682</v>
      </c>
      <c r="P163" s="15" t="s">
        <v>1862</v>
      </c>
      <c r="Q163" s="15">
        <f t="shared" ca="1" si="4"/>
        <v>37</v>
      </c>
      <c r="R163" s="15" t="str">
        <f t="shared" si="5"/>
        <v>Low</v>
      </c>
    </row>
    <row r="164" spans="1:18" s="15" customFormat="1" x14ac:dyDescent="0.3">
      <c r="A164" s="15" t="s">
        <v>480</v>
      </c>
      <c r="B164" s="15" t="s">
        <v>351</v>
      </c>
      <c r="C164" s="15" t="s">
        <v>226</v>
      </c>
      <c r="D164" s="15" t="s">
        <v>27</v>
      </c>
      <c r="E164" s="15" t="s">
        <v>18</v>
      </c>
      <c r="F164" s="15" t="s">
        <v>19</v>
      </c>
      <c r="G164" s="15" t="s">
        <v>112</v>
      </c>
      <c r="H164" s="16">
        <v>34395</v>
      </c>
      <c r="I164" s="16">
        <v>44891</v>
      </c>
      <c r="J164" s="16">
        <v>45071</v>
      </c>
      <c r="K164" s="15" t="s">
        <v>31</v>
      </c>
      <c r="L164" s="15" t="s">
        <v>32</v>
      </c>
      <c r="M164" s="15">
        <v>68344</v>
      </c>
      <c r="N164" s="15" t="s">
        <v>96</v>
      </c>
      <c r="O164" s="15">
        <v>8.0246575342465754</v>
      </c>
      <c r="P164" s="15" t="s">
        <v>1861</v>
      </c>
      <c r="Q164" s="15">
        <f t="shared" ca="1" si="4"/>
        <v>31</v>
      </c>
      <c r="R164" s="15" t="str">
        <f t="shared" si="5"/>
        <v>Medium</v>
      </c>
    </row>
    <row r="165" spans="1:18" s="15" customFormat="1" x14ac:dyDescent="0.3">
      <c r="A165" s="15" t="s">
        <v>481</v>
      </c>
      <c r="B165" s="15" t="s">
        <v>76</v>
      </c>
      <c r="C165" s="15" t="s">
        <v>210</v>
      </c>
      <c r="D165" s="15" t="s">
        <v>17</v>
      </c>
      <c r="E165" s="15" t="s">
        <v>18</v>
      </c>
      <c r="F165" s="15" t="s">
        <v>19</v>
      </c>
      <c r="G165" s="15" t="s">
        <v>30</v>
      </c>
      <c r="H165" s="16">
        <v>31225</v>
      </c>
      <c r="I165" s="16">
        <v>45472</v>
      </c>
      <c r="J165" s="16">
        <v>45652</v>
      </c>
      <c r="K165" s="15" t="s">
        <v>21</v>
      </c>
      <c r="L165" s="15" t="s">
        <v>482</v>
      </c>
      <c r="M165" s="15">
        <v>67027</v>
      </c>
      <c r="N165" s="15" t="s">
        <v>23</v>
      </c>
      <c r="O165" s="15">
        <v>0.49315068493150682</v>
      </c>
      <c r="P165" s="15" t="s">
        <v>1861</v>
      </c>
      <c r="Q165" s="15">
        <f t="shared" ca="1" si="4"/>
        <v>40</v>
      </c>
      <c r="R165" s="15" t="str">
        <f t="shared" si="5"/>
        <v>Medium</v>
      </c>
    </row>
    <row r="166" spans="1:18" s="15" customFormat="1" x14ac:dyDescent="0.3">
      <c r="A166" s="15" t="s">
        <v>483</v>
      </c>
      <c r="B166" s="15" t="s">
        <v>484</v>
      </c>
      <c r="C166" s="15" t="s">
        <v>485</v>
      </c>
      <c r="D166" s="15" t="s">
        <v>17</v>
      </c>
      <c r="E166" s="15" t="s">
        <v>18</v>
      </c>
      <c r="F166" s="15" t="s">
        <v>19</v>
      </c>
      <c r="G166" s="15" t="s">
        <v>30</v>
      </c>
      <c r="H166" s="16">
        <v>37577</v>
      </c>
      <c r="I166" s="16">
        <v>44428</v>
      </c>
      <c r="J166" s="16">
        <v>44608</v>
      </c>
      <c r="K166" s="15" t="s">
        <v>94</v>
      </c>
      <c r="L166" s="15" t="s">
        <v>182</v>
      </c>
      <c r="M166" s="15">
        <v>66258</v>
      </c>
      <c r="N166" s="15" t="s">
        <v>33</v>
      </c>
      <c r="O166" s="15">
        <v>0.49315068493150682</v>
      </c>
      <c r="P166" s="15" t="s">
        <v>1861</v>
      </c>
      <c r="Q166" s="15">
        <f t="shared" ca="1" si="4"/>
        <v>23</v>
      </c>
      <c r="R166" s="15" t="str">
        <f t="shared" si="5"/>
        <v>Medium</v>
      </c>
    </row>
    <row r="167" spans="1:18" s="15" customFormat="1" x14ac:dyDescent="0.3">
      <c r="A167" s="15" t="s">
        <v>486</v>
      </c>
      <c r="B167" s="15" t="s">
        <v>487</v>
      </c>
      <c r="C167" s="15" t="s">
        <v>488</v>
      </c>
      <c r="D167" s="15" t="s">
        <v>27</v>
      </c>
      <c r="E167" s="15" t="s">
        <v>18</v>
      </c>
      <c r="F167" s="15" t="s">
        <v>19</v>
      </c>
      <c r="G167" s="15" t="s">
        <v>30</v>
      </c>
      <c r="H167" s="16">
        <v>26138</v>
      </c>
      <c r="I167" s="16">
        <v>44733</v>
      </c>
      <c r="J167" s="16">
        <v>44913</v>
      </c>
      <c r="K167" s="15" t="s">
        <v>94</v>
      </c>
      <c r="L167" s="15" t="s">
        <v>182</v>
      </c>
      <c r="M167" s="15">
        <v>64327</v>
      </c>
      <c r="N167" s="15" t="s">
        <v>44</v>
      </c>
      <c r="O167" s="15">
        <v>0.49315068493150682</v>
      </c>
      <c r="P167" s="15" t="s">
        <v>1861</v>
      </c>
      <c r="Q167" s="15">
        <f t="shared" ca="1" si="4"/>
        <v>54</v>
      </c>
      <c r="R167" s="15" t="str">
        <f t="shared" si="5"/>
        <v>Medium</v>
      </c>
    </row>
    <row r="168" spans="1:18" s="15" customFormat="1" x14ac:dyDescent="0.3">
      <c r="A168" s="15" t="s">
        <v>489</v>
      </c>
      <c r="B168" s="15" t="s">
        <v>490</v>
      </c>
      <c r="C168" s="15" t="s">
        <v>491</v>
      </c>
      <c r="D168" s="15" t="s">
        <v>27</v>
      </c>
      <c r="E168" s="15" t="s">
        <v>81</v>
      </c>
      <c r="F168" s="15" t="s">
        <v>82</v>
      </c>
      <c r="G168" s="15" t="s">
        <v>30</v>
      </c>
      <c r="H168" s="16">
        <v>29882</v>
      </c>
      <c r="I168" s="16">
        <v>44758</v>
      </c>
      <c r="J168" s="16">
        <v>44938</v>
      </c>
      <c r="K168" s="15" t="s">
        <v>31</v>
      </c>
      <c r="L168" s="15" t="s">
        <v>159</v>
      </c>
      <c r="M168" s="15">
        <v>91360</v>
      </c>
      <c r="N168" s="15" t="s">
        <v>33</v>
      </c>
      <c r="O168" s="15">
        <v>0.49315068493150682</v>
      </c>
      <c r="P168" s="15" t="s">
        <v>1862</v>
      </c>
      <c r="Q168" s="15">
        <f t="shared" ca="1" si="4"/>
        <v>44</v>
      </c>
      <c r="R168" s="15" t="str">
        <f t="shared" si="5"/>
        <v>Medium</v>
      </c>
    </row>
    <row r="169" spans="1:18" s="15" customFormat="1" x14ac:dyDescent="0.3">
      <c r="A169" s="15" t="s">
        <v>492</v>
      </c>
      <c r="B169" s="15" t="s">
        <v>493</v>
      </c>
      <c r="C169" s="15" t="s">
        <v>494</v>
      </c>
      <c r="D169" s="15" t="s">
        <v>27</v>
      </c>
      <c r="E169" s="15" t="s">
        <v>18</v>
      </c>
      <c r="F169" s="15" t="s">
        <v>19</v>
      </c>
      <c r="G169" s="15" t="s">
        <v>30</v>
      </c>
      <c r="H169" s="16">
        <v>26965</v>
      </c>
      <c r="I169" s="16">
        <v>44370</v>
      </c>
      <c r="J169" s="16">
        <v>44550</v>
      </c>
      <c r="K169" s="15" t="s">
        <v>65</v>
      </c>
      <c r="L169" s="15" t="s">
        <v>66</v>
      </c>
      <c r="M169" s="15">
        <v>73844</v>
      </c>
      <c r="N169" s="15" t="s">
        <v>44</v>
      </c>
      <c r="O169" s="15">
        <v>4.536986301369863</v>
      </c>
      <c r="P169" s="15" t="s">
        <v>1861</v>
      </c>
      <c r="Q169" s="15">
        <f t="shared" ca="1" si="4"/>
        <v>52</v>
      </c>
      <c r="R169" s="15" t="str">
        <f t="shared" si="5"/>
        <v>Medium</v>
      </c>
    </row>
    <row r="170" spans="1:18" s="15" customFormat="1" x14ac:dyDescent="0.3">
      <c r="A170" s="15" t="s">
        <v>495</v>
      </c>
      <c r="B170" s="15" t="s">
        <v>496</v>
      </c>
      <c r="C170" s="15" t="s">
        <v>497</v>
      </c>
      <c r="D170" s="15" t="s">
        <v>27</v>
      </c>
      <c r="E170" s="15" t="s">
        <v>18</v>
      </c>
      <c r="F170" s="15" t="s">
        <v>19</v>
      </c>
      <c r="G170" s="15" t="s">
        <v>30</v>
      </c>
      <c r="H170" s="16">
        <v>35626</v>
      </c>
      <c r="I170" s="16">
        <v>45111</v>
      </c>
      <c r="J170" s="16">
        <v>45291</v>
      </c>
      <c r="K170" s="15" t="s">
        <v>37</v>
      </c>
      <c r="L170" s="15" t="s">
        <v>38</v>
      </c>
      <c r="M170" s="15">
        <v>65413</v>
      </c>
      <c r="N170" s="15" t="s">
        <v>44</v>
      </c>
      <c r="O170" s="15">
        <v>4.7260273972602738</v>
      </c>
      <c r="P170" s="15" t="s">
        <v>1861</v>
      </c>
      <c r="Q170" s="15">
        <f t="shared" ca="1" si="4"/>
        <v>28</v>
      </c>
      <c r="R170" s="15" t="str">
        <f t="shared" si="5"/>
        <v>Medium</v>
      </c>
    </row>
    <row r="171" spans="1:18" s="15" customFormat="1" x14ac:dyDescent="0.3">
      <c r="A171" s="15" t="s">
        <v>498</v>
      </c>
      <c r="B171" s="15" t="s">
        <v>225</v>
      </c>
      <c r="C171" s="15" t="s">
        <v>499</v>
      </c>
      <c r="D171" s="15" t="s">
        <v>27</v>
      </c>
      <c r="E171" s="15" t="s">
        <v>18</v>
      </c>
      <c r="F171" s="15" t="s">
        <v>19</v>
      </c>
      <c r="G171" s="15" t="s">
        <v>30</v>
      </c>
      <c r="H171" s="16">
        <v>26373</v>
      </c>
      <c r="I171" s="16">
        <v>44157</v>
      </c>
      <c r="J171" s="16">
        <v>44337</v>
      </c>
      <c r="K171" s="15" t="s">
        <v>31</v>
      </c>
      <c r="L171" s="15" t="s">
        <v>159</v>
      </c>
      <c r="M171" s="15">
        <v>95493</v>
      </c>
      <c r="N171" s="15" t="s">
        <v>33</v>
      </c>
      <c r="O171" s="15">
        <v>2.452054794520548</v>
      </c>
      <c r="P171" s="15" t="s">
        <v>1862</v>
      </c>
      <c r="Q171" s="15">
        <f t="shared" ca="1" si="4"/>
        <v>53</v>
      </c>
      <c r="R171" s="15" t="str">
        <f t="shared" si="5"/>
        <v>Medium</v>
      </c>
    </row>
    <row r="172" spans="1:18" s="15" customFormat="1" x14ac:dyDescent="0.3">
      <c r="A172" s="15" t="s">
        <v>500</v>
      </c>
      <c r="B172" s="15" t="s">
        <v>501</v>
      </c>
      <c r="C172" s="15" t="s">
        <v>502</v>
      </c>
      <c r="D172" s="15" t="s">
        <v>27</v>
      </c>
      <c r="E172" s="15" t="s">
        <v>81</v>
      </c>
      <c r="F172" s="15" t="s">
        <v>82</v>
      </c>
      <c r="G172" s="15" t="s">
        <v>30</v>
      </c>
      <c r="H172" s="16">
        <v>34732</v>
      </c>
      <c r="I172" s="16">
        <v>43668</v>
      </c>
      <c r="J172" s="16">
        <v>44720</v>
      </c>
      <c r="K172" s="15" t="s">
        <v>94</v>
      </c>
      <c r="L172" s="15" t="s">
        <v>182</v>
      </c>
      <c r="M172" s="15">
        <v>82548</v>
      </c>
      <c r="N172" s="15" t="s">
        <v>44</v>
      </c>
      <c r="O172" s="15">
        <v>7.1643835616438354</v>
      </c>
      <c r="P172" s="15" t="s">
        <v>1861</v>
      </c>
      <c r="Q172" s="15">
        <f t="shared" ca="1" si="4"/>
        <v>30</v>
      </c>
      <c r="R172" s="15" t="str">
        <f t="shared" si="5"/>
        <v>Medium</v>
      </c>
    </row>
    <row r="173" spans="1:18" s="15" customFormat="1" x14ac:dyDescent="0.3">
      <c r="A173" s="15" t="s">
        <v>503</v>
      </c>
      <c r="B173" s="15" t="s">
        <v>274</v>
      </c>
      <c r="C173" s="15" t="s">
        <v>201</v>
      </c>
      <c r="D173" s="15" t="s">
        <v>17</v>
      </c>
      <c r="E173" s="15" t="s">
        <v>18</v>
      </c>
      <c r="F173" s="15" t="s">
        <v>19</v>
      </c>
      <c r="G173" s="15" t="s">
        <v>30</v>
      </c>
      <c r="H173" s="16">
        <v>26584</v>
      </c>
      <c r="I173" s="16">
        <v>44001</v>
      </c>
      <c r="J173" s="16">
        <v>44181</v>
      </c>
      <c r="K173" s="15" t="s">
        <v>51</v>
      </c>
      <c r="L173" s="15" t="s">
        <v>233</v>
      </c>
      <c r="M173" s="15">
        <v>95235</v>
      </c>
      <c r="N173" s="15" t="s">
        <v>33</v>
      </c>
      <c r="O173" s="15">
        <v>0.49315068493150682</v>
      </c>
      <c r="P173" s="15" t="s">
        <v>1862</v>
      </c>
      <c r="Q173" s="15">
        <f t="shared" ca="1" si="4"/>
        <v>53</v>
      </c>
      <c r="R173" s="15" t="str">
        <f t="shared" si="5"/>
        <v>Medium</v>
      </c>
    </row>
    <row r="174" spans="1:18" s="15" customFormat="1" x14ac:dyDescent="0.3">
      <c r="A174" s="15" t="s">
        <v>504</v>
      </c>
      <c r="B174" s="15" t="s">
        <v>505</v>
      </c>
      <c r="C174" s="15" t="s">
        <v>106</v>
      </c>
      <c r="D174" s="15" t="s">
        <v>17</v>
      </c>
      <c r="E174" s="15" t="s">
        <v>18</v>
      </c>
      <c r="F174" s="15" t="s">
        <v>19</v>
      </c>
      <c r="G174" s="15" t="s">
        <v>30</v>
      </c>
      <c r="H174" s="16">
        <v>22948</v>
      </c>
      <c r="I174" s="16">
        <v>44667</v>
      </c>
      <c r="J174" s="16">
        <v>44847</v>
      </c>
      <c r="K174" s="15" t="s">
        <v>65</v>
      </c>
      <c r="L174" s="15" t="s">
        <v>66</v>
      </c>
      <c r="M174" s="15">
        <v>81450</v>
      </c>
      <c r="N174" s="15" t="s">
        <v>33</v>
      </c>
      <c r="O174" s="15">
        <v>0.49315068493150682</v>
      </c>
      <c r="P174" s="15" t="s">
        <v>1861</v>
      </c>
      <c r="Q174" s="15">
        <f t="shared" ca="1" si="4"/>
        <v>63</v>
      </c>
      <c r="R174" s="15" t="str">
        <f t="shared" si="5"/>
        <v>Medium</v>
      </c>
    </row>
    <row r="175" spans="1:18" s="15" customFormat="1" x14ac:dyDescent="0.3">
      <c r="A175" s="15" t="s">
        <v>506</v>
      </c>
      <c r="B175" s="15" t="s">
        <v>63</v>
      </c>
      <c r="C175" s="15" t="s">
        <v>507</v>
      </c>
      <c r="D175" s="15" t="s">
        <v>17</v>
      </c>
      <c r="E175" s="15" t="s">
        <v>18</v>
      </c>
      <c r="F175" s="15" t="s">
        <v>19</v>
      </c>
      <c r="G175" s="15" t="s">
        <v>30</v>
      </c>
      <c r="H175" s="16">
        <v>37178</v>
      </c>
      <c r="I175" s="16">
        <v>44958</v>
      </c>
      <c r="J175" s="16">
        <v>45138</v>
      </c>
      <c r="K175" s="15" t="s">
        <v>65</v>
      </c>
      <c r="L175" s="15" t="s">
        <v>131</v>
      </c>
      <c r="M175" s="15">
        <v>58407</v>
      </c>
      <c r="N175" s="15" t="s">
        <v>96</v>
      </c>
      <c r="O175" s="15">
        <v>0.49315068493150682</v>
      </c>
      <c r="P175" s="15" t="s">
        <v>1861</v>
      </c>
      <c r="Q175" s="15">
        <f t="shared" ca="1" si="4"/>
        <v>24</v>
      </c>
      <c r="R175" s="15" t="str">
        <f t="shared" si="5"/>
        <v>Low</v>
      </c>
    </row>
    <row r="176" spans="1:18" s="15" customFormat="1" x14ac:dyDescent="0.3">
      <c r="A176" s="15" t="s">
        <v>508</v>
      </c>
      <c r="B176" s="15" t="s">
        <v>509</v>
      </c>
      <c r="C176" s="15" t="s">
        <v>510</v>
      </c>
      <c r="D176" s="15" t="s">
        <v>27</v>
      </c>
      <c r="E176" s="15" t="s">
        <v>18</v>
      </c>
      <c r="F176" s="15" t="s">
        <v>19</v>
      </c>
      <c r="G176" s="15" t="s">
        <v>30</v>
      </c>
      <c r="H176" s="16">
        <v>25358</v>
      </c>
      <c r="I176" s="16">
        <v>43370</v>
      </c>
      <c r="J176" s="16">
        <v>44415</v>
      </c>
      <c r="K176" s="15" t="s">
        <v>94</v>
      </c>
      <c r="L176" s="15" t="s">
        <v>182</v>
      </c>
      <c r="M176" s="15">
        <v>81959</v>
      </c>
      <c r="N176" s="15" t="s">
        <v>44</v>
      </c>
      <c r="O176" s="15">
        <v>0.49315068493150682</v>
      </c>
      <c r="P176" s="15" t="s">
        <v>1861</v>
      </c>
      <c r="Q176" s="15">
        <f t="shared" ca="1" si="4"/>
        <v>56</v>
      </c>
      <c r="R176" s="15" t="str">
        <f t="shared" si="5"/>
        <v>Medium</v>
      </c>
    </row>
    <row r="177" spans="1:18" s="15" customFormat="1" x14ac:dyDescent="0.3">
      <c r="A177" s="15" t="s">
        <v>511</v>
      </c>
      <c r="B177" s="15" t="s">
        <v>512</v>
      </c>
      <c r="C177" s="15" t="s">
        <v>61</v>
      </c>
      <c r="D177" s="15" t="s">
        <v>27</v>
      </c>
      <c r="E177" s="15" t="s">
        <v>18</v>
      </c>
      <c r="F177" s="15" t="s">
        <v>19</v>
      </c>
      <c r="G177" s="15" t="s">
        <v>93</v>
      </c>
      <c r="H177" s="16">
        <v>25083</v>
      </c>
      <c r="I177" s="16">
        <v>42531</v>
      </c>
      <c r="J177" s="16">
        <v>44328</v>
      </c>
      <c r="K177" s="15" t="s">
        <v>94</v>
      </c>
      <c r="L177" s="15" t="s">
        <v>117</v>
      </c>
      <c r="M177" s="15">
        <v>74105</v>
      </c>
      <c r="N177" s="15" t="s">
        <v>96</v>
      </c>
      <c r="O177" s="15">
        <v>0.49315068493150682</v>
      </c>
      <c r="P177" s="15" t="s">
        <v>1862</v>
      </c>
      <c r="Q177" s="15">
        <f t="shared" ca="1" si="4"/>
        <v>57</v>
      </c>
      <c r="R177" s="15" t="str">
        <f t="shared" si="5"/>
        <v>Medium</v>
      </c>
    </row>
    <row r="178" spans="1:18" s="15" customFormat="1" x14ac:dyDescent="0.3">
      <c r="A178" s="15" t="s">
        <v>513</v>
      </c>
      <c r="B178" s="15" t="s">
        <v>514</v>
      </c>
      <c r="C178" s="15" t="s">
        <v>515</v>
      </c>
      <c r="D178" s="15" t="s">
        <v>27</v>
      </c>
      <c r="E178" s="15" t="s">
        <v>18</v>
      </c>
      <c r="F178" s="15" t="s">
        <v>19</v>
      </c>
      <c r="G178" s="15" t="s">
        <v>30</v>
      </c>
      <c r="H178" s="16">
        <v>34262</v>
      </c>
      <c r="I178" s="16">
        <v>45088</v>
      </c>
      <c r="J178" s="16">
        <v>45268</v>
      </c>
      <c r="K178" s="15" t="s">
        <v>21</v>
      </c>
      <c r="L178" s="15" t="s">
        <v>22</v>
      </c>
      <c r="M178" s="15">
        <v>78079</v>
      </c>
      <c r="N178" s="15" t="s">
        <v>44</v>
      </c>
      <c r="O178" s="15">
        <v>0.49315068493150682</v>
      </c>
      <c r="P178" s="15" t="s">
        <v>1861</v>
      </c>
      <c r="Q178" s="15">
        <f t="shared" ca="1" si="4"/>
        <v>32</v>
      </c>
      <c r="R178" s="15" t="str">
        <f t="shared" si="5"/>
        <v>Medium</v>
      </c>
    </row>
    <row r="179" spans="1:18" s="15" customFormat="1" x14ac:dyDescent="0.3">
      <c r="A179" s="15" t="s">
        <v>516</v>
      </c>
      <c r="B179" s="15" t="s">
        <v>517</v>
      </c>
      <c r="C179" s="15" t="s">
        <v>518</v>
      </c>
      <c r="D179" s="15" t="s">
        <v>27</v>
      </c>
      <c r="E179" s="15" t="s">
        <v>354</v>
      </c>
      <c r="F179" s="15" t="s">
        <v>519</v>
      </c>
      <c r="G179" s="15" t="s">
        <v>20</v>
      </c>
      <c r="H179" s="16">
        <v>27513</v>
      </c>
      <c r="I179" s="16">
        <v>45443</v>
      </c>
      <c r="J179" s="16">
        <v>45623</v>
      </c>
      <c r="K179" s="15" t="s">
        <v>21</v>
      </c>
      <c r="L179" s="15" t="s">
        <v>100</v>
      </c>
      <c r="M179" s="15">
        <v>60685</v>
      </c>
      <c r="N179" s="15" t="s">
        <v>96</v>
      </c>
      <c r="O179" s="15">
        <v>0.49315068493150682</v>
      </c>
      <c r="P179" s="15" t="s">
        <v>1861</v>
      </c>
      <c r="Q179" s="15">
        <f t="shared" ca="1" si="4"/>
        <v>50</v>
      </c>
      <c r="R179" s="15" t="str">
        <f t="shared" si="5"/>
        <v>Medium</v>
      </c>
    </row>
    <row r="180" spans="1:18" s="15" customFormat="1" x14ac:dyDescent="0.3">
      <c r="A180" s="15" t="s">
        <v>520</v>
      </c>
      <c r="B180" s="15" t="s">
        <v>521</v>
      </c>
      <c r="C180" s="15" t="s">
        <v>150</v>
      </c>
      <c r="D180" s="15" t="s">
        <v>27</v>
      </c>
      <c r="E180" s="15" t="s">
        <v>18</v>
      </c>
      <c r="F180" s="15" t="s">
        <v>19</v>
      </c>
      <c r="G180" s="15" t="s">
        <v>112</v>
      </c>
      <c r="H180" s="16">
        <v>25716</v>
      </c>
      <c r="I180" s="16">
        <v>44832</v>
      </c>
      <c r="J180" s="16">
        <v>45012</v>
      </c>
      <c r="K180" s="15" t="s">
        <v>31</v>
      </c>
      <c r="L180" s="15" t="s">
        <v>32</v>
      </c>
      <c r="M180" s="15">
        <v>91983</v>
      </c>
      <c r="N180" s="15" t="s">
        <v>33</v>
      </c>
      <c r="O180" s="15">
        <v>0.49315068493150682</v>
      </c>
      <c r="P180" s="15" t="s">
        <v>1861</v>
      </c>
      <c r="Q180" s="15">
        <f t="shared" ca="1" si="4"/>
        <v>55</v>
      </c>
      <c r="R180" s="15" t="str">
        <f t="shared" si="5"/>
        <v>Medium</v>
      </c>
    </row>
    <row r="181" spans="1:18" s="15" customFormat="1" x14ac:dyDescent="0.3">
      <c r="A181" s="15" t="s">
        <v>522</v>
      </c>
      <c r="B181" s="15" t="s">
        <v>523</v>
      </c>
      <c r="C181" s="15" t="s">
        <v>524</v>
      </c>
      <c r="D181" s="15" t="s">
        <v>27</v>
      </c>
      <c r="E181" s="15" t="s">
        <v>18</v>
      </c>
      <c r="F181" s="15" t="s">
        <v>19</v>
      </c>
      <c r="G181" s="15" t="s">
        <v>30</v>
      </c>
      <c r="H181" s="16">
        <v>30646</v>
      </c>
      <c r="I181" s="16">
        <v>43323</v>
      </c>
      <c r="J181" s="16">
        <v>43503</v>
      </c>
      <c r="K181" s="15" t="s">
        <v>37</v>
      </c>
      <c r="L181" s="15" t="s">
        <v>41</v>
      </c>
      <c r="M181" s="15">
        <v>68235</v>
      </c>
      <c r="N181" s="15" t="s">
        <v>33</v>
      </c>
      <c r="O181" s="15">
        <v>0.49315068493150682</v>
      </c>
      <c r="P181" s="15" t="s">
        <v>1861</v>
      </c>
      <c r="Q181" s="15">
        <f t="shared" ca="1" si="4"/>
        <v>42</v>
      </c>
      <c r="R181" s="15" t="str">
        <f t="shared" si="5"/>
        <v>Medium</v>
      </c>
    </row>
    <row r="182" spans="1:18" s="15" customFormat="1" x14ac:dyDescent="0.3">
      <c r="A182" s="15" t="s">
        <v>525</v>
      </c>
      <c r="B182" s="15" t="s">
        <v>526</v>
      </c>
      <c r="C182" s="15" t="s">
        <v>193</v>
      </c>
      <c r="D182" s="15" t="s">
        <v>17</v>
      </c>
      <c r="E182" s="15" t="s">
        <v>18</v>
      </c>
      <c r="F182" s="15" t="s">
        <v>19</v>
      </c>
      <c r="G182" s="15" t="s">
        <v>112</v>
      </c>
      <c r="H182" s="16">
        <v>26452</v>
      </c>
      <c r="I182" s="16">
        <v>45063</v>
      </c>
      <c r="J182" s="16">
        <v>45243</v>
      </c>
      <c r="K182" s="15" t="s">
        <v>94</v>
      </c>
      <c r="L182" s="15" t="s">
        <v>122</v>
      </c>
      <c r="M182" s="15">
        <v>96575</v>
      </c>
      <c r="N182" s="15" t="s">
        <v>96</v>
      </c>
      <c r="O182" s="15">
        <v>2.882191780821918</v>
      </c>
      <c r="P182" s="15" t="s">
        <v>1861</v>
      </c>
      <c r="Q182" s="15">
        <f t="shared" ca="1" si="4"/>
        <v>53</v>
      </c>
      <c r="R182" s="15" t="str">
        <f t="shared" si="5"/>
        <v>Medium</v>
      </c>
    </row>
    <row r="183" spans="1:18" s="15" customFormat="1" x14ac:dyDescent="0.3">
      <c r="A183" s="15" t="s">
        <v>527</v>
      </c>
      <c r="B183" s="15" t="s">
        <v>288</v>
      </c>
      <c r="C183" s="15" t="s">
        <v>528</v>
      </c>
      <c r="D183" s="15" t="s">
        <v>17</v>
      </c>
      <c r="E183" s="15" t="s">
        <v>28</v>
      </c>
      <c r="F183" s="15" t="s">
        <v>29</v>
      </c>
      <c r="G183" s="15" t="s">
        <v>20</v>
      </c>
      <c r="H183" s="16">
        <v>29623</v>
      </c>
      <c r="I183" s="16">
        <v>43082</v>
      </c>
      <c r="J183" s="16">
        <v>43630</v>
      </c>
      <c r="K183" s="15" t="s">
        <v>21</v>
      </c>
      <c r="L183" s="15" t="s">
        <v>22</v>
      </c>
      <c r="M183" s="15">
        <v>80107</v>
      </c>
      <c r="N183" s="15" t="s">
        <v>23</v>
      </c>
      <c r="O183" s="15">
        <v>0.49315068493150682</v>
      </c>
      <c r="P183" s="15" t="s">
        <v>1861</v>
      </c>
      <c r="Q183" s="15">
        <f t="shared" ca="1" si="4"/>
        <v>44</v>
      </c>
      <c r="R183" s="15" t="str">
        <f t="shared" si="5"/>
        <v>Medium</v>
      </c>
    </row>
    <row r="184" spans="1:18" s="15" customFormat="1" x14ac:dyDescent="0.3">
      <c r="A184" s="15" t="s">
        <v>529</v>
      </c>
      <c r="B184" s="15" t="s">
        <v>530</v>
      </c>
      <c r="C184" s="15" t="s">
        <v>308</v>
      </c>
      <c r="D184" s="15" t="s">
        <v>27</v>
      </c>
      <c r="E184" s="15" t="s">
        <v>354</v>
      </c>
      <c r="F184" s="15" t="s">
        <v>519</v>
      </c>
      <c r="G184" s="15" t="s">
        <v>112</v>
      </c>
      <c r="H184" s="16">
        <v>31938</v>
      </c>
      <c r="I184" s="16">
        <v>43026</v>
      </c>
      <c r="J184" s="16">
        <v>43206</v>
      </c>
      <c r="K184" s="15" t="s">
        <v>94</v>
      </c>
      <c r="L184" s="15" t="s">
        <v>95</v>
      </c>
      <c r="M184" s="15">
        <v>111822</v>
      </c>
      <c r="N184" s="15" t="s">
        <v>96</v>
      </c>
      <c r="O184" s="15">
        <v>0.49315068493150682</v>
      </c>
      <c r="P184" s="15" t="s">
        <v>1861</v>
      </c>
      <c r="Q184" s="15">
        <f t="shared" ca="1" si="4"/>
        <v>38</v>
      </c>
      <c r="R184" s="15" t="str">
        <f t="shared" si="5"/>
        <v>High</v>
      </c>
    </row>
    <row r="185" spans="1:18" s="15" customFormat="1" x14ac:dyDescent="0.3">
      <c r="A185" s="15" t="s">
        <v>531</v>
      </c>
      <c r="B185" s="15" t="s">
        <v>532</v>
      </c>
      <c r="C185" s="15" t="s">
        <v>533</v>
      </c>
      <c r="D185" s="15" t="s">
        <v>17</v>
      </c>
      <c r="E185" s="15" t="s">
        <v>18</v>
      </c>
      <c r="F185" s="15" t="s">
        <v>19</v>
      </c>
      <c r="G185" s="15" t="s">
        <v>30</v>
      </c>
      <c r="H185" s="16">
        <v>26841</v>
      </c>
      <c r="I185" s="16">
        <v>44179</v>
      </c>
      <c r="J185" s="16">
        <v>44359</v>
      </c>
      <c r="K185" s="15" t="s">
        <v>94</v>
      </c>
      <c r="L185" s="15" t="s">
        <v>122</v>
      </c>
      <c r="M185" s="15">
        <v>74894</v>
      </c>
      <c r="N185" s="15" t="s">
        <v>33</v>
      </c>
      <c r="O185" s="15">
        <v>0.49315068493150682</v>
      </c>
      <c r="P185" s="15" t="s">
        <v>1861</v>
      </c>
      <c r="Q185" s="15">
        <f t="shared" ca="1" si="4"/>
        <v>52</v>
      </c>
      <c r="R185" s="15" t="str">
        <f t="shared" si="5"/>
        <v>Medium</v>
      </c>
    </row>
    <row r="186" spans="1:18" s="15" customFormat="1" x14ac:dyDescent="0.3">
      <c r="A186" s="15" t="s">
        <v>534</v>
      </c>
      <c r="B186" s="15" t="s">
        <v>127</v>
      </c>
      <c r="C186" s="15" t="s">
        <v>50</v>
      </c>
      <c r="D186" s="15" t="s">
        <v>27</v>
      </c>
      <c r="E186" s="15" t="s">
        <v>18</v>
      </c>
      <c r="F186" s="15" t="s">
        <v>19</v>
      </c>
      <c r="G186" s="15" t="s">
        <v>30</v>
      </c>
      <c r="H186" s="16">
        <v>30575</v>
      </c>
      <c r="I186" s="16">
        <v>42174</v>
      </c>
      <c r="J186" s="16">
        <v>43346</v>
      </c>
      <c r="K186" s="15" t="s">
        <v>21</v>
      </c>
      <c r="L186" s="15" t="s">
        <v>100</v>
      </c>
      <c r="M186" s="15">
        <v>68170</v>
      </c>
      <c r="N186" s="15" t="s">
        <v>44</v>
      </c>
      <c r="O186" s="15">
        <v>2.8630136986301369</v>
      </c>
      <c r="P186" s="15" t="s">
        <v>1861</v>
      </c>
      <c r="Q186" s="15">
        <f t="shared" ca="1" si="4"/>
        <v>42</v>
      </c>
      <c r="R186" s="15" t="str">
        <f t="shared" si="5"/>
        <v>Medium</v>
      </c>
    </row>
    <row r="187" spans="1:18" s="15" customFormat="1" x14ac:dyDescent="0.3">
      <c r="A187" s="15" t="s">
        <v>535</v>
      </c>
      <c r="B187" s="15" t="s">
        <v>274</v>
      </c>
      <c r="C187" s="15" t="s">
        <v>528</v>
      </c>
      <c r="D187" s="15" t="s">
        <v>27</v>
      </c>
      <c r="E187" s="15" t="s">
        <v>81</v>
      </c>
      <c r="F187" s="15" t="s">
        <v>166</v>
      </c>
      <c r="G187" s="15" t="s">
        <v>20</v>
      </c>
      <c r="H187" s="16">
        <v>31525</v>
      </c>
      <c r="I187" s="16">
        <v>42995</v>
      </c>
      <c r="J187" s="16">
        <v>43175</v>
      </c>
      <c r="K187" s="15" t="s">
        <v>31</v>
      </c>
      <c r="L187" s="15" t="s">
        <v>83</v>
      </c>
      <c r="M187" s="15">
        <v>58120</v>
      </c>
      <c r="N187" s="15" t="s">
        <v>23</v>
      </c>
      <c r="O187" s="15">
        <v>4.9232876712328766</v>
      </c>
      <c r="P187" s="15" t="s">
        <v>1862</v>
      </c>
      <c r="Q187" s="15">
        <f t="shared" ca="1" si="4"/>
        <v>39</v>
      </c>
      <c r="R187" s="15" t="str">
        <f t="shared" si="5"/>
        <v>Low</v>
      </c>
    </row>
    <row r="188" spans="1:18" s="15" customFormat="1" x14ac:dyDescent="0.3">
      <c r="A188" s="15" t="s">
        <v>536</v>
      </c>
      <c r="B188" s="15" t="s">
        <v>161</v>
      </c>
      <c r="C188" s="15" t="s">
        <v>537</v>
      </c>
      <c r="D188" s="15" t="s">
        <v>27</v>
      </c>
      <c r="E188" s="15" t="s">
        <v>18</v>
      </c>
      <c r="F188" s="15" t="s">
        <v>19</v>
      </c>
      <c r="G188" s="15" t="s">
        <v>112</v>
      </c>
      <c r="H188" s="16">
        <v>33636</v>
      </c>
      <c r="I188" s="16">
        <v>44991</v>
      </c>
      <c r="J188" s="16">
        <v>45171</v>
      </c>
      <c r="K188" s="15" t="s">
        <v>94</v>
      </c>
      <c r="L188" s="15" t="s">
        <v>122</v>
      </c>
      <c r="M188" s="15">
        <v>69351</v>
      </c>
      <c r="N188" s="15" t="s">
        <v>96</v>
      </c>
      <c r="O188" s="15">
        <v>0.49315068493150682</v>
      </c>
      <c r="P188" s="15" t="s">
        <v>1862</v>
      </c>
      <c r="Q188" s="15">
        <f t="shared" ca="1" si="4"/>
        <v>33</v>
      </c>
      <c r="R188" s="15" t="str">
        <f t="shared" si="5"/>
        <v>Medium</v>
      </c>
    </row>
    <row r="189" spans="1:18" s="15" customFormat="1" x14ac:dyDescent="0.3">
      <c r="A189" s="15" t="s">
        <v>538</v>
      </c>
      <c r="B189" s="15" t="s">
        <v>268</v>
      </c>
      <c r="C189" s="15" t="s">
        <v>539</v>
      </c>
      <c r="D189" s="15" t="s">
        <v>17</v>
      </c>
      <c r="E189" s="15" t="s">
        <v>18</v>
      </c>
      <c r="F189" s="15" t="s">
        <v>19</v>
      </c>
      <c r="G189" s="15" t="s">
        <v>30</v>
      </c>
      <c r="H189" s="16">
        <v>29357</v>
      </c>
      <c r="I189" s="16">
        <v>42246</v>
      </c>
      <c r="J189" s="16">
        <v>43993</v>
      </c>
      <c r="K189" s="15" t="s">
        <v>37</v>
      </c>
      <c r="L189" s="15" t="s">
        <v>41</v>
      </c>
      <c r="M189" s="15">
        <v>63090</v>
      </c>
      <c r="N189" s="15" t="s">
        <v>23</v>
      </c>
      <c r="O189" s="15">
        <v>0.49315068493150682</v>
      </c>
      <c r="P189" s="15" t="s">
        <v>1861</v>
      </c>
      <c r="Q189" s="15">
        <f t="shared" ca="1" si="4"/>
        <v>45</v>
      </c>
      <c r="R189" s="15" t="str">
        <f t="shared" si="5"/>
        <v>Medium</v>
      </c>
    </row>
    <row r="190" spans="1:18" s="15" customFormat="1" x14ac:dyDescent="0.3">
      <c r="A190" s="15" t="s">
        <v>540</v>
      </c>
      <c r="B190" s="15" t="s">
        <v>174</v>
      </c>
      <c r="C190" s="15" t="s">
        <v>494</v>
      </c>
      <c r="D190" s="15" t="s">
        <v>17</v>
      </c>
      <c r="E190" s="15" t="s">
        <v>28</v>
      </c>
      <c r="F190" s="15" t="s">
        <v>29</v>
      </c>
      <c r="G190" s="15" t="s">
        <v>30</v>
      </c>
      <c r="H190" s="16">
        <v>25454</v>
      </c>
      <c r="I190" s="16">
        <v>44791</v>
      </c>
      <c r="J190" s="16">
        <v>44971</v>
      </c>
      <c r="K190" s="15" t="s">
        <v>51</v>
      </c>
      <c r="L190" s="15" t="s">
        <v>52</v>
      </c>
      <c r="M190" s="15">
        <v>66590</v>
      </c>
      <c r="N190" s="15" t="s">
        <v>33</v>
      </c>
      <c r="O190" s="15">
        <v>0.49315068493150682</v>
      </c>
      <c r="P190" s="15" t="s">
        <v>1861</v>
      </c>
      <c r="Q190" s="15">
        <f t="shared" ca="1" si="4"/>
        <v>56</v>
      </c>
      <c r="R190" s="15" t="str">
        <f t="shared" si="5"/>
        <v>Medium</v>
      </c>
    </row>
    <row r="191" spans="1:18" s="15" customFormat="1" x14ac:dyDescent="0.3">
      <c r="A191" s="15" t="s">
        <v>541</v>
      </c>
      <c r="B191" s="15" t="s">
        <v>542</v>
      </c>
      <c r="C191" s="15" t="s">
        <v>16</v>
      </c>
      <c r="D191" s="15" t="s">
        <v>27</v>
      </c>
      <c r="E191" s="15" t="s">
        <v>18</v>
      </c>
      <c r="F191" s="15" t="s">
        <v>19</v>
      </c>
      <c r="G191" s="15" t="s">
        <v>30</v>
      </c>
      <c r="H191" s="16">
        <v>22104</v>
      </c>
      <c r="I191" s="16">
        <v>44811</v>
      </c>
      <c r="J191" s="16">
        <v>44991</v>
      </c>
      <c r="K191" s="15" t="s">
        <v>31</v>
      </c>
      <c r="L191" s="15" t="s">
        <v>159</v>
      </c>
      <c r="M191" s="15">
        <v>94979</v>
      </c>
      <c r="N191" s="15" t="s">
        <v>33</v>
      </c>
      <c r="O191" s="15">
        <v>0.49315068493150682</v>
      </c>
      <c r="P191" s="15" t="s">
        <v>1861</v>
      </c>
      <c r="Q191" s="15">
        <f t="shared" ca="1" si="4"/>
        <v>65</v>
      </c>
      <c r="R191" s="15" t="str">
        <f t="shared" si="5"/>
        <v>Medium</v>
      </c>
    </row>
    <row r="192" spans="1:18" s="15" customFormat="1" x14ac:dyDescent="0.3">
      <c r="A192" s="15" t="s">
        <v>543</v>
      </c>
      <c r="B192" s="15" t="s">
        <v>544</v>
      </c>
      <c r="C192" s="15" t="s">
        <v>545</v>
      </c>
      <c r="D192" s="15" t="s">
        <v>17</v>
      </c>
      <c r="E192" s="15" t="s">
        <v>18</v>
      </c>
      <c r="F192" s="15" t="s">
        <v>19</v>
      </c>
      <c r="G192" s="15" t="s">
        <v>30</v>
      </c>
      <c r="H192" s="16">
        <v>24212</v>
      </c>
      <c r="I192" s="16">
        <v>43536</v>
      </c>
      <c r="J192" s="16">
        <v>43716</v>
      </c>
      <c r="K192" s="15" t="s">
        <v>21</v>
      </c>
      <c r="L192" s="15" t="s">
        <v>108</v>
      </c>
      <c r="M192" s="15">
        <v>68030</v>
      </c>
      <c r="N192" s="15" t="s">
        <v>33</v>
      </c>
      <c r="O192" s="15">
        <v>0.49315068493150682</v>
      </c>
      <c r="P192" s="15" t="s">
        <v>1862</v>
      </c>
      <c r="Q192" s="15">
        <f t="shared" ca="1" si="4"/>
        <v>59</v>
      </c>
      <c r="R192" s="15" t="str">
        <f t="shared" si="5"/>
        <v>Medium</v>
      </c>
    </row>
    <row r="193" spans="1:18" s="15" customFormat="1" x14ac:dyDescent="0.3">
      <c r="A193" s="15" t="s">
        <v>546</v>
      </c>
      <c r="B193" s="15" t="s">
        <v>351</v>
      </c>
      <c r="C193" s="15" t="s">
        <v>547</v>
      </c>
      <c r="D193" s="15" t="s">
        <v>17</v>
      </c>
      <c r="E193" s="15" t="s">
        <v>81</v>
      </c>
      <c r="F193" s="15" t="s">
        <v>166</v>
      </c>
      <c r="G193" s="15" t="s">
        <v>30</v>
      </c>
      <c r="H193" s="16">
        <v>32739</v>
      </c>
      <c r="I193" s="16">
        <v>42818</v>
      </c>
      <c r="J193" s="16">
        <v>45272</v>
      </c>
      <c r="K193" s="15" t="s">
        <v>65</v>
      </c>
      <c r="L193" s="15" t="s">
        <v>131</v>
      </c>
      <c r="M193" s="15">
        <v>55734</v>
      </c>
      <c r="N193" s="15" t="s">
        <v>44</v>
      </c>
      <c r="O193" s="15">
        <v>1.5013698630136989</v>
      </c>
      <c r="P193" s="15" t="s">
        <v>1861</v>
      </c>
      <c r="Q193" s="15">
        <f t="shared" ca="1" si="4"/>
        <v>36</v>
      </c>
      <c r="R193" s="15" t="str">
        <f t="shared" si="5"/>
        <v>Low</v>
      </c>
    </row>
    <row r="194" spans="1:18" s="15" customFormat="1" x14ac:dyDescent="0.3">
      <c r="A194" s="15" t="s">
        <v>548</v>
      </c>
      <c r="B194" s="15" t="s">
        <v>102</v>
      </c>
      <c r="C194" s="15" t="s">
        <v>549</v>
      </c>
      <c r="D194" s="15" t="s">
        <v>17</v>
      </c>
      <c r="E194" s="15" t="s">
        <v>120</v>
      </c>
      <c r="F194" s="15" t="s">
        <v>121</v>
      </c>
      <c r="G194" s="15" t="s">
        <v>30</v>
      </c>
      <c r="H194" s="16">
        <v>25349</v>
      </c>
      <c r="I194" s="16">
        <v>44903</v>
      </c>
      <c r="J194" s="16">
        <v>45083</v>
      </c>
      <c r="K194" s="15" t="s">
        <v>94</v>
      </c>
      <c r="L194" s="15" t="s">
        <v>182</v>
      </c>
      <c r="M194" s="15">
        <v>65009</v>
      </c>
      <c r="N194" s="15" t="s">
        <v>44</v>
      </c>
      <c r="O194" s="15">
        <v>0.49315068493150682</v>
      </c>
      <c r="P194" s="15" t="s">
        <v>1862</v>
      </c>
      <c r="Q194" s="15">
        <f t="shared" ref="Q194:Q257" ca="1" si="6">DATEDIF(H194, TODAY(), "Y")</f>
        <v>56</v>
      </c>
      <c r="R194" s="15" t="str">
        <f t="shared" si="5"/>
        <v>Medium</v>
      </c>
    </row>
    <row r="195" spans="1:18" s="15" customFormat="1" x14ac:dyDescent="0.3">
      <c r="A195" s="15" t="s">
        <v>550</v>
      </c>
      <c r="B195" s="15" t="s">
        <v>551</v>
      </c>
      <c r="C195" s="15" t="s">
        <v>499</v>
      </c>
      <c r="D195" s="15" t="s">
        <v>17</v>
      </c>
      <c r="E195" s="15" t="s">
        <v>81</v>
      </c>
      <c r="F195" s="15" t="s">
        <v>82</v>
      </c>
      <c r="G195" s="15" t="s">
        <v>93</v>
      </c>
      <c r="H195" s="16">
        <v>32970</v>
      </c>
      <c r="I195" s="16">
        <v>44154</v>
      </c>
      <c r="J195" s="16">
        <v>44334</v>
      </c>
      <c r="K195" s="15" t="s">
        <v>94</v>
      </c>
      <c r="L195" s="15" t="s">
        <v>117</v>
      </c>
      <c r="M195" s="15">
        <v>73797</v>
      </c>
      <c r="N195" s="15" t="s">
        <v>96</v>
      </c>
      <c r="O195" s="15">
        <v>0.49315068493150682</v>
      </c>
      <c r="P195" s="15" t="s">
        <v>1861</v>
      </c>
      <c r="Q195" s="15">
        <f t="shared" ca="1" si="6"/>
        <v>35</v>
      </c>
      <c r="R195" s="15" t="str">
        <f t="shared" ref="R195:R258" si="7">IF(M195:M1160&gt;100000,"High",IF(M195:M1160&gt;60000,"Medium","Low"))</f>
        <v>Medium</v>
      </c>
    </row>
    <row r="196" spans="1:18" s="15" customFormat="1" x14ac:dyDescent="0.3">
      <c r="A196" s="15" t="s">
        <v>552</v>
      </c>
      <c r="B196" s="15" t="s">
        <v>251</v>
      </c>
      <c r="C196" s="15" t="s">
        <v>553</v>
      </c>
      <c r="D196" s="15" t="s">
        <v>17</v>
      </c>
      <c r="E196" s="15" t="s">
        <v>18</v>
      </c>
      <c r="F196" s="15" t="s">
        <v>19</v>
      </c>
      <c r="G196" s="15" t="s">
        <v>30</v>
      </c>
      <c r="H196" s="16">
        <v>22572</v>
      </c>
      <c r="I196" s="16">
        <v>43283</v>
      </c>
      <c r="J196" s="16">
        <v>43859</v>
      </c>
      <c r="K196" s="15" t="s">
        <v>21</v>
      </c>
      <c r="L196" s="15" t="s">
        <v>100</v>
      </c>
      <c r="M196" s="15">
        <v>59391</v>
      </c>
      <c r="N196" s="15" t="s">
        <v>33</v>
      </c>
      <c r="O196" s="15">
        <v>3.2109589041095892</v>
      </c>
      <c r="P196" s="15" t="s">
        <v>1862</v>
      </c>
      <c r="Q196" s="15">
        <f t="shared" ca="1" si="6"/>
        <v>64</v>
      </c>
      <c r="R196" s="15" t="str">
        <f t="shared" si="7"/>
        <v>Low</v>
      </c>
    </row>
    <row r="197" spans="1:18" s="15" customFormat="1" x14ac:dyDescent="0.3">
      <c r="A197" s="15" t="s">
        <v>554</v>
      </c>
      <c r="B197" s="15" t="s">
        <v>523</v>
      </c>
      <c r="C197" s="15" t="s">
        <v>555</v>
      </c>
      <c r="D197" s="15" t="s">
        <v>27</v>
      </c>
      <c r="E197" s="15" t="s">
        <v>18</v>
      </c>
      <c r="F197" s="15" t="s">
        <v>19</v>
      </c>
      <c r="G197" s="15" t="s">
        <v>30</v>
      </c>
      <c r="H197" s="16">
        <v>28467</v>
      </c>
      <c r="I197" s="16">
        <v>43236</v>
      </c>
      <c r="J197" s="16">
        <v>43416</v>
      </c>
      <c r="K197" s="15" t="s">
        <v>94</v>
      </c>
      <c r="L197" s="15" t="s">
        <v>122</v>
      </c>
      <c r="M197" s="15">
        <v>95438</v>
      </c>
      <c r="N197" s="15" t="s">
        <v>33</v>
      </c>
      <c r="O197" s="15">
        <v>0.49315068493150682</v>
      </c>
      <c r="P197" s="15" t="s">
        <v>1862</v>
      </c>
      <c r="Q197" s="15">
        <f t="shared" ca="1" si="6"/>
        <v>48</v>
      </c>
      <c r="R197" s="15" t="str">
        <f t="shared" si="7"/>
        <v>Medium</v>
      </c>
    </row>
    <row r="198" spans="1:18" s="15" customFormat="1" x14ac:dyDescent="0.3">
      <c r="A198" s="15" t="s">
        <v>556</v>
      </c>
      <c r="B198" s="15" t="s">
        <v>127</v>
      </c>
      <c r="C198" s="15" t="s">
        <v>301</v>
      </c>
      <c r="D198" s="15" t="s">
        <v>17</v>
      </c>
      <c r="E198" s="15" t="s">
        <v>18</v>
      </c>
      <c r="F198" s="15" t="s">
        <v>19</v>
      </c>
      <c r="G198" s="15" t="s">
        <v>30</v>
      </c>
      <c r="H198" s="16">
        <v>33634</v>
      </c>
      <c r="I198" s="16">
        <v>43354</v>
      </c>
      <c r="J198" s="16">
        <v>43534</v>
      </c>
      <c r="K198" s="15" t="s">
        <v>65</v>
      </c>
      <c r="L198" s="15" t="s">
        <v>314</v>
      </c>
      <c r="M198" s="15">
        <v>52863</v>
      </c>
      <c r="N198" s="15" t="s">
        <v>44</v>
      </c>
      <c r="O198" s="15">
        <v>0.49315068493150682</v>
      </c>
      <c r="P198" s="15" t="s">
        <v>1861</v>
      </c>
      <c r="Q198" s="15">
        <f t="shared" ca="1" si="6"/>
        <v>33</v>
      </c>
      <c r="R198" s="15" t="str">
        <f t="shared" si="7"/>
        <v>Low</v>
      </c>
    </row>
    <row r="199" spans="1:18" s="15" customFormat="1" x14ac:dyDescent="0.3">
      <c r="A199" s="15" t="s">
        <v>557</v>
      </c>
      <c r="B199" s="15" t="s">
        <v>558</v>
      </c>
      <c r="C199" s="15" t="s">
        <v>16</v>
      </c>
      <c r="D199" s="15" t="s">
        <v>17</v>
      </c>
      <c r="E199" s="15" t="s">
        <v>120</v>
      </c>
      <c r="F199" s="15" t="s">
        <v>121</v>
      </c>
      <c r="G199" s="15" t="s">
        <v>30</v>
      </c>
      <c r="H199" s="16">
        <v>28068</v>
      </c>
      <c r="I199" s="16">
        <v>42832</v>
      </c>
      <c r="J199" s="16">
        <v>45649</v>
      </c>
      <c r="K199" s="15" t="s">
        <v>94</v>
      </c>
      <c r="L199" s="15" t="s">
        <v>182</v>
      </c>
      <c r="M199" s="15">
        <v>59645</v>
      </c>
      <c r="N199" s="15" t="s">
        <v>33</v>
      </c>
      <c r="O199" s="15">
        <v>4.7863013698630139</v>
      </c>
      <c r="P199" s="15" t="s">
        <v>1861</v>
      </c>
      <c r="Q199" s="15">
        <f t="shared" ca="1" si="6"/>
        <v>49</v>
      </c>
      <c r="R199" s="15" t="str">
        <f t="shared" si="7"/>
        <v>Low</v>
      </c>
    </row>
    <row r="200" spans="1:18" s="15" customFormat="1" x14ac:dyDescent="0.3">
      <c r="A200" s="15" t="s">
        <v>559</v>
      </c>
      <c r="B200" s="15" t="s">
        <v>218</v>
      </c>
      <c r="C200" s="15" t="s">
        <v>193</v>
      </c>
      <c r="D200" s="15" t="s">
        <v>17</v>
      </c>
      <c r="E200" s="15" t="s">
        <v>18</v>
      </c>
      <c r="F200" s="15" t="s">
        <v>19</v>
      </c>
      <c r="G200" s="15" t="s">
        <v>112</v>
      </c>
      <c r="H200" s="16">
        <v>32987</v>
      </c>
      <c r="I200" s="16">
        <v>44621</v>
      </c>
      <c r="J200" s="16">
        <v>44801</v>
      </c>
      <c r="K200" s="15" t="s">
        <v>31</v>
      </c>
      <c r="L200" s="15" t="s">
        <v>32</v>
      </c>
      <c r="M200" s="15">
        <v>72411</v>
      </c>
      <c r="N200" s="15" t="s">
        <v>96</v>
      </c>
      <c r="O200" s="15">
        <v>0.49315068493150682</v>
      </c>
      <c r="P200" s="15" t="s">
        <v>1862</v>
      </c>
      <c r="Q200" s="15">
        <f t="shared" ca="1" si="6"/>
        <v>35</v>
      </c>
      <c r="R200" s="15" t="str">
        <f t="shared" si="7"/>
        <v>Medium</v>
      </c>
    </row>
    <row r="201" spans="1:18" s="15" customFormat="1" x14ac:dyDescent="0.3">
      <c r="A201" s="15" t="s">
        <v>560</v>
      </c>
      <c r="B201" s="15" t="s">
        <v>25</v>
      </c>
      <c r="C201" s="15" t="s">
        <v>561</v>
      </c>
      <c r="D201" s="15" t="s">
        <v>17</v>
      </c>
      <c r="E201" s="15" t="s">
        <v>28</v>
      </c>
      <c r="F201" s="15" t="s">
        <v>29</v>
      </c>
      <c r="G201" s="15" t="s">
        <v>112</v>
      </c>
      <c r="H201" s="16">
        <v>29435</v>
      </c>
      <c r="I201" s="16">
        <v>45336</v>
      </c>
      <c r="J201" s="16">
        <v>45516</v>
      </c>
      <c r="K201" s="15" t="s">
        <v>94</v>
      </c>
      <c r="L201" s="15" t="s">
        <v>122</v>
      </c>
      <c r="M201" s="15">
        <v>92457</v>
      </c>
      <c r="N201" s="15" t="s">
        <v>33</v>
      </c>
      <c r="O201" s="15">
        <v>0.49315068493150682</v>
      </c>
      <c r="P201" s="15" t="s">
        <v>1861</v>
      </c>
      <c r="Q201" s="15">
        <f t="shared" ca="1" si="6"/>
        <v>45</v>
      </c>
      <c r="R201" s="15" t="str">
        <f t="shared" si="7"/>
        <v>Medium</v>
      </c>
    </row>
    <row r="202" spans="1:18" s="15" customFormat="1" x14ac:dyDescent="0.3">
      <c r="A202" s="15" t="s">
        <v>562</v>
      </c>
      <c r="B202" s="15" t="s">
        <v>542</v>
      </c>
      <c r="C202" s="15" t="s">
        <v>50</v>
      </c>
      <c r="D202" s="15" t="s">
        <v>17</v>
      </c>
      <c r="E202" s="15" t="s">
        <v>18</v>
      </c>
      <c r="F202" s="15" t="s">
        <v>19</v>
      </c>
      <c r="G202" s="15" t="s">
        <v>30</v>
      </c>
      <c r="H202" s="16">
        <v>22892</v>
      </c>
      <c r="I202" s="16">
        <v>43372</v>
      </c>
      <c r="J202" s="16">
        <v>43552</v>
      </c>
      <c r="K202" s="15" t="s">
        <v>21</v>
      </c>
      <c r="L202" s="15" t="s">
        <v>100</v>
      </c>
      <c r="M202" s="15">
        <v>64737</v>
      </c>
      <c r="N202" s="15" t="s">
        <v>33</v>
      </c>
      <c r="O202" s="15">
        <v>0.49315068493150682</v>
      </c>
      <c r="P202" s="15" t="s">
        <v>1861</v>
      </c>
      <c r="Q202" s="15">
        <f t="shared" ca="1" si="6"/>
        <v>63</v>
      </c>
      <c r="R202" s="15" t="str">
        <f t="shared" si="7"/>
        <v>Medium</v>
      </c>
    </row>
    <row r="203" spans="1:18" s="15" customFormat="1" x14ac:dyDescent="0.3">
      <c r="A203" s="15" t="s">
        <v>564</v>
      </c>
      <c r="B203" s="15" t="s">
        <v>565</v>
      </c>
      <c r="C203" s="15" t="s">
        <v>566</v>
      </c>
      <c r="D203" s="15" t="s">
        <v>27</v>
      </c>
      <c r="E203" s="15" t="s">
        <v>18</v>
      </c>
      <c r="F203" s="15" t="s">
        <v>19</v>
      </c>
      <c r="G203" s="15" t="s">
        <v>30</v>
      </c>
      <c r="H203" s="16">
        <v>35149</v>
      </c>
      <c r="I203" s="16">
        <v>42780</v>
      </c>
      <c r="J203" s="16">
        <v>45604</v>
      </c>
      <c r="K203" s="15" t="s">
        <v>37</v>
      </c>
      <c r="L203" s="15" t="s">
        <v>41</v>
      </c>
      <c r="M203" s="15">
        <v>63371</v>
      </c>
      <c r="N203" s="15" t="s">
        <v>33</v>
      </c>
      <c r="O203" s="15">
        <v>6.7232876712328764</v>
      </c>
      <c r="P203" s="15" t="s">
        <v>1862</v>
      </c>
      <c r="Q203" s="15">
        <f t="shared" ca="1" si="6"/>
        <v>29</v>
      </c>
      <c r="R203" s="15" t="str">
        <f t="shared" si="7"/>
        <v>Medium</v>
      </c>
    </row>
    <row r="204" spans="1:18" s="15" customFormat="1" x14ac:dyDescent="0.3">
      <c r="A204" s="15" t="s">
        <v>567</v>
      </c>
      <c r="B204" s="15" t="s">
        <v>129</v>
      </c>
      <c r="C204" s="15" t="s">
        <v>211</v>
      </c>
      <c r="D204" s="15" t="s">
        <v>17</v>
      </c>
      <c r="E204" s="15" t="s">
        <v>18</v>
      </c>
      <c r="F204" s="15" t="s">
        <v>19</v>
      </c>
      <c r="G204" s="15" t="s">
        <v>20</v>
      </c>
      <c r="H204" s="16">
        <v>34386</v>
      </c>
      <c r="I204" s="16">
        <v>42490</v>
      </c>
      <c r="J204" s="16">
        <v>43492</v>
      </c>
      <c r="K204" s="15" t="s">
        <v>37</v>
      </c>
      <c r="L204" s="15" t="s">
        <v>41</v>
      </c>
      <c r="M204" s="15">
        <v>61038</v>
      </c>
      <c r="N204" s="15" t="s">
        <v>23</v>
      </c>
      <c r="O204" s="15">
        <v>0.49315068493150682</v>
      </c>
      <c r="P204" s="15" t="s">
        <v>1861</v>
      </c>
      <c r="Q204" s="15">
        <f t="shared" ca="1" si="6"/>
        <v>31</v>
      </c>
      <c r="R204" s="15" t="str">
        <f t="shared" si="7"/>
        <v>Medium</v>
      </c>
    </row>
    <row r="205" spans="1:18" s="15" customFormat="1" x14ac:dyDescent="0.3">
      <c r="A205" s="15" t="s">
        <v>568</v>
      </c>
      <c r="B205" s="15" t="s">
        <v>157</v>
      </c>
      <c r="C205" s="15" t="s">
        <v>16</v>
      </c>
      <c r="D205" s="15" t="s">
        <v>27</v>
      </c>
      <c r="E205" s="15" t="s">
        <v>18</v>
      </c>
      <c r="F205" s="15" t="s">
        <v>19</v>
      </c>
      <c r="G205" s="15" t="s">
        <v>112</v>
      </c>
      <c r="H205" s="16">
        <v>33216</v>
      </c>
      <c r="I205" s="16">
        <v>43587</v>
      </c>
      <c r="J205" s="16">
        <v>44649</v>
      </c>
      <c r="K205" s="15" t="s">
        <v>31</v>
      </c>
      <c r="L205" s="15" t="s">
        <v>159</v>
      </c>
      <c r="M205" s="15">
        <v>102531</v>
      </c>
      <c r="N205" s="15" t="s">
        <v>33</v>
      </c>
      <c r="O205" s="15">
        <v>0.49315068493150682</v>
      </c>
      <c r="P205" s="15" t="s">
        <v>1862</v>
      </c>
      <c r="Q205" s="15">
        <f t="shared" ca="1" si="6"/>
        <v>35</v>
      </c>
      <c r="R205" s="15" t="str">
        <f t="shared" si="7"/>
        <v>High</v>
      </c>
    </row>
    <row r="206" spans="1:18" s="15" customFormat="1" x14ac:dyDescent="0.3">
      <c r="A206" s="15" t="s">
        <v>569</v>
      </c>
      <c r="B206" s="15" t="s">
        <v>570</v>
      </c>
      <c r="C206" s="15" t="s">
        <v>571</v>
      </c>
      <c r="D206" s="15" t="s">
        <v>27</v>
      </c>
      <c r="E206" s="15" t="s">
        <v>354</v>
      </c>
      <c r="F206" s="15" t="s">
        <v>404</v>
      </c>
      <c r="G206" s="15" t="s">
        <v>30</v>
      </c>
      <c r="H206" s="16">
        <v>35382</v>
      </c>
      <c r="I206" s="16">
        <v>45437</v>
      </c>
      <c r="J206" s="16">
        <v>45617</v>
      </c>
      <c r="K206" s="15" t="s">
        <v>65</v>
      </c>
      <c r="L206" s="15" t="s">
        <v>314</v>
      </c>
      <c r="M206" s="15">
        <v>72436</v>
      </c>
      <c r="N206" s="15" t="s">
        <v>33</v>
      </c>
      <c r="O206" s="15">
        <v>1.5780821917808221</v>
      </c>
      <c r="P206" s="15" t="s">
        <v>1861</v>
      </c>
      <c r="Q206" s="15">
        <f t="shared" ca="1" si="6"/>
        <v>29</v>
      </c>
      <c r="R206" s="15" t="str">
        <f t="shared" si="7"/>
        <v>Medium</v>
      </c>
    </row>
    <row r="207" spans="1:18" s="15" customFormat="1" x14ac:dyDescent="0.3">
      <c r="A207" s="15" t="s">
        <v>572</v>
      </c>
      <c r="B207" s="15" t="s">
        <v>573</v>
      </c>
      <c r="C207" s="15" t="s">
        <v>574</v>
      </c>
      <c r="D207" s="15" t="s">
        <v>27</v>
      </c>
      <c r="E207" s="15" t="s">
        <v>137</v>
      </c>
      <c r="F207" s="15" t="s">
        <v>138</v>
      </c>
      <c r="G207" s="15" t="s">
        <v>30</v>
      </c>
      <c r="H207" s="16">
        <v>35146</v>
      </c>
      <c r="I207" s="16">
        <v>42399</v>
      </c>
      <c r="J207" s="16">
        <v>45222</v>
      </c>
      <c r="K207" s="15" t="s">
        <v>94</v>
      </c>
      <c r="L207" s="15" t="s">
        <v>182</v>
      </c>
      <c r="M207" s="15">
        <v>62740</v>
      </c>
      <c r="N207" s="15" t="s">
        <v>44</v>
      </c>
      <c r="O207" s="15">
        <v>0.49315068493150682</v>
      </c>
      <c r="P207" s="15" t="s">
        <v>1862</v>
      </c>
      <c r="Q207" s="15">
        <f t="shared" ca="1" si="6"/>
        <v>29</v>
      </c>
      <c r="R207" s="15" t="str">
        <f t="shared" si="7"/>
        <v>Medium</v>
      </c>
    </row>
    <row r="208" spans="1:18" s="15" customFormat="1" x14ac:dyDescent="0.3">
      <c r="A208" s="15" t="s">
        <v>575</v>
      </c>
      <c r="B208" s="15" t="s">
        <v>40</v>
      </c>
      <c r="C208" s="15" t="s">
        <v>576</v>
      </c>
      <c r="D208" s="15" t="s">
        <v>27</v>
      </c>
      <c r="E208" s="15" t="s">
        <v>18</v>
      </c>
      <c r="F208" s="15" t="s">
        <v>19</v>
      </c>
      <c r="G208" s="15" t="s">
        <v>30</v>
      </c>
      <c r="H208" s="16">
        <v>31505</v>
      </c>
      <c r="I208" s="16">
        <v>42464</v>
      </c>
      <c r="J208" s="16">
        <v>42644</v>
      </c>
      <c r="K208" s="15" t="s">
        <v>51</v>
      </c>
      <c r="L208" s="15" t="s">
        <v>52</v>
      </c>
      <c r="M208" s="15">
        <v>71374</v>
      </c>
      <c r="N208" s="15" t="s">
        <v>44</v>
      </c>
      <c r="O208" s="15">
        <v>0.49315068493150682</v>
      </c>
      <c r="P208" s="15" t="s">
        <v>1861</v>
      </c>
      <c r="Q208" s="15">
        <f t="shared" ca="1" si="6"/>
        <v>39</v>
      </c>
      <c r="R208" s="15" t="str">
        <f t="shared" si="7"/>
        <v>Medium</v>
      </c>
    </row>
    <row r="209" spans="1:18" s="15" customFormat="1" x14ac:dyDescent="0.3">
      <c r="A209" s="15" t="s">
        <v>577</v>
      </c>
      <c r="B209" s="15" t="s">
        <v>578</v>
      </c>
      <c r="C209" s="15" t="s">
        <v>579</v>
      </c>
      <c r="D209" s="15" t="s">
        <v>17</v>
      </c>
      <c r="E209" s="15" t="s">
        <v>18</v>
      </c>
      <c r="F209" s="15" t="s">
        <v>19</v>
      </c>
      <c r="G209" s="15" t="s">
        <v>20</v>
      </c>
      <c r="H209" s="16">
        <v>32692</v>
      </c>
      <c r="I209" s="16">
        <v>43066</v>
      </c>
      <c r="J209" s="16">
        <v>43453</v>
      </c>
      <c r="K209" s="15" t="s">
        <v>65</v>
      </c>
      <c r="L209" s="15" t="s">
        <v>131</v>
      </c>
      <c r="M209" s="15">
        <v>53525</v>
      </c>
      <c r="N209" s="15" t="s">
        <v>23</v>
      </c>
      <c r="O209" s="15">
        <v>7.7178082191780826</v>
      </c>
      <c r="P209" s="15" t="s">
        <v>1862</v>
      </c>
      <c r="Q209" s="15">
        <f t="shared" ca="1" si="6"/>
        <v>36</v>
      </c>
      <c r="R209" s="15" t="str">
        <f t="shared" si="7"/>
        <v>Low</v>
      </c>
    </row>
    <row r="210" spans="1:18" s="15" customFormat="1" x14ac:dyDescent="0.3">
      <c r="A210" s="15" t="s">
        <v>580</v>
      </c>
      <c r="B210" s="15" t="s">
        <v>581</v>
      </c>
      <c r="C210" s="15" t="s">
        <v>582</v>
      </c>
      <c r="D210" s="15" t="s">
        <v>17</v>
      </c>
      <c r="E210" s="15" t="s">
        <v>18</v>
      </c>
      <c r="F210" s="15" t="s">
        <v>19</v>
      </c>
      <c r="G210" s="15" t="s">
        <v>30</v>
      </c>
      <c r="H210" s="16">
        <v>25688</v>
      </c>
      <c r="I210" s="16">
        <v>43409</v>
      </c>
      <c r="J210" s="16">
        <v>43589</v>
      </c>
      <c r="K210" s="15" t="s">
        <v>21</v>
      </c>
      <c r="L210" s="15" t="s">
        <v>108</v>
      </c>
      <c r="M210" s="15">
        <v>57059</v>
      </c>
      <c r="N210" s="15" t="s">
        <v>44</v>
      </c>
      <c r="O210" s="15">
        <v>0.49315068493150682</v>
      </c>
      <c r="P210" s="15" t="s">
        <v>1862</v>
      </c>
      <c r="Q210" s="15">
        <f t="shared" ca="1" si="6"/>
        <v>55</v>
      </c>
      <c r="R210" s="15" t="str">
        <f t="shared" si="7"/>
        <v>Low</v>
      </c>
    </row>
    <row r="211" spans="1:18" s="15" customFormat="1" x14ac:dyDescent="0.3">
      <c r="A211" s="15" t="s">
        <v>583</v>
      </c>
      <c r="B211" s="15" t="s">
        <v>330</v>
      </c>
      <c r="C211" s="15" t="s">
        <v>584</v>
      </c>
      <c r="D211" s="15" t="s">
        <v>17</v>
      </c>
      <c r="E211" s="15" t="s">
        <v>18</v>
      </c>
      <c r="F211" s="15" t="s">
        <v>19</v>
      </c>
      <c r="G211" s="15" t="s">
        <v>20</v>
      </c>
      <c r="H211" s="16">
        <v>36306</v>
      </c>
      <c r="I211" s="16">
        <v>44331</v>
      </c>
      <c r="J211" s="16">
        <v>44511</v>
      </c>
      <c r="K211" s="15" t="s">
        <v>21</v>
      </c>
      <c r="L211" s="15" t="s">
        <v>22</v>
      </c>
      <c r="M211" s="15">
        <v>81281</v>
      </c>
      <c r="N211" s="15" t="s">
        <v>23</v>
      </c>
      <c r="O211" s="15">
        <v>0.49315068493150682</v>
      </c>
      <c r="P211" s="15" t="s">
        <v>1862</v>
      </c>
      <c r="Q211" s="15">
        <f t="shared" ca="1" si="6"/>
        <v>26</v>
      </c>
      <c r="R211" s="15" t="str">
        <f t="shared" si="7"/>
        <v>Medium</v>
      </c>
    </row>
    <row r="212" spans="1:18" s="15" customFormat="1" x14ac:dyDescent="0.3">
      <c r="A212" s="15" t="s">
        <v>585</v>
      </c>
      <c r="B212" s="15" t="s">
        <v>174</v>
      </c>
      <c r="C212" s="15" t="s">
        <v>586</v>
      </c>
      <c r="D212" s="15" t="s">
        <v>27</v>
      </c>
      <c r="E212" s="15" t="s">
        <v>18</v>
      </c>
      <c r="F212" s="15" t="s">
        <v>19</v>
      </c>
      <c r="G212" s="15" t="s">
        <v>30</v>
      </c>
      <c r="H212" s="16">
        <v>26810</v>
      </c>
      <c r="I212" s="16">
        <v>43127</v>
      </c>
      <c r="J212" s="16">
        <v>43307</v>
      </c>
      <c r="K212" s="15" t="s">
        <v>94</v>
      </c>
      <c r="L212" s="15" t="s">
        <v>182</v>
      </c>
      <c r="M212" s="15">
        <v>77133</v>
      </c>
      <c r="N212" s="15" t="s">
        <v>33</v>
      </c>
      <c r="O212" s="15">
        <v>0.49315068493150682</v>
      </c>
      <c r="P212" s="15" t="s">
        <v>1862</v>
      </c>
      <c r="Q212" s="15">
        <f t="shared" ca="1" si="6"/>
        <v>52</v>
      </c>
      <c r="R212" s="15" t="str">
        <f t="shared" si="7"/>
        <v>Medium</v>
      </c>
    </row>
    <row r="213" spans="1:18" s="15" customFormat="1" x14ac:dyDescent="0.3">
      <c r="A213" s="15" t="s">
        <v>587</v>
      </c>
      <c r="B213" s="15" t="s">
        <v>437</v>
      </c>
      <c r="C213" s="15" t="s">
        <v>588</v>
      </c>
      <c r="D213" s="15" t="s">
        <v>27</v>
      </c>
      <c r="E213" s="15" t="s">
        <v>354</v>
      </c>
      <c r="F213" s="15" t="s">
        <v>404</v>
      </c>
      <c r="G213" s="15" t="s">
        <v>30</v>
      </c>
      <c r="H213" s="16">
        <v>28152</v>
      </c>
      <c r="I213" s="16">
        <v>43429</v>
      </c>
      <c r="J213" s="16">
        <v>43609</v>
      </c>
      <c r="K213" s="15" t="s">
        <v>37</v>
      </c>
      <c r="L213" s="15" t="s">
        <v>38</v>
      </c>
      <c r="M213" s="15">
        <v>59761</v>
      </c>
      <c r="N213" s="15" t="s">
        <v>96</v>
      </c>
      <c r="O213" s="15">
        <v>8.632876712328768</v>
      </c>
      <c r="P213" s="15" t="s">
        <v>1861</v>
      </c>
      <c r="Q213" s="15">
        <f t="shared" ca="1" si="6"/>
        <v>48</v>
      </c>
      <c r="R213" s="15" t="str">
        <f t="shared" si="7"/>
        <v>Low</v>
      </c>
    </row>
    <row r="214" spans="1:18" s="15" customFormat="1" x14ac:dyDescent="0.3">
      <c r="A214" s="15" t="s">
        <v>589</v>
      </c>
      <c r="B214" s="15" t="s">
        <v>251</v>
      </c>
      <c r="C214" s="15" t="s">
        <v>590</v>
      </c>
      <c r="D214" s="15" t="s">
        <v>27</v>
      </c>
      <c r="E214" s="15" t="s">
        <v>18</v>
      </c>
      <c r="F214" s="15" t="s">
        <v>19</v>
      </c>
      <c r="G214" s="15" t="s">
        <v>20</v>
      </c>
      <c r="H214" s="16">
        <v>25663</v>
      </c>
      <c r="I214" s="16">
        <v>42538</v>
      </c>
      <c r="J214" s="16">
        <v>42718</v>
      </c>
      <c r="K214" s="15" t="s">
        <v>21</v>
      </c>
      <c r="L214" s="15" t="s">
        <v>22</v>
      </c>
      <c r="M214" s="15">
        <v>69063</v>
      </c>
      <c r="N214" s="15" t="s">
        <v>23</v>
      </c>
      <c r="O214" s="15">
        <v>7.7369863013698632</v>
      </c>
      <c r="P214" s="15" t="s">
        <v>1862</v>
      </c>
      <c r="Q214" s="15">
        <f t="shared" ca="1" si="6"/>
        <v>55</v>
      </c>
      <c r="R214" s="15" t="str">
        <f t="shared" si="7"/>
        <v>Medium</v>
      </c>
    </row>
    <row r="215" spans="1:18" s="15" customFormat="1" x14ac:dyDescent="0.3">
      <c r="A215" s="15" t="s">
        <v>591</v>
      </c>
      <c r="B215" s="15" t="s">
        <v>283</v>
      </c>
      <c r="C215" s="15" t="s">
        <v>592</v>
      </c>
      <c r="D215" s="15" t="s">
        <v>27</v>
      </c>
      <c r="E215" s="15" t="s">
        <v>18</v>
      </c>
      <c r="F215" s="15" t="s">
        <v>19</v>
      </c>
      <c r="G215" s="15" t="s">
        <v>112</v>
      </c>
      <c r="H215" s="16">
        <v>28429</v>
      </c>
      <c r="I215" s="16">
        <v>44518</v>
      </c>
      <c r="J215" s="16">
        <v>44698</v>
      </c>
      <c r="K215" s="15" t="s">
        <v>31</v>
      </c>
      <c r="L215" s="15" t="s">
        <v>32</v>
      </c>
      <c r="M215" s="15">
        <v>89816</v>
      </c>
      <c r="N215" s="15" t="s">
        <v>33</v>
      </c>
      <c r="O215" s="15">
        <v>2.7452054794520548</v>
      </c>
      <c r="P215" s="15" t="s">
        <v>1862</v>
      </c>
      <c r="Q215" s="15">
        <f t="shared" ca="1" si="6"/>
        <v>48</v>
      </c>
      <c r="R215" s="15" t="str">
        <f t="shared" si="7"/>
        <v>Medium</v>
      </c>
    </row>
    <row r="216" spans="1:18" s="15" customFormat="1" x14ac:dyDescent="0.3">
      <c r="A216" s="15" t="s">
        <v>593</v>
      </c>
      <c r="B216" s="15" t="s">
        <v>594</v>
      </c>
      <c r="C216" s="15" t="s">
        <v>187</v>
      </c>
      <c r="D216" s="15" t="s">
        <v>27</v>
      </c>
      <c r="E216" s="15" t="s">
        <v>137</v>
      </c>
      <c r="F216" s="15" t="s">
        <v>595</v>
      </c>
      <c r="G216" s="15" t="s">
        <v>30</v>
      </c>
      <c r="H216" s="16">
        <v>34272</v>
      </c>
      <c r="I216" s="16">
        <v>42804</v>
      </c>
      <c r="J216" s="16">
        <v>44436</v>
      </c>
      <c r="K216" s="15" t="s">
        <v>51</v>
      </c>
      <c r="L216" s="15" t="s">
        <v>56</v>
      </c>
      <c r="M216" s="15">
        <v>61703</v>
      </c>
      <c r="N216" s="15" t="s">
        <v>33</v>
      </c>
      <c r="O216" s="15">
        <v>2.9095890410958898</v>
      </c>
      <c r="P216" s="15" t="s">
        <v>1862</v>
      </c>
      <c r="Q216" s="15">
        <f t="shared" ca="1" si="6"/>
        <v>32</v>
      </c>
      <c r="R216" s="15" t="str">
        <f t="shared" si="7"/>
        <v>Medium</v>
      </c>
    </row>
    <row r="217" spans="1:18" s="15" customFormat="1" x14ac:dyDescent="0.3">
      <c r="A217" s="15" t="s">
        <v>596</v>
      </c>
      <c r="B217" s="15" t="s">
        <v>597</v>
      </c>
      <c r="C217" s="15" t="s">
        <v>598</v>
      </c>
      <c r="D217" s="15" t="s">
        <v>27</v>
      </c>
      <c r="E217" s="15" t="s">
        <v>18</v>
      </c>
      <c r="F217" s="15" t="s">
        <v>19</v>
      </c>
      <c r="G217" s="15" t="s">
        <v>30</v>
      </c>
      <c r="H217" s="16">
        <v>23388</v>
      </c>
      <c r="I217" s="16">
        <v>43766</v>
      </c>
      <c r="J217" s="16">
        <v>43946</v>
      </c>
      <c r="K217" s="15" t="s">
        <v>21</v>
      </c>
      <c r="L217" s="15" t="s">
        <v>22</v>
      </c>
      <c r="M217" s="15">
        <v>66381</v>
      </c>
      <c r="N217" s="15" t="s">
        <v>96</v>
      </c>
      <c r="O217" s="15">
        <v>0.49315068493150682</v>
      </c>
      <c r="P217" s="15" t="s">
        <v>1862</v>
      </c>
      <c r="Q217" s="15">
        <f t="shared" ca="1" si="6"/>
        <v>62</v>
      </c>
      <c r="R217" s="15" t="str">
        <f t="shared" si="7"/>
        <v>Medium</v>
      </c>
    </row>
    <row r="218" spans="1:18" s="15" customFormat="1" x14ac:dyDescent="0.3">
      <c r="A218" s="15" t="s">
        <v>599</v>
      </c>
      <c r="B218" s="15" t="s">
        <v>600</v>
      </c>
      <c r="C218" s="15" t="s">
        <v>418</v>
      </c>
      <c r="D218" s="15" t="s">
        <v>17</v>
      </c>
      <c r="E218" s="15" t="s">
        <v>18</v>
      </c>
      <c r="F218" s="15" t="s">
        <v>19</v>
      </c>
      <c r="G218" s="15" t="s">
        <v>20</v>
      </c>
      <c r="H218" s="16">
        <v>29753</v>
      </c>
      <c r="I218" s="16">
        <v>44845</v>
      </c>
      <c r="J218" s="16">
        <v>45025</v>
      </c>
      <c r="K218" s="15" t="s">
        <v>37</v>
      </c>
      <c r="L218" s="15" t="s">
        <v>41</v>
      </c>
      <c r="M218" s="15">
        <v>57499</v>
      </c>
      <c r="N218" s="15" t="s">
        <v>23</v>
      </c>
      <c r="O218" s="15">
        <v>7.7342465753424658</v>
      </c>
      <c r="P218" s="15" t="s">
        <v>1862</v>
      </c>
      <c r="Q218" s="15">
        <f t="shared" ca="1" si="6"/>
        <v>44</v>
      </c>
      <c r="R218" s="15" t="str">
        <f t="shared" si="7"/>
        <v>Low</v>
      </c>
    </row>
    <row r="219" spans="1:18" s="15" customFormat="1" x14ac:dyDescent="0.3">
      <c r="A219" s="15" t="s">
        <v>601</v>
      </c>
      <c r="B219" s="15" t="s">
        <v>40</v>
      </c>
      <c r="C219" s="15" t="s">
        <v>602</v>
      </c>
      <c r="D219" s="15" t="s">
        <v>17</v>
      </c>
      <c r="E219" s="15" t="s">
        <v>18</v>
      </c>
      <c r="F219" s="15" t="s">
        <v>19</v>
      </c>
      <c r="G219" s="15" t="s">
        <v>30</v>
      </c>
      <c r="H219" s="16">
        <v>27435</v>
      </c>
      <c r="I219" s="16">
        <v>42465</v>
      </c>
      <c r="J219" s="16">
        <v>45383</v>
      </c>
      <c r="K219" s="15" t="s">
        <v>37</v>
      </c>
      <c r="L219" s="15" t="s">
        <v>41</v>
      </c>
      <c r="M219" s="15">
        <v>56166</v>
      </c>
      <c r="N219" s="15" t="s">
        <v>96</v>
      </c>
      <c r="O219" s="15">
        <v>0.49315068493150682</v>
      </c>
      <c r="P219" s="15" t="s">
        <v>1862</v>
      </c>
      <c r="Q219" s="15">
        <f t="shared" ca="1" si="6"/>
        <v>50</v>
      </c>
      <c r="R219" s="15" t="str">
        <f t="shared" si="7"/>
        <v>Low</v>
      </c>
    </row>
    <row r="220" spans="1:18" s="15" customFormat="1" x14ac:dyDescent="0.3">
      <c r="A220" s="15" t="s">
        <v>603</v>
      </c>
      <c r="B220" s="15" t="s">
        <v>604</v>
      </c>
      <c r="C220" s="15" t="s">
        <v>204</v>
      </c>
      <c r="D220" s="15" t="s">
        <v>27</v>
      </c>
      <c r="E220" s="15" t="s">
        <v>18</v>
      </c>
      <c r="F220" s="15" t="s">
        <v>19</v>
      </c>
      <c r="G220" s="15" t="s">
        <v>30</v>
      </c>
      <c r="H220" s="16">
        <v>35680</v>
      </c>
      <c r="I220" s="16">
        <v>44173</v>
      </c>
      <c r="J220" s="16">
        <v>44765</v>
      </c>
      <c r="K220" s="15" t="s">
        <v>94</v>
      </c>
      <c r="L220" s="15" t="s">
        <v>182</v>
      </c>
      <c r="M220" s="15">
        <v>82595</v>
      </c>
      <c r="N220" s="15" t="s">
        <v>33</v>
      </c>
      <c r="O220" s="15">
        <v>1.0602739726027399</v>
      </c>
      <c r="P220" s="15" t="s">
        <v>1862</v>
      </c>
      <c r="Q220" s="15">
        <f t="shared" ca="1" si="6"/>
        <v>28</v>
      </c>
      <c r="R220" s="15" t="str">
        <f t="shared" si="7"/>
        <v>Medium</v>
      </c>
    </row>
    <row r="221" spans="1:18" s="15" customFormat="1" x14ac:dyDescent="0.3">
      <c r="A221" s="15" t="s">
        <v>605</v>
      </c>
      <c r="B221" s="15" t="s">
        <v>225</v>
      </c>
      <c r="C221" s="15" t="s">
        <v>606</v>
      </c>
      <c r="D221" s="15" t="s">
        <v>27</v>
      </c>
      <c r="E221" s="15" t="s">
        <v>18</v>
      </c>
      <c r="F221" s="15" t="s">
        <v>19</v>
      </c>
      <c r="G221" s="15" t="s">
        <v>20</v>
      </c>
      <c r="H221" s="16">
        <v>35156</v>
      </c>
      <c r="I221" s="16">
        <v>44052</v>
      </c>
      <c r="J221" s="16">
        <v>44764</v>
      </c>
      <c r="K221" s="15" t="s">
        <v>37</v>
      </c>
      <c r="L221" s="15" t="s">
        <v>41</v>
      </c>
      <c r="M221" s="15">
        <v>62555</v>
      </c>
      <c r="N221" s="15" t="s">
        <v>23</v>
      </c>
      <c r="O221" s="15">
        <v>0.49315068493150682</v>
      </c>
      <c r="P221" s="15" t="s">
        <v>1862</v>
      </c>
      <c r="Q221" s="15">
        <f t="shared" ca="1" si="6"/>
        <v>29</v>
      </c>
      <c r="R221" s="15" t="str">
        <f t="shared" si="7"/>
        <v>Medium</v>
      </c>
    </row>
    <row r="222" spans="1:18" s="15" customFormat="1" x14ac:dyDescent="0.3">
      <c r="A222" s="15" t="s">
        <v>607</v>
      </c>
      <c r="B222" s="15" t="s">
        <v>466</v>
      </c>
      <c r="C222" s="15" t="s">
        <v>547</v>
      </c>
      <c r="D222" s="15" t="s">
        <v>17</v>
      </c>
      <c r="E222" s="15" t="s">
        <v>81</v>
      </c>
      <c r="F222" s="15" t="s">
        <v>104</v>
      </c>
      <c r="G222" s="15" t="s">
        <v>30</v>
      </c>
      <c r="H222" s="16">
        <v>22356</v>
      </c>
      <c r="I222" s="16">
        <v>44938</v>
      </c>
      <c r="J222" s="16">
        <v>45118</v>
      </c>
      <c r="K222" s="15" t="s">
        <v>37</v>
      </c>
      <c r="L222" s="15" t="s">
        <v>41</v>
      </c>
      <c r="M222" s="15">
        <v>65121</v>
      </c>
      <c r="N222" s="15" t="s">
        <v>33</v>
      </c>
      <c r="O222" s="15">
        <v>0.49315068493150682</v>
      </c>
      <c r="P222" s="15" t="s">
        <v>1862</v>
      </c>
      <c r="Q222" s="15">
        <f t="shared" ca="1" si="6"/>
        <v>64</v>
      </c>
      <c r="R222" s="15" t="str">
        <f t="shared" si="7"/>
        <v>Medium</v>
      </c>
    </row>
    <row r="223" spans="1:18" s="15" customFormat="1" x14ac:dyDescent="0.3">
      <c r="A223" s="15" t="s">
        <v>608</v>
      </c>
      <c r="B223" s="15" t="s">
        <v>609</v>
      </c>
      <c r="C223" s="15" t="s">
        <v>128</v>
      </c>
      <c r="D223" s="15" t="s">
        <v>27</v>
      </c>
      <c r="E223" s="15" t="s">
        <v>18</v>
      </c>
      <c r="F223" s="15" t="s">
        <v>19</v>
      </c>
      <c r="G223" s="15" t="s">
        <v>30</v>
      </c>
      <c r="H223" s="16">
        <v>33787</v>
      </c>
      <c r="I223" s="16">
        <v>42925</v>
      </c>
      <c r="J223" s="16">
        <v>43105</v>
      </c>
      <c r="K223" s="15" t="s">
        <v>65</v>
      </c>
      <c r="L223" s="15" t="s">
        <v>314</v>
      </c>
      <c r="M223" s="15">
        <v>73622</v>
      </c>
      <c r="N223" s="15" t="s">
        <v>33</v>
      </c>
      <c r="O223" s="15">
        <v>0.49315068493150682</v>
      </c>
      <c r="P223" s="15" t="s">
        <v>1862</v>
      </c>
      <c r="Q223" s="15">
        <f t="shared" ca="1" si="6"/>
        <v>33</v>
      </c>
      <c r="R223" s="15" t="str">
        <f t="shared" si="7"/>
        <v>Medium</v>
      </c>
    </row>
    <row r="224" spans="1:18" s="15" customFormat="1" x14ac:dyDescent="0.3">
      <c r="A224" s="15" t="s">
        <v>610</v>
      </c>
      <c r="B224" s="15" t="s">
        <v>135</v>
      </c>
      <c r="C224" s="15" t="s">
        <v>611</v>
      </c>
      <c r="D224" s="15" t="s">
        <v>17</v>
      </c>
      <c r="E224" s="15" t="s">
        <v>18</v>
      </c>
      <c r="F224" s="15" t="s">
        <v>19</v>
      </c>
      <c r="G224" s="15" t="s">
        <v>93</v>
      </c>
      <c r="H224" s="16">
        <v>24440</v>
      </c>
      <c r="I224" s="16">
        <v>45424</v>
      </c>
      <c r="J224" s="16">
        <v>45604</v>
      </c>
      <c r="K224" s="15" t="s">
        <v>51</v>
      </c>
      <c r="L224" s="15" t="s">
        <v>233</v>
      </c>
      <c r="M224" s="15">
        <v>107609</v>
      </c>
      <c r="N224" s="15" t="s">
        <v>96</v>
      </c>
      <c r="O224" s="15">
        <v>0.49315068493150682</v>
      </c>
      <c r="P224" s="15" t="s">
        <v>1861</v>
      </c>
      <c r="Q224" s="15">
        <f t="shared" ca="1" si="6"/>
        <v>59</v>
      </c>
      <c r="R224" s="15" t="str">
        <f t="shared" si="7"/>
        <v>High</v>
      </c>
    </row>
    <row r="225" spans="1:18" s="15" customFormat="1" x14ac:dyDescent="0.3">
      <c r="A225" s="15" t="s">
        <v>612</v>
      </c>
      <c r="B225" s="15" t="s">
        <v>54</v>
      </c>
      <c r="C225" s="15" t="s">
        <v>162</v>
      </c>
      <c r="D225" s="15" t="s">
        <v>17</v>
      </c>
      <c r="E225" s="15" t="s">
        <v>18</v>
      </c>
      <c r="F225" s="15" t="s">
        <v>19</v>
      </c>
      <c r="G225" s="15" t="s">
        <v>20</v>
      </c>
      <c r="H225" s="16">
        <v>36357</v>
      </c>
      <c r="I225" s="16">
        <v>44903</v>
      </c>
      <c r="J225" s="16">
        <v>45083</v>
      </c>
      <c r="K225" s="15" t="s">
        <v>31</v>
      </c>
      <c r="L225" s="15" t="s">
        <v>83</v>
      </c>
      <c r="M225" s="15">
        <v>55096</v>
      </c>
      <c r="N225" s="15" t="s">
        <v>23</v>
      </c>
      <c r="O225" s="15">
        <v>0.49315068493150682</v>
      </c>
      <c r="P225" s="15" t="s">
        <v>1862</v>
      </c>
      <c r="Q225" s="15">
        <f t="shared" ca="1" si="6"/>
        <v>26</v>
      </c>
      <c r="R225" s="15" t="str">
        <f t="shared" si="7"/>
        <v>Low</v>
      </c>
    </row>
    <row r="226" spans="1:18" s="15" customFormat="1" x14ac:dyDescent="0.3">
      <c r="A226" s="15" t="s">
        <v>613</v>
      </c>
      <c r="B226" s="15" t="s">
        <v>54</v>
      </c>
      <c r="C226" s="15" t="s">
        <v>193</v>
      </c>
      <c r="D226" s="15" t="s">
        <v>17</v>
      </c>
      <c r="E226" s="15" t="s">
        <v>18</v>
      </c>
      <c r="F226" s="15" t="s">
        <v>19</v>
      </c>
      <c r="G226" s="15" t="s">
        <v>30</v>
      </c>
      <c r="H226" s="16">
        <v>31765</v>
      </c>
      <c r="I226" s="16">
        <v>43905</v>
      </c>
      <c r="J226" s="16">
        <v>44362</v>
      </c>
      <c r="K226" s="15" t="s">
        <v>37</v>
      </c>
      <c r="L226" s="15" t="s">
        <v>43</v>
      </c>
      <c r="M226" s="15">
        <v>69793</v>
      </c>
      <c r="N226" s="15" t="s">
        <v>96</v>
      </c>
      <c r="O226" s="15">
        <v>0.49315068493150682</v>
      </c>
      <c r="P226" s="15" t="s">
        <v>1862</v>
      </c>
      <c r="Q226" s="15">
        <f t="shared" ca="1" si="6"/>
        <v>39</v>
      </c>
      <c r="R226" s="15" t="str">
        <f t="shared" si="7"/>
        <v>Medium</v>
      </c>
    </row>
    <row r="227" spans="1:18" s="15" customFormat="1" x14ac:dyDescent="0.3">
      <c r="A227" s="15" t="s">
        <v>614</v>
      </c>
      <c r="B227" s="15" t="s">
        <v>615</v>
      </c>
      <c r="C227" s="15" t="s">
        <v>435</v>
      </c>
      <c r="D227" s="15" t="s">
        <v>17</v>
      </c>
      <c r="E227" s="15" t="s">
        <v>81</v>
      </c>
      <c r="F227" s="15" t="s">
        <v>166</v>
      </c>
      <c r="G227" s="15" t="s">
        <v>30</v>
      </c>
      <c r="H227" s="16">
        <v>30150</v>
      </c>
      <c r="I227" s="16">
        <v>44020</v>
      </c>
      <c r="J227" s="16">
        <v>44457</v>
      </c>
      <c r="K227" s="15" t="s">
        <v>31</v>
      </c>
      <c r="L227" s="15" t="s">
        <v>159</v>
      </c>
      <c r="M227" s="15">
        <v>102129</v>
      </c>
      <c r="N227" s="15" t="s">
        <v>44</v>
      </c>
      <c r="O227" s="15">
        <v>4.4712328767123291</v>
      </c>
      <c r="P227" s="15" t="s">
        <v>1862</v>
      </c>
      <c r="Q227" s="15">
        <f t="shared" ca="1" si="6"/>
        <v>43</v>
      </c>
      <c r="R227" s="15" t="str">
        <f t="shared" si="7"/>
        <v>High</v>
      </c>
    </row>
    <row r="228" spans="1:18" s="15" customFormat="1" x14ac:dyDescent="0.3">
      <c r="A228" s="15" t="s">
        <v>616</v>
      </c>
      <c r="B228" s="15" t="s">
        <v>617</v>
      </c>
      <c r="C228" s="15" t="s">
        <v>201</v>
      </c>
      <c r="D228" s="15" t="s">
        <v>27</v>
      </c>
      <c r="E228" s="15" t="s">
        <v>18</v>
      </c>
      <c r="F228" s="15" t="s">
        <v>19</v>
      </c>
      <c r="G228" s="15" t="s">
        <v>112</v>
      </c>
      <c r="H228" s="16">
        <v>31559</v>
      </c>
      <c r="I228" s="16">
        <v>44381</v>
      </c>
      <c r="J228" s="16">
        <v>44561</v>
      </c>
      <c r="K228" s="15" t="s">
        <v>31</v>
      </c>
      <c r="L228" s="15" t="s">
        <v>32</v>
      </c>
      <c r="M228" s="15">
        <v>67886</v>
      </c>
      <c r="N228" s="15" t="s">
        <v>96</v>
      </c>
      <c r="O228" s="15">
        <v>7.9890410958904106</v>
      </c>
      <c r="P228" s="15" t="s">
        <v>1861</v>
      </c>
      <c r="Q228" s="15">
        <f t="shared" ca="1" si="6"/>
        <v>39</v>
      </c>
      <c r="R228" s="15" t="str">
        <f t="shared" si="7"/>
        <v>Medium</v>
      </c>
    </row>
    <row r="229" spans="1:18" s="15" customFormat="1" x14ac:dyDescent="0.3">
      <c r="A229" s="15" t="s">
        <v>618</v>
      </c>
      <c r="B229" s="15" t="s">
        <v>619</v>
      </c>
      <c r="C229" s="15" t="s">
        <v>590</v>
      </c>
      <c r="D229" s="15" t="s">
        <v>17</v>
      </c>
      <c r="E229" s="15" t="s">
        <v>18</v>
      </c>
      <c r="F229" s="15" t="s">
        <v>19</v>
      </c>
      <c r="G229" s="15" t="s">
        <v>30</v>
      </c>
      <c r="H229" s="16">
        <v>30644</v>
      </c>
      <c r="I229" s="16">
        <v>43407</v>
      </c>
      <c r="J229" s="16">
        <v>43587</v>
      </c>
      <c r="K229" s="15" t="s">
        <v>37</v>
      </c>
      <c r="L229" s="15" t="s">
        <v>43</v>
      </c>
      <c r="M229" s="15">
        <v>71889</v>
      </c>
      <c r="N229" s="15" t="s">
        <v>44</v>
      </c>
      <c r="O229" s="15">
        <v>0.49315068493150682</v>
      </c>
      <c r="P229" s="15" t="s">
        <v>1862</v>
      </c>
      <c r="Q229" s="15">
        <f t="shared" ca="1" si="6"/>
        <v>42</v>
      </c>
      <c r="R229" s="15" t="str">
        <f t="shared" si="7"/>
        <v>Medium</v>
      </c>
    </row>
    <row r="230" spans="1:18" s="15" customFormat="1" x14ac:dyDescent="0.3">
      <c r="A230" s="15" t="s">
        <v>620</v>
      </c>
      <c r="B230" s="15" t="s">
        <v>621</v>
      </c>
      <c r="C230" s="15" t="s">
        <v>440</v>
      </c>
      <c r="D230" s="15" t="s">
        <v>17</v>
      </c>
      <c r="E230" s="15" t="s">
        <v>18</v>
      </c>
      <c r="F230" s="15" t="s">
        <v>19</v>
      </c>
      <c r="G230" s="15" t="s">
        <v>20</v>
      </c>
      <c r="H230" s="16">
        <v>26602</v>
      </c>
      <c r="I230" s="16">
        <v>45449</v>
      </c>
      <c r="J230" s="16">
        <v>45629</v>
      </c>
      <c r="K230" s="15" t="s">
        <v>21</v>
      </c>
      <c r="L230" s="15" t="s">
        <v>100</v>
      </c>
      <c r="M230" s="15">
        <v>62790</v>
      </c>
      <c r="N230" s="15" t="s">
        <v>23</v>
      </c>
      <c r="O230" s="15">
        <v>0.49315068493150682</v>
      </c>
      <c r="P230" s="15" t="s">
        <v>1862</v>
      </c>
      <c r="Q230" s="15">
        <f t="shared" ca="1" si="6"/>
        <v>53</v>
      </c>
      <c r="R230" s="15" t="str">
        <f t="shared" si="7"/>
        <v>Medium</v>
      </c>
    </row>
    <row r="231" spans="1:18" s="15" customFormat="1" x14ac:dyDescent="0.3">
      <c r="A231" s="15" t="s">
        <v>622</v>
      </c>
      <c r="B231" s="15" t="s">
        <v>623</v>
      </c>
      <c r="C231" s="15" t="s">
        <v>624</v>
      </c>
      <c r="D231" s="15" t="s">
        <v>17</v>
      </c>
      <c r="E231" s="15" t="s">
        <v>18</v>
      </c>
      <c r="F231" s="15" t="s">
        <v>19</v>
      </c>
      <c r="G231" s="15" t="s">
        <v>30</v>
      </c>
      <c r="H231" s="16">
        <v>27970</v>
      </c>
      <c r="I231" s="16">
        <v>44056</v>
      </c>
      <c r="J231" s="16">
        <v>44236</v>
      </c>
      <c r="K231" s="15" t="s">
        <v>37</v>
      </c>
      <c r="L231" s="15" t="s">
        <v>38</v>
      </c>
      <c r="M231" s="15">
        <v>58167</v>
      </c>
      <c r="N231" s="15" t="s">
        <v>44</v>
      </c>
      <c r="O231" s="15">
        <v>7.9945205479452053</v>
      </c>
      <c r="P231" s="15" t="s">
        <v>1861</v>
      </c>
      <c r="Q231" s="15">
        <f t="shared" ca="1" si="6"/>
        <v>49</v>
      </c>
      <c r="R231" s="15" t="str">
        <f t="shared" si="7"/>
        <v>Low</v>
      </c>
    </row>
    <row r="232" spans="1:18" s="15" customFormat="1" x14ac:dyDescent="0.3">
      <c r="A232" s="15" t="s">
        <v>625</v>
      </c>
      <c r="B232" s="15" t="s">
        <v>626</v>
      </c>
      <c r="C232" s="15" t="s">
        <v>168</v>
      </c>
      <c r="D232" s="15" t="s">
        <v>17</v>
      </c>
      <c r="E232" s="15" t="s">
        <v>18</v>
      </c>
      <c r="F232" s="15" t="s">
        <v>19</v>
      </c>
      <c r="G232" s="15" t="s">
        <v>20</v>
      </c>
      <c r="H232" s="16">
        <v>36379</v>
      </c>
      <c r="I232" s="16">
        <v>44695</v>
      </c>
      <c r="J232" s="16">
        <v>44875</v>
      </c>
      <c r="K232" s="15" t="s">
        <v>21</v>
      </c>
      <c r="L232" s="15" t="s">
        <v>108</v>
      </c>
      <c r="M232" s="15">
        <v>59713</v>
      </c>
      <c r="N232" s="15" t="s">
        <v>23</v>
      </c>
      <c r="O232" s="15">
        <v>1.6219178082191781</v>
      </c>
      <c r="P232" s="15" t="s">
        <v>1862</v>
      </c>
      <c r="Q232" s="15">
        <f t="shared" ca="1" si="6"/>
        <v>26</v>
      </c>
      <c r="R232" s="15" t="str">
        <f t="shared" si="7"/>
        <v>Low</v>
      </c>
    </row>
    <row r="233" spans="1:18" s="15" customFormat="1" x14ac:dyDescent="0.3">
      <c r="A233" s="15" t="s">
        <v>627</v>
      </c>
      <c r="B233" s="15" t="s">
        <v>493</v>
      </c>
      <c r="C233" s="15" t="s">
        <v>628</v>
      </c>
      <c r="D233" s="15" t="s">
        <v>27</v>
      </c>
      <c r="E233" s="15" t="s">
        <v>18</v>
      </c>
      <c r="F233" s="15" t="s">
        <v>19</v>
      </c>
      <c r="G233" s="15" t="s">
        <v>30</v>
      </c>
      <c r="H233" s="16">
        <v>26638</v>
      </c>
      <c r="I233" s="16">
        <v>43594</v>
      </c>
      <c r="J233" s="16">
        <v>43774</v>
      </c>
      <c r="K233" s="15" t="s">
        <v>37</v>
      </c>
      <c r="L233" s="15" t="s">
        <v>38</v>
      </c>
      <c r="M233" s="15">
        <v>63660</v>
      </c>
      <c r="N233" s="15" t="s">
        <v>44</v>
      </c>
      <c r="O233" s="15">
        <v>1.9506849315068491</v>
      </c>
      <c r="P233" s="15" t="s">
        <v>1862</v>
      </c>
      <c r="Q233" s="15">
        <f t="shared" ca="1" si="6"/>
        <v>53</v>
      </c>
      <c r="R233" s="15" t="str">
        <f t="shared" si="7"/>
        <v>Medium</v>
      </c>
    </row>
    <row r="234" spans="1:18" s="15" customFormat="1" x14ac:dyDescent="0.3">
      <c r="A234" s="15" t="s">
        <v>629</v>
      </c>
      <c r="B234" s="15" t="s">
        <v>68</v>
      </c>
      <c r="C234" s="15" t="s">
        <v>630</v>
      </c>
      <c r="D234" s="15" t="s">
        <v>17</v>
      </c>
      <c r="E234" s="15" t="s">
        <v>18</v>
      </c>
      <c r="F234" s="15" t="s">
        <v>19</v>
      </c>
      <c r="G234" s="15" t="s">
        <v>30</v>
      </c>
      <c r="H234" s="16">
        <v>29645</v>
      </c>
      <c r="I234" s="16">
        <v>43220</v>
      </c>
      <c r="J234" s="16">
        <v>44360</v>
      </c>
      <c r="K234" s="15" t="s">
        <v>37</v>
      </c>
      <c r="L234" s="15" t="s">
        <v>41</v>
      </c>
      <c r="M234" s="15">
        <v>55713</v>
      </c>
      <c r="N234" s="15" t="s">
        <v>44</v>
      </c>
      <c r="O234" s="15">
        <v>0.49315068493150682</v>
      </c>
      <c r="P234" s="15" t="s">
        <v>1862</v>
      </c>
      <c r="Q234" s="15">
        <f t="shared" ca="1" si="6"/>
        <v>44</v>
      </c>
      <c r="R234" s="15" t="str">
        <f t="shared" si="7"/>
        <v>Low</v>
      </c>
    </row>
    <row r="235" spans="1:18" s="15" customFormat="1" x14ac:dyDescent="0.3">
      <c r="A235" s="15" t="s">
        <v>631</v>
      </c>
      <c r="B235" s="15" t="s">
        <v>25</v>
      </c>
      <c r="C235" s="15" t="s">
        <v>632</v>
      </c>
      <c r="D235" s="15" t="s">
        <v>27</v>
      </c>
      <c r="E235" s="15" t="s">
        <v>18</v>
      </c>
      <c r="F235" s="15" t="s">
        <v>19</v>
      </c>
      <c r="G235" s="15" t="s">
        <v>30</v>
      </c>
      <c r="H235" s="16">
        <v>33061</v>
      </c>
      <c r="I235" s="16">
        <v>42444</v>
      </c>
      <c r="J235" s="16">
        <v>45103</v>
      </c>
      <c r="K235" s="15" t="s">
        <v>21</v>
      </c>
      <c r="L235" s="15" t="s">
        <v>22</v>
      </c>
      <c r="M235" s="15">
        <v>78805</v>
      </c>
      <c r="N235" s="15" t="s">
        <v>33</v>
      </c>
      <c r="O235" s="15">
        <v>0.49315068493150682</v>
      </c>
      <c r="P235" s="15" t="s">
        <v>1861</v>
      </c>
      <c r="Q235" s="15">
        <f t="shared" ca="1" si="6"/>
        <v>35</v>
      </c>
      <c r="R235" s="15" t="str">
        <f t="shared" si="7"/>
        <v>Medium</v>
      </c>
    </row>
    <row r="236" spans="1:18" s="15" customFormat="1" x14ac:dyDescent="0.3">
      <c r="A236" s="15" t="s">
        <v>633</v>
      </c>
      <c r="B236" s="15" t="s">
        <v>634</v>
      </c>
      <c r="C236" s="15" t="s">
        <v>635</v>
      </c>
      <c r="D236" s="15" t="s">
        <v>17</v>
      </c>
      <c r="E236" s="15" t="s">
        <v>18</v>
      </c>
      <c r="F236" s="15" t="s">
        <v>19</v>
      </c>
      <c r="G236" s="15" t="s">
        <v>30</v>
      </c>
      <c r="H236" s="16">
        <v>28682</v>
      </c>
      <c r="I236" s="16">
        <v>44858</v>
      </c>
      <c r="J236" s="16">
        <v>45038</v>
      </c>
      <c r="K236" s="15" t="s">
        <v>94</v>
      </c>
      <c r="L236" s="15" t="s">
        <v>182</v>
      </c>
      <c r="M236" s="15">
        <v>60912</v>
      </c>
      <c r="N236" s="15" t="s">
        <v>33</v>
      </c>
      <c r="O236" s="15">
        <v>0.49315068493150682</v>
      </c>
      <c r="P236" s="15" t="s">
        <v>1861</v>
      </c>
      <c r="Q236" s="15">
        <f t="shared" ca="1" si="6"/>
        <v>47</v>
      </c>
      <c r="R236" s="15" t="str">
        <f t="shared" si="7"/>
        <v>Medium</v>
      </c>
    </row>
    <row r="237" spans="1:18" s="15" customFormat="1" x14ac:dyDescent="0.3">
      <c r="A237" s="15" t="s">
        <v>636</v>
      </c>
      <c r="B237" s="15" t="s">
        <v>363</v>
      </c>
      <c r="C237" s="15" t="s">
        <v>637</v>
      </c>
      <c r="D237" s="15" t="s">
        <v>27</v>
      </c>
      <c r="E237" s="15" t="s">
        <v>18</v>
      </c>
      <c r="F237" s="15" t="s">
        <v>19</v>
      </c>
      <c r="G237" s="15" t="s">
        <v>20</v>
      </c>
      <c r="H237" s="16">
        <v>29502</v>
      </c>
      <c r="I237" s="16">
        <v>43022</v>
      </c>
      <c r="J237" s="16">
        <v>43201</v>
      </c>
      <c r="K237" s="15" t="s">
        <v>37</v>
      </c>
      <c r="L237" s="15" t="s">
        <v>41</v>
      </c>
      <c r="M237" s="15">
        <v>66240</v>
      </c>
      <c r="N237" s="15" t="s">
        <v>23</v>
      </c>
      <c r="O237" s="15">
        <v>0.49315068493150682</v>
      </c>
      <c r="P237" s="15" t="s">
        <v>1862</v>
      </c>
      <c r="Q237" s="15">
        <f t="shared" ca="1" si="6"/>
        <v>45</v>
      </c>
      <c r="R237" s="15" t="str">
        <f t="shared" si="7"/>
        <v>Medium</v>
      </c>
    </row>
    <row r="238" spans="1:18" s="15" customFormat="1" x14ac:dyDescent="0.3">
      <c r="A238" s="15" t="s">
        <v>638</v>
      </c>
      <c r="B238" s="15" t="s">
        <v>274</v>
      </c>
      <c r="C238" s="15" t="s">
        <v>639</v>
      </c>
      <c r="D238" s="15" t="s">
        <v>27</v>
      </c>
      <c r="E238" s="15" t="s">
        <v>18</v>
      </c>
      <c r="F238" s="15" t="s">
        <v>19</v>
      </c>
      <c r="G238" s="15" t="s">
        <v>20</v>
      </c>
      <c r="H238" s="16">
        <v>32990</v>
      </c>
      <c r="I238" s="16">
        <v>42665</v>
      </c>
      <c r="J238" s="16">
        <v>43767</v>
      </c>
      <c r="K238" s="15" t="s">
        <v>21</v>
      </c>
      <c r="L238" s="15" t="s">
        <v>108</v>
      </c>
      <c r="M238" s="15">
        <v>60280</v>
      </c>
      <c r="N238" s="15" t="s">
        <v>96</v>
      </c>
      <c r="O238" s="15">
        <v>1.252054794520548</v>
      </c>
      <c r="P238" s="15" t="s">
        <v>1861</v>
      </c>
      <c r="Q238" s="15">
        <f t="shared" ca="1" si="6"/>
        <v>35</v>
      </c>
      <c r="R238" s="15" t="str">
        <f t="shared" si="7"/>
        <v>Medium</v>
      </c>
    </row>
    <row r="239" spans="1:18" s="15" customFormat="1" x14ac:dyDescent="0.3">
      <c r="A239" s="15" t="s">
        <v>640</v>
      </c>
      <c r="B239" s="15" t="s">
        <v>641</v>
      </c>
      <c r="C239" s="15" t="s">
        <v>642</v>
      </c>
      <c r="D239" s="15" t="s">
        <v>27</v>
      </c>
      <c r="E239" s="15" t="s">
        <v>18</v>
      </c>
      <c r="F239" s="15" t="s">
        <v>19</v>
      </c>
      <c r="G239" s="15" t="s">
        <v>30</v>
      </c>
      <c r="H239" s="16">
        <v>32595</v>
      </c>
      <c r="I239" s="16">
        <v>45331</v>
      </c>
      <c r="J239" s="16">
        <v>45511</v>
      </c>
      <c r="K239" s="15" t="s">
        <v>21</v>
      </c>
      <c r="L239" s="15" t="s">
        <v>100</v>
      </c>
      <c r="M239" s="15">
        <v>64287</v>
      </c>
      <c r="N239" s="15" t="s">
        <v>33</v>
      </c>
      <c r="O239" s="15">
        <v>1.197260273972603</v>
      </c>
      <c r="P239" s="15" t="s">
        <v>1862</v>
      </c>
      <c r="Q239" s="15">
        <f t="shared" ca="1" si="6"/>
        <v>36</v>
      </c>
      <c r="R239" s="15" t="str">
        <f t="shared" si="7"/>
        <v>Medium</v>
      </c>
    </row>
    <row r="240" spans="1:18" s="15" customFormat="1" x14ac:dyDescent="0.3">
      <c r="A240" s="15" t="s">
        <v>643</v>
      </c>
      <c r="B240" s="15" t="s">
        <v>644</v>
      </c>
      <c r="C240" s="15" t="s">
        <v>440</v>
      </c>
      <c r="D240" s="15" t="s">
        <v>27</v>
      </c>
      <c r="E240" s="15" t="s">
        <v>18</v>
      </c>
      <c r="F240" s="15" t="s">
        <v>19</v>
      </c>
      <c r="G240" s="15" t="s">
        <v>112</v>
      </c>
      <c r="H240" s="16">
        <v>30352</v>
      </c>
      <c r="I240" s="16">
        <v>45067</v>
      </c>
      <c r="J240" s="16">
        <v>45247</v>
      </c>
      <c r="K240" s="15" t="s">
        <v>94</v>
      </c>
      <c r="L240" s="15" t="s">
        <v>117</v>
      </c>
      <c r="M240" s="15">
        <v>66781</v>
      </c>
      <c r="N240" s="15" t="s">
        <v>96</v>
      </c>
      <c r="O240" s="15">
        <v>0.49315068493150682</v>
      </c>
      <c r="P240" s="15" t="s">
        <v>1861</v>
      </c>
      <c r="Q240" s="15">
        <f t="shared" ca="1" si="6"/>
        <v>42</v>
      </c>
      <c r="R240" s="15" t="str">
        <f t="shared" si="7"/>
        <v>Medium</v>
      </c>
    </row>
    <row r="241" spans="1:18" s="15" customFormat="1" x14ac:dyDescent="0.3">
      <c r="A241" s="15" t="s">
        <v>645</v>
      </c>
      <c r="B241" s="15" t="s">
        <v>646</v>
      </c>
      <c r="C241" s="15" t="s">
        <v>193</v>
      </c>
      <c r="D241" s="15" t="s">
        <v>27</v>
      </c>
      <c r="E241" s="15" t="s">
        <v>18</v>
      </c>
      <c r="F241" s="15" t="s">
        <v>19</v>
      </c>
      <c r="G241" s="15" t="s">
        <v>30</v>
      </c>
      <c r="H241" s="16">
        <v>25775</v>
      </c>
      <c r="I241" s="16">
        <v>43673</v>
      </c>
      <c r="J241" s="16">
        <v>43853</v>
      </c>
      <c r="K241" s="15" t="s">
        <v>94</v>
      </c>
      <c r="L241" s="15" t="s">
        <v>182</v>
      </c>
      <c r="M241" s="15">
        <v>84094</v>
      </c>
      <c r="N241" s="15" t="s">
        <v>33</v>
      </c>
      <c r="O241" s="15">
        <v>0.49315068493150682</v>
      </c>
      <c r="P241" s="15" t="s">
        <v>1862</v>
      </c>
      <c r="Q241" s="15">
        <f t="shared" ca="1" si="6"/>
        <v>55</v>
      </c>
      <c r="R241" s="15" t="str">
        <f t="shared" si="7"/>
        <v>Medium</v>
      </c>
    </row>
    <row r="242" spans="1:18" s="15" customFormat="1" x14ac:dyDescent="0.3">
      <c r="A242" s="15" t="s">
        <v>647</v>
      </c>
      <c r="B242" s="15" t="s">
        <v>76</v>
      </c>
      <c r="C242" s="15" t="s">
        <v>89</v>
      </c>
      <c r="D242" s="15" t="s">
        <v>17</v>
      </c>
      <c r="E242" s="15" t="s">
        <v>18</v>
      </c>
      <c r="F242" s="15" t="s">
        <v>19</v>
      </c>
      <c r="G242" s="15" t="s">
        <v>30</v>
      </c>
      <c r="H242" s="16">
        <v>26132</v>
      </c>
      <c r="I242" s="16">
        <v>43122</v>
      </c>
      <c r="J242" s="16">
        <v>45408</v>
      </c>
      <c r="K242" s="15" t="s">
        <v>94</v>
      </c>
      <c r="L242" s="15" t="s">
        <v>182</v>
      </c>
      <c r="M242" s="15">
        <v>66981</v>
      </c>
      <c r="N242" s="15" t="s">
        <v>33</v>
      </c>
      <c r="O242" s="15">
        <v>0.49315068493150682</v>
      </c>
      <c r="P242" s="15" t="s">
        <v>1861</v>
      </c>
      <c r="Q242" s="15">
        <f t="shared" ca="1" si="6"/>
        <v>54</v>
      </c>
      <c r="R242" s="15" t="str">
        <f t="shared" si="7"/>
        <v>Medium</v>
      </c>
    </row>
    <row r="243" spans="1:18" s="15" customFormat="1" x14ac:dyDescent="0.3">
      <c r="A243" s="15" t="s">
        <v>648</v>
      </c>
      <c r="B243" s="15" t="s">
        <v>617</v>
      </c>
      <c r="C243" s="15" t="s">
        <v>649</v>
      </c>
      <c r="D243" s="15" t="s">
        <v>17</v>
      </c>
      <c r="E243" s="15" t="s">
        <v>18</v>
      </c>
      <c r="F243" s="15" t="s">
        <v>19</v>
      </c>
      <c r="G243" s="15" t="s">
        <v>30</v>
      </c>
      <c r="H243" s="16">
        <v>28724</v>
      </c>
      <c r="I243" s="16">
        <v>44611</v>
      </c>
      <c r="J243" s="16">
        <v>45160</v>
      </c>
      <c r="K243" s="15" t="s">
        <v>21</v>
      </c>
      <c r="L243" s="15" t="s">
        <v>22</v>
      </c>
      <c r="M243" s="15">
        <v>78546</v>
      </c>
      <c r="N243" s="15" t="s">
        <v>33</v>
      </c>
      <c r="O243" s="15">
        <v>0.49315068493150682</v>
      </c>
      <c r="P243" s="15" t="s">
        <v>1862</v>
      </c>
      <c r="Q243" s="15">
        <f t="shared" ca="1" si="6"/>
        <v>47</v>
      </c>
      <c r="R243" s="15" t="str">
        <f t="shared" si="7"/>
        <v>Medium</v>
      </c>
    </row>
    <row r="244" spans="1:18" s="15" customFormat="1" x14ac:dyDescent="0.3">
      <c r="A244" s="15" t="s">
        <v>650</v>
      </c>
      <c r="B244" s="15" t="s">
        <v>501</v>
      </c>
      <c r="C244" s="15" t="s">
        <v>651</v>
      </c>
      <c r="D244" s="15" t="s">
        <v>27</v>
      </c>
      <c r="E244" s="15" t="s">
        <v>169</v>
      </c>
      <c r="F244" s="15" t="s">
        <v>652</v>
      </c>
      <c r="G244" s="15" t="s">
        <v>30</v>
      </c>
      <c r="H244" s="16">
        <v>23942</v>
      </c>
      <c r="I244" s="16">
        <v>42775</v>
      </c>
      <c r="J244" s="16">
        <v>44123</v>
      </c>
      <c r="K244" s="15" t="s">
        <v>37</v>
      </c>
      <c r="L244" s="15" t="s">
        <v>38</v>
      </c>
      <c r="M244" s="15">
        <v>64019</v>
      </c>
      <c r="N244" s="15" t="s">
        <v>33</v>
      </c>
      <c r="O244" s="15">
        <v>0.49315068493150682</v>
      </c>
      <c r="P244" s="15" t="s">
        <v>1861</v>
      </c>
      <c r="Q244" s="15">
        <f t="shared" ca="1" si="6"/>
        <v>60</v>
      </c>
      <c r="R244" s="15" t="str">
        <f t="shared" si="7"/>
        <v>Medium</v>
      </c>
    </row>
    <row r="245" spans="1:18" s="15" customFormat="1" x14ac:dyDescent="0.3">
      <c r="A245" s="15" t="s">
        <v>653</v>
      </c>
      <c r="B245" s="15" t="s">
        <v>213</v>
      </c>
      <c r="C245" s="15" t="s">
        <v>654</v>
      </c>
      <c r="D245" s="15" t="s">
        <v>27</v>
      </c>
      <c r="E245" s="15" t="s">
        <v>18</v>
      </c>
      <c r="F245" s="15" t="s">
        <v>19</v>
      </c>
      <c r="G245" s="15" t="s">
        <v>30</v>
      </c>
      <c r="H245" s="16">
        <v>31041</v>
      </c>
      <c r="I245" s="16">
        <v>42552</v>
      </c>
      <c r="J245" s="16">
        <v>44297</v>
      </c>
      <c r="K245" s="15" t="s">
        <v>94</v>
      </c>
      <c r="L245" s="15" t="s">
        <v>182</v>
      </c>
      <c r="M245" s="15">
        <v>80980</v>
      </c>
      <c r="N245" s="15" t="s">
        <v>96</v>
      </c>
      <c r="O245" s="15">
        <v>0.49315068493150682</v>
      </c>
      <c r="P245" s="15" t="s">
        <v>1862</v>
      </c>
      <c r="Q245" s="15">
        <f t="shared" ca="1" si="6"/>
        <v>41</v>
      </c>
      <c r="R245" s="15" t="str">
        <f t="shared" si="7"/>
        <v>Medium</v>
      </c>
    </row>
    <row r="246" spans="1:18" s="15" customFormat="1" x14ac:dyDescent="0.3">
      <c r="A246" s="15" t="s">
        <v>655</v>
      </c>
      <c r="B246" s="15" t="s">
        <v>600</v>
      </c>
      <c r="C246" s="15" t="s">
        <v>588</v>
      </c>
      <c r="D246" s="15" t="s">
        <v>17</v>
      </c>
      <c r="E246" s="15" t="s">
        <v>656</v>
      </c>
      <c r="F246" s="15" t="s">
        <v>657</v>
      </c>
      <c r="G246" s="15" t="s">
        <v>30</v>
      </c>
      <c r="H246" s="16">
        <v>33440</v>
      </c>
      <c r="I246" s="16">
        <v>44581</v>
      </c>
      <c r="J246" s="16">
        <v>44761</v>
      </c>
      <c r="K246" s="15" t="s">
        <v>94</v>
      </c>
      <c r="L246" s="15" t="s">
        <v>182</v>
      </c>
      <c r="M246" s="15">
        <v>58242</v>
      </c>
      <c r="N246" s="15" t="s">
        <v>33</v>
      </c>
      <c r="O246" s="15">
        <v>3.1232876712328772</v>
      </c>
      <c r="P246" s="15" t="s">
        <v>1862</v>
      </c>
      <c r="Q246" s="15">
        <f t="shared" ca="1" si="6"/>
        <v>34</v>
      </c>
      <c r="R246" s="15" t="str">
        <f t="shared" si="7"/>
        <v>Low</v>
      </c>
    </row>
    <row r="247" spans="1:18" s="15" customFormat="1" x14ac:dyDescent="0.3">
      <c r="A247" s="15" t="s">
        <v>658</v>
      </c>
      <c r="B247" s="15" t="s">
        <v>659</v>
      </c>
      <c r="C247" s="15" t="s">
        <v>660</v>
      </c>
      <c r="D247" s="15" t="s">
        <v>17</v>
      </c>
      <c r="E247" s="15" t="s">
        <v>18</v>
      </c>
      <c r="F247" s="15" t="s">
        <v>19</v>
      </c>
      <c r="G247" s="15" t="s">
        <v>112</v>
      </c>
      <c r="H247" s="16">
        <v>31627</v>
      </c>
      <c r="I247" s="16">
        <v>43875</v>
      </c>
      <c r="J247" s="16">
        <v>45110</v>
      </c>
      <c r="K247" s="15" t="s">
        <v>31</v>
      </c>
      <c r="L247" s="15" t="s">
        <v>159</v>
      </c>
      <c r="M247" s="15">
        <v>95432</v>
      </c>
      <c r="N247" s="15" t="s">
        <v>33</v>
      </c>
      <c r="O247" s="15">
        <v>7.2849315068493148</v>
      </c>
      <c r="P247" s="15" t="s">
        <v>1861</v>
      </c>
      <c r="Q247" s="15">
        <f t="shared" ca="1" si="6"/>
        <v>39</v>
      </c>
      <c r="R247" s="15" t="str">
        <f t="shared" si="7"/>
        <v>Medium</v>
      </c>
    </row>
    <row r="248" spans="1:18" s="15" customFormat="1" x14ac:dyDescent="0.3">
      <c r="A248" s="15" t="s">
        <v>661</v>
      </c>
      <c r="B248" s="15" t="s">
        <v>662</v>
      </c>
      <c r="C248" s="15" t="s">
        <v>133</v>
      </c>
      <c r="D248" s="15" t="s">
        <v>27</v>
      </c>
      <c r="E248" s="15" t="s">
        <v>18</v>
      </c>
      <c r="F248" s="15" t="s">
        <v>19</v>
      </c>
      <c r="G248" s="15" t="s">
        <v>30</v>
      </c>
      <c r="H248" s="16">
        <v>24319</v>
      </c>
      <c r="I248" s="16">
        <v>43494</v>
      </c>
      <c r="J248" s="16">
        <v>44447</v>
      </c>
      <c r="K248" s="15" t="s">
        <v>21</v>
      </c>
      <c r="L248" s="15" t="s">
        <v>108</v>
      </c>
      <c r="M248" s="15">
        <v>72036</v>
      </c>
      <c r="N248" s="15" t="s">
        <v>33</v>
      </c>
      <c r="O248" s="15">
        <v>0.49315068493150682</v>
      </c>
      <c r="P248" s="15" t="s">
        <v>1862</v>
      </c>
      <c r="Q248" s="15">
        <f t="shared" ca="1" si="6"/>
        <v>59</v>
      </c>
      <c r="R248" s="15" t="str">
        <f t="shared" si="7"/>
        <v>Medium</v>
      </c>
    </row>
    <row r="249" spans="1:18" s="15" customFormat="1" x14ac:dyDescent="0.3">
      <c r="A249" s="15" t="s">
        <v>663</v>
      </c>
      <c r="B249" s="15" t="s">
        <v>570</v>
      </c>
      <c r="C249" s="15" t="s">
        <v>664</v>
      </c>
      <c r="D249" s="15" t="s">
        <v>17</v>
      </c>
      <c r="E249" s="15" t="s">
        <v>18</v>
      </c>
      <c r="F249" s="15" t="s">
        <v>19</v>
      </c>
      <c r="G249" s="15" t="s">
        <v>30</v>
      </c>
      <c r="H249" s="16">
        <v>29581</v>
      </c>
      <c r="I249" s="16">
        <v>43889</v>
      </c>
      <c r="J249" s="16">
        <v>44069</v>
      </c>
      <c r="K249" s="15" t="s">
        <v>94</v>
      </c>
      <c r="L249" s="15" t="s">
        <v>182</v>
      </c>
      <c r="M249" s="15">
        <v>69216</v>
      </c>
      <c r="N249" s="15" t="s">
        <v>44</v>
      </c>
      <c r="O249" s="15">
        <v>0.49041095890410957</v>
      </c>
      <c r="P249" s="15" t="s">
        <v>1861</v>
      </c>
      <c r="Q249" s="15">
        <f t="shared" ca="1" si="6"/>
        <v>45</v>
      </c>
      <c r="R249" s="15" t="str">
        <f t="shared" si="7"/>
        <v>Medium</v>
      </c>
    </row>
    <row r="250" spans="1:18" s="15" customFormat="1" x14ac:dyDescent="0.3">
      <c r="A250" s="15" t="s">
        <v>665</v>
      </c>
      <c r="B250" s="15" t="s">
        <v>666</v>
      </c>
      <c r="C250" s="15" t="s">
        <v>667</v>
      </c>
      <c r="D250" s="15" t="s">
        <v>27</v>
      </c>
      <c r="E250" s="15" t="s">
        <v>354</v>
      </c>
      <c r="F250" s="15" t="s">
        <v>404</v>
      </c>
      <c r="G250" s="15" t="s">
        <v>30</v>
      </c>
      <c r="H250" s="16">
        <v>28695</v>
      </c>
      <c r="I250" s="16">
        <v>44679</v>
      </c>
      <c r="J250" s="16">
        <v>44859</v>
      </c>
      <c r="K250" s="15" t="s">
        <v>21</v>
      </c>
      <c r="L250" s="15" t="s">
        <v>100</v>
      </c>
      <c r="M250" s="15">
        <v>63344</v>
      </c>
      <c r="N250" s="15" t="s">
        <v>23</v>
      </c>
      <c r="O250" s="15">
        <v>3.0191780821917811</v>
      </c>
      <c r="P250" s="15" t="s">
        <v>1861</v>
      </c>
      <c r="Q250" s="15">
        <f t="shared" ca="1" si="6"/>
        <v>47</v>
      </c>
      <c r="R250" s="15" t="str">
        <f t="shared" si="7"/>
        <v>Medium</v>
      </c>
    </row>
    <row r="251" spans="1:18" s="15" customFormat="1" x14ac:dyDescent="0.3">
      <c r="A251" s="15" t="s">
        <v>668</v>
      </c>
      <c r="B251" s="15" t="s">
        <v>615</v>
      </c>
      <c r="C251" s="15" t="s">
        <v>226</v>
      </c>
      <c r="D251" s="15" t="s">
        <v>27</v>
      </c>
      <c r="E251" s="15" t="s">
        <v>28</v>
      </c>
      <c r="F251" s="15" t="s">
        <v>116</v>
      </c>
      <c r="G251" s="15" t="s">
        <v>30</v>
      </c>
      <c r="H251" s="16">
        <v>29476</v>
      </c>
      <c r="I251" s="16">
        <v>43316</v>
      </c>
      <c r="J251" s="16">
        <v>43496</v>
      </c>
      <c r="K251" s="15" t="s">
        <v>65</v>
      </c>
      <c r="L251" s="15" t="s">
        <v>131</v>
      </c>
      <c r="M251" s="15">
        <v>63342</v>
      </c>
      <c r="N251" s="15" t="s">
        <v>33</v>
      </c>
      <c r="O251" s="15">
        <v>0.49315068493150682</v>
      </c>
      <c r="P251" s="15" t="s">
        <v>1861</v>
      </c>
      <c r="Q251" s="15">
        <f t="shared" ca="1" si="6"/>
        <v>45</v>
      </c>
      <c r="R251" s="15" t="str">
        <f t="shared" si="7"/>
        <v>Medium</v>
      </c>
    </row>
    <row r="252" spans="1:18" s="15" customFormat="1" x14ac:dyDescent="0.3">
      <c r="A252" s="15" t="s">
        <v>669</v>
      </c>
      <c r="B252" s="15" t="s">
        <v>670</v>
      </c>
      <c r="C252" s="15" t="s">
        <v>671</v>
      </c>
      <c r="D252" s="15" t="s">
        <v>27</v>
      </c>
      <c r="E252" s="15" t="s">
        <v>81</v>
      </c>
      <c r="F252" s="15" t="s">
        <v>82</v>
      </c>
      <c r="G252" s="15" t="s">
        <v>30</v>
      </c>
      <c r="H252" s="16">
        <v>36676</v>
      </c>
      <c r="I252" s="16">
        <v>43043</v>
      </c>
      <c r="J252" s="16">
        <v>43500</v>
      </c>
      <c r="K252" s="15" t="s">
        <v>21</v>
      </c>
      <c r="L252" s="15" t="s">
        <v>100</v>
      </c>
      <c r="M252" s="15">
        <v>67818</v>
      </c>
      <c r="N252" s="15" t="s">
        <v>44</v>
      </c>
      <c r="O252" s="15">
        <v>0.49315068493150682</v>
      </c>
      <c r="P252" s="15" t="s">
        <v>1862</v>
      </c>
      <c r="Q252" s="15">
        <f t="shared" ca="1" si="6"/>
        <v>25</v>
      </c>
      <c r="R252" s="15" t="str">
        <f t="shared" si="7"/>
        <v>Medium</v>
      </c>
    </row>
    <row r="253" spans="1:18" s="15" customFormat="1" x14ac:dyDescent="0.3">
      <c r="A253" s="15" t="s">
        <v>672</v>
      </c>
      <c r="B253" s="15" t="s">
        <v>307</v>
      </c>
      <c r="C253" s="15" t="s">
        <v>673</v>
      </c>
      <c r="D253" s="15" t="s">
        <v>27</v>
      </c>
      <c r="E253" s="15" t="s">
        <v>18</v>
      </c>
      <c r="F253" s="15" t="s">
        <v>19</v>
      </c>
      <c r="G253" s="15" t="s">
        <v>30</v>
      </c>
      <c r="H253" s="16">
        <v>22269</v>
      </c>
      <c r="I253" s="16">
        <v>44709</v>
      </c>
      <c r="J253" s="16">
        <v>45580</v>
      </c>
      <c r="K253" s="15" t="s">
        <v>21</v>
      </c>
      <c r="L253" s="15" t="s">
        <v>100</v>
      </c>
      <c r="M253" s="15">
        <v>74416</v>
      </c>
      <c r="N253" s="15" t="s">
        <v>33</v>
      </c>
      <c r="O253" s="15">
        <v>0.49315068493150682</v>
      </c>
      <c r="P253" s="15" t="s">
        <v>1861</v>
      </c>
      <c r="Q253" s="15">
        <f t="shared" ca="1" si="6"/>
        <v>65</v>
      </c>
      <c r="R253" s="15" t="str">
        <f t="shared" si="7"/>
        <v>Medium</v>
      </c>
    </row>
    <row r="254" spans="1:18" s="15" customFormat="1" x14ac:dyDescent="0.3">
      <c r="A254" s="15" t="s">
        <v>674</v>
      </c>
      <c r="B254" s="15" t="s">
        <v>225</v>
      </c>
      <c r="C254" s="15" t="s">
        <v>453</v>
      </c>
      <c r="D254" s="15" t="s">
        <v>17</v>
      </c>
      <c r="E254" s="15" t="s">
        <v>18</v>
      </c>
      <c r="F254" s="15" t="s">
        <v>19</v>
      </c>
      <c r="G254" s="15" t="s">
        <v>20</v>
      </c>
      <c r="H254" s="16">
        <v>33856</v>
      </c>
      <c r="I254" s="16">
        <v>43070</v>
      </c>
      <c r="J254" s="16">
        <v>43250</v>
      </c>
      <c r="K254" s="15" t="s">
        <v>21</v>
      </c>
      <c r="L254" s="15" t="s">
        <v>100</v>
      </c>
      <c r="M254" s="15">
        <v>59823</v>
      </c>
      <c r="N254" s="15" t="s">
        <v>96</v>
      </c>
      <c r="O254" s="15">
        <v>6.2630136986301368</v>
      </c>
      <c r="P254" s="15" t="s">
        <v>1862</v>
      </c>
      <c r="Q254" s="15">
        <f t="shared" ca="1" si="6"/>
        <v>33</v>
      </c>
      <c r="R254" s="15" t="str">
        <f t="shared" si="7"/>
        <v>Low</v>
      </c>
    </row>
    <row r="255" spans="1:18" s="15" customFormat="1" x14ac:dyDescent="0.3">
      <c r="A255" s="15" t="s">
        <v>675</v>
      </c>
      <c r="B255" s="15" t="s">
        <v>230</v>
      </c>
      <c r="C255" s="15" t="s">
        <v>676</v>
      </c>
      <c r="D255" s="15" t="s">
        <v>27</v>
      </c>
      <c r="E255" s="15" t="s">
        <v>18</v>
      </c>
      <c r="F255" s="15" t="s">
        <v>19</v>
      </c>
      <c r="G255" s="15" t="s">
        <v>30</v>
      </c>
      <c r="H255" s="16">
        <v>27356</v>
      </c>
      <c r="I255" s="16">
        <v>42956</v>
      </c>
      <c r="J255" s="16">
        <v>43136</v>
      </c>
      <c r="K255" s="15" t="s">
        <v>65</v>
      </c>
      <c r="L255" s="15" t="s">
        <v>314</v>
      </c>
      <c r="M255" s="15">
        <v>77963</v>
      </c>
      <c r="N255" s="15" t="s">
        <v>96</v>
      </c>
      <c r="O255" s="15">
        <v>1.504109589041096</v>
      </c>
      <c r="P255" s="15" t="s">
        <v>1861</v>
      </c>
      <c r="Q255" s="15">
        <f t="shared" ca="1" si="6"/>
        <v>51</v>
      </c>
      <c r="R255" s="15" t="str">
        <f t="shared" si="7"/>
        <v>Medium</v>
      </c>
    </row>
    <row r="256" spans="1:18" s="15" customFormat="1" x14ac:dyDescent="0.3">
      <c r="A256" s="15" t="s">
        <v>677</v>
      </c>
      <c r="B256" s="15" t="s">
        <v>307</v>
      </c>
      <c r="C256" s="15" t="s">
        <v>678</v>
      </c>
      <c r="D256" s="15" t="s">
        <v>27</v>
      </c>
      <c r="E256" s="15" t="s">
        <v>18</v>
      </c>
      <c r="F256" s="15" t="s">
        <v>19</v>
      </c>
      <c r="G256" s="15" t="s">
        <v>20</v>
      </c>
      <c r="H256" s="16">
        <v>27665</v>
      </c>
      <c r="I256" s="16">
        <v>43023</v>
      </c>
      <c r="J256" s="16">
        <v>43202</v>
      </c>
      <c r="K256" s="15" t="s">
        <v>37</v>
      </c>
      <c r="L256" s="15" t="s">
        <v>41</v>
      </c>
      <c r="M256" s="15">
        <v>58852</v>
      </c>
      <c r="N256" s="15" t="s">
        <v>23</v>
      </c>
      <c r="O256" s="15">
        <v>3.6931506849315072</v>
      </c>
      <c r="P256" s="15" t="s">
        <v>1861</v>
      </c>
      <c r="Q256" s="15">
        <f t="shared" ca="1" si="6"/>
        <v>50</v>
      </c>
      <c r="R256" s="15" t="str">
        <f t="shared" si="7"/>
        <v>Low</v>
      </c>
    </row>
    <row r="257" spans="1:18" s="15" customFormat="1" x14ac:dyDescent="0.3">
      <c r="A257" s="15" t="s">
        <v>679</v>
      </c>
      <c r="B257" s="15" t="s">
        <v>680</v>
      </c>
      <c r="C257" s="15" t="s">
        <v>681</v>
      </c>
      <c r="D257" s="15" t="s">
        <v>17</v>
      </c>
      <c r="E257" s="15" t="s">
        <v>18</v>
      </c>
      <c r="F257" s="15" t="s">
        <v>19</v>
      </c>
      <c r="G257" s="15" t="s">
        <v>30</v>
      </c>
      <c r="H257" s="16">
        <v>32258</v>
      </c>
      <c r="I257" s="16">
        <v>42978</v>
      </c>
      <c r="J257" s="16">
        <v>43158</v>
      </c>
      <c r="K257" s="15" t="s">
        <v>37</v>
      </c>
      <c r="L257" s="15" t="s">
        <v>38</v>
      </c>
      <c r="M257" s="15">
        <v>56099</v>
      </c>
      <c r="N257" s="15" t="s">
        <v>96</v>
      </c>
      <c r="O257" s="15">
        <v>4.7808219178082192</v>
      </c>
      <c r="P257" s="15" t="s">
        <v>1862</v>
      </c>
      <c r="Q257" s="15">
        <f t="shared" ca="1" si="6"/>
        <v>37</v>
      </c>
      <c r="R257" s="15" t="str">
        <f t="shared" si="7"/>
        <v>Low</v>
      </c>
    </row>
    <row r="258" spans="1:18" s="15" customFormat="1" x14ac:dyDescent="0.3">
      <c r="A258" s="15" t="s">
        <v>682</v>
      </c>
      <c r="B258" s="15" t="s">
        <v>135</v>
      </c>
      <c r="C258" s="15" t="s">
        <v>683</v>
      </c>
      <c r="D258" s="15" t="s">
        <v>27</v>
      </c>
      <c r="E258" s="15" t="s">
        <v>169</v>
      </c>
      <c r="F258" s="15" t="s">
        <v>652</v>
      </c>
      <c r="G258" s="15" t="s">
        <v>30</v>
      </c>
      <c r="H258" s="16">
        <v>24677</v>
      </c>
      <c r="I258" s="16">
        <v>43161</v>
      </c>
      <c r="J258" s="16">
        <v>43603</v>
      </c>
      <c r="K258" s="15" t="s">
        <v>94</v>
      </c>
      <c r="L258" s="15" t="s">
        <v>182</v>
      </c>
      <c r="M258" s="15">
        <v>80089</v>
      </c>
      <c r="N258" s="15" t="s">
        <v>33</v>
      </c>
      <c r="O258" s="15">
        <v>0.49315068493150682</v>
      </c>
      <c r="P258" s="15" t="s">
        <v>1861</v>
      </c>
      <c r="Q258" s="15">
        <f t="shared" ref="Q258:Q321" ca="1" si="8">DATEDIF(H258, TODAY(), "Y")</f>
        <v>58</v>
      </c>
      <c r="R258" s="15" t="str">
        <f t="shared" si="7"/>
        <v>Medium</v>
      </c>
    </row>
    <row r="259" spans="1:18" s="15" customFormat="1" x14ac:dyDescent="0.3">
      <c r="A259" s="15" t="s">
        <v>684</v>
      </c>
      <c r="B259" s="15" t="s">
        <v>25</v>
      </c>
      <c r="C259" s="15" t="s">
        <v>359</v>
      </c>
      <c r="D259" s="15" t="s">
        <v>17</v>
      </c>
      <c r="E259" s="15" t="s">
        <v>18</v>
      </c>
      <c r="F259" s="15" t="s">
        <v>19</v>
      </c>
      <c r="G259" s="15" t="s">
        <v>30</v>
      </c>
      <c r="H259" s="16">
        <v>27743</v>
      </c>
      <c r="I259" s="16">
        <v>43161</v>
      </c>
      <c r="J259" s="16">
        <v>44546</v>
      </c>
      <c r="K259" s="15" t="s">
        <v>37</v>
      </c>
      <c r="L259" s="15" t="s">
        <v>38</v>
      </c>
      <c r="M259" s="15">
        <v>54065</v>
      </c>
      <c r="N259" s="15" t="s">
        <v>44</v>
      </c>
      <c r="O259" s="15">
        <v>3.3835616438356171</v>
      </c>
      <c r="P259" s="15" t="s">
        <v>1862</v>
      </c>
      <c r="Q259" s="15">
        <f t="shared" ca="1" si="8"/>
        <v>50</v>
      </c>
      <c r="R259" s="15" t="str">
        <f t="shared" ref="R259:R322" si="9">IF(M259:M1224&gt;100000,"High",IF(M259:M1224&gt;60000,"Medium","Low"))</f>
        <v>Low</v>
      </c>
    </row>
    <row r="260" spans="1:18" s="15" customFormat="1" x14ac:dyDescent="0.3">
      <c r="A260" s="15" t="s">
        <v>685</v>
      </c>
      <c r="B260" s="15" t="s">
        <v>448</v>
      </c>
      <c r="C260" s="15" t="s">
        <v>686</v>
      </c>
      <c r="D260" s="15" t="s">
        <v>17</v>
      </c>
      <c r="E260" s="15" t="s">
        <v>81</v>
      </c>
      <c r="F260" s="15" t="s">
        <v>166</v>
      </c>
      <c r="G260" s="15" t="s">
        <v>30</v>
      </c>
      <c r="H260" s="16">
        <v>31996</v>
      </c>
      <c r="I260" s="16">
        <v>43330</v>
      </c>
      <c r="J260" s="16">
        <v>43510</v>
      </c>
      <c r="K260" s="15" t="s">
        <v>51</v>
      </c>
      <c r="L260" s="15" t="s">
        <v>56</v>
      </c>
      <c r="M260" s="15">
        <v>65623</v>
      </c>
      <c r="N260" s="15" t="s">
        <v>23</v>
      </c>
      <c r="O260" s="15">
        <v>2.6109589041095891</v>
      </c>
      <c r="P260" s="15" t="s">
        <v>1861</v>
      </c>
      <c r="Q260" s="15">
        <f t="shared" ca="1" si="8"/>
        <v>38</v>
      </c>
      <c r="R260" s="15" t="str">
        <f t="shared" si="9"/>
        <v>Medium</v>
      </c>
    </row>
    <row r="261" spans="1:18" s="15" customFormat="1" x14ac:dyDescent="0.3">
      <c r="A261" s="15" t="s">
        <v>687</v>
      </c>
      <c r="B261" s="15" t="s">
        <v>649</v>
      </c>
      <c r="C261" s="15" t="s">
        <v>16</v>
      </c>
      <c r="D261" s="15" t="s">
        <v>27</v>
      </c>
      <c r="E261" s="15" t="s">
        <v>18</v>
      </c>
      <c r="F261" s="15" t="s">
        <v>19</v>
      </c>
      <c r="G261" s="15" t="s">
        <v>30</v>
      </c>
      <c r="H261" s="16">
        <v>28409</v>
      </c>
      <c r="I261" s="16">
        <v>42847</v>
      </c>
      <c r="J261" s="16">
        <v>43868</v>
      </c>
      <c r="K261" s="15" t="s">
        <v>21</v>
      </c>
      <c r="L261" s="15" t="s">
        <v>22</v>
      </c>
      <c r="M261" s="15">
        <v>65571</v>
      </c>
      <c r="N261" s="15" t="s">
        <v>33</v>
      </c>
      <c r="O261" s="15">
        <v>0.49315068493150682</v>
      </c>
      <c r="P261" s="15" t="s">
        <v>1862</v>
      </c>
      <c r="Q261" s="15">
        <f t="shared" ca="1" si="8"/>
        <v>48</v>
      </c>
      <c r="R261" s="15" t="str">
        <f t="shared" si="9"/>
        <v>Medium</v>
      </c>
    </row>
    <row r="262" spans="1:18" s="15" customFormat="1" x14ac:dyDescent="0.3">
      <c r="A262" s="15" t="s">
        <v>688</v>
      </c>
      <c r="B262" s="15" t="s">
        <v>689</v>
      </c>
      <c r="C262" s="15" t="s">
        <v>328</v>
      </c>
      <c r="D262" s="15" t="s">
        <v>17</v>
      </c>
      <c r="E262" s="15" t="s">
        <v>18</v>
      </c>
      <c r="F262" s="15" t="s">
        <v>19</v>
      </c>
      <c r="G262" s="15" t="s">
        <v>93</v>
      </c>
      <c r="H262" s="16">
        <v>31427</v>
      </c>
      <c r="I262" s="16">
        <v>44738</v>
      </c>
      <c r="J262" s="16">
        <v>44918</v>
      </c>
      <c r="K262" s="15" t="s">
        <v>94</v>
      </c>
      <c r="L262" s="15" t="s">
        <v>117</v>
      </c>
      <c r="M262" s="15">
        <v>94650</v>
      </c>
      <c r="N262" s="15" t="s">
        <v>96</v>
      </c>
      <c r="O262" s="15">
        <v>0.49315068493150682</v>
      </c>
      <c r="P262" s="15" t="s">
        <v>1862</v>
      </c>
      <c r="Q262" s="15">
        <f t="shared" ca="1" si="8"/>
        <v>40</v>
      </c>
      <c r="R262" s="15" t="str">
        <f t="shared" si="9"/>
        <v>Medium</v>
      </c>
    </row>
    <row r="263" spans="1:18" s="15" customFormat="1" x14ac:dyDescent="0.3">
      <c r="A263" s="15" t="s">
        <v>690</v>
      </c>
      <c r="B263" s="15" t="s">
        <v>265</v>
      </c>
      <c r="C263" s="15" t="s">
        <v>510</v>
      </c>
      <c r="D263" s="15" t="s">
        <v>17</v>
      </c>
      <c r="E263" s="15" t="s">
        <v>18</v>
      </c>
      <c r="F263" s="15" t="s">
        <v>19</v>
      </c>
      <c r="G263" s="15" t="s">
        <v>30</v>
      </c>
      <c r="H263" s="16">
        <v>32151</v>
      </c>
      <c r="I263" s="16">
        <v>43203</v>
      </c>
      <c r="J263" s="16">
        <v>43383</v>
      </c>
      <c r="K263" s="15" t="s">
        <v>51</v>
      </c>
      <c r="L263" s="15" t="s">
        <v>52</v>
      </c>
      <c r="M263" s="15">
        <v>87620</v>
      </c>
      <c r="N263" s="15" t="s">
        <v>96</v>
      </c>
      <c r="O263" s="15">
        <v>0.49315068493150682</v>
      </c>
      <c r="P263" s="15" t="s">
        <v>1861</v>
      </c>
      <c r="Q263" s="15">
        <f t="shared" ca="1" si="8"/>
        <v>38</v>
      </c>
      <c r="R263" s="15" t="str">
        <f t="shared" si="9"/>
        <v>Medium</v>
      </c>
    </row>
    <row r="264" spans="1:18" s="15" customFormat="1" x14ac:dyDescent="0.3">
      <c r="A264" s="15" t="s">
        <v>691</v>
      </c>
      <c r="B264" s="15" t="s">
        <v>417</v>
      </c>
      <c r="C264" s="15" t="s">
        <v>692</v>
      </c>
      <c r="D264" s="15" t="s">
        <v>17</v>
      </c>
      <c r="E264" s="15" t="s">
        <v>18</v>
      </c>
      <c r="F264" s="15" t="s">
        <v>19</v>
      </c>
      <c r="G264" s="15" t="s">
        <v>112</v>
      </c>
      <c r="H264" s="16">
        <v>31423</v>
      </c>
      <c r="I264" s="16">
        <v>43356</v>
      </c>
      <c r="J264" s="16">
        <v>43536</v>
      </c>
      <c r="K264" s="15" t="s">
        <v>37</v>
      </c>
      <c r="L264" s="15" t="s">
        <v>43</v>
      </c>
      <c r="M264" s="15">
        <v>84470</v>
      </c>
      <c r="N264" s="15" t="s">
        <v>96</v>
      </c>
      <c r="O264" s="15">
        <v>1.252054794520548</v>
      </c>
      <c r="P264" s="15" t="s">
        <v>1861</v>
      </c>
      <c r="Q264" s="15">
        <f t="shared" ca="1" si="8"/>
        <v>40</v>
      </c>
      <c r="R264" s="15" t="str">
        <f t="shared" si="9"/>
        <v>Medium</v>
      </c>
    </row>
    <row r="265" spans="1:18" s="15" customFormat="1" x14ac:dyDescent="0.3">
      <c r="A265" s="15" t="s">
        <v>693</v>
      </c>
      <c r="B265" s="15" t="s">
        <v>58</v>
      </c>
      <c r="C265" s="15" t="s">
        <v>694</v>
      </c>
      <c r="D265" s="15" t="s">
        <v>27</v>
      </c>
      <c r="E265" s="15" t="s">
        <v>18</v>
      </c>
      <c r="F265" s="15" t="s">
        <v>19</v>
      </c>
      <c r="G265" s="15" t="s">
        <v>30</v>
      </c>
      <c r="H265" s="16">
        <v>32403</v>
      </c>
      <c r="I265" s="16">
        <v>43875</v>
      </c>
      <c r="J265" s="16">
        <v>44307</v>
      </c>
      <c r="K265" s="15" t="s">
        <v>94</v>
      </c>
      <c r="L265" s="15" t="s">
        <v>117</v>
      </c>
      <c r="M265" s="15">
        <v>74777</v>
      </c>
      <c r="N265" s="15" t="s">
        <v>33</v>
      </c>
      <c r="O265" s="15">
        <v>2.386301369863014</v>
      </c>
      <c r="P265" s="15" t="s">
        <v>1862</v>
      </c>
      <c r="Q265" s="15">
        <f t="shared" ca="1" si="8"/>
        <v>37</v>
      </c>
      <c r="R265" s="15" t="str">
        <f t="shared" si="9"/>
        <v>Medium</v>
      </c>
    </row>
    <row r="266" spans="1:18" s="15" customFormat="1" x14ac:dyDescent="0.3">
      <c r="A266" s="15" t="s">
        <v>695</v>
      </c>
      <c r="B266" s="15" t="s">
        <v>49</v>
      </c>
      <c r="C266" s="15" t="s">
        <v>696</v>
      </c>
      <c r="D266" s="15" t="s">
        <v>17</v>
      </c>
      <c r="E266" s="15" t="s">
        <v>18</v>
      </c>
      <c r="F266" s="15" t="s">
        <v>19</v>
      </c>
      <c r="G266" s="15" t="s">
        <v>30</v>
      </c>
      <c r="H266" s="16">
        <v>36683</v>
      </c>
      <c r="I266" s="16">
        <v>43088</v>
      </c>
      <c r="J266" s="16">
        <v>43267</v>
      </c>
      <c r="K266" s="15" t="s">
        <v>37</v>
      </c>
      <c r="L266" s="15" t="s">
        <v>38</v>
      </c>
      <c r="M266" s="15">
        <v>55889</v>
      </c>
      <c r="N266" s="15" t="s">
        <v>33</v>
      </c>
      <c r="O266" s="15">
        <v>0.49315068493150682</v>
      </c>
      <c r="P266" s="15" t="s">
        <v>1861</v>
      </c>
      <c r="Q266" s="15">
        <f t="shared" ca="1" si="8"/>
        <v>25</v>
      </c>
      <c r="R266" s="15" t="str">
        <f t="shared" si="9"/>
        <v>Low</v>
      </c>
    </row>
    <row r="267" spans="1:18" s="15" customFormat="1" x14ac:dyDescent="0.3">
      <c r="A267" s="15" t="s">
        <v>697</v>
      </c>
      <c r="B267" s="15" t="s">
        <v>316</v>
      </c>
      <c r="C267" s="15" t="s">
        <v>245</v>
      </c>
      <c r="D267" s="15" t="s">
        <v>27</v>
      </c>
      <c r="E267" s="15" t="s">
        <v>169</v>
      </c>
      <c r="F267" s="15" t="s">
        <v>170</v>
      </c>
      <c r="G267" s="15" t="s">
        <v>30</v>
      </c>
      <c r="H267" s="16">
        <v>30097</v>
      </c>
      <c r="I267" s="16">
        <v>45315</v>
      </c>
      <c r="J267" s="16">
        <v>45495</v>
      </c>
      <c r="K267" s="15" t="s">
        <v>37</v>
      </c>
      <c r="L267" s="15" t="s">
        <v>38</v>
      </c>
      <c r="M267" s="15">
        <v>67280</v>
      </c>
      <c r="N267" s="15" t="s">
        <v>33</v>
      </c>
      <c r="O267" s="15">
        <v>0.49315068493150682</v>
      </c>
      <c r="P267" s="15" t="s">
        <v>1862</v>
      </c>
      <c r="Q267" s="15">
        <f t="shared" ca="1" si="8"/>
        <v>43</v>
      </c>
      <c r="R267" s="15" t="str">
        <f t="shared" si="9"/>
        <v>Medium</v>
      </c>
    </row>
    <row r="268" spans="1:18" s="15" customFormat="1" x14ac:dyDescent="0.3">
      <c r="A268" s="15" t="s">
        <v>698</v>
      </c>
      <c r="B268" s="15" t="s">
        <v>699</v>
      </c>
      <c r="C268" s="15" t="s">
        <v>700</v>
      </c>
      <c r="D268" s="15" t="s">
        <v>17</v>
      </c>
      <c r="E268" s="15" t="s">
        <v>120</v>
      </c>
      <c r="F268" s="15" t="s">
        <v>223</v>
      </c>
      <c r="G268" s="15" t="s">
        <v>112</v>
      </c>
      <c r="H268" s="16">
        <v>27644</v>
      </c>
      <c r="I268" s="16">
        <v>43756</v>
      </c>
      <c r="J268" s="16">
        <v>43936</v>
      </c>
      <c r="K268" s="15" t="s">
        <v>94</v>
      </c>
      <c r="L268" s="15" t="s">
        <v>122</v>
      </c>
      <c r="M268" s="15">
        <v>87940</v>
      </c>
      <c r="N268" s="15" t="s">
        <v>96</v>
      </c>
      <c r="O268" s="15">
        <v>0.49041095890410957</v>
      </c>
      <c r="P268" s="15" t="s">
        <v>1861</v>
      </c>
      <c r="Q268" s="15">
        <f t="shared" ca="1" si="8"/>
        <v>50</v>
      </c>
      <c r="R268" s="15" t="str">
        <f t="shared" si="9"/>
        <v>Medium</v>
      </c>
    </row>
    <row r="269" spans="1:18" s="15" customFormat="1" x14ac:dyDescent="0.3">
      <c r="A269" s="15" t="s">
        <v>701</v>
      </c>
      <c r="B269" s="15" t="s">
        <v>702</v>
      </c>
      <c r="C269" s="15" t="s">
        <v>703</v>
      </c>
      <c r="D269" s="15" t="s">
        <v>17</v>
      </c>
      <c r="E269" s="15" t="s">
        <v>354</v>
      </c>
      <c r="F269" s="15" t="s">
        <v>519</v>
      </c>
      <c r="G269" s="15" t="s">
        <v>20</v>
      </c>
      <c r="H269" s="16">
        <v>21730</v>
      </c>
      <c r="I269" s="16">
        <v>43636</v>
      </c>
      <c r="J269" s="16">
        <v>44308</v>
      </c>
      <c r="K269" s="15" t="s">
        <v>21</v>
      </c>
      <c r="L269" s="15" t="s">
        <v>22</v>
      </c>
      <c r="M269" s="15">
        <v>58676</v>
      </c>
      <c r="N269" s="15" t="s">
        <v>23</v>
      </c>
      <c r="O269" s="15">
        <v>0.49315068493150682</v>
      </c>
      <c r="P269" s="15" t="s">
        <v>1862</v>
      </c>
      <c r="Q269" s="15">
        <f t="shared" ca="1" si="8"/>
        <v>66</v>
      </c>
      <c r="R269" s="15" t="str">
        <f t="shared" si="9"/>
        <v>Low</v>
      </c>
    </row>
    <row r="270" spans="1:18" s="15" customFormat="1" x14ac:dyDescent="0.3">
      <c r="A270" s="15" t="s">
        <v>704</v>
      </c>
      <c r="B270" s="15" t="s">
        <v>76</v>
      </c>
      <c r="C270" s="15" t="s">
        <v>705</v>
      </c>
      <c r="D270" s="15" t="s">
        <v>27</v>
      </c>
      <c r="E270" s="15" t="s">
        <v>18</v>
      </c>
      <c r="F270" s="15" t="s">
        <v>19</v>
      </c>
      <c r="G270" s="15" t="s">
        <v>20</v>
      </c>
      <c r="H270" s="16">
        <v>34129</v>
      </c>
      <c r="I270" s="16">
        <v>44833</v>
      </c>
      <c r="J270" s="16">
        <v>45013</v>
      </c>
      <c r="K270" s="15" t="s">
        <v>31</v>
      </c>
      <c r="L270" s="15" t="s">
        <v>83</v>
      </c>
      <c r="M270" s="15">
        <v>66001</v>
      </c>
      <c r="N270" s="15" t="s">
        <v>23</v>
      </c>
      <c r="O270" s="15">
        <v>1.210958904109589</v>
      </c>
      <c r="P270" s="15" t="s">
        <v>1861</v>
      </c>
      <c r="Q270" s="15">
        <f t="shared" ca="1" si="8"/>
        <v>32</v>
      </c>
      <c r="R270" s="15" t="str">
        <f t="shared" si="9"/>
        <v>Medium</v>
      </c>
    </row>
    <row r="271" spans="1:18" s="15" customFormat="1" x14ac:dyDescent="0.3">
      <c r="A271" s="15" t="s">
        <v>706</v>
      </c>
      <c r="B271" s="15" t="s">
        <v>439</v>
      </c>
      <c r="C271" s="15" t="s">
        <v>707</v>
      </c>
      <c r="D271" s="15" t="s">
        <v>27</v>
      </c>
      <c r="E271" s="15" t="s">
        <v>137</v>
      </c>
      <c r="F271" s="15" t="s">
        <v>138</v>
      </c>
      <c r="G271" s="15" t="s">
        <v>20</v>
      </c>
      <c r="H271" s="16">
        <v>33665</v>
      </c>
      <c r="I271" s="16">
        <v>42945</v>
      </c>
      <c r="J271" s="16">
        <v>43125</v>
      </c>
      <c r="K271" s="15" t="s">
        <v>21</v>
      </c>
      <c r="L271" s="15" t="s">
        <v>100</v>
      </c>
      <c r="M271" s="15">
        <v>61836</v>
      </c>
      <c r="N271" s="15" t="s">
        <v>23</v>
      </c>
      <c r="O271" s="15">
        <v>3.794520547945206</v>
      </c>
      <c r="P271" s="15" t="s">
        <v>1861</v>
      </c>
      <c r="Q271" s="15">
        <f t="shared" ca="1" si="8"/>
        <v>33</v>
      </c>
      <c r="R271" s="15" t="str">
        <f t="shared" si="9"/>
        <v>Medium</v>
      </c>
    </row>
    <row r="272" spans="1:18" s="15" customFormat="1" x14ac:dyDescent="0.3">
      <c r="A272" s="15" t="s">
        <v>708</v>
      </c>
      <c r="B272" s="15" t="s">
        <v>609</v>
      </c>
      <c r="C272" s="15" t="s">
        <v>204</v>
      </c>
      <c r="D272" s="15" t="s">
        <v>17</v>
      </c>
      <c r="E272" s="15" t="s">
        <v>18</v>
      </c>
      <c r="F272" s="15" t="s">
        <v>19</v>
      </c>
      <c r="G272" s="15" t="s">
        <v>30</v>
      </c>
      <c r="H272" s="16">
        <v>31483</v>
      </c>
      <c r="I272" s="16">
        <v>44212</v>
      </c>
      <c r="J272" s="16">
        <v>44392</v>
      </c>
      <c r="K272" s="15" t="s">
        <v>94</v>
      </c>
      <c r="L272" s="15" t="s">
        <v>182</v>
      </c>
      <c r="M272" s="15">
        <v>72320</v>
      </c>
      <c r="N272" s="15" t="s">
        <v>44</v>
      </c>
      <c r="O272" s="15">
        <v>0.49315068493150682</v>
      </c>
      <c r="P272" s="15" t="s">
        <v>1862</v>
      </c>
      <c r="Q272" s="15">
        <f t="shared" ca="1" si="8"/>
        <v>39</v>
      </c>
      <c r="R272" s="15" t="str">
        <f t="shared" si="9"/>
        <v>Medium</v>
      </c>
    </row>
    <row r="273" spans="1:18" s="15" customFormat="1" x14ac:dyDescent="0.3">
      <c r="A273" s="15" t="s">
        <v>709</v>
      </c>
      <c r="B273" s="15" t="s">
        <v>710</v>
      </c>
      <c r="C273" s="15" t="s">
        <v>711</v>
      </c>
      <c r="D273" s="15" t="s">
        <v>17</v>
      </c>
      <c r="E273" s="15" t="s">
        <v>18</v>
      </c>
      <c r="F273" s="15" t="s">
        <v>19</v>
      </c>
      <c r="G273" s="15" t="s">
        <v>30</v>
      </c>
      <c r="H273" s="16">
        <v>28485</v>
      </c>
      <c r="I273" s="16">
        <v>42239</v>
      </c>
      <c r="J273" s="16">
        <v>44272</v>
      </c>
      <c r="K273" s="15" t="s">
        <v>21</v>
      </c>
      <c r="L273" s="15" t="s">
        <v>22</v>
      </c>
      <c r="M273" s="15">
        <v>67779</v>
      </c>
      <c r="N273" s="15" t="s">
        <v>23</v>
      </c>
      <c r="O273" s="15">
        <v>2.7972602739726029</v>
      </c>
      <c r="P273" s="15" t="s">
        <v>1862</v>
      </c>
      <c r="Q273" s="15">
        <f t="shared" ca="1" si="8"/>
        <v>48</v>
      </c>
      <c r="R273" s="15" t="str">
        <f t="shared" si="9"/>
        <v>Medium</v>
      </c>
    </row>
    <row r="274" spans="1:18" s="15" customFormat="1" x14ac:dyDescent="0.3">
      <c r="A274" s="15" t="s">
        <v>712</v>
      </c>
      <c r="B274" s="15" t="s">
        <v>25</v>
      </c>
      <c r="C274" s="15" t="s">
        <v>64</v>
      </c>
      <c r="D274" s="15" t="s">
        <v>17</v>
      </c>
      <c r="E274" s="15" t="s">
        <v>18</v>
      </c>
      <c r="F274" s="15" t="s">
        <v>19</v>
      </c>
      <c r="G274" s="15" t="s">
        <v>30</v>
      </c>
      <c r="H274" s="16">
        <v>33122</v>
      </c>
      <c r="I274" s="16">
        <v>44823</v>
      </c>
      <c r="J274" s="16">
        <v>45108</v>
      </c>
      <c r="K274" s="15" t="s">
        <v>21</v>
      </c>
      <c r="L274" s="15" t="s">
        <v>22</v>
      </c>
      <c r="M274" s="15">
        <v>76637</v>
      </c>
      <c r="N274" s="15" t="s">
        <v>96</v>
      </c>
      <c r="O274" s="15">
        <v>0.49315068493150682</v>
      </c>
      <c r="P274" s="15" t="s">
        <v>1862</v>
      </c>
      <c r="Q274" s="15">
        <f t="shared" ca="1" si="8"/>
        <v>35</v>
      </c>
      <c r="R274" s="15" t="str">
        <f t="shared" si="9"/>
        <v>Medium</v>
      </c>
    </row>
    <row r="275" spans="1:18" s="15" customFormat="1" x14ac:dyDescent="0.3">
      <c r="A275" s="15" t="s">
        <v>713</v>
      </c>
      <c r="B275" s="15" t="s">
        <v>268</v>
      </c>
      <c r="C275" s="15" t="s">
        <v>714</v>
      </c>
      <c r="D275" s="15" t="s">
        <v>27</v>
      </c>
      <c r="E275" s="15" t="s">
        <v>18</v>
      </c>
      <c r="F275" s="15" t="s">
        <v>19</v>
      </c>
      <c r="G275" s="15" t="s">
        <v>30</v>
      </c>
      <c r="H275" s="16">
        <v>31732</v>
      </c>
      <c r="I275" s="16">
        <v>43474</v>
      </c>
      <c r="J275" s="16">
        <v>44763</v>
      </c>
      <c r="K275" s="15" t="s">
        <v>37</v>
      </c>
      <c r="L275" s="15" t="s">
        <v>41</v>
      </c>
      <c r="M275" s="15">
        <v>58495</v>
      </c>
      <c r="N275" s="15" t="s">
        <v>33</v>
      </c>
      <c r="O275" s="15">
        <v>0.49315068493150682</v>
      </c>
      <c r="P275" s="15" t="s">
        <v>1862</v>
      </c>
      <c r="Q275" s="15">
        <f t="shared" ca="1" si="8"/>
        <v>39</v>
      </c>
      <c r="R275" s="15" t="str">
        <f t="shared" si="9"/>
        <v>Low</v>
      </c>
    </row>
    <row r="276" spans="1:18" s="15" customFormat="1" x14ac:dyDescent="0.3">
      <c r="A276" s="15" t="s">
        <v>715</v>
      </c>
      <c r="B276" s="15" t="s">
        <v>716</v>
      </c>
      <c r="C276" s="15" t="s">
        <v>717</v>
      </c>
      <c r="D276" s="15" t="s">
        <v>17</v>
      </c>
      <c r="E276" s="15" t="s">
        <v>18</v>
      </c>
      <c r="F276" s="15" t="s">
        <v>19</v>
      </c>
      <c r="G276" s="15" t="s">
        <v>30</v>
      </c>
      <c r="H276" s="16">
        <v>24487</v>
      </c>
      <c r="I276" s="16">
        <v>44666</v>
      </c>
      <c r="J276" s="16">
        <v>44846</v>
      </c>
      <c r="K276" s="15" t="s">
        <v>21</v>
      </c>
      <c r="L276" s="15" t="s">
        <v>108</v>
      </c>
      <c r="M276" s="15">
        <v>62938</v>
      </c>
      <c r="N276" s="15" t="s">
        <v>33</v>
      </c>
      <c r="O276" s="15">
        <v>0.49315068493150682</v>
      </c>
      <c r="P276" s="15" t="s">
        <v>1861</v>
      </c>
      <c r="Q276" s="15">
        <f t="shared" ca="1" si="8"/>
        <v>59</v>
      </c>
      <c r="R276" s="15" t="str">
        <f t="shared" si="9"/>
        <v>Medium</v>
      </c>
    </row>
    <row r="277" spans="1:18" s="15" customFormat="1" x14ac:dyDescent="0.3">
      <c r="A277" s="15" t="s">
        <v>718</v>
      </c>
      <c r="B277" s="15" t="s">
        <v>570</v>
      </c>
      <c r="C277" s="15" t="s">
        <v>719</v>
      </c>
      <c r="D277" s="15" t="s">
        <v>27</v>
      </c>
      <c r="E277" s="15" t="s">
        <v>656</v>
      </c>
      <c r="F277" s="15" t="s">
        <v>720</v>
      </c>
      <c r="G277" s="15" t="s">
        <v>20</v>
      </c>
      <c r="H277" s="16">
        <v>29677</v>
      </c>
      <c r="I277" s="16">
        <v>44630</v>
      </c>
      <c r="J277" s="16">
        <v>44810</v>
      </c>
      <c r="K277" s="15" t="s">
        <v>21</v>
      </c>
      <c r="L277" s="15" t="s">
        <v>22</v>
      </c>
      <c r="M277" s="15">
        <v>67455</v>
      </c>
      <c r="N277" s="15" t="s">
        <v>23</v>
      </c>
      <c r="O277" s="15">
        <v>1.183561643835616</v>
      </c>
      <c r="P277" s="15" t="s">
        <v>1862</v>
      </c>
      <c r="Q277" s="15">
        <f t="shared" ca="1" si="8"/>
        <v>44</v>
      </c>
      <c r="R277" s="15" t="str">
        <f t="shared" si="9"/>
        <v>Medium</v>
      </c>
    </row>
    <row r="278" spans="1:18" s="15" customFormat="1" x14ac:dyDescent="0.3">
      <c r="A278" s="15" t="s">
        <v>721</v>
      </c>
      <c r="B278" s="15" t="s">
        <v>245</v>
      </c>
      <c r="C278" s="15" t="s">
        <v>722</v>
      </c>
      <c r="D278" s="15" t="s">
        <v>17</v>
      </c>
      <c r="E278" s="15" t="s">
        <v>18</v>
      </c>
      <c r="F278" s="15" t="s">
        <v>19</v>
      </c>
      <c r="G278" s="15" t="s">
        <v>30</v>
      </c>
      <c r="H278" s="16">
        <v>31236</v>
      </c>
      <c r="I278" s="16">
        <v>43091</v>
      </c>
      <c r="J278" s="16">
        <v>43270</v>
      </c>
      <c r="K278" s="15" t="s">
        <v>37</v>
      </c>
      <c r="L278" s="15" t="s">
        <v>38</v>
      </c>
      <c r="M278" s="15">
        <v>57243</v>
      </c>
      <c r="N278" s="15" t="s">
        <v>44</v>
      </c>
      <c r="O278" s="15">
        <v>0.49041095890410957</v>
      </c>
      <c r="P278" s="15" t="s">
        <v>1862</v>
      </c>
      <c r="Q278" s="15">
        <f t="shared" ca="1" si="8"/>
        <v>40</v>
      </c>
      <c r="R278" s="15" t="str">
        <f t="shared" si="9"/>
        <v>Low</v>
      </c>
    </row>
    <row r="279" spans="1:18" s="15" customFormat="1" x14ac:dyDescent="0.3">
      <c r="A279" s="15" t="s">
        <v>723</v>
      </c>
      <c r="B279" s="15" t="s">
        <v>54</v>
      </c>
      <c r="C279" s="15" t="s">
        <v>724</v>
      </c>
      <c r="D279" s="15" t="s">
        <v>27</v>
      </c>
      <c r="E279" s="15" t="s">
        <v>18</v>
      </c>
      <c r="F279" s="15" t="s">
        <v>19</v>
      </c>
      <c r="G279" s="15" t="s">
        <v>30</v>
      </c>
      <c r="H279" s="16">
        <v>29454</v>
      </c>
      <c r="I279" s="16">
        <v>43635</v>
      </c>
      <c r="J279" s="16">
        <v>43815</v>
      </c>
      <c r="K279" s="15" t="s">
        <v>65</v>
      </c>
      <c r="L279" s="15" t="s">
        <v>314</v>
      </c>
      <c r="M279" s="15">
        <v>77791</v>
      </c>
      <c r="N279" s="15" t="s">
        <v>44</v>
      </c>
      <c r="O279" s="15">
        <v>0.49315068493150682</v>
      </c>
      <c r="P279" s="15" t="s">
        <v>1862</v>
      </c>
      <c r="Q279" s="15">
        <f t="shared" ca="1" si="8"/>
        <v>45</v>
      </c>
      <c r="R279" s="15" t="str">
        <f t="shared" si="9"/>
        <v>Medium</v>
      </c>
    </row>
    <row r="280" spans="1:18" s="15" customFormat="1" x14ac:dyDescent="0.3">
      <c r="A280" s="15" t="s">
        <v>725</v>
      </c>
      <c r="B280" s="15" t="s">
        <v>726</v>
      </c>
      <c r="C280" s="15" t="s">
        <v>727</v>
      </c>
      <c r="D280" s="15" t="s">
        <v>27</v>
      </c>
      <c r="E280" s="15" t="s">
        <v>18</v>
      </c>
      <c r="F280" s="15" t="s">
        <v>19</v>
      </c>
      <c r="G280" s="15" t="s">
        <v>112</v>
      </c>
      <c r="H280" s="16">
        <v>30240</v>
      </c>
      <c r="I280" s="16">
        <v>43866</v>
      </c>
      <c r="J280" s="16">
        <v>44046</v>
      </c>
      <c r="K280" s="15" t="s">
        <v>65</v>
      </c>
      <c r="L280" s="15" t="s">
        <v>728</v>
      </c>
      <c r="M280" s="15">
        <v>94659</v>
      </c>
      <c r="N280" s="15" t="s">
        <v>96</v>
      </c>
      <c r="O280" s="15">
        <v>0.49315068493150682</v>
      </c>
      <c r="P280" s="15" t="s">
        <v>1862</v>
      </c>
      <c r="Q280" s="15">
        <f t="shared" ca="1" si="8"/>
        <v>43</v>
      </c>
      <c r="R280" s="15" t="str">
        <f t="shared" si="9"/>
        <v>Medium</v>
      </c>
    </row>
    <row r="281" spans="1:18" s="15" customFormat="1" x14ac:dyDescent="0.3">
      <c r="A281" s="15" t="s">
        <v>729</v>
      </c>
      <c r="B281" s="15" t="s">
        <v>730</v>
      </c>
      <c r="C281" s="15" t="s">
        <v>731</v>
      </c>
      <c r="D281" s="15" t="s">
        <v>27</v>
      </c>
      <c r="E281" s="15" t="s">
        <v>18</v>
      </c>
      <c r="F281" s="15" t="s">
        <v>19</v>
      </c>
      <c r="G281" s="15" t="s">
        <v>30</v>
      </c>
      <c r="H281" s="16">
        <v>27519</v>
      </c>
      <c r="I281" s="16">
        <v>42494</v>
      </c>
      <c r="J281" s="16">
        <v>43913</v>
      </c>
      <c r="K281" s="15" t="s">
        <v>21</v>
      </c>
      <c r="L281" s="15" t="s">
        <v>100</v>
      </c>
      <c r="M281" s="15">
        <v>70991</v>
      </c>
      <c r="N281" s="15" t="s">
        <v>23</v>
      </c>
      <c r="O281" s="15">
        <v>1.8410958904109589</v>
      </c>
      <c r="P281" s="15" t="s">
        <v>1862</v>
      </c>
      <c r="Q281" s="15">
        <f t="shared" ca="1" si="8"/>
        <v>50</v>
      </c>
      <c r="R281" s="15" t="str">
        <f t="shared" si="9"/>
        <v>Medium</v>
      </c>
    </row>
    <row r="282" spans="1:18" s="15" customFormat="1" x14ac:dyDescent="0.3">
      <c r="A282" s="15" t="s">
        <v>732</v>
      </c>
      <c r="B282" s="15" t="s">
        <v>484</v>
      </c>
      <c r="C282" s="15" t="s">
        <v>733</v>
      </c>
      <c r="D282" s="15" t="s">
        <v>17</v>
      </c>
      <c r="E282" s="15" t="s">
        <v>18</v>
      </c>
      <c r="F282" s="15" t="s">
        <v>19</v>
      </c>
      <c r="G282" s="15" t="s">
        <v>30</v>
      </c>
      <c r="H282" s="16">
        <v>30034</v>
      </c>
      <c r="I282" s="16">
        <v>43959</v>
      </c>
      <c r="J282" s="16">
        <v>45113</v>
      </c>
      <c r="K282" s="15" t="s">
        <v>94</v>
      </c>
      <c r="L282" s="15" t="s">
        <v>182</v>
      </c>
      <c r="M282" s="15">
        <v>67107</v>
      </c>
      <c r="N282" s="15" t="s">
        <v>44</v>
      </c>
      <c r="O282" s="15">
        <v>0.49315068493150682</v>
      </c>
      <c r="P282" s="15" t="s">
        <v>1861</v>
      </c>
      <c r="Q282" s="15">
        <f t="shared" ca="1" si="8"/>
        <v>43</v>
      </c>
      <c r="R282" s="15" t="str">
        <f t="shared" si="9"/>
        <v>Medium</v>
      </c>
    </row>
    <row r="283" spans="1:18" s="15" customFormat="1" x14ac:dyDescent="0.3">
      <c r="A283" s="15" t="s">
        <v>734</v>
      </c>
      <c r="B283" s="15" t="s">
        <v>251</v>
      </c>
      <c r="C283" s="15" t="s">
        <v>735</v>
      </c>
      <c r="D283" s="15" t="s">
        <v>27</v>
      </c>
      <c r="E283" s="15" t="s">
        <v>18</v>
      </c>
      <c r="F283" s="15" t="s">
        <v>19</v>
      </c>
      <c r="G283" s="15" t="s">
        <v>30</v>
      </c>
      <c r="H283" s="16">
        <v>30500</v>
      </c>
      <c r="I283" s="16">
        <v>43723</v>
      </c>
      <c r="J283" s="16">
        <v>43903</v>
      </c>
      <c r="K283" s="15" t="s">
        <v>37</v>
      </c>
      <c r="L283" s="15" t="s">
        <v>38</v>
      </c>
      <c r="M283" s="15">
        <v>67154</v>
      </c>
      <c r="N283" s="15" t="s">
        <v>33</v>
      </c>
      <c r="O283" s="15">
        <v>0.49315068493150682</v>
      </c>
      <c r="P283" s="15" t="s">
        <v>1861</v>
      </c>
      <c r="Q283" s="15">
        <f t="shared" ca="1" si="8"/>
        <v>42</v>
      </c>
      <c r="R283" s="15" t="str">
        <f t="shared" si="9"/>
        <v>Medium</v>
      </c>
    </row>
    <row r="284" spans="1:18" s="15" customFormat="1" x14ac:dyDescent="0.3">
      <c r="A284" s="15" t="s">
        <v>736</v>
      </c>
      <c r="B284" s="15" t="s">
        <v>737</v>
      </c>
      <c r="C284" s="15" t="s">
        <v>738</v>
      </c>
      <c r="D284" s="15" t="s">
        <v>17</v>
      </c>
      <c r="E284" s="15" t="s">
        <v>18</v>
      </c>
      <c r="F284" s="15" t="s">
        <v>19</v>
      </c>
      <c r="G284" s="15" t="s">
        <v>30</v>
      </c>
      <c r="H284" s="16">
        <v>31830</v>
      </c>
      <c r="I284" s="16">
        <v>44775</v>
      </c>
      <c r="J284" s="16">
        <v>45076</v>
      </c>
      <c r="K284" s="15" t="s">
        <v>37</v>
      </c>
      <c r="L284" s="15" t="s">
        <v>41</v>
      </c>
      <c r="M284" s="15">
        <v>57452</v>
      </c>
      <c r="N284" s="15" t="s">
        <v>44</v>
      </c>
      <c r="O284" s="15">
        <v>0.49315068493150682</v>
      </c>
      <c r="P284" s="15" t="s">
        <v>1861</v>
      </c>
      <c r="Q284" s="15">
        <f t="shared" ca="1" si="8"/>
        <v>38</v>
      </c>
      <c r="R284" s="15" t="str">
        <f t="shared" si="9"/>
        <v>Low</v>
      </c>
    </row>
    <row r="285" spans="1:18" s="15" customFormat="1" x14ac:dyDescent="0.3">
      <c r="A285" s="15" t="s">
        <v>739</v>
      </c>
      <c r="B285" s="15" t="s">
        <v>740</v>
      </c>
      <c r="C285" s="15" t="s">
        <v>204</v>
      </c>
      <c r="D285" s="15" t="s">
        <v>27</v>
      </c>
      <c r="E285" s="15" t="s">
        <v>354</v>
      </c>
      <c r="F285" s="15" t="s">
        <v>404</v>
      </c>
      <c r="G285" s="15" t="s">
        <v>20</v>
      </c>
      <c r="H285" s="16">
        <v>33793</v>
      </c>
      <c r="I285" s="16">
        <v>42834</v>
      </c>
      <c r="J285" s="16">
        <v>44644</v>
      </c>
      <c r="K285" s="15" t="s">
        <v>21</v>
      </c>
      <c r="L285" s="15" t="s">
        <v>100</v>
      </c>
      <c r="M285" s="15">
        <v>61258</v>
      </c>
      <c r="N285" s="15" t="s">
        <v>23</v>
      </c>
      <c r="O285" s="15">
        <v>5.5698630136986296</v>
      </c>
      <c r="P285" s="15" t="s">
        <v>1861</v>
      </c>
      <c r="Q285" s="15">
        <f t="shared" ca="1" si="8"/>
        <v>33</v>
      </c>
      <c r="R285" s="15" t="str">
        <f t="shared" si="9"/>
        <v>Medium</v>
      </c>
    </row>
    <row r="286" spans="1:18" s="15" customFormat="1" x14ac:dyDescent="0.3">
      <c r="A286" s="15" t="s">
        <v>741</v>
      </c>
      <c r="B286" s="15" t="s">
        <v>742</v>
      </c>
      <c r="C286" s="15" t="s">
        <v>743</v>
      </c>
      <c r="D286" s="15" t="s">
        <v>17</v>
      </c>
      <c r="E286" s="15" t="s">
        <v>18</v>
      </c>
      <c r="F286" s="15" t="s">
        <v>19</v>
      </c>
      <c r="G286" s="15" t="s">
        <v>30</v>
      </c>
      <c r="H286" s="16">
        <v>25711</v>
      </c>
      <c r="I286" s="16">
        <v>42892</v>
      </c>
      <c r="J286" s="16">
        <v>43936</v>
      </c>
      <c r="K286" s="15" t="s">
        <v>94</v>
      </c>
      <c r="L286" s="15" t="s">
        <v>182</v>
      </c>
      <c r="M286" s="15">
        <v>65222</v>
      </c>
      <c r="N286" s="15" t="s">
        <v>23</v>
      </c>
      <c r="O286" s="15">
        <v>0.78082191780821919</v>
      </c>
      <c r="P286" s="15" t="s">
        <v>1861</v>
      </c>
      <c r="Q286" s="15">
        <f t="shared" ca="1" si="8"/>
        <v>55</v>
      </c>
      <c r="R286" s="15" t="str">
        <f t="shared" si="9"/>
        <v>Medium</v>
      </c>
    </row>
    <row r="287" spans="1:18" s="15" customFormat="1" x14ac:dyDescent="0.3">
      <c r="A287" s="15" t="s">
        <v>744</v>
      </c>
      <c r="B287" s="15" t="s">
        <v>260</v>
      </c>
      <c r="C287" s="15" t="s">
        <v>517</v>
      </c>
      <c r="D287" s="15" t="s">
        <v>17</v>
      </c>
      <c r="E287" s="15" t="s">
        <v>18</v>
      </c>
      <c r="F287" s="15" t="s">
        <v>19</v>
      </c>
      <c r="G287" s="15" t="s">
        <v>20</v>
      </c>
      <c r="H287" s="16">
        <v>35305</v>
      </c>
      <c r="I287" s="16">
        <v>43466</v>
      </c>
      <c r="J287" s="16">
        <v>43646</v>
      </c>
      <c r="K287" s="15" t="s">
        <v>65</v>
      </c>
      <c r="L287" s="15" t="s">
        <v>66</v>
      </c>
      <c r="M287" s="15">
        <v>76873</v>
      </c>
      <c r="N287" s="15" t="s">
        <v>23</v>
      </c>
      <c r="O287" s="15">
        <v>3.5315068493150679</v>
      </c>
      <c r="P287" s="15" t="s">
        <v>1861</v>
      </c>
      <c r="Q287" s="15">
        <f t="shared" ca="1" si="8"/>
        <v>29</v>
      </c>
      <c r="R287" s="15" t="str">
        <f t="shared" si="9"/>
        <v>Medium</v>
      </c>
    </row>
    <row r="288" spans="1:18" s="15" customFormat="1" x14ac:dyDescent="0.3">
      <c r="A288" s="15" t="s">
        <v>745</v>
      </c>
      <c r="B288" s="15" t="s">
        <v>746</v>
      </c>
      <c r="C288" s="15" t="s">
        <v>515</v>
      </c>
      <c r="D288" s="15" t="s">
        <v>17</v>
      </c>
      <c r="E288" s="15" t="s">
        <v>18</v>
      </c>
      <c r="F288" s="15" t="s">
        <v>19</v>
      </c>
      <c r="G288" s="15" t="s">
        <v>30</v>
      </c>
      <c r="H288" s="16">
        <v>30595</v>
      </c>
      <c r="I288" s="16">
        <v>42896</v>
      </c>
      <c r="J288" s="16">
        <v>43116</v>
      </c>
      <c r="K288" s="15" t="s">
        <v>94</v>
      </c>
      <c r="L288" s="15" t="s">
        <v>182</v>
      </c>
      <c r="M288" s="15">
        <v>68800</v>
      </c>
      <c r="N288" s="15" t="s">
        <v>96</v>
      </c>
      <c r="O288" s="15">
        <v>0.49315068493150682</v>
      </c>
      <c r="P288" s="15" t="s">
        <v>1862</v>
      </c>
      <c r="Q288" s="15">
        <f t="shared" ca="1" si="8"/>
        <v>42</v>
      </c>
      <c r="R288" s="15" t="str">
        <f t="shared" si="9"/>
        <v>Medium</v>
      </c>
    </row>
    <row r="289" spans="1:18" s="15" customFormat="1" x14ac:dyDescent="0.3">
      <c r="A289" s="15" t="s">
        <v>747</v>
      </c>
      <c r="B289" s="15" t="s">
        <v>293</v>
      </c>
      <c r="C289" s="15" t="s">
        <v>748</v>
      </c>
      <c r="D289" s="15" t="s">
        <v>27</v>
      </c>
      <c r="E289" s="15" t="s">
        <v>18</v>
      </c>
      <c r="F289" s="15" t="s">
        <v>19</v>
      </c>
      <c r="G289" s="15" t="s">
        <v>30</v>
      </c>
      <c r="H289" s="16">
        <v>23415</v>
      </c>
      <c r="I289" s="16">
        <v>44072</v>
      </c>
      <c r="J289" s="16">
        <v>44252</v>
      </c>
      <c r="K289" s="15" t="s">
        <v>37</v>
      </c>
      <c r="L289" s="15" t="s">
        <v>43</v>
      </c>
      <c r="M289" s="15">
        <v>79458</v>
      </c>
      <c r="N289" s="15" t="s">
        <v>33</v>
      </c>
      <c r="O289" s="15">
        <v>0.49315068493150682</v>
      </c>
      <c r="P289" s="15" t="s">
        <v>1862</v>
      </c>
      <c r="Q289" s="15">
        <f t="shared" ca="1" si="8"/>
        <v>61</v>
      </c>
      <c r="R289" s="15" t="str">
        <f t="shared" si="9"/>
        <v>Medium</v>
      </c>
    </row>
    <row r="290" spans="1:18" s="15" customFormat="1" x14ac:dyDescent="0.3">
      <c r="A290" s="15" t="s">
        <v>749</v>
      </c>
      <c r="B290" s="15" t="s">
        <v>750</v>
      </c>
      <c r="C290" s="15" t="s">
        <v>751</v>
      </c>
      <c r="D290" s="15" t="s">
        <v>17</v>
      </c>
      <c r="E290" s="15" t="s">
        <v>28</v>
      </c>
      <c r="F290" s="15" t="s">
        <v>116</v>
      </c>
      <c r="G290" s="15" t="s">
        <v>30</v>
      </c>
      <c r="H290" s="16">
        <v>29742</v>
      </c>
      <c r="I290" s="16">
        <v>42300</v>
      </c>
      <c r="J290" s="16">
        <v>44475</v>
      </c>
      <c r="K290" s="15" t="s">
        <v>37</v>
      </c>
      <c r="L290" s="15" t="s">
        <v>38</v>
      </c>
      <c r="M290" s="15">
        <v>53471</v>
      </c>
      <c r="N290" s="15" t="s">
        <v>96</v>
      </c>
      <c r="O290" s="15">
        <v>0.49041095890410957</v>
      </c>
      <c r="P290" s="15" t="s">
        <v>1862</v>
      </c>
      <c r="Q290" s="15">
        <f t="shared" ca="1" si="8"/>
        <v>44</v>
      </c>
      <c r="R290" s="15" t="str">
        <f t="shared" si="9"/>
        <v>Low</v>
      </c>
    </row>
    <row r="291" spans="1:18" s="15" customFormat="1" x14ac:dyDescent="0.3">
      <c r="A291" s="15" t="s">
        <v>752</v>
      </c>
      <c r="B291" s="15" t="s">
        <v>753</v>
      </c>
      <c r="C291" s="15" t="s">
        <v>175</v>
      </c>
      <c r="D291" s="15" t="s">
        <v>27</v>
      </c>
      <c r="E291" s="15" t="s">
        <v>28</v>
      </c>
      <c r="F291" s="15" t="s">
        <v>29</v>
      </c>
      <c r="G291" s="15" t="s">
        <v>30</v>
      </c>
      <c r="H291" s="16">
        <v>27494</v>
      </c>
      <c r="I291" s="16">
        <v>42055</v>
      </c>
      <c r="J291" s="16">
        <v>45313</v>
      </c>
      <c r="K291" s="15" t="s">
        <v>94</v>
      </c>
      <c r="L291" s="15" t="s">
        <v>182</v>
      </c>
      <c r="M291" s="15">
        <v>68009</v>
      </c>
      <c r="N291" s="15" t="s">
        <v>33</v>
      </c>
      <c r="O291" s="15">
        <v>0.49315068493150682</v>
      </c>
      <c r="P291" s="15" t="s">
        <v>1862</v>
      </c>
      <c r="Q291" s="15">
        <f t="shared" ca="1" si="8"/>
        <v>50</v>
      </c>
      <c r="R291" s="15" t="str">
        <f t="shared" si="9"/>
        <v>Medium</v>
      </c>
    </row>
    <row r="292" spans="1:18" s="15" customFormat="1" x14ac:dyDescent="0.3">
      <c r="A292" s="15" t="s">
        <v>754</v>
      </c>
      <c r="B292" s="15" t="s">
        <v>755</v>
      </c>
      <c r="C292" s="15" t="s">
        <v>222</v>
      </c>
      <c r="D292" s="15" t="s">
        <v>17</v>
      </c>
      <c r="E292" s="15" t="s">
        <v>18</v>
      </c>
      <c r="F292" s="15" t="s">
        <v>19</v>
      </c>
      <c r="G292" s="15" t="s">
        <v>30</v>
      </c>
      <c r="H292" s="16">
        <v>30792</v>
      </c>
      <c r="I292" s="16">
        <v>43371</v>
      </c>
      <c r="J292" s="16">
        <v>43551</v>
      </c>
      <c r="K292" s="15" t="s">
        <v>94</v>
      </c>
      <c r="L292" s="15" t="s">
        <v>182</v>
      </c>
      <c r="M292" s="15">
        <v>68240</v>
      </c>
      <c r="N292" s="15" t="s">
        <v>44</v>
      </c>
      <c r="O292" s="15">
        <v>0.49315068493150682</v>
      </c>
      <c r="P292" s="15" t="s">
        <v>1862</v>
      </c>
      <c r="Q292" s="15">
        <f t="shared" ca="1" si="8"/>
        <v>41</v>
      </c>
      <c r="R292" s="15" t="str">
        <f t="shared" si="9"/>
        <v>Medium</v>
      </c>
    </row>
    <row r="293" spans="1:18" s="15" customFormat="1" x14ac:dyDescent="0.3">
      <c r="A293" s="15" t="s">
        <v>756</v>
      </c>
      <c r="B293" s="15" t="s">
        <v>274</v>
      </c>
      <c r="C293" s="15" t="s">
        <v>16</v>
      </c>
      <c r="D293" s="15" t="s">
        <v>27</v>
      </c>
      <c r="E293" s="15" t="s">
        <v>18</v>
      </c>
      <c r="F293" s="15" t="s">
        <v>19</v>
      </c>
      <c r="G293" s="15" t="s">
        <v>112</v>
      </c>
      <c r="H293" s="16">
        <v>26744</v>
      </c>
      <c r="I293" s="16">
        <v>42980</v>
      </c>
      <c r="J293" s="16">
        <v>43158</v>
      </c>
      <c r="K293" s="15" t="s">
        <v>31</v>
      </c>
      <c r="L293" s="15" t="s">
        <v>32</v>
      </c>
      <c r="M293" s="15">
        <v>96095</v>
      </c>
      <c r="N293" s="15" t="s">
        <v>96</v>
      </c>
      <c r="O293" s="15">
        <v>3.8876712328767118</v>
      </c>
      <c r="P293" s="15" t="s">
        <v>1862</v>
      </c>
      <c r="Q293" s="15">
        <f t="shared" ca="1" si="8"/>
        <v>52</v>
      </c>
      <c r="R293" s="15" t="str">
        <f t="shared" si="9"/>
        <v>Medium</v>
      </c>
    </row>
    <row r="294" spans="1:18" s="15" customFormat="1" x14ac:dyDescent="0.3">
      <c r="A294" s="15" t="s">
        <v>757</v>
      </c>
      <c r="B294" s="15" t="s">
        <v>758</v>
      </c>
      <c r="C294" s="15" t="s">
        <v>193</v>
      </c>
      <c r="D294" s="15" t="s">
        <v>27</v>
      </c>
      <c r="E294" s="15" t="s">
        <v>18</v>
      </c>
      <c r="F294" s="15" t="s">
        <v>19</v>
      </c>
      <c r="G294" s="15" t="s">
        <v>112</v>
      </c>
      <c r="H294" s="16">
        <v>30171</v>
      </c>
      <c r="I294" s="16">
        <v>44720</v>
      </c>
      <c r="J294" s="16">
        <v>44900</v>
      </c>
      <c r="K294" s="15" t="s">
        <v>94</v>
      </c>
      <c r="L294" s="15" t="s">
        <v>122</v>
      </c>
      <c r="M294" s="15">
        <v>92568</v>
      </c>
      <c r="N294" s="15" t="s">
        <v>96</v>
      </c>
      <c r="O294" s="15">
        <v>3.161643835616438</v>
      </c>
      <c r="P294" s="15" t="s">
        <v>1861</v>
      </c>
      <c r="Q294" s="15">
        <f t="shared" ca="1" si="8"/>
        <v>43</v>
      </c>
      <c r="R294" s="15" t="str">
        <f t="shared" si="9"/>
        <v>Medium</v>
      </c>
    </row>
    <row r="295" spans="1:18" s="15" customFormat="1" x14ac:dyDescent="0.3">
      <c r="A295" s="15" t="s">
        <v>759</v>
      </c>
      <c r="B295" s="15" t="s">
        <v>615</v>
      </c>
      <c r="C295" s="15" t="s">
        <v>760</v>
      </c>
      <c r="D295" s="15" t="s">
        <v>27</v>
      </c>
      <c r="E295" s="15" t="s">
        <v>81</v>
      </c>
      <c r="F295" s="15" t="s">
        <v>82</v>
      </c>
      <c r="G295" s="15" t="s">
        <v>30</v>
      </c>
      <c r="H295" s="16">
        <v>21818</v>
      </c>
      <c r="I295" s="16">
        <v>44916</v>
      </c>
      <c r="J295" s="16">
        <v>45096</v>
      </c>
      <c r="K295" s="15" t="s">
        <v>37</v>
      </c>
      <c r="L295" s="15" t="s">
        <v>38</v>
      </c>
      <c r="M295" s="15">
        <v>63038</v>
      </c>
      <c r="N295" s="15" t="s">
        <v>33</v>
      </c>
      <c r="O295" s="15">
        <v>0.49315068493150682</v>
      </c>
      <c r="P295" s="15" t="s">
        <v>1862</v>
      </c>
      <c r="Q295" s="15">
        <f t="shared" ca="1" si="8"/>
        <v>66</v>
      </c>
      <c r="R295" s="15" t="str">
        <f t="shared" si="9"/>
        <v>Medium</v>
      </c>
    </row>
    <row r="296" spans="1:18" s="15" customFormat="1" x14ac:dyDescent="0.3">
      <c r="A296" s="15" t="s">
        <v>761</v>
      </c>
      <c r="B296" s="15" t="s">
        <v>157</v>
      </c>
      <c r="C296" s="15" t="s">
        <v>762</v>
      </c>
      <c r="D296" s="15" t="s">
        <v>27</v>
      </c>
      <c r="E296" s="15" t="s">
        <v>18</v>
      </c>
      <c r="F296" s="15" t="s">
        <v>19</v>
      </c>
      <c r="G296" s="15" t="s">
        <v>30</v>
      </c>
      <c r="H296" s="16">
        <v>30398</v>
      </c>
      <c r="I296" s="16">
        <v>42987</v>
      </c>
      <c r="J296" s="16">
        <v>43166</v>
      </c>
      <c r="K296" s="15" t="s">
        <v>37</v>
      </c>
      <c r="L296" s="15" t="s">
        <v>41</v>
      </c>
      <c r="M296" s="15">
        <v>68256</v>
      </c>
      <c r="N296" s="15" t="s">
        <v>33</v>
      </c>
      <c r="O296" s="15">
        <v>0.8246575342465754</v>
      </c>
      <c r="P296" s="15" t="s">
        <v>1862</v>
      </c>
      <c r="Q296" s="15">
        <f t="shared" ca="1" si="8"/>
        <v>42</v>
      </c>
      <c r="R296" s="15" t="str">
        <f t="shared" si="9"/>
        <v>Medium</v>
      </c>
    </row>
    <row r="297" spans="1:18" s="15" customFormat="1" x14ac:dyDescent="0.3">
      <c r="A297" s="15" t="s">
        <v>763</v>
      </c>
      <c r="B297" s="15" t="s">
        <v>764</v>
      </c>
      <c r="C297" s="15" t="s">
        <v>765</v>
      </c>
      <c r="D297" s="15" t="s">
        <v>27</v>
      </c>
      <c r="E297" s="15" t="s">
        <v>18</v>
      </c>
      <c r="F297" s="15" t="s">
        <v>19</v>
      </c>
      <c r="G297" s="15" t="s">
        <v>30</v>
      </c>
      <c r="H297" s="16">
        <v>28442</v>
      </c>
      <c r="I297" s="16">
        <v>43014</v>
      </c>
      <c r="J297" s="16">
        <v>43193</v>
      </c>
      <c r="K297" s="15" t="s">
        <v>37</v>
      </c>
      <c r="L297" s="15" t="s">
        <v>41</v>
      </c>
      <c r="M297" s="15">
        <v>66936</v>
      </c>
      <c r="N297" s="15" t="s">
        <v>33</v>
      </c>
      <c r="O297" s="15">
        <v>4.9589041095890414</v>
      </c>
      <c r="P297" s="15" t="s">
        <v>1861</v>
      </c>
      <c r="Q297" s="15">
        <f t="shared" ca="1" si="8"/>
        <v>48</v>
      </c>
      <c r="R297" s="15" t="str">
        <f t="shared" si="9"/>
        <v>Medium</v>
      </c>
    </row>
    <row r="298" spans="1:18" s="15" customFormat="1" x14ac:dyDescent="0.3">
      <c r="A298" s="15" t="s">
        <v>766</v>
      </c>
      <c r="B298" s="15" t="s">
        <v>767</v>
      </c>
      <c r="C298" s="15" t="s">
        <v>768</v>
      </c>
      <c r="D298" s="15" t="s">
        <v>17</v>
      </c>
      <c r="E298" s="15" t="s">
        <v>18</v>
      </c>
      <c r="F298" s="15" t="s">
        <v>19</v>
      </c>
      <c r="G298" s="15" t="s">
        <v>30</v>
      </c>
      <c r="H298" s="16">
        <v>27169</v>
      </c>
      <c r="I298" s="16">
        <v>44723</v>
      </c>
      <c r="J298" s="16">
        <v>44903</v>
      </c>
      <c r="K298" s="15" t="s">
        <v>37</v>
      </c>
      <c r="L298" s="15" t="s">
        <v>38</v>
      </c>
      <c r="M298" s="15">
        <v>57549</v>
      </c>
      <c r="N298" s="15" t="s">
        <v>96</v>
      </c>
      <c r="O298" s="15">
        <v>2.86027397260274</v>
      </c>
      <c r="P298" s="15" t="s">
        <v>1861</v>
      </c>
      <c r="Q298" s="15">
        <f t="shared" ca="1" si="8"/>
        <v>51</v>
      </c>
      <c r="R298" s="15" t="str">
        <f t="shared" si="9"/>
        <v>Low</v>
      </c>
    </row>
    <row r="299" spans="1:18" s="15" customFormat="1" x14ac:dyDescent="0.3">
      <c r="A299" s="15" t="s">
        <v>769</v>
      </c>
      <c r="B299" s="15" t="s">
        <v>268</v>
      </c>
      <c r="C299" s="15" t="s">
        <v>770</v>
      </c>
      <c r="D299" s="15" t="s">
        <v>27</v>
      </c>
      <c r="E299" s="15" t="s">
        <v>18</v>
      </c>
      <c r="F299" s="15" t="s">
        <v>19</v>
      </c>
      <c r="G299" s="15" t="s">
        <v>30</v>
      </c>
      <c r="H299" s="16">
        <v>29787</v>
      </c>
      <c r="I299" s="16">
        <v>44656</v>
      </c>
      <c r="J299" s="16">
        <v>44836</v>
      </c>
      <c r="K299" s="15" t="s">
        <v>37</v>
      </c>
      <c r="L299" s="15" t="s">
        <v>38</v>
      </c>
      <c r="M299" s="15">
        <v>67506</v>
      </c>
      <c r="N299" s="15" t="s">
        <v>44</v>
      </c>
      <c r="O299" s="15">
        <v>0.49315068493150682</v>
      </c>
      <c r="P299" s="15" t="s">
        <v>1862</v>
      </c>
      <c r="Q299" s="15">
        <f t="shared" ca="1" si="8"/>
        <v>44</v>
      </c>
      <c r="R299" s="15" t="str">
        <f t="shared" si="9"/>
        <v>Medium</v>
      </c>
    </row>
    <row r="300" spans="1:18" s="15" customFormat="1" x14ac:dyDescent="0.3">
      <c r="A300" s="15" t="s">
        <v>771</v>
      </c>
      <c r="B300" s="15" t="s">
        <v>772</v>
      </c>
      <c r="C300" s="15" t="s">
        <v>245</v>
      </c>
      <c r="D300" s="15" t="s">
        <v>27</v>
      </c>
      <c r="E300" s="15" t="s">
        <v>18</v>
      </c>
      <c r="F300" s="15" t="s">
        <v>19</v>
      </c>
      <c r="G300" s="15" t="s">
        <v>112</v>
      </c>
      <c r="H300" s="16">
        <v>25411</v>
      </c>
      <c r="I300" s="16">
        <v>42810</v>
      </c>
      <c r="J300" s="16">
        <v>43421</v>
      </c>
      <c r="K300" s="15" t="s">
        <v>94</v>
      </c>
      <c r="L300" s="15" t="s">
        <v>117</v>
      </c>
      <c r="M300" s="15">
        <v>57739</v>
      </c>
      <c r="N300" s="15" t="s">
        <v>96</v>
      </c>
      <c r="O300" s="15">
        <v>0.60273972602739723</v>
      </c>
      <c r="P300" s="15" t="s">
        <v>1862</v>
      </c>
      <c r="Q300" s="15">
        <f t="shared" ca="1" si="8"/>
        <v>56</v>
      </c>
      <c r="R300" s="15" t="str">
        <f t="shared" si="9"/>
        <v>Low</v>
      </c>
    </row>
    <row r="301" spans="1:18" s="15" customFormat="1" x14ac:dyDescent="0.3">
      <c r="A301" s="15" t="s">
        <v>773</v>
      </c>
      <c r="B301" s="15" t="s">
        <v>774</v>
      </c>
      <c r="C301" s="15" t="s">
        <v>775</v>
      </c>
      <c r="D301" s="15" t="s">
        <v>17</v>
      </c>
      <c r="E301" s="15" t="s">
        <v>120</v>
      </c>
      <c r="F301" s="15" t="s">
        <v>121</v>
      </c>
      <c r="G301" s="15" t="s">
        <v>30</v>
      </c>
      <c r="H301" s="16">
        <v>31124</v>
      </c>
      <c r="I301" s="16">
        <v>43441</v>
      </c>
      <c r="J301" s="16">
        <v>43621</v>
      </c>
      <c r="K301" s="15" t="s">
        <v>37</v>
      </c>
      <c r="L301" s="15" t="s">
        <v>38</v>
      </c>
      <c r="M301" s="15">
        <v>61624</v>
      </c>
      <c r="N301" s="15" t="s">
        <v>33</v>
      </c>
      <c r="O301" s="15">
        <v>0.49315068493150682</v>
      </c>
      <c r="P301" s="15" t="s">
        <v>1861</v>
      </c>
      <c r="Q301" s="15">
        <f t="shared" ca="1" si="8"/>
        <v>40</v>
      </c>
      <c r="R301" s="15" t="str">
        <f t="shared" si="9"/>
        <v>Medium</v>
      </c>
    </row>
    <row r="302" spans="1:18" s="15" customFormat="1" x14ac:dyDescent="0.3">
      <c r="A302" s="15" t="s">
        <v>776</v>
      </c>
      <c r="B302" s="15" t="s">
        <v>777</v>
      </c>
      <c r="C302" s="15" t="s">
        <v>301</v>
      </c>
      <c r="D302" s="15" t="s">
        <v>27</v>
      </c>
      <c r="E302" s="15" t="s">
        <v>81</v>
      </c>
      <c r="F302" s="15" t="s">
        <v>166</v>
      </c>
      <c r="G302" s="15" t="s">
        <v>30</v>
      </c>
      <c r="H302" s="16">
        <v>26693</v>
      </c>
      <c r="I302" s="16">
        <v>43400</v>
      </c>
      <c r="J302" s="16">
        <v>43580</v>
      </c>
      <c r="K302" s="15" t="s">
        <v>21</v>
      </c>
      <c r="L302" s="15" t="s">
        <v>108</v>
      </c>
      <c r="M302" s="15">
        <v>67477</v>
      </c>
      <c r="N302" s="15" t="s">
        <v>96</v>
      </c>
      <c r="O302" s="15">
        <v>5.9589041095890414</v>
      </c>
      <c r="P302" s="15" t="s">
        <v>1862</v>
      </c>
      <c r="Q302" s="15">
        <f t="shared" ca="1" si="8"/>
        <v>52</v>
      </c>
      <c r="R302" s="15" t="str">
        <f t="shared" si="9"/>
        <v>Medium</v>
      </c>
    </row>
    <row r="303" spans="1:18" s="15" customFormat="1" x14ac:dyDescent="0.3">
      <c r="A303" s="15" t="s">
        <v>778</v>
      </c>
      <c r="B303" s="15" t="s">
        <v>779</v>
      </c>
      <c r="C303" s="15" t="s">
        <v>780</v>
      </c>
      <c r="D303" s="15" t="s">
        <v>17</v>
      </c>
      <c r="E303" s="15" t="s">
        <v>18</v>
      </c>
      <c r="F303" s="15" t="s">
        <v>19</v>
      </c>
      <c r="G303" s="15" t="s">
        <v>20</v>
      </c>
      <c r="H303" s="16">
        <v>37972</v>
      </c>
      <c r="I303" s="16">
        <v>43098</v>
      </c>
      <c r="J303" s="16">
        <v>43277</v>
      </c>
      <c r="K303" s="15" t="s">
        <v>37</v>
      </c>
      <c r="L303" s="15" t="s">
        <v>41</v>
      </c>
      <c r="M303" s="15">
        <v>58948</v>
      </c>
      <c r="N303" s="15" t="s">
        <v>96</v>
      </c>
      <c r="O303" s="15">
        <v>8.9260273972602739</v>
      </c>
      <c r="P303" s="15" t="s">
        <v>1861</v>
      </c>
      <c r="Q303" s="15">
        <f t="shared" ca="1" si="8"/>
        <v>22</v>
      </c>
      <c r="R303" s="15" t="str">
        <f t="shared" si="9"/>
        <v>Low</v>
      </c>
    </row>
    <row r="304" spans="1:18" s="15" customFormat="1" x14ac:dyDescent="0.3">
      <c r="A304" s="15" t="s">
        <v>781</v>
      </c>
      <c r="B304" s="15" t="s">
        <v>417</v>
      </c>
      <c r="C304" s="15" t="s">
        <v>175</v>
      </c>
      <c r="D304" s="15" t="s">
        <v>17</v>
      </c>
      <c r="E304" s="15" t="s">
        <v>120</v>
      </c>
      <c r="F304" s="15" t="s">
        <v>121</v>
      </c>
      <c r="G304" s="15" t="s">
        <v>20</v>
      </c>
      <c r="H304" s="16">
        <v>25577</v>
      </c>
      <c r="I304" s="16">
        <v>44562</v>
      </c>
      <c r="J304" s="16">
        <v>44742</v>
      </c>
      <c r="K304" s="15" t="s">
        <v>21</v>
      </c>
      <c r="L304" s="15" t="s">
        <v>22</v>
      </c>
      <c r="M304" s="15">
        <v>75839</v>
      </c>
      <c r="N304" s="15" t="s">
        <v>23</v>
      </c>
      <c r="O304" s="15">
        <v>0.49315068493150682</v>
      </c>
      <c r="P304" s="15" t="s">
        <v>1862</v>
      </c>
      <c r="Q304" s="15">
        <f t="shared" ca="1" si="8"/>
        <v>56</v>
      </c>
      <c r="R304" s="15" t="str">
        <f t="shared" si="9"/>
        <v>Medium</v>
      </c>
    </row>
    <row r="305" spans="1:18" s="15" customFormat="1" x14ac:dyDescent="0.3">
      <c r="A305" s="15" t="s">
        <v>782</v>
      </c>
      <c r="B305" s="15" t="s">
        <v>783</v>
      </c>
      <c r="C305" s="15" t="s">
        <v>784</v>
      </c>
      <c r="D305" s="15" t="s">
        <v>27</v>
      </c>
      <c r="E305" s="15" t="s">
        <v>18</v>
      </c>
      <c r="F305" s="15" t="s">
        <v>19</v>
      </c>
      <c r="G305" s="15" t="s">
        <v>30</v>
      </c>
      <c r="H305" s="16">
        <v>31972</v>
      </c>
      <c r="I305" s="16">
        <v>43327</v>
      </c>
      <c r="J305" s="16">
        <v>43507</v>
      </c>
      <c r="K305" s="15" t="s">
        <v>37</v>
      </c>
      <c r="L305" s="15" t="s">
        <v>38</v>
      </c>
      <c r="M305" s="15">
        <v>70332</v>
      </c>
      <c r="N305" s="15" t="s">
        <v>33</v>
      </c>
      <c r="O305" s="15">
        <v>0.48767123287671232</v>
      </c>
      <c r="P305" s="15" t="s">
        <v>1862</v>
      </c>
      <c r="Q305" s="15">
        <f t="shared" ca="1" si="8"/>
        <v>38</v>
      </c>
      <c r="R305" s="15" t="str">
        <f t="shared" si="9"/>
        <v>Medium</v>
      </c>
    </row>
    <row r="306" spans="1:18" s="15" customFormat="1" x14ac:dyDescent="0.3">
      <c r="A306" s="15" t="s">
        <v>785</v>
      </c>
      <c r="B306" s="15" t="s">
        <v>786</v>
      </c>
      <c r="C306" s="15" t="s">
        <v>787</v>
      </c>
      <c r="D306" s="15" t="s">
        <v>27</v>
      </c>
      <c r="E306" s="15" t="s">
        <v>656</v>
      </c>
      <c r="F306" s="15" t="s">
        <v>657</v>
      </c>
      <c r="G306" s="15" t="s">
        <v>112</v>
      </c>
      <c r="H306" s="16">
        <v>28263</v>
      </c>
      <c r="I306" s="16">
        <v>45263</v>
      </c>
      <c r="J306" s="16">
        <v>45443</v>
      </c>
      <c r="K306" s="15" t="s">
        <v>37</v>
      </c>
      <c r="L306" s="15" t="s">
        <v>43</v>
      </c>
      <c r="M306" s="15">
        <v>67285</v>
      </c>
      <c r="N306" s="15" t="s">
        <v>96</v>
      </c>
      <c r="O306" s="15">
        <v>8.1068493150684926</v>
      </c>
      <c r="P306" s="15" t="s">
        <v>1861</v>
      </c>
      <c r="Q306" s="15">
        <f t="shared" ca="1" si="8"/>
        <v>48</v>
      </c>
      <c r="R306" s="15" t="str">
        <f t="shared" si="9"/>
        <v>Medium</v>
      </c>
    </row>
    <row r="307" spans="1:18" s="15" customFormat="1" x14ac:dyDescent="0.3">
      <c r="A307" s="15" t="s">
        <v>788</v>
      </c>
      <c r="B307" s="15" t="s">
        <v>789</v>
      </c>
      <c r="C307" s="15" t="s">
        <v>555</v>
      </c>
      <c r="D307" s="15" t="s">
        <v>17</v>
      </c>
      <c r="E307" s="15" t="s">
        <v>18</v>
      </c>
      <c r="F307" s="15" t="s">
        <v>19</v>
      </c>
      <c r="G307" s="15" t="s">
        <v>30</v>
      </c>
      <c r="H307" s="16">
        <v>32973</v>
      </c>
      <c r="I307" s="16">
        <v>42504</v>
      </c>
      <c r="J307" s="16">
        <v>44676</v>
      </c>
      <c r="K307" s="15" t="s">
        <v>31</v>
      </c>
      <c r="L307" s="15" t="s">
        <v>83</v>
      </c>
      <c r="M307" s="15">
        <v>59936</v>
      </c>
      <c r="N307" s="15" t="s">
        <v>33</v>
      </c>
      <c r="O307" s="15">
        <v>0.49315068493150682</v>
      </c>
      <c r="P307" s="15" t="s">
        <v>1862</v>
      </c>
      <c r="Q307" s="15">
        <f t="shared" ca="1" si="8"/>
        <v>35</v>
      </c>
      <c r="R307" s="15" t="str">
        <f t="shared" si="9"/>
        <v>Low</v>
      </c>
    </row>
    <row r="308" spans="1:18" s="15" customFormat="1" x14ac:dyDescent="0.3">
      <c r="A308" s="15" t="s">
        <v>790</v>
      </c>
      <c r="B308" s="15" t="s">
        <v>211</v>
      </c>
      <c r="C308" s="15" t="s">
        <v>719</v>
      </c>
      <c r="D308" s="15" t="s">
        <v>27</v>
      </c>
      <c r="E308" s="15" t="s">
        <v>18</v>
      </c>
      <c r="F308" s="15" t="s">
        <v>19</v>
      </c>
      <c r="G308" s="15" t="s">
        <v>30</v>
      </c>
      <c r="H308" s="16">
        <v>23524</v>
      </c>
      <c r="I308" s="16">
        <v>43977</v>
      </c>
      <c r="J308" s="16">
        <v>44157</v>
      </c>
      <c r="K308" s="15" t="s">
        <v>37</v>
      </c>
      <c r="L308" s="15" t="s">
        <v>38</v>
      </c>
      <c r="M308" s="15">
        <v>68848</v>
      </c>
      <c r="N308" s="15" t="s">
        <v>33</v>
      </c>
      <c r="O308" s="15">
        <v>0.49315068493150682</v>
      </c>
      <c r="P308" s="15" t="s">
        <v>1862</v>
      </c>
      <c r="Q308" s="15">
        <f t="shared" ca="1" si="8"/>
        <v>61</v>
      </c>
      <c r="R308" s="15" t="str">
        <f t="shared" si="9"/>
        <v>Medium</v>
      </c>
    </row>
    <row r="309" spans="1:18" s="15" customFormat="1" x14ac:dyDescent="0.3">
      <c r="A309" s="15" t="s">
        <v>791</v>
      </c>
      <c r="B309" s="15" t="s">
        <v>586</v>
      </c>
      <c r="C309" s="15" t="s">
        <v>602</v>
      </c>
      <c r="D309" s="15" t="s">
        <v>17</v>
      </c>
      <c r="E309" s="15" t="s">
        <v>18</v>
      </c>
      <c r="F309" s="15" t="s">
        <v>19</v>
      </c>
      <c r="G309" s="15" t="s">
        <v>30</v>
      </c>
      <c r="H309" s="16">
        <v>26385</v>
      </c>
      <c r="I309" s="16">
        <v>44635</v>
      </c>
      <c r="J309" s="16">
        <v>44815</v>
      </c>
      <c r="K309" s="15" t="s">
        <v>94</v>
      </c>
      <c r="L309" s="15" t="s">
        <v>182</v>
      </c>
      <c r="M309" s="15">
        <v>66482</v>
      </c>
      <c r="N309" s="15" t="s">
        <v>44</v>
      </c>
      <c r="O309" s="15">
        <v>0.49041095890410957</v>
      </c>
      <c r="P309" s="15" t="s">
        <v>1862</v>
      </c>
      <c r="Q309" s="15">
        <f t="shared" ca="1" si="8"/>
        <v>53</v>
      </c>
      <c r="R309" s="15" t="str">
        <f t="shared" si="9"/>
        <v>Medium</v>
      </c>
    </row>
    <row r="310" spans="1:18" s="15" customFormat="1" x14ac:dyDescent="0.3">
      <c r="A310" s="15" t="s">
        <v>792</v>
      </c>
      <c r="B310" s="15" t="s">
        <v>406</v>
      </c>
      <c r="C310" s="15" t="s">
        <v>201</v>
      </c>
      <c r="D310" s="15" t="s">
        <v>17</v>
      </c>
      <c r="E310" s="15" t="s">
        <v>18</v>
      </c>
      <c r="F310" s="15" t="s">
        <v>19</v>
      </c>
      <c r="G310" s="15" t="s">
        <v>112</v>
      </c>
      <c r="H310" s="16">
        <v>24612</v>
      </c>
      <c r="I310" s="16">
        <v>45075</v>
      </c>
      <c r="J310" s="16">
        <v>45255</v>
      </c>
      <c r="K310" s="15" t="s">
        <v>21</v>
      </c>
      <c r="L310" s="15" t="s">
        <v>482</v>
      </c>
      <c r="M310" s="15">
        <v>69548</v>
      </c>
      <c r="N310" s="15" t="s">
        <v>33</v>
      </c>
      <c r="O310" s="15">
        <v>0.49041095890410957</v>
      </c>
      <c r="P310" s="15" t="s">
        <v>1862</v>
      </c>
      <c r="Q310" s="15">
        <f t="shared" ca="1" si="8"/>
        <v>58</v>
      </c>
      <c r="R310" s="15" t="str">
        <f t="shared" si="9"/>
        <v>Medium</v>
      </c>
    </row>
    <row r="311" spans="1:18" s="15" customFormat="1" x14ac:dyDescent="0.3">
      <c r="A311" s="15" t="s">
        <v>793</v>
      </c>
      <c r="B311" s="15" t="s">
        <v>794</v>
      </c>
      <c r="C311" s="15" t="s">
        <v>243</v>
      </c>
      <c r="D311" s="15" t="s">
        <v>27</v>
      </c>
      <c r="E311" s="15" t="s">
        <v>81</v>
      </c>
      <c r="F311" s="15" t="s">
        <v>82</v>
      </c>
      <c r="G311" s="15" t="s">
        <v>112</v>
      </c>
      <c r="H311" s="16">
        <v>33130</v>
      </c>
      <c r="I311" s="16">
        <v>45281</v>
      </c>
      <c r="J311" s="16">
        <v>45461</v>
      </c>
      <c r="K311" s="15" t="s">
        <v>31</v>
      </c>
      <c r="L311" s="15" t="s">
        <v>159</v>
      </c>
      <c r="M311" s="15">
        <v>89090</v>
      </c>
      <c r="N311" s="15" t="s">
        <v>96</v>
      </c>
      <c r="O311" s="15">
        <v>0.49315068493150682</v>
      </c>
      <c r="P311" s="15" t="s">
        <v>1861</v>
      </c>
      <c r="Q311" s="15">
        <f t="shared" ca="1" si="8"/>
        <v>35</v>
      </c>
      <c r="R311" s="15" t="str">
        <f t="shared" si="9"/>
        <v>Medium</v>
      </c>
    </row>
    <row r="312" spans="1:18" s="15" customFormat="1" x14ac:dyDescent="0.3">
      <c r="A312" s="15" t="s">
        <v>795</v>
      </c>
      <c r="B312" s="15" t="s">
        <v>206</v>
      </c>
      <c r="C312" s="15" t="s">
        <v>796</v>
      </c>
      <c r="D312" s="15" t="s">
        <v>27</v>
      </c>
      <c r="E312" s="15" t="s">
        <v>81</v>
      </c>
      <c r="F312" s="15" t="s">
        <v>82</v>
      </c>
      <c r="G312" s="15" t="s">
        <v>30</v>
      </c>
      <c r="H312" s="16">
        <v>27950</v>
      </c>
      <c r="I312" s="16">
        <v>42627</v>
      </c>
      <c r="J312" s="16">
        <v>44464</v>
      </c>
      <c r="K312" s="15" t="s">
        <v>21</v>
      </c>
      <c r="L312" s="15" t="s">
        <v>100</v>
      </c>
      <c r="M312" s="15">
        <v>61136</v>
      </c>
      <c r="N312" s="15" t="s">
        <v>96</v>
      </c>
      <c r="O312" s="15">
        <v>0.49315068493150682</v>
      </c>
      <c r="P312" s="15" t="s">
        <v>1862</v>
      </c>
      <c r="Q312" s="15">
        <f t="shared" ca="1" si="8"/>
        <v>49</v>
      </c>
      <c r="R312" s="15" t="str">
        <f t="shared" si="9"/>
        <v>Medium</v>
      </c>
    </row>
    <row r="313" spans="1:18" s="15" customFormat="1" x14ac:dyDescent="0.3">
      <c r="A313" s="15" t="s">
        <v>797</v>
      </c>
      <c r="B313" s="15" t="s">
        <v>397</v>
      </c>
      <c r="C313" s="15" t="s">
        <v>722</v>
      </c>
      <c r="D313" s="15" t="s">
        <v>17</v>
      </c>
      <c r="E313" s="15" t="s">
        <v>18</v>
      </c>
      <c r="F313" s="15" t="s">
        <v>19</v>
      </c>
      <c r="G313" s="15" t="s">
        <v>112</v>
      </c>
      <c r="H313" s="16">
        <v>36188</v>
      </c>
      <c r="I313" s="16">
        <v>45351</v>
      </c>
      <c r="J313" s="16">
        <v>45531</v>
      </c>
      <c r="K313" s="15" t="s">
        <v>94</v>
      </c>
      <c r="L313" s="15" t="s">
        <v>122</v>
      </c>
      <c r="M313" s="15">
        <v>86367</v>
      </c>
      <c r="N313" s="15" t="s">
        <v>96</v>
      </c>
      <c r="O313" s="15">
        <v>1.6739726027397259</v>
      </c>
      <c r="P313" s="15" t="s">
        <v>1861</v>
      </c>
      <c r="Q313" s="15">
        <f t="shared" ca="1" si="8"/>
        <v>26</v>
      </c>
      <c r="R313" s="15" t="str">
        <f t="shared" si="9"/>
        <v>Medium</v>
      </c>
    </row>
    <row r="314" spans="1:18" s="15" customFormat="1" x14ac:dyDescent="0.3">
      <c r="A314" s="15" t="s">
        <v>798</v>
      </c>
      <c r="B314" s="15" t="s">
        <v>799</v>
      </c>
      <c r="C314" s="15" t="s">
        <v>16</v>
      </c>
      <c r="D314" s="15" t="s">
        <v>17</v>
      </c>
      <c r="E314" s="15" t="s">
        <v>18</v>
      </c>
      <c r="F314" s="15" t="s">
        <v>19</v>
      </c>
      <c r="G314" s="15" t="s">
        <v>30</v>
      </c>
      <c r="H314" s="16">
        <v>32559</v>
      </c>
      <c r="I314" s="16">
        <v>42931</v>
      </c>
      <c r="J314" s="16">
        <v>43111</v>
      </c>
      <c r="K314" s="15" t="s">
        <v>31</v>
      </c>
      <c r="L314" s="15" t="s">
        <v>32</v>
      </c>
      <c r="M314" s="15">
        <v>79711</v>
      </c>
      <c r="N314" s="15" t="s">
        <v>23</v>
      </c>
      <c r="O314" s="15">
        <v>0.49315068493150682</v>
      </c>
      <c r="P314" s="15" t="s">
        <v>1862</v>
      </c>
      <c r="Q314" s="15">
        <f t="shared" ca="1" si="8"/>
        <v>36</v>
      </c>
      <c r="R314" s="15" t="str">
        <f t="shared" si="9"/>
        <v>Medium</v>
      </c>
    </row>
    <row r="315" spans="1:18" s="15" customFormat="1" x14ac:dyDescent="0.3">
      <c r="A315" s="15" t="s">
        <v>800</v>
      </c>
      <c r="B315" s="15" t="s">
        <v>801</v>
      </c>
      <c r="C315" s="15" t="s">
        <v>236</v>
      </c>
      <c r="D315" s="15" t="s">
        <v>27</v>
      </c>
      <c r="E315" s="15" t="s">
        <v>18</v>
      </c>
      <c r="F315" s="15" t="s">
        <v>19</v>
      </c>
      <c r="G315" s="15" t="s">
        <v>30</v>
      </c>
      <c r="H315" s="16">
        <v>34842</v>
      </c>
      <c r="I315" s="16">
        <v>43139</v>
      </c>
      <c r="J315" s="16">
        <v>44239</v>
      </c>
      <c r="K315" s="15" t="s">
        <v>51</v>
      </c>
      <c r="L315" s="15" t="s">
        <v>56</v>
      </c>
      <c r="M315" s="15">
        <v>63065</v>
      </c>
      <c r="N315" s="15" t="s">
        <v>33</v>
      </c>
      <c r="O315" s="15">
        <v>0.49315068493150682</v>
      </c>
      <c r="P315" s="15" t="s">
        <v>1862</v>
      </c>
      <c r="Q315" s="15">
        <f t="shared" ca="1" si="8"/>
        <v>30</v>
      </c>
      <c r="R315" s="15" t="str">
        <f t="shared" si="9"/>
        <v>Medium</v>
      </c>
    </row>
    <row r="316" spans="1:18" s="15" customFormat="1" x14ac:dyDescent="0.3">
      <c r="A316" s="15" t="s">
        <v>802</v>
      </c>
      <c r="B316" s="15" t="s">
        <v>803</v>
      </c>
      <c r="C316" s="15" t="s">
        <v>804</v>
      </c>
      <c r="D316" s="15" t="s">
        <v>27</v>
      </c>
      <c r="E316" s="15" t="s">
        <v>137</v>
      </c>
      <c r="F316" s="15" t="s">
        <v>595</v>
      </c>
      <c r="G316" s="15" t="s">
        <v>30</v>
      </c>
      <c r="H316" s="16">
        <v>27797</v>
      </c>
      <c r="I316" s="16">
        <v>43670</v>
      </c>
      <c r="J316" s="16">
        <v>43850</v>
      </c>
      <c r="K316" s="15" t="s">
        <v>94</v>
      </c>
      <c r="L316" s="15" t="s">
        <v>122</v>
      </c>
      <c r="M316" s="15">
        <v>82504</v>
      </c>
      <c r="N316" s="15" t="s">
        <v>44</v>
      </c>
      <c r="O316" s="15">
        <v>0.49041095890410957</v>
      </c>
      <c r="P316" s="15" t="s">
        <v>1861</v>
      </c>
      <c r="Q316" s="15">
        <f t="shared" ca="1" si="8"/>
        <v>49</v>
      </c>
      <c r="R316" s="15" t="str">
        <f t="shared" si="9"/>
        <v>Medium</v>
      </c>
    </row>
    <row r="317" spans="1:18" s="15" customFormat="1" x14ac:dyDescent="0.3">
      <c r="A317" s="15" t="s">
        <v>805</v>
      </c>
      <c r="B317" s="15" t="s">
        <v>806</v>
      </c>
      <c r="C317" s="15" t="s">
        <v>193</v>
      </c>
      <c r="D317" s="15" t="s">
        <v>27</v>
      </c>
      <c r="E317" s="15" t="s">
        <v>18</v>
      </c>
      <c r="F317" s="15" t="s">
        <v>19</v>
      </c>
      <c r="G317" s="15" t="s">
        <v>20</v>
      </c>
      <c r="H317" s="16">
        <v>29870</v>
      </c>
      <c r="I317" s="16">
        <v>44982</v>
      </c>
      <c r="J317" s="16">
        <v>45252</v>
      </c>
      <c r="K317" s="15" t="s">
        <v>21</v>
      </c>
      <c r="L317" s="15" t="s">
        <v>108</v>
      </c>
      <c r="M317" s="15">
        <v>61422</v>
      </c>
      <c r="N317" s="15" t="s">
        <v>23</v>
      </c>
      <c r="O317" s="15">
        <v>0.49315068493150682</v>
      </c>
      <c r="P317" s="15" t="s">
        <v>1861</v>
      </c>
      <c r="Q317" s="15">
        <f t="shared" ca="1" si="8"/>
        <v>44</v>
      </c>
      <c r="R317" s="15" t="str">
        <f t="shared" si="9"/>
        <v>Medium</v>
      </c>
    </row>
    <row r="318" spans="1:18" s="15" customFormat="1" x14ac:dyDescent="0.3">
      <c r="A318" s="15" t="s">
        <v>807</v>
      </c>
      <c r="B318" s="15" t="s">
        <v>251</v>
      </c>
      <c r="C318" s="15" t="s">
        <v>808</v>
      </c>
      <c r="D318" s="15" t="s">
        <v>17</v>
      </c>
      <c r="E318" s="15" t="s">
        <v>18</v>
      </c>
      <c r="F318" s="15" t="s">
        <v>19</v>
      </c>
      <c r="G318" s="15" t="s">
        <v>30</v>
      </c>
      <c r="H318" s="16">
        <v>37591</v>
      </c>
      <c r="I318" s="16">
        <v>44256</v>
      </c>
      <c r="J318" s="16">
        <v>44436</v>
      </c>
      <c r="K318" s="15" t="s">
        <v>51</v>
      </c>
      <c r="L318" s="15" t="s">
        <v>52</v>
      </c>
      <c r="M318" s="15">
        <v>74745</v>
      </c>
      <c r="N318" s="15" t="s">
        <v>33</v>
      </c>
      <c r="O318" s="15">
        <v>0.49315068493150682</v>
      </c>
      <c r="P318" s="15" t="s">
        <v>1862</v>
      </c>
      <c r="Q318" s="15">
        <f t="shared" ca="1" si="8"/>
        <v>23</v>
      </c>
      <c r="R318" s="15" t="str">
        <f t="shared" si="9"/>
        <v>Medium</v>
      </c>
    </row>
    <row r="319" spans="1:18" s="15" customFormat="1" x14ac:dyDescent="0.3">
      <c r="A319" s="15" t="s">
        <v>809</v>
      </c>
      <c r="B319" s="15" t="s">
        <v>265</v>
      </c>
      <c r="C319" s="15" t="s">
        <v>810</v>
      </c>
      <c r="D319" s="15" t="s">
        <v>17</v>
      </c>
      <c r="E319" s="15" t="s">
        <v>354</v>
      </c>
      <c r="F319" s="15" t="s">
        <v>404</v>
      </c>
      <c r="G319" s="15" t="s">
        <v>20</v>
      </c>
      <c r="H319" s="16">
        <v>23738</v>
      </c>
      <c r="I319" s="16">
        <v>42838</v>
      </c>
      <c r="J319" s="16">
        <v>43948</v>
      </c>
      <c r="K319" s="15" t="s">
        <v>21</v>
      </c>
      <c r="L319" s="15" t="s">
        <v>108</v>
      </c>
      <c r="M319" s="15">
        <v>65592</v>
      </c>
      <c r="N319" s="15" t="s">
        <v>23</v>
      </c>
      <c r="O319" s="15">
        <v>0.49315068493150682</v>
      </c>
      <c r="P319" s="15" t="s">
        <v>1861</v>
      </c>
      <c r="Q319" s="15">
        <f t="shared" ca="1" si="8"/>
        <v>61</v>
      </c>
      <c r="R319" s="15" t="str">
        <f t="shared" si="9"/>
        <v>Medium</v>
      </c>
    </row>
    <row r="320" spans="1:18" s="15" customFormat="1" x14ac:dyDescent="0.3">
      <c r="A320" s="15" t="s">
        <v>811</v>
      </c>
      <c r="B320" s="15" t="s">
        <v>63</v>
      </c>
      <c r="C320" s="15" t="s">
        <v>812</v>
      </c>
      <c r="D320" s="15" t="s">
        <v>27</v>
      </c>
      <c r="E320" s="15" t="s">
        <v>18</v>
      </c>
      <c r="F320" s="15" t="s">
        <v>19</v>
      </c>
      <c r="G320" s="15" t="s">
        <v>30</v>
      </c>
      <c r="H320" s="16">
        <v>23537</v>
      </c>
      <c r="I320" s="16">
        <v>42622</v>
      </c>
      <c r="J320" s="16">
        <v>44415</v>
      </c>
      <c r="K320" s="15" t="s">
        <v>37</v>
      </c>
      <c r="L320" s="15" t="s">
        <v>41</v>
      </c>
      <c r="M320" s="15">
        <v>68263</v>
      </c>
      <c r="N320" s="15" t="s">
        <v>33</v>
      </c>
      <c r="O320" s="15">
        <v>5.9506849315068493</v>
      </c>
      <c r="P320" s="15" t="s">
        <v>1861</v>
      </c>
      <c r="Q320" s="15">
        <f t="shared" ca="1" si="8"/>
        <v>61</v>
      </c>
      <c r="R320" s="15" t="str">
        <f t="shared" si="9"/>
        <v>Medium</v>
      </c>
    </row>
    <row r="321" spans="1:18" s="15" customFormat="1" x14ac:dyDescent="0.3">
      <c r="A321" s="15" t="s">
        <v>813</v>
      </c>
      <c r="B321" s="15" t="s">
        <v>615</v>
      </c>
      <c r="C321" s="15" t="s">
        <v>814</v>
      </c>
      <c r="D321" s="15" t="s">
        <v>17</v>
      </c>
      <c r="E321" s="15" t="s">
        <v>354</v>
      </c>
      <c r="F321" s="15" t="s">
        <v>355</v>
      </c>
      <c r="G321" s="15" t="s">
        <v>20</v>
      </c>
      <c r="H321" s="16">
        <v>29963</v>
      </c>
      <c r="I321" s="16">
        <v>45188</v>
      </c>
      <c r="J321" s="16">
        <v>45472</v>
      </c>
      <c r="K321" s="15" t="s">
        <v>21</v>
      </c>
      <c r="L321" s="15" t="s">
        <v>108</v>
      </c>
      <c r="M321" s="15">
        <v>63173</v>
      </c>
      <c r="N321" s="15" t="s">
        <v>23</v>
      </c>
      <c r="O321" s="15">
        <v>0.49315068493150682</v>
      </c>
      <c r="P321" s="15" t="s">
        <v>1862</v>
      </c>
      <c r="Q321" s="15">
        <f t="shared" ca="1" si="8"/>
        <v>44</v>
      </c>
      <c r="R321" s="15" t="str">
        <f t="shared" si="9"/>
        <v>Medium</v>
      </c>
    </row>
    <row r="322" spans="1:18" s="15" customFormat="1" x14ac:dyDescent="0.3">
      <c r="A322" s="15" t="s">
        <v>815</v>
      </c>
      <c r="B322" s="15" t="s">
        <v>392</v>
      </c>
      <c r="C322" s="15" t="s">
        <v>218</v>
      </c>
      <c r="D322" s="15" t="s">
        <v>17</v>
      </c>
      <c r="E322" s="15" t="s">
        <v>18</v>
      </c>
      <c r="F322" s="15" t="s">
        <v>19</v>
      </c>
      <c r="G322" s="15" t="s">
        <v>30</v>
      </c>
      <c r="H322" s="16">
        <v>28199</v>
      </c>
      <c r="I322" s="16">
        <v>43588</v>
      </c>
      <c r="J322" s="16">
        <v>43768</v>
      </c>
      <c r="K322" s="15" t="s">
        <v>65</v>
      </c>
      <c r="L322" s="15" t="s">
        <v>314</v>
      </c>
      <c r="M322" s="15">
        <v>61924</v>
      </c>
      <c r="N322" s="15" t="s">
        <v>33</v>
      </c>
      <c r="O322" s="15">
        <v>0.49315068493150682</v>
      </c>
      <c r="P322" s="15" t="s">
        <v>1862</v>
      </c>
      <c r="Q322" s="15">
        <f t="shared" ref="Q322:Q385" ca="1" si="10">DATEDIF(H322, TODAY(), "Y")</f>
        <v>48</v>
      </c>
      <c r="R322" s="15" t="str">
        <f t="shared" si="9"/>
        <v>Medium</v>
      </c>
    </row>
    <row r="323" spans="1:18" s="15" customFormat="1" x14ac:dyDescent="0.3">
      <c r="A323" s="15" t="s">
        <v>816</v>
      </c>
      <c r="B323" s="15" t="s">
        <v>817</v>
      </c>
      <c r="C323" s="15" t="s">
        <v>818</v>
      </c>
      <c r="D323" s="15" t="s">
        <v>27</v>
      </c>
      <c r="E323" s="15" t="s">
        <v>18</v>
      </c>
      <c r="F323" s="15" t="s">
        <v>19</v>
      </c>
      <c r="G323" s="15" t="s">
        <v>30</v>
      </c>
      <c r="H323" s="16">
        <v>27354</v>
      </c>
      <c r="I323" s="16">
        <v>42559</v>
      </c>
      <c r="J323" s="16">
        <v>45570</v>
      </c>
      <c r="K323" s="15" t="s">
        <v>31</v>
      </c>
      <c r="L323" s="15" t="s">
        <v>159</v>
      </c>
      <c r="M323" s="15">
        <v>92714</v>
      </c>
      <c r="N323" s="15" t="s">
        <v>33</v>
      </c>
      <c r="O323" s="15">
        <v>0.49315068493150682</v>
      </c>
      <c r="P323" s="15" t="s">
        <v>1862</v>
      </c>
      <c r="Q323" s="15">
        <f t="shared" ca="1" si="10"/>
        <v>51</v>
      </c>
      <c r="R323" s="15" t="str">
        <f t="shared" ref="R323:R386" si="11">IF(M323:M1288&gt;100000,"High",IF(M323:M1288&gt;60000,"Medium","Low"))</f>
        <v>Medium</v>
      </c>
    </row>
    <row r="324" spans="1:18" s="15" customFormat="1" x14ac:dyDescent="0.3">
      <c r="A324" s="15" t="s">
        <v>819</v>
      </c>
      <c r="B324" s="15" t="s">
        <v>213</v>
      </c>
      <c r="C324" s="15" t="s">
        <v>16</v>
      </c>
      <c r="D324" s="15" t="s">
        <v>17</v>
      </c>
      <c r="E324" s="15" t="s">
        <v>18</v>
      </c>
      <c r="F324" s="15" t="s">
        <v>19</v>
      </c>
      <c r="G324" s="15" t="s">
        <v>30</v>
      </c>
      <c r="H324" s="16">
        <v>35047</v>
      </c>
      <c r="I324" s="16">
        <v>43857</v>
      </c>
      <c r="J324" s="16">
        <v>44740</v>
      </c>
      <c r="K324" s="15" t="s">
        <v>94</v>
      </c>
      <c r="L324" s="15" t="s">
        <v>117</v>
      </c>
      <c r="M324" s="15">
        <v>76920</v>
      </c>
      <c r="N324" s="15" t="s">
        <v>33</v>
      </c>
      <c r="O324" s="15">
        <v>8.2301369863013694</v>
      </c>
      <c r="P324" s="15" t="s">
        <v>1861</v>
      </c>
      <c r="Q324" s="15">
        <f t="shared" ca="1" si="10"/>
        <v>30</v>
      </c>
      <c r="R324" s="15" t="str">
        <f t="shared" si="11"/>
        <v>Medium</v>
      </c>
    </row>
    <row r="325" spans="1:18" s="15" customFormat="1" x14ac:dyDescent="0.3">
      <c r="A325" s="15" t="s">
        <v>820</v>
      </c>
      <c r="B325" s="15" t="s">
        <v>821</v>
      </c>
      <c r="C325" s="15" t="s">
        <v>822</v>
      </c>
      <c r="D325" s="15" t="s">
        <v>17</v>
      </c>
      <c r="E325" s="15" t="s">
        <v>18</v>
      </c>
      <c r="F325" s="15" t="s">
        <v>19</v>
      </c>
      <c r="G325" s="15" t="s">
        <v>30</v>
      </c>
      <c r="H325" s="16">
        <v>22884</v>
      </c>
      <c r="I325" s="16">
        <v>42847</v>
      </c>
      <c r="J325" s="16">
        <v>44638</v>
      </c>
      <c r="K325" s="15" t="s">
        <v>65</v>
      </c>
      <c r="L325" s="15" t="s">
        <v>131</v>
      </c>
      <c r="M325" s="15">
        <v>64316</v>
      </c>
      <c r="N325" s="15" t="s">
        <v>44</v>
      </c>
      <c r="O325" s="15">
        <v>0.49315068493150682</v>
      </c>
      <c r="P325" s="15" t="s">
        <v>1862</v>
      </c>
      <c r="Q325" s="15">
        <f t="shared" ca="1" si="10"/>
        <v>63</v>
      </c>
      <c r="R325" s="15" t="str">
        <f t="shared" si="11"/>
        <v>Medium</v>
      </c>
    </row>
    <row r="326" spans="1:18" s="15" customFormat="1" x14ac:dyDescent="0.3">
      <c r="A326" s="15" t="s">
        <v>825</v>
      </c>
      <c r="B326" s="15" t="s">
        <v>826</v>
      </c>
      <c r="C326" s="15" t="s">
        <v>827</v>
      </c>
      <c r="D326" s="15" t="s">
        <v>27</v>
      </c>
      <c r="E326" s="15" t="s">
        <v>18</v>
      </c>
      <c r="F326" s="15" t="s">
        <v>19</v>
      </c>
      <c r="G326" s="15" t="s">
        <v>20</v>
      </c>
      <c r="H326" s="16">
        <v>31241</v>
      </c>
      <c r="I326" s="16">
        <v>43009</v>
      </c>
      <c r="J326" s="16">
        <v>44198</v>
      </c>
      <c r="K326" s="15" t="s">
        <v>37</v>
      </c>
      <c r="L326" s="15" t="s">
        <v>41</v>
      </c>
      <c r="M326" s="15">
        <v>60526</v>
      </c>
      <c r="N326" s="15" t="s">
        <v>23</v>
      </c>
      <c r="O326" s="15">
        <v>5.0328767123287674</v>
      </c>
      <c r="P326" s="15" t="s">
        <v>1862</v>
      </c>
      <c r="Q326" s="15">
        <f t="shared" ca="1" si="10"/>
        <v>40</v>
      </c>
      <c r="R326" s="15" t="str">
        <f t="shared" si="11"/>
        <v>Medium</v>
      </c>
    </row>
    <row r="327" spans="1:18" s="15" customFormat="1" x14ac:dyDescent="0.3">
      <c r="A327" s="15" t="s">
        <v>828</v>
      </c>
      <c r="B327" s="15" t="s">
        <v>213</v>
      </c>
      <c r="C327" s="15" t="s">
        <v>829</v>
      </c>
      <c r="D327" s="15" t="s">
        <v>17</v>
      </c>
      <c r="E327" s="15" t="s">
        <v>354</v>
      </c>
      <c r="F327" s="15" t="s">
        <v>519</v>
      </c>
      <c r="G327" s="15" t="s">
        <v>30</v>
      </c>
      <c r="H327" s="16">
        <v>26437</v>
      </c>
      <c r="I327" s="16">
        <v>45196</v>
      </c>
      <c r="J327" s="16">
        <v>45376</v>
      </c>
      <c r="K327" s="15" t="s">
        <v>51</v>
      </c>
      <c r="L327" s="15" t="s">
        <v>52</v>
      </c>
      <c r="M327" s="15">
        <v>70513</v>
      </c>
      <c r="N327" s="15" t="s">
        <v>33</v>
      </c>
      <c r="O327" s="15">
        <v>0.49315068493150682</v>
      </c>
      <c r="P327" s="15" t="s">
        <v>1862</v>
      </c>
      <c r="Q327" s="15">
        <f t="shared" ca="1" si="10"/>
        <v>53</v>
      </c>
      <c r="R327" s="15" t="str">
        <f t="shared" si="11"/>
        <v>Medium</v>
      </c>
    </row>
    <row r="328" spans="1:18" s="15" customFormat="1" x14ac:dyDescent="0.3">
      <c r="A328" s="15" t="s">
        <v>830</v>
      </c>
      <c r="B328" s="15" t="s">
        <v>318</v>
      </c>
      <c r="C328" s="15" t="s">
        <v>16</v>
      </c>
      <c r="D328" s="15" t="s">
        <v>27</v>
      </c>
      <c r="E328" s="15" t="s">
        <v>18</v>
      </c>
      <c r="F328" s="15" t="s">
        <v>19</v>
      </c>
      <c r="G328" s="15" t="s">
        <v>30</v>
      </c>
      <c r="H328" s="16">
        <v>30670</v>
      </c>
      <c r="I328" s="16">
        <v>45052</v>
      </c>
      <c r="J328" s="16">
        <v>45232</v>
      </c>
      <c r="K328" s="15" t="s">
        <v>94</v>
      </c>
      <c r="L328" s="15" t="s">
        <v>122</v>
      </c>
      <c r="M328" s="15">
        <v>74982</v>
      </c>
      <c r="N328" s="15" t="s">
        <v>96</v>
      </c>
      <c r="O328" s="15">
        <v>0.49315068493150682</v>
      </c>
      <c r="P328" s="15" t="s">
        <v>1862</v>
      </c>
      <c r="Q328" s="15">
        <f t="shared" ca="1" si="10"/>
        <v>42</v>
      </c>
      <c r="R328" s="15" t="str">
        <f t="shared" si="11"/>
        <v>Medium</v>
      </c>
    </row>
    <row r="329" spans="1:18" s="15" customFormat="1" x14ac:dyDescent="0.3">
      <c r="A329" s="15" t="s">
        <v>831</v>
      </c>
      <c r="B329" s="15" t="s">
        <v>397</v>
      </c>
      <c r="C329" s="15" t="s">
        <v>177</v>
      </c>
      <c r="D329" s="15" t="s">
        <v>27</v>
      </c>
      <c r="E329" s="15" t="s">
        <v>28</v>
      </c>
      <c r="F329" s="15" t="s">
        <v>282</v>
      </c>
      <c r="G329" s="15" t="s">
        <v>20</v>
      </c>
      <c r="H329" s="16">
        <v>33024</v>
      </c>
      <c r="I329" s="16">
        <v>42881</v>
      </c>
      <c r="J329" s="16">
        <v>43469</v>
      </c>
      <c r="K329" s="15" t="s">
        <v>65</v>
      </c>
      <c r="L329" s="15" t="s">
        <v>131</v>
      </c>
      <c r="M329" s="15">
        <v>62882</v>
      </c>
      <c r="N329" s="15" t="s">
        <v>23</v>
      </c>
      <c r="O329" s="15">
        <v>3.0136986301369859</v>
      </c>
      <c r="P329" s="15" t="s">
        <v>1862</v>
      </c>
      <c r="Q329" s="15">
        <f t="shared" ca="1" si="10"/>
        <v>35</v>
      </c>
      <c r="R329" s="15" t="str">
        <f t="shared" si="11"/>
        <v>Medium</v>
      </c>
    </row>
    <row r="330" spans="1:18" s="15" customFormat="1" x14ac:dyDescent="0.3">
      <c r="A330" s="15" t="s">
        <v>832</v>
      </c>
      <c r="B330" s="15" t="s">
        <v>555</v>
      </c>
      <c r="C330" s="15" t="s">
        <v>833</v>
      </c>
      <c r="D330" s="15" t="s">
        <v>27</v>
      </c>
      <c r="E330" s="15" t="s">
        <v>18</v>
      </c>
      <c r="F330" s="15" t="s">
        <v>19</v>
      </c>
      <c r="G330" s="15" t="s">
        <v>112</v>
      </c>
      <c r="H330" s="16">
        <v>24217</v>
      </c>
      <c r="I330" s="16">
        <v>45087</v>
      </c>
      <c r="J330" s="16">
        <v>45267</v>
      </c>
      <c r="K330" s="15" t="s">
        <v>37</v>
      </c>
      <c r="L330" s="15" t="s">
        <v>43</v>
      </c>
      <c r="M330" s="15">
        <v>72764</v>
      </c>
      <c r="N330" s="15" t="s">
        <v>33</v>
      </c>
      <c r="O330" s="15">
        <v>0.49315068493150682</v>
      </c>
      <c r="P330" s="15" t="s">
        <v>1861</v>
      </c>
      <c r="Q330" s="15">
        <f t="shared" ca="1" si="10"/>
        <v>59</v>
      </c>
      <c r="R330" s="15" t="str">
        <f t="shared" si="11"/>
        <v>Medium</v>
      </c>
    </row>
    <row r="331" spans="1:18" s="15" customFormat="1" x14ac:dyDescent="0.3">
      <c r="A331" s="15" t="s">
        <v>834</v>
      </c>
      <c r="B331" s="15" t="s">
        <v>835</v>
      </c>
      <c r="C331" s="15" t="s">
        <v>836</v>
      </c>
      <c r="D331" s="15" t="s">
        <v>17</v>
      </c>
      <c r="E331" s="15" t="s">
        <v>28</v>
      </c>
      <c r="F331" s="15" t="s">
        <v>282</v>
      </c>
      <c r="G331" s="15" t="s">
        <v>30</v>
      </c>
      <c r="H331" s="16">
        <v>29759</v>
      </c>
      <c r="I331" s="16">
        <v>44993</v>
      </c>
      <c r="J331" s="16">
        <v>45173</v>
      </c>
      <c r="K331" s="15" t="s">
        <v>37</v>
      </c>
      <c r="L331" s="15" t="s">
        <v>43</v>
      </c>
      <c r="M331" s="15">
        <v>80418</v>
      </c>
      <c r="N331" s="15" t="s">
        <v>96</v>
      </c>
      <c r="O331" s="15">
        <v>0.73972602739726023</v>
      </c>
      <c r="P331" s="15" t="s">
        <v>1862</v>
      </c>
      <c r="Q331" s="15">
        <f t="shared" ca="1" si="10"/>
        <v>44</v>
      </c>
      <c r="R331" s="15" t="str">
        <f t="shared" si="11"/>
        <v>Medium</v>
      </c>
    </row>
    <row r="332" spans="1:18" s="15" customFormat="1" x14ac:dyDescent="0.3">
      <c r="A332" s="15" t="s">
        <v>837</v>
      </c>
      <c r="B332" s="15" t="s">
        <v>382</v>
      </c>
      <c r="C332" s="15" t="s">
        <v>678</v>
      </c>
      <c r="D332" s="15" t="s">
        <v>17</v>
      </c>
      <c r="E332" s="15" t="s">
        <v>18</v>
      </c>
      <c r="F332" s="15" t="s">
        <v>19</v>
      </c>
      <c r="G332" s="15" t="s">
        <v>30</v>
      </c>
      <c r="H332" s="16">
        <v>29375</v>
      </c>
      <c r="I332" s="16">
        <v>42153</v>
      </c>
      <c r="J332" s="16">
        <v>43695</v>
      </c>
      <c r="K332" s="15" t="s">
        <v>37</v>
      </c>
      <c r="L332" s="15" t="s">
        <v>41</v>
      </c>
      <c r="M332" s="15">
        <v>60390</v>
      </c>
      <c r="N332" s="15" t="s">
        <v>96</v>
      </c>
      <c r="O332" s="15">
        <v>0.49315068493150682</v>
      </c>
      <c r="P332" s="15" t="s">
        <v>1862</v>
      </c>
      <c r="Q332" s="15">
        <f t="shared" ca="1" si="10"/>
        <v>45</v>
      </c>
      <c r="R332" s="15" t="str">
        <f t="shared" si="11"/>
        <v>Medium</v>
      </c>
    </row>
    <row r="333" spans="1:18" s="15" customFormat="1" x14ac:dyDescent="0.3">
      <c r="A333" s="15" t="s">
        <v>838</v>
      </c>
      <c r="B333" s="15" t="s">
        <v>307</v>
      </c>
      <c r="C333" s="15" t="s">
        <v>201</v>
      </c>
      <c r="D333" s="15" t="s">
        <v>27</v>
      </c>
      <c r="E333" s="15" t="s">
        <v>18</v>
      </c>
      <c r="F333" s="15" t="s">
        <v>19</v>
      </c>
      <c r="G333" s="15" t="s">
        <v>30</v>
      </c>
      <c r="H333" s="16">
        <v>28617</v>
      </c>
      <c r="I333" s="16">
        <v>44916</v>
      </c>
      <c r="J333" s="16">
        <v>45096</v>
      </c>
      <c r="K333" s="15" t="s">
        <v>37</v>
      </c>
      <c r="L333" s="15" t="s">
        <v>38</v>
      </c>
      <c r="M333" s="15">
        <v>63500</v>
      </c>
      <c r="N333" s="15" t="s">
        <v>96</v>
      </c>
      <c r="O333" s="15">
        <v>3.0410958904109591</v>
      </c>
      <c r="P333" s="15" t="s">
        <v>1861</v>
      </c>
      <c r="Q333" s="15">
        <f t="shared" ca="1" si="10"/>
        <v>47</v>
      </c>
      <c r="R333" s="15" t="str">
        <f t="shared" si="11"/>
        <v>Medium</v>
      </c>
    </row>
    <row r="334" spans="1:18" s="15" customFormat="1" x14ac:dyDescent="0.3">
      <c r="A334" s="15" t="s">
        <v>839</v>
      </c>
      <c r="B334" s="15" t="s">
        <v>840</v>
      </c>
      <c r="C334" s="15" t="s">
        <v>510</v>
      </c>
      <c r="D334" s="15" t="s">
        <v>27</v>
      </c>
      <c r="E334" s="15" t="s">
        <v>28</v>
      </c>
      <c r="F334" s="15" t="s">
        <v>29</v>
      </c>
      <c r="G334" s="15" t="s">
        <v>30</v>
      </c>
      <c r="H334" s="16">
        <v>37517</v>
      </c>
      <c r="I334" s="16">
        <v>43713</v>
      </c>
      <c r="J334" s="16">
        <v>44843</v>
      </c>
      <c r="K334" s="15" t="s">
        <v>21</v>
      </c>
      <c r="L334" s="15" t="s">
        <v>108</v>
      </c>
      <c r="M334" s="15">
        <v>63879</v>
      </c>
      <c r="N334" s="15" t="s">
        <v>33</v>
      </c>
      <c r="O334" s="15">
        <v>4.912328767123288</v>
      </c>
      <c r="P334" s="15" t="s">
        <v>1861</v>
      </c>
      <c r="Q334" s="15">
        <f t="shared" ca="1" si="10"/>
        <v>23</v>
      </c>
      <c r="R334" s="15" t="str">
        <f t="shared" si="11"/>
        <v>Medium</v>
      </c>
    </row>
    <row r="335" spans="1:18" s="15" customFormat="1" x14ac:dyDescent="0.3">
      <c r="A335" s="15" t="s">
        <v>841</v>
      </c>
      <c r="B335" s="15" t="s">
        <v>422</v>
      </c>
      <c r="C335" s="15" t="s">
        <v>842</v>
      </c>
      <c r="D335" s="15" t="s">
        <v>27</v>
      </c>
      <c r="E335" s="15" t="s">
        <v>18</v>
      </c>
      <c r="F335" s="15" t="s">
        <v>19</v>
      </c>
      <c r="G335" s="15" t="s">
        <v>30</v>
      </c>
      <c r="H335" s="16">
        <v>32327</v>
      </c>
      <c r="I335" s="16">
        <v>42373</v>
      </c>
      <c r="J335" s="16">
        <v>42553</v>
      </c>
      <c r="K335" s="15" t="s">
        <v>51</v>
      </c>
      <c r="L335" s="15" t="s">
        <v>56</v>
      </c>
      <c r="M335" s="15">
        <v>61505</v>
      </c>
      <c r="N335" s="15" t="s">
        <v>33</v>
      </c>
      <c r="O335" s="15">
        <v>0.77808219178082194</v>
      </c>
      <c r="P335" s="15" t="s">
        <v>1862</v>
      </c>
      <c r="Q335" s="15">
        <f t="shared" ca="1" si="10"/>
        <v>37</v>
      </c>
      <c r="R335" s="15" t="str">
        <f t="shared" si="11"/>
        <v>Medium</v>
      </c>
    </row>
    <row r="336" spans="1:18" s="15" customFormat="1" x14ac:dyDescent="0.3">
      <c r="A336" s="15" t="s">
        <v>843</v>
      </c>
      <c r="B336" s="15" t="s">
        <v>277</v>
      </c>
      <c r="C336" s="15" t="s">
        <v>844</v>
      </c>
      <c r="D336" s="15" t="s">
        <v>27</v>
      </c>
      <c r="E336" s="15" t="s">
        <v>18</v>
      </c>
      <c r="F336" s="15" t="s">
        <v>19</v>
      </c>
      <c r="G336" s="15" t="s">
        <v>20</v>
      </c>
      <c r="H336" s="16">
        <v>33624</v>
      </c>
      <c r="I336" s="16">
        <v>42116</v>
      </c>
      <c r="J336" s="16">
        <v>44997</v>
      </c>
      <c r="K336" s="15" t="s">
        <v>21</v>
      </c>
      <c r="L336" s="15" t="s">
        <v>100</v>
      </c>
      <c r="M336" s="15">
        <v>59618</v>
      </c>
      <c r="N336" s="15" t="s">
        <v>96</v>
      </c>
      <c r="O336" s="15">
        <v>0.49315068493150682</v>
      </c>
      <c r="P336" s="15" t="s">
        <v>1861</v>
      </c>
      <c r="Q336" s="15">
        <f t="shared" ca="1" si="10"/>
        <v>33</v>
      </c>
      <c r="R336" s="15" t="str">
        <f t="shared" si="11"/>
        <v>Low</v>
      </c>
    </row>
    <row r="337" spans="1:18" s="15" customFormat="1" x14ac:dyDescent="0.3">
      <c r="A337" s="15" t="s">
        <v>845</v>
      </c>
      <c r="B337" s="15" t="s">
        <v>35</v>
      </c>
      <c r="C337" s="15" t="s">
        <v>341</v>
      </c>
      <c r="D337" s="15" t="s">
        <v>27</v>
      </c>
      <c r="E337" s="15" t="s">
        <v>18</v>
      </c>
      <c r="F337" s="15" t="s">
        <v>19</v>
      </c>
      <c r="G337" s="15" t="s">
        <v>30</v>
      </c>
      <c r="H337" s="16">
        <v>27285</v>
      </c>
      <c r="I337" s="16">
        <v>43637</v>
      </c>
      <c r="J337" s="16">
        <v>43817</v>
      </c>
      <c r="K337" s="15" t="s">
        <v>37</v>
      </c>
      <c r="L337" s="15" t="s">
        <v>261</v>
      </c>
      <c r="M337" s="15">
        <v>106190</v>
      </c>
      <c r="N337" s="15" t="s">
        <v>33</v>
      </c>
      <c r="O337" s="15">
        <v>8.24931506849315</v>
      </c>
      <c r="P337" s="15" t="s">
        <v>1862</v>
      </c>
      <c r="Q337" s="15">
        <f t="shared" ca="1" si="10"/>
        <v>51</v>
      </c>
      <c r="R337" s="15" t="str">
        <f t="shared" si="11"/>
        <v>High</v>
      </c>
    </row>
    <row r="338" spans="1:18" s="15" customFormat="1" x14ac:dyDescent="0.3">
      <c r="A338" s="15" t="s">
        <v>846</v>
      </c>
      <c r="B338" s="15" t="s">
        <v>737</v>
      </c>
      <c r="C338" s="15" t="s">
        <v>847</v>
      </c>
      <c r="D338" s="15" t="s">
        <v>17</v>
      </c>
      <c r="E338" s="15" t="s">
        <v>81</v>
      </c>
      <c r="F338" s="15" t="s">
        <v>104</v>
      </c>
      <c r="G338" s="15" t="s">
        <v>30</v>
      </c>
      <c r="H338" s="16">
        <v>30449</v>
      </c>
      <c r="I338" s="16">
        <v>45043</v>
      </c>
      <c r="J338" s="16">
        <v>45223</v>
      </c>
      <c r="K338" s="15" t="s">
        <v>37</v>
      </c>
      <c r="L338" s="15" t="s">
        <v>38</v>
      </c>
      <c r="M338" s="15">
        <v>57162</v>
      </c>
      <c r="N338" s="15" t="s">
        <v>44</v>
      </c>
      <c r="O338" s="15">
        <v>2.419178082191781</v>
      </c>
      <c r="P338" s="15" t="s">
        <v>1862</v>
      </c>
      <c r="Q338" s="15">
        <f t="shared" ca="1" si="10"/>
        <v>42</v>
      </c>
      <c r="R338" s="15" t="str">
        <f t="shared" si="11"/>
        <v>Low</v>
      </c>
    </row>
    <row r="339" spans="1:18" s="15" customFormat="1" x14ac:dyDescent="0.3">
      <c r="A339" s="15" t="s">
        <v>848</v>
      </c>
      <c r="B339" s="15" t="s">
        <v>15</v>
      </c>
      <c r="C339" s="15" t="s">
        <v>477</v>
      </c>
      <c r="D339" s="15" t="s">
        <v>27</v>
      </c>
      <c r="E339" s="15" t="s">
        <v>120</v>
      </c>
      <c r="F339" s="15" t="s">
        <v>121</v>
      </c>
      <c r="G339" s="15" t="s">
        <v>30</v>
      </c>
      <c r="H339" s="16">
        <v>37737</v>
      </c>
      <c r="I339" s="16">
        <v>43928</v>
      </c>
      <c r="J339" s="16">
        <v>44108</v>
      </c>
      <c r="K339" s="15" t="s">
        <v>31</v>
      </c>
      <c r="L339" s="15" t="s">
        <v>159</v>
      </c>
      <c r="M339" s="15">
        <v>105074</v>
      </c>
      <c r="N339" s="15" t="s">
        <v>33</v>
      </c>
      <c r="O339" s="15">
        <v>4.9068493150684933</v>
      </c>
      <c r="P339" s="15" t="s">
        <v>1862</v>
      </c>
      <c r="Q339" s="15">
        <f t="shared" ca="1" si="10"/>
        <v>22</v>
      </c>
      <c r="R339" s="15" t="str">
        <f t="shared" si="11"/>
        <v>High</v>
      </c>
    </row>
    <row r="340" spans="1:18" s="15" customFormat="1" x14ac:dyDescent="0.3">
      <c r="A340" s="15" t="s">
        <v>849</v>
      </c>
      <c r="B340" s="15" t="s">
        <v>772</v>
      </c>
      <c r="C340" s="15" t="s">
        <v>850</v>
      </c>
      <c r="D340" s="15" t="s">
        <v>27</v>
      </c>
      <c r="E340" s="15" t="s">
        <v>18</v>
      </c>
      <c r="F340" s="15" t="s">
        <v>19</v>
      </c>
      <c r="G340" s="15" t="s">
        <v>30</v>
      </c>
      <c r="H340" s="16">
        <v>31833</v>
      </c>
      <c r="I340" s="16">
        <v>43250</v>
      </c>
      <c r="J340" s="16">
        <v>45271</v>
      </c>
      <c r="K340" s="15" t="s">
        <v>37</v>
      </c>
      <c r="L340" s="15" t="s">
        <v>38</v>
      </c>
      <c r="M340" s="15">
        <v>73542</v>
      </c>
      <c r="N340" s="15" t="s">
        <v>44</v>
      </c>
      <c r="O340" s="15">
        <v>7.8136986301369866</v>
      </c>
      <c r="P340" s="15" t="s">
        <v>1861</v>
      </c>
      <c r="Q340" s="15">
        <f t="shared" ca="1" si="10"/>
        <v>38</v>
      </c>
      <c r="R340" s="15" t="str">
        <f t="shared" si="11"/>
        <v>Medium</v>
      </c>
    </row>
    <row r="341" spans="1:18" s="15" customFormat="1" x14ac:dyDescent="0.3">
      <c r="A341" s="15" t="s">
        <v>852</v>
      </c>
      <c r="B341" s="15" t="s">
        <v>190</v>
      </c>
      <c r="C341" s="15" t="s">
        <v>654</v>
      </c>
      <c r="D341" s="15" t="s">
        <v>17</v>
      </c>
      <c r="E341" s="15" t="s">
        <v>81</v>
      </c>
      <c r="F341" s="15" t="s">
        <v>104</v>
      </c>
      <c r="G341" s="15" t="s">
        <v>112</v>
      </c>
      <c r="H341" s="16">
        <v>32747</v>
      </c>
      <c r="I341" s="16">
        <v>44833</v>
      </c>
      <c r="J341" s="16">
        <v>45013</v>
      </c>
      <c r="K341" s="15" t="s">
        <v>37</v>
      </c>
      <c r="L341" s="15" t="s">
        <v>43</v>
      </c>
      <c r="M341" s="15">
        <v>86465</v>
      </c>
      <c r="N341" s="15" t="s">
        <v>96</v>
      </c>
      <c r="O341" s="15">
        <v>3.257534246575343</v>
      </c>
      <c r="P341" s="15" t="s">
        <v>1862</v>
      </c>
      <c r="Q341" s="15">
        <f t="shared" ca="1" si="10"/>
        <v>36</v>
      </c>
      <c r="R341" s="15" t="str">
        <f t="shared" si="11"/>
        <v>Medium</v>
      </c>
    </row>
    <row r="342" spans="1:18" s="15" customFormat="1" x14ac:dyDescent="0.3">
      <c r="A342" s="15" t="s">
        <v>853</v>
      </c>
      <c r="B342" s="15" t="s">
        <v>288</v>
      </c>
      <c r="C342" s="15" t="s">
        <v>207</v>
      </c>
      <c r="D342" s="15" t="s">
        <v>17</v>
      </c>
      <c r="E342" s="15" t="s">
        <v>18</v>
      </c>
      <c r="F342" s="15" t="s">
        <v>19</v>
      </c>
      <c r="G342" s="15" t="s">
        <v>20</v>
      </c>
      <c r="H342" s="16">
        <v>30944</v>
      </c>
      <c r="I342" s="16">
        <v>42991</v>
      </c>
      <c r="J342" s="16">
        <v>44546</v>
      </c>
      <c r="K342" s="15" t="s">
        <v>21</v>
      </c>
      <c r="L342" s="15" t="s">
        <v>108</v>
      </c>
      <c r="M342" s="15">
        <v>57737</v>
      </c>
      <c r="N342" s="15" t="s">
        <v>23</v>
      </c>
      <c r="O342" s="15">
        <v>0.49315068493150682</v>
      </c>
      <c r="P342" s="15" t="s">
        <v>1861</v>
      </c>
      <c r="Q342" s="15">
        <f t="shared" ca="1" si="10"/>
        <v>41</v>
      </c>
      <c r="R342" s="15" t="str">
        <f t="shared" si="11"/>
        <v>Low</v>
      </c>
    </row>
    <row r="343" spans="1:18" s="15" customFormat="1" x14ac:dyDescent="0.3">
      <c r="A343" s="15" t="s">
        <v>854</v>
      </c>
      <c r="B343" s="15" t="s">
        <v>573</v>
      </c>
      <c r="C343" s="15" t="s">
        <v>193</v>
      </c>
      <c r="D343" s="15" t="s">
        <v>17</v>
      </c>
      <c r="E343" s="15" t="s">
        <v>18</v>
      </c>
      <c r="F343" s="15" t="s">
        <v>19</v>
      </c>
      <c r="G343" s="15" t="s">
        <v>30</v>
      </c>
      <c r="H343" s="16">
        <v>26473</v>
      </c>
      <c r="I343" s="16">
        <v>42705</v>
      </c>
      <c r="J343" s="16">
        <v>43913</v>
      </c>
      <c r="K343" s="15" t="s">
        <v>21</v>
      </c>
      <c r="L343" s="15" t="s">
        <v>22</v>
      </c>
      <c r="M343" s="15">
        <v>72249</v>
      </c>
      <c r="N343" s="15" t="s">
        <v>33</v>
      </c>
      <c r="O343" s="15">
        <v>0.49315068493150682</v>
      </c>
      <c r="P343" s="15" t="s">
        <v>1862</v>
      </c>
      <c r="Q343" s="15">
        <f t="shared" ca="1" si="10"/>
        <v>53</v>
      </c>
      <c r="R343" s="15" t="str">
        <f t="shared" si="11"/>
        <v>Medium</v>
      </c>
    </row>
    <row r="344" spans="1:18" s="15" customFormat="1" x14ac:dyDescent="0.3">
      <c r="A344" s="15" t="s">
        <v>855</v>
      </c>
      <c r="B344" s="15" t="s">
        <v>856</v>
      </c>
      <c r="C344" s="15" t="s">
        <v>857</v>
      </c>
      <c r="D344" s="15" t="s">
        <v>17</v>
      </c>
      <c r="E344" s="15" t="s">
        <v>18</v>
      </c>
      <c r="F344" s="15" t="s">
        <v>19</v>
      </c>
      <c r="G344" s="15" t="s">
        <v>30</v>
      </c>
      <c r="H344" s="16">
        <v>35082</v>
      </c>
      <c r="I344" s="16">
        <v>44581</v>
      </c>
      <c r="J344" s="16">
        <v>44761</v>
      </c>
      <c r="K344" s="15" t="s">
        <v>94</v>
      </c>
      <c r="L344" s="15" t="s">
        <v>182</v>
      </c>
      <c r="M344" s="15">
        <v>64270</v>
      </c>
      <c r="N344" s="15" t="s">
        <v>33</v>
      </c>
      <c r="O344" s="15">
        <v>1.6109589041095891</v>
      </c>
      <c r="P344" s="15" t="s">
        <v>1862</v>
      </c>
      <c r="Q344" s="15">
        <f t="shared" ca="1" si="10"/>
        <v>29</v>
      </c>
      <c r="R344" s="15" t="str">
        <f t="shared" si="11"/>
        <v>Medium</v>
      </c>
    </row>
    <row r="345" spans="1:18" s="15" customFormat="1" x14ac:dyDescent="0.3">
      <c r="A345" s="15" t="s">
        <v>858</v>
      </c>
      <c r="B345" s="15" t="s">
        <v>806</v>
      </c>
      <c r="C345" s="15" t="s">
        <v>859</v>
      </c>
      <c r="D345" s="15" t="s">
        <v>17</v>
      </c>
      <c r="E345" s="15" t="s">
        <v>354</v>
      </c>
      <c r="F345" s="15" t="s">
        <v>404</v>
      </c>
      <c r="G345" s="15" t="s">
        <v>112</v>
      </c>
      <c r="H345" s="16">
        <v>29129</v>
      </c>
      <c r="I345" s="16">
        <v>43789</v>
      </c>
      <c r="J345" s="16">
        <v>44510</v>
      </c>
      <c r="K345" s="15" t="s">
        <v>31</v>
      </c>
      <c r="L345" s="15" t="s">
        <v>32</v>
      </c>
      <c r="M345" s="15">
        <v>78290</v>
      </c>
      <c r="N345" s="15" t="s">
        <v>96</v>
      </c>
      <c r="O345" s="15">
        <v>0.49315068493150682</v>
      </c>
      <c r="P345" s="15" t="s">
        <v>1861</v>
      </c>
      <c r="Q345" s="15">
        <f t="shared" ca="1" si="10"/>
        <v>46</v>
      </c>
      <c r="R345" s="15" t="str">
        <f t="shared" si="11"/>
        <v>Medium</v>
      </c>
    </row>
    <row r="346" spans="1:18" s="15" customFormat="1" x14ac:dyDescent="0.3">
      <c r="A346" s="15" t="s">
        <v>860</v>
      </c>
      <c r="B346" s="15" t="s">
        <v>521</v>
      </c>
      <c r="C346" s="15" t="s">
        <v>106</v>
      </c>
      <c r="D346" s="15" t="s">
        <v>27</v>
      </c>
      <c r="E346" s="15" t="s">
        <v>18</v>
      </c>
      <c r="F346" s="15" t="s">
        <v>19</v>
      </c>
      <c r="G346" s="15" t="s">
        <v>20</v>
      </c>
      <c r="H346" s="16">
        <v>26782</v>
      </c>
      <c r="I346" s="16">
        <v>43046</v>
      </c>
      <c r="J346" s="16">
        <v>43225</v>
      </c>
      <c r="K346" s="15" t="s">
        <v>21</v>
      </c>
      <c r="L346" s="15" t="s">
        <v>22</v>
      </c>
      <c r="M346" s="15">
        <v>84336</v>
      </c>
      <c r="N346" s="15" t="s">
        <v>23</v>
      </c>
      <c r="O346" s="15">
        <v>0.49315068493150682</v>
      </c>
      <c r="P346" s="15" t="s">
        <v>1862</v>
      </c>
      <c r="Q346" s="15">
        <f t="shared" ca="1" si="10"/>
        <v>52</v>
      </c>
      <c r="R346" s="15" t="str">
        <f t="shared" si="11"/>
        <v>Medium</v>
      </c>
    </row>
    <row r="347" spans="1:18" s="15" customFormat="1" x14ac:dyDescent="0.3">
      <c r="A347" s="15" t="s">
        <v>861</v>
      </c>
      <c r="B347" s="15" t="s">
        <v>862</v>
      </c>
      <c r="C347" s="15" t="s">
        <v>863</v>
      </c>
      <c r="D347" s="15" t="s">
        <v>27</v>
      </c>
      <c r="E347" s="15" t="s">
        <v>18</v>
      </c>
      <c r="F347" s="15" t="s">
        <v>19</v>
      </c>
      <c r="G347" s="15" t="s">
        <v>30</v>
      </c>
      <c r="H347" s="16">
        <v>33312</v>
      </c>
      <c r="I347" s="16">
        <v>43186</v>
      </c>
      <c r="J347" s="16">
        <v>43366</v>
      </c>
      <c r="K347" s="15" t="s">
        <v>37</v>
      </c>
      <c r="L347" s="15" t="s">
        <v>38</v>
      </c>
      <c r="M347" s="15">
        <v>70063</v>
      </c>
      <c r="N347" s="15" t="s">
        <v>33</v>
      </c>
      <c r="O347" s="15">
        <v>4.2246575342465764</v>
      </c>
      <c r="P347" s="15" t="s">
        <v>1861</v>
      </c>
      <c r="Q347" s="15">
        <f t="shared" ca="1" si="10"/>
        <v>34</v>
      </c>
      <c r="R347" s="15" t="str">
        <f t="shared" si="11"/>
        <v>Medium</v>
      </c>
    </row>
    <row r="348" spans="1:18" s="15" customFormat="1" x14ac:dyDescent="0.3">
      <c r="A348" s="15" t="s">
        <v>864</v>
      </c>
      <c r="B348" s="15" t="s">
        <v>501</v>
      </c>
      <c r="C348" s="15" t="s">
        <v>865</v>
      </c>
      <c r="D348" s="15" t="s">
        <v>17</v>
      </c>
      <c r="E348" s="15" t="s">
        <v>18</v>
      </c>
      <c r="F348" s="15" t="s">
        <v>19</v>
      </c>
      <c r="G348" s="15" t="s">
        <v>112</v>
      </c>
      <c r="H348" s="16">
        <v>31606</v>
      </c>
      <c r="I348" s="16">
        <v>43364</v>
      </c>
      <c r="J348" s="16">
        <v>43544</v>
      </c>
      <c r="K348" s="15" t="s">
        <v>31</v>
      </c>
      <c r="L348" s="15" t="s">
        <v>159</v>
      </c>
      <c r="M348" s="15">
        <v>109652</v>
      </c>
      <c r="N348" s="15" t="s">
        <v>33</v>
      </c>
      <c r="O348" s="15">
        <v>0.49315068493150682</v>
      </c>
      <c r="P348" s="15" t="s">
        <v>1862</v>
      </c>
      <c r="Q348" s="15">
        <f t="shared" ca="1" si="10"/>
        <v>39</v>
      </c>
      <c r="R348" s="15" t="str">
        <f t="shared" si="11"/>
        <v>High</v>
      </c>
    </row>
    <row r="349" spans="1:18" s="15" customFormat="1" x14ac:dyDescent="0.3">
      <c r="A349" s="15" t="s">
        <v>866</v>
      </c>
      <c r="B349" s="15" t="s">
        <v>867</v>
      </c>
      <c r="C349" s="15" t="s">
        <v>868</v>
      </c>
      <c r="D349" s="15" t="s">
        <v>17</v>
      </c>
      <c r="E349" s="15" t="s">
        <v>120</v>
      </c>
      <c r="F349" s="15" t="s">
        <v>223</v>
      </c>
      <c r="G349" s="15" t="s">
        <v>20</v>
      </c>
      <c r="H349" s="16">
        <v>32227</v>
      </c>
      <c r="I349" s="16">
        <v>42634</v>
      </c>
      <c r="J349" s="16">
        <v>45249</v>
      </c>
      <c r="K349" s="15" t="s">
        <v>37</v>
      </c>
      <c r="L349" s="15" t="s">
        <v>41</v>
      </c>
      <c r="M349" s="15">
        <v>53673</v>
      </c>
      <c r="N349" s="15" t="s">
        <v>96</v>
      </c>
      <c r="O349" s="15">
        <v>3.095890410958904</v>
      </c>
      <c r="P349" s="15" t="s">
        <v>1862</v>
      </c>
      <c r="Q349" s="15">
        <f t="shared" ca="1" si="10"/>
        <v>37</v>
      </c>
      <c r="R349" s="15" t="str">
        <f t="shared" si="11"/>
        <v>Low</v>
      </c>
    </row>
    <row r="350" spans="1:18" s="15" customFormat="1" x14ac:dyDescent="0.3">
      <c r="A350" s="15" t="s">
        <v>869</v>
      </c>
      <c r="B350" s="15" t="s">
        <v>268</v>
      </c>
      <c r="C350" s="15" t="s">
        <v>870</v>
      </c>
      <c r="D350" s="15" t="s">
        <v>27</v>
      </c>
      <c r="E350" s="15" t="s">
        <v>18</v>
      </c>
      <c r="F350" s="15" t="s">
        <v>19</v>
      </c>
      <c r="G350" s="15" t="s">
        <v>112</v>
      </c>
      <c r="H350" s="16">
        <v>24182</v>
      </c>
      <c r="I350" s="16">
        <v>42720</v>
      </c>
      <c r="J350" s="16">
        <v>45494</v>
      </c>
      <c r="K350" s="15" t="s">
        <v>31</v>
      </c>
      <c r="L350" s="15" t="s">
        <v>32</v>
      </c>
      <c r="M350" s="15">
        <v>78950</v>
      </c>
      <c r="N350" s="15" t="s">
        <v>33</v>
      </c>
      <c r="O350" s="15">
        <v>0.49315068493150682</v>
      </c>
      <c r="P350" s="15" t="s">
        <v>1861</v>
      </c>
      <c r="Q350" s="15">
        <f t="shared" ca="1" si="10"/>
        <v>59</v>
      </c>
      <c r="R350" s="15" t="str">
        <f t="shared" si="11"/>
        <v>Medium</v>
      </c>
    </row>
    <row r="351" spans="1:18" s="15" customFormat="1" x14ac:dyDescent="0.3">
      <c r="A351" s="15" t="s">
        <v>871</v>
      </c>
      <c r="B351" s="15" t="s">
        <v>817</v>
      </c>
      <c r="C351" s="15" t="s">
        <v>89</v>
      </c>
      <c r="D351" s="15" t="s">
        <v>27</v>
      </c>
      <c r="E351" s="15" t="s">
        <v>18</v>
      </c>
      <c r="F351" s="15" t="s">
        <v>19</v>
      </c>
      <c r="G351" s="15" t="s">
        <v>30</v>
      </c>
      <c r="H351" s="16">
        <v>33947</v>
      </c>
      <c r="I351" s="16">
        <v>44137</v>
      </c>
      <c r="J351" s="16">
        <v>44729</v>
      </c>
      <c r="K351" s="15" t="s">
        <v>51</v>
      </c>
      <c r="L351" s="15" t="s">
        <v>52</v>
      </c>
      <c r="M351" s="15">
        <v>92292</v>
      </c>
      <c r="N351" s="15" t="s">
        <v>33</v>
      </c>
      <c r="O351" s="15">
        <v>7.8931506849315074</v>
      </c>
      <c r="P351" s="15" t="s">
        <v>1861</v>
      </c>
      <c r="Q351" s="15">
        <f t="shared" ca="1" si="10"/>
        <v>33</v>
      </c>
      <c r="R351" s="15" t="str">
        <f t="shared" si="11"/>
        <v>Medium</v>
      </c>
    </row>
    <row r="352" spans="1:18" s="15" customFormat="1" x14ac:dyDescent="0.3">
      <c r="A352" s="15" t="s">
        <v>872</v>
      </c>
      <c r="B352" s="15" t="s">
        <v>842</v>
      </c>
      <c r="C352" s="15" t="s">
        <v>305</v>
      </c>
      <c r="D352" s="15" t="s">
        <v>27</v>
      </c>
      <c r="E352" s="15" t="s">
        <v>18</v>
      </c>
      <c r="F352" s="15" t="s">
        <v>19</v>
      </c>
      <c r="G352" s="15" t="s">
        <v>30</v>
      </c>
      <c r="H352" s="16">
        <v>26739</v>
      </c>
      <c r="I352" s="16">
        <v>43385</v>
      </c>
      <c r="J352" s="16">
        <v>43565</v>
      </c>
      <c r="K352" s="15" t="s">
        <v>31</v>
      </c>
      <c r="L352" s="15" t="s">
        <v>159</v>
      </c>
      <c r="M352" s="15">
        <v>83600</v>
      </c>
      <c r="N352" s="15" t="s">
        <v>33</v>
      </c>
      <c r="O352" s="15">
        <v>0.49315068493150682</v>
      </c>
      <c r="P352" s="15" t="s">
        <v>1862</v>
      </c>
      <c r="Q352" s="15">
        <f t="shared" ca="1" si="10"/>
        <v>52</v>
      </c>
      <c r="R352" s="15" t="str">
        <f t="shared" si="11"/>
        <v>Medium</v>
      </c>
    </row>
    <row r="353" spans="1:18" s="15" customFormat="1" x14ac:dyDescent="0.3">
      <c r="A353" s="15" t="s">
        <v>873</v>
      </c>
      <c r="B353" s="15" t="s">
        <v>76</v>
      </c>
      <c r="C353" s="15" t="s">
        <v>874</v>
      </c>
      <c r="D353" s="15" t="s">
        <v>27</v>
      </c>
      <c r="E353" s="15" t="s">
        <v>81</v>
      </c>
      <c r="F353" s="15" t="s">
        <v>166</v>
      </c>
      <c r="G353" s="15" t="s">
        <v>30</v>
      </c>
      <c r="H353" s="16">
        <v>26065</v>
      </c>
      <c r="I353" s="16">
        <v>45053</v>
      </c>
      <c r="J353" s="16">
        <v>45233</v>
      </c>
      <c r="K353" s="15" t="s">
        <v>31</v>
      </c>
      <c r="L353" s="15" t="s">
        <v>83</v>
      </c>
      <c r="M353" s="15">
        <v>67517</v>
      </c>
      <c r="N353" s="15" t="s">
        <v>44</v>
      </c>
      <c r="O353" s="15">
        <v>0.49315068493150682</v>
      </c>
      <c r="P353" s="15" t="s">
        <v>1862</v>
      </c>
      <c r="Q353" s="15">
        <f t="shared" ca="1" si="10"/>
        <v>54</v>
      </c>
      <c r="R353" s="15" t="str">
        <f t="shared" si="11"/>
        <v>Medium</v>
      </c>
    </row>
    <row r="354" spans="1:18" s="15" customFormat="1" x14ac:dyDescent="0.3">
      <c r="A354" s="15" t="s">
        <v>875</v>
      </c>
      <c r="B354" s="15" t="s">
        <v>876</v>
      </c>
      <c r="C354" s="15" t="s">
        <v>877</v>
      </c>
      <c r="D354" s="15" t="s">
        <v>17</v>
      </c>
      <c r="E354" s="15" t="s">
        <v>18</v>
      </c>
      <c r="F354" s="15" t="s">
        <v>19</v>
      </c>
      <c r="G354" s="15" t="s">
        <v>112</v>
      </c>
      <c r="H354" s="16">
        <v>24654</v>
      </c>
      <c r="I354" s="16">
        <v>45343</v>
      </c>
      <c r="J354" s="16">
        <v>45523</v>
      </c>
      <c r="K354" s="15" t="s">
        <v>31</v>
      </c>
      <c r="L354" s="15" t="s">
        <v>32</v>
      </c>
      <c r="M354" s="15">
        <v>91226</v>
      </c>
      <c r="N354" s="15" t="s">
        <v>96</v>
      </c>
      <c r="O354" s="15">
        <v>0.49315068493150682</v>
      </c>
      <c r="P354" s="15" t="s">
        <v>1862</v>
      </c>
      <c r="Q354" s="15">
        <f t="shared" ca="1" si="10"/>
        <v>58</v>
      </c>
      <c r="R354" s="15" t="str">
        <f t="shared" si="11"/>
        <v>Medium</v>
      </c>
    </row>
    <row r="355" spans="1:18" s="15" customFormat="1" x14ac:dyDescent="0.3">
      <c r="A355" s="15" t="s">
        <v>878</v>
      </c>
      <c r="B355" s="15" t="s">
        <v>417</v>
      </c>
      <c r="C355" s="15" t="s">
        <v>879</v>
      </c>
      <c r="D355" s="15" t="s">
        <v>27</v>
      </c>
      <c r="E355" s="15" t="s">
        <v>18</v>
      </c>
      <c r="F355" s="15" t="s">
        <v>19</v>
      </c>
      <c r="G355" s="15" t="s">
        <v>30</v>
      </c>
      <c r="H355" s="16">
        <v>35571</v>
      </c>
      <c r="I355" s="16">
        <v>42512</v>
      </c>
      <c r="J355" s="16">
        <v>43268</v>
      </c>
      <c r="K355" s="15" t="s">
        <v>51</v>
      </c>
      <c r="L355" s="15" t="s">
        <v>52</v>
      </c>
      <c r="M355" s="15">
        <v>61904</v>
      </c>
      <c r="N355" s="15" t="s">
        <v>33</v>
      </c>
      <c r="O355" s="15">
        <v>5.536986301369863</v>
      </c>
      <c r="P355" s="15" t="s">
        <v>1862</v>
      </c>
      <c r="Q355" s="15">
        <f t="shared" ca="1" si="10"/>
        <v>28</v>
      </c>
      <c r="R355" s="15" t="str">
        <f t="shared" si="11"/>
        <v>Medium</v>
      </c>
    </row>
    <row r="356" spans="1:18" s="15" customFormat="1" x14ac:dyDescent="0.3">
      <c r="A356" s="15" t="s">
        <v>880</v>
      </c>
      <c r="B356" s="15" t="s">
        <v>192</v>
      </c>
      <c r="C356" s="15" t="s">
        <v>881</v>
      </c>
      <c r="D356" s="15" t="s">
        <v>27</v>
      </c>
      <c r="E356" s="15" t="s">
        <v>81</v>
      </c>
      <c r="F356" s="15" t="s">
        <v>166</v>
      </c>
      <c r="G356" s="15" t="s">
        <v>30</v>
      </c>
      <c r="H356" s="16">
        <v>32176</v>
      </c>
      <c r="I356" s="16">
        <v>44884</v>
      </c>
      <c r="J356" s="16">
        <v>45064</v>
      </c>
      <c r="K356" s="15" t="s">
        <v>51</v>
      </c>
      <c r="L356" s="15" t="s">
        <v>52</v>
      </c>
      <c r="M356" s="15">
        <v>84689</v>
      </c>
      <c r="N356" s="15" t="s">
        <v>33</v>
      </c>
      <c r="O356" s="15">
        <v>7.8684931506849312</v>
      </c>
      <c r="P356" s="15" t="s">
        <v>1861</v>
      </c>
      <c r="Q356" s="15">
        <f t="shared" ca="1" si="10"/>
        <v>37</v>
      </c>
      <c r="R356" s="15" t="str">
        <f t="shared" si="11"/>
        <v>Medium</v>
      </c>
    </row>
    <row r="357" spans="1:18" s="15" customFormat="1" x14ac:dyDescent="0.3">
      <c r="A357" s="15" t="s">
        <v>882</v>
      </c>
      <c r="B357" s="15" t="s">
        <v>883</v>
      </c>
      <c r="C357" s="15" t="s">
        <v>884</v>
      </c>
      <c r="D357" s="15" t="s">
        <v>27</v>
      </c>
      <c r="E357" s="15" t="s">
        <v>18</v>
      </c>
      <c r="F357" s="15" t="s">
        <v>19</v>
      </c>
      <c r="G357" s="15" t="s">
        <v>30</v>
      </c>
      <c r="H357" s="16">
        <v>26910</v>
      </c>
      <c r="I357" s="16">
        <v>43288</v>
      </c>
      <c r="J357" s="16">
        <v>44366</v>
      </c>
      <c r="K357" s="15" t="s">
        <v>37</v>
      </c>
      <c r="L357" s="15" t="s">
        <v>43</v>
      </c>
      <c r="M357" s="15">
        <v>82682</v>
      </c>
      <c r="N357" s="15" t="s">
        <v>44</v>
      </c>
      <c r="O357" s="15">
        <v>0.49315068493150682</v>
      </c>
      <c r="P357" s="15" t="s">
        <v>1861</v>
      </c>
      <c r="Q357" s="15">
        <f t="shared" ca="1" si="10"/>
        <v>52</v>
      </c>
      <c r="R357" s="15" t="str">
        <f t="shared" si="11"/>
        <v>Medium</v>
      </c>
    </row>
    <row r="358" spans="1:18" s="15" customFormat="1" x14ac:dyDescent="0.3">
      <c r="A358" s="15" t="s">
        <v>885</v>
      </c>
      <c r="B358" s="15" t="s">
        <v>801</v>
      </c>
      <c r="C358" s="15" t="s">
        <v>440</v>
      </c>
      <c r="D358" s="15" t="s">
        <v>17</v>
      </c>
      <c r="E358" s="15" t="s">
        <v>18</v>
      </c>
      <c r="F358" s="15" t="s">
        <v>19</v>
      </c>
      <c r="G358" s="15" t="s">
        <v>20</v>
      </c>
      <c r="H358" s="16">
        <v>28381</v>
      </c>
      <c r="I358" s="16">
        <v>44900</v>
      </c>
      <c r="J358" s="16">
        <v>45080</v>
      </c>
      <c r="K358" s="15" t="s">
        <v>21</v>
      </c>
      <c r="L358" s="15" t="s">
        <v>108</v>
      </c>
      <c r="M358" s="15">
        <v>67032</v>
      </c>
      <c r="N358" s="15" t="s">
        <v>23</v>
      </c>
      <c r="O358" s="15">
        <v>4.2602739726027394</v>
      </c>
      <c r="P358" s="15" t="s">
        <v>1862</v>
      </c>
      <c r="Q358" s="15">
        <f t="shared" ca="1" si="10"/>
        <v>48</v>
      </c>
      <c r="R358" s="15" t="str">
        <f t="shared" si="11"/>
        <v>Medium</v>
      </c>
    </row>
    <row r="359" spans="1:18" s="15" customFormat="1" x14ac:dyDescent="0.3">
      <c r="A359" s="15" t="s">
        <v>886</v>
      </c>
      <c r="B359" s="15" t="s">
        <v>63</v>
      </c>
      <c r="C359" s="15" t="s">
        <v>172</v>
      </c>
      <c r="D359" s="15" t="s">
        <v>17</v>
      </c>
      <c r="E359" s="15" t="s">
        <v>354</v>
      </c>
      <c r="F359" s="15" t="s">
        <v>355</v>
      </c>
      <c r="G359" s="15" t="s">
        <v>30</v>
      </c>
      <c r="H359" s="16">
        <v>34296</v>
      </c>
      <c r="I359" s="16">
        <v>44956</v>
      </c>
      <c r="J359" s="16">
        <v>45136</v>
      </c>
      <c r="K359" s="15" t="s">
        <v>65</v>
      </c>
      <c r="L359" s="15" t="s">
        <v>131</v>
      </c>
      <c r="M359" s="15">
        <v>56797</v>
      </c>
      <c r="N359" s="15" t="s">
        <v>33</v>
      </c>
      <c r="O359" s="15">
        <v>3.309589041095891</v>
      </c>
      <c r="P359" s="15" t="s">
        <v>1861</v>
      </c>
      <c r="Q359" s="15">
        <f t="shared" ca="1" si="10"/>
        <v>32</v>
      </c>
      <c r="R359" s="15" t="str">
        <f t="shared" si="11"/>
        <v>Low</v>
      </c>
    </row>
    <row r="360" spans="1:18" s="15" customFormat="1" x14ac:dyDescent="0.3">
      <c r="A360" s="15" t="s">
        <v>887</v>
      </c>
      <c r="B360" s="15" t="s">
        <v>888</v>
      </c>
      <c r="C360" s="15" t="s">
        <v>889</v>
      </c>
      <c r="D360" s="15" t="s">
        <v>17</v>
      </c>
      <c r="E360" s="15" t="s">
        <v>81</v>
      </c>
      <c r="F360" s="15" t="s">
        <v>82</v>
      </c>
      <c r="G360" s="15" t="s">
        <v>30</v>
      </c>
      <c r="H360" s="16">
        <v>35059</v>
      </c>
      <c r="I360" s="16">
        <v>44165</v>
      </c>
      <c r="J360" s="16">
        <v>44345</v>
      </c>
      <c r="K360" s="15" t="s">
        <v>21</v>
      </c>
      <c r="L360" s="15" t="s">
        <v>22</v>
      </c>
      <c r="M360" s="15">
        <v>67650</v>
      </c>
      <c r="N360" s="15" t="s">
        <v>33</v>
      </c>
      <c r="O360" s="15">
        <v>0.49315068493150682</v>
      </c>
      <c r="P360" s="15" t="s">
        <v>1862</v>
      </c>
      <c r="Q360" s="15">
        <f t="shared" ca="1" si="10"/>
        <v>30</v>
      </c>
      <c r="R360" s="15" t="str">
        <f t="shared" si="11"/>
        <v>Medium</v>
      </c>
    </row>
    <row r="361" spans="1:18" s="15" customFormat="1" x14ac:dyDescent="0.3">
      <c r="A361" s="15" t="s">
        <v>890</v>
      </c>
      <c r="B361" s="15" t="s">
        <v>35</v>
      </c>
      <c r="C361" s="15" t="s">
        <v>891</v>
      </c>
      <c r="D361" s="15" t="s">
        <v>17</v>
      </c>
      <c r="E361" s="15" t="s">
        <v>18</v>
      </c>
      <c r="F361" s="15" t="s">
        <v>19</v>
      </c>
      <c r="G361" s="15" t="s">
        <v>30</v>
      </c>
      <c r="H361" s="16">
        <v>27698</v>
      </c>
      <c r="I361" s="16">
        <v>42159</v>
      </c>
      <c r="J361" s="16">
        <v>45301</v>
      </c>
      <c r="K361" s="15" t="s">
        <v>94</v>
      </c>
      <c r="L361" s="15" t="s">
        <v>182</v>
      </c>
      <c r="M361" s="15">
        <v>68757</v>
      </c>
      <c r="N361" s="15" t="s">
        <v>96</v>
      </c>
      <c r="O361" s="15">
        <v>1.9753424657534251</v>
      </c>
      <c r="P361" s="15" t="s">
        <v>1861</v>
      </c>
      <c r="Q361" s="15">
        <f t="shared" ca="1" si="10"/>
        <v>50</v>
      </c>
      <c r="R361" s="15" t="str">
        <f t="shared" si="11"/>
        <v>Medium</v>
      </c>
    </row>
    <row r="362" spans="1:18" s="15" customFormat="1" x14ac:dyDescent="0.3">
      <c r="A362" s="15" t="s">
        <v>892</v>
      </c>
      <c r="B362" s="15" t="s">
        <v>801</v>
      </c>
      <c r="C362" s="15" t="s">
        <v>893</v>
      </c>
      <c r="D362" s="15" t="s">
        <v>17</v>
      </c>
      <c r="E362" s="15" t="s">
        <v>18</v>
      </c>
      <c r="F362" s="15" t="s">
        <v>19</v>
      </c>
      <c r="G362" s="15" t="s">
        <v>20</v>
      </c>
      <c r="H362" s="16">
        <v>25658</v>
      </c>
      <c r="I362" s="16">
        <v>45434</v>
      </c>
      <c r="J362" s="16">
        <v>45614</v>
      </c>
      <c r="K362" s="15" t="s">
        <v>31</v>
      </c>
      <c r="L362" s="15" t="s">
        <v>83</v>
      </c>
      <c r="M362" s="15">
        <v>60774</v>
      </c>
      <c r="N362" s="15" t="s">
        <v>23</v>
      </c>
      <c r="O362" s="15">
        <v>0.49041095890410957</v>
      </c>
      <c r="P362" s="15" t="s">
        <v>1862</v>
      </c>
      <c r="Q362" s="15">
        <f t="shared" ca="1" si="10"/>
        <v>55</v>
      </c>
      <c r="R362" s="15" t="str">
        <f t="shared" si="11"/>
        <v>Medium</v>
      </c>
    </row>
    <row r="363" spans="1:18" s="15" customFormat="1" x14ac:dyDescent="0.3">
      <c r="A363" s="15" t="s">
        <v>894</v>
      </c>
      <c r="B363" s="15" t="s">
        <v>615</v>
      </c>
      <c r="C363" s="15" t="s">
        <v>895</v>
      </c>
      <c r="D363" s="15" t="s">
        <v>27</v>
      </c>
      <c r="E363" s="15" t="s">
        <v>18</v>
      </c>
      <c r="F363" s="15" t="s">
        <v>19</v>
      </c>
      <c r="G363" s="15" t="s">
        <v>30</v>
      </c>
      <c r="H363" s="16">
        <v>33925</v>
      </c>
      <c r="I363" s="16">
        <v>45029</v>
      </c>
      <c r="J363" s="16">
        <v>45209</v>
      </c>
      <c r="K363" s="15" t="s">
        <v>70</v>
      </c>
      <c r="L363" s="15" t="s">
        <v>298</v>
      </c>
      <c r="M363" s="15">
        <v>61927</v>
      </c>
      <c r="N363" s="15" t="s">
        <v>33</v>
      </c>
      <c r="O363" s="15">
        <v>0.49315068493150682</v>
      </c>
      <c r="P363" s="15" t="s">
        <v>1861</v>
      </c>
      <c r="Q363" s="15">
        <f t="shared" ca="1" si="10"/>
        <v>33</v>
      </c>
      <c r="R363" s="15" t="str">
        <f t="shared" si="11"/>
        <v>Medium</v>
      </c>
    </row>
    <row r="364" spans="1:18" s="15" customFormat="1" x14ac:dyDescent="0.3">
      <c r="A364" s="15" t="s">
        <v>896</v>
      </c>
      <c r="B364" s="15" t="s">
        <v>174</v>
      </c>
      <c r="C364" s="15" t="s">
        <v>897</v>
      </c>
      <c r="D364" s="15" t="s">
        <v>17</v>
      </c>
      <c r="E364" s="15" t="s">
        <v>18</v>
      </c>
      <c r="F364" s="15" t="s">
        <v>19</v>
      </c>
      <c r="G364" s="15" t="s">
        <v>20</v>
      </c>
      <c r="H364" s="16">
        <v>26555</v>
      </c>
      <c r="I364" s="16">
        <v>42631</v>
      </c>
      <c r="J364" s="16">
        <v>45333</v>
      </c>
      <c r="K364" s="15" t="s">
        <v>21</v>
      </c>
      <c r="L364" s="15" t="s">
        <v>108</v>
      </c>
      <c r="M364" s="15">
        <v>63658</v>
      </c>
      <c r="N364" s="15" t="s">
        <v>23</v>
      </c>
      <c r="O364" s="15">
        <v>0.49315068493150682</v>
      </c>
      <c r="P364" s="15" t="s">
        <v>1861</v>
      </c>
      <c r="Q364" s="15">
        <f t="shared" ca="1" si="10"/>
        <v>53</v>
      </c>
      <c r="R364" s="15" t="str">
        <f t="shared" si="11"/>
        <v>Medium</v>
      </c>
    </row>
    <row r="365" spans="1:18" s="15" customFormat="1" x14ac:dyDescent="0.3">
      <c r="A365" s="15" t="s">
        <v>898</v>
      </c>
      <c r="B365" s="15" t="s">
        <v>899</v>
      </c>
      <c r="C365" s="15" t="s">
        <v>147</v>
      </c>
      <c r="D365" s="15" t="s">
        <v>27</v>
      </c>
      <c r="E365" s="15" t="s">
        <v>354</v>
      </c>
      <c r="F365" s="15" t="s">
        <v>404</v>
      </c>
      <c r="G365" s="15" t="s">
        <v>30</v>
      </c>
      <c r="H365" s="16">
        <v>26728</v>
      </c>
      <c r="I365" s="16">
        <v>42517</v>
      </c>
      <c r="J365" s="16">
        <v>43482</v>
      </c>
      <c r="K365" s="15" t="s">
        <v>94</v>
      </c>
      <c r="L365" s="15" t="s">
        <v>182</v>
      </c>
      <c r="M365" s="15">
        <v>87636</v>
      </c>
      <c r="N365" s="15" t="s">
        <v>33</v>
      </c>
      <c r="O365" s="15">
        <v>7.1643835616438354</v>
      </c>
      <c r="P365" s="15" t="s">
        <v>1862</v>
      </c>
      <c r="Q365" s="15">
        <f t="shared" ca="1" si="10"/>
        <v>52</v>
      </c>
      <c r="R365" s="15" t="str">
        <f t="shared" si="11"/>
        <v>Medium</v>
      </c>
    </row>
    <row r="366" spans="1:18" s="15" customFormat="1" x14ac:dyDescent="0.3">
      <c r="A366" s="15" t="s">
        <v>900</v>
      </c>
      <c r="B366" s="15" t="s">
        <v>662</v>
      </c>
      <c r="C366" s="15" t="s">
        <v>901</v>
      </c>
      <c r="D366" s="15" t="s">
        <v>27</v>
      </c>
      <c r="E366" s="15" t="s">
        <v>18</v>
      </c>
      <c r="F366" s="15" t="s">
        <v>19</v>
      </c>
      <c r="G366" s="15" t="s">
        <v>30</v>
      </c>
      <c r="H366" s="16">
        <v>28978</v>
      </c>
      <c r="I366" s="16">
        <v>43508</v>
      </c>
      <c r="J366" s="16">
        <v>44824</v>
      </c>
      <c r="K366" s="15" t="s">
        <v>65</v>
      </c>
      <c r="L366" s="15" t="s">
        <v>314</v>
      </c>
      <c r="M366" s="15">
        <v>72762</v>
      </c>
      <c r="N366" s="15" t="s">
        <v>33</v>
      </c>
      <c r="O366" s="15">
        <v>7.6</v>
      </c>
      <c r="P366" s="15" t="s">
        <v>1862</v>
      </c>
      <c r="Q366" s="15">
        <f t="shared" ca="1" si="10"/>
        <v>46</v>
      </c>
      <c r="R366" s="15" t="str">
        <f t="shared" si="11"/>
        <v>Medium</v>
      </c>
    </row>
    <row r="367" spans="1:18" s="15" customFormat="1" x14ac:dyDescent="0.3">
      <c r="A367" s="15" t="s">
        <v>902</v>
      </c>
      <c r="B367" s="15" t="s">
        <v>254</v>
      </c>
      <c r="C367" s="15" t="s">
        <v>903</v>
      </c>
      <c r="D367" s="15" t="s">
        <v>17</v>
      </c>
      <c r="E367" s="15" t="s">
        <v>120</v>
      </c>
      <c r="F367" s="15" t="s">
        <v>904</v>
      </c>
      <c r="G367" s="15" t="s">
        <v>30</v>
      </c>
      <c r="H367" s="16">
        <v>27053</v>
      </c>
      <c r="I367" s="16">
        <v>43341</v>
      </c>
      <c r="J367" s="16">
        <v>43521</v>
      </c>
      <c r="K367" s="15" t="s">
        <v>37</v>
      </c>
      <c r="L367" s="15" t="s">
        <v>41</v>
      </c>
      <c r="M367" s="15">
        <v>57980</v>
      </c>
      <c r="N367" s="15" t="s">
        <v>96</v>
      </c>
      <c r="O367" s="15">
        <v>1.6219178082191781</v>
      </c>
      <c r="P367" s="15" t="s">
        <v>1861</v>
      </c>
      <c r="Q367" s="15">
        <f t="shared" ca="1" si="10"/>
        <v>51</v>
      </c>
      <c r="R367" s="15" t="str">
        <f t="shared" si="11"/>
        <v>Low</v>
      </c>
    </row>
    <row r="368" spans="1:18" s="15" customFormat="1" x14ac:dyDescent="0.3">
      <c r="A368" s="15" t="s">
        <v>905</v>
      </c>
      <c r="B368" s="15" t="s">
        <v>85</v>
      </c>
      <c r="C368" s="15" t="s">
        <v>906</v>
      </c>
      <c r="D368" s="15" t="s">
        <v>27</v>
      </c>
      <c r="E368" s="15" t="s">
        <v>18</v>
      </c>
      <c r="F368" s="15" t="s">
        <v>19</v>
      </c>
      <c r="G368" s="15" t="s">
        <v>30</v>
      </c>
      <c r="H368" s="16">
        <v>30146</v>
      </c>
      <c r="I368" s="16">
        <v>44186</v>
      </c>
      <c r="J368" s="16">
        <v>44366</v>
      </c>
      <c r="K368" s="15" t="s">
        <v>94</v>
      </c>
      <c r="L368" s="15" t="s">
        <v>182</v>
      </c>
      <c r="M368" s="15">
        <v>84521</v>
      </c>
      <c r="N368" s="15" t="s">
        <v>33</v>
      </c>
      <c r="O368" s="15">
        <v>0.49315068493150682</v>
      </c>
      <c r="P368" s="15" t="s">
        <v>1862</v>
      </c>
      <c r="Q368" s="15">
        <f t="shared" ca="1" si="10"/>
        <v>43</v>
      </c>
      <c r="R368" s="15" t="str">
        <f t="shared" si="11"/>
        <v>Medium</v>
      </c>
    </row>
    <row r="369" spans="1:18" s="15" customFormat="1" x14ac:dyDescent="0.3">
      <c r="A369" s="15" t="s">
        <v>907</v>
      </c>
      <c r="B369" s="15" t="s">
        <v>114</v>
      </c>
      <c r="C369" s="15" t="s">
        <v>696</v>
      </c>
      <c r="D369" s="15" t="s">
        <v>27</v>
      </c>
      <c r="E369" s="15" t="s">
        <v>354</v>
      </c>
      <c r="F369" s="15" t="s">
        <v>404</v>
      </c>
      <c r="G369" s="15" t="s">
        <v>20</v>
      </c>
      <c r="H369" s="16">
        <v>22274</v>
      </c>
      <c r="I369" s="16">
        <v>44808</v>
      </c>
      <c r="J369" s="16">
        <v>45447</v>
      </c>
      <c r="K369" s="15" t="s">
        <v>21</v>
      </c>
      <c r="L369" s="15" t="s">
        <v>100</v>
      </c>
      <c r="M369" s="15">
        <v>63466</v>
      </c>
      <c r="N369" s="15" t="s">
        <v>23</v>
      </c>
      <c r="O369" s="15">
        <v>0.49315068493150682</v>
      </c>
      <c r="P369" s="15" t="s">
        <v>1862</v>
      </c>
      <c r="Q369" s="15">
        <f t="shared" ca="1" si="10"/>
        <v>65</v>
      </c>
      <c r="R369" s="15" t="str">
        <f t="shared" si="11"/>
        <v>Medium</v>
      </c>
    </row>
    <row r="370" spans="1:18" s="15" customFormat="1" x14ac:dyDescent="0.3">
      <c r="A370" s="15" t="s">
        <v>908</v>
      </c>
      <c r="B370" s="15" t="s">
        <v>702</v>
      </c>
      <c r="C370" s="15" t="s">
        <v>909</v>
      </c>
      <c r="D370" s="15" t="s">
        <v>27</v>
      </c>
      <c r="E370" s="15" t="s">
        <v>18</v>
      </c>
      <c r="F370" s="15" t="s">
        <v>19</v>
      </c>
      <c r="G370" s="15" t="s">
        <v>30</v>
      </c>
      <c r="H370" s="16">
        <v>22440</v>
      </c>
      <c r="I370" s="16">
        <v>42853</v>
      </c>
      <c r="J370" s="16">
        <v>43453</v>
      </c>
      <c r="K370" s="15" t="s">
        <v>94</v>
      </c>
      <c r="L370" s="15" t="s">
        <v>182</v>
      </c>
      <c r="M370" s="15">
        <v>75091</v>
      </c>
      <c r="N370" s="15" t="s">
        <v>96</v>
      </c>
      <c r="O370" s="15">
        <v>0.49315068493150682</v>
      </c>
      <c r="P370" s="15" t="s">
        <v>1862</v>
      </c>
      <c r="Q370" s="15">
        <f t="shared" ca="1" si="10"/>
        <v>64</v>
      </c>
      <c r="R370" s="15" t="str">
        <f t="shared" si="11"/>
        <v>Medium</v>
      </c>
    </row>
    <row r="371" spans="1:18" s="15" customFormat="1" x14ac:dyDescent="0.3">
      <c r="A371" s="15" t="s">
        <v>910</v>
      </c>
      <c r="B371" s="15" t="s">
        <v>221</v>
      </c>
      <c r="C371" s="15" t="s">
        <v>172</v>
      </c>
      <c r="D371" s="15" t="s">
        <v>27</v>
      </c>
      <c r="E371" s="15" t="s">
        <v>18</v>
      </c>
      <c r="F371" s="15" t="s">
        <v>19</v>
      </c>
      <c r="G371" s="15" t="s">
        <v>30</v>
      </c>
      <c r="H371" s="16">
        <v>30529</v>
      </c>
      <c r="I371" s="16">
        <v>44214</v>
      </c>
      <c r="J371" s="16">
        <v>44837</v>
      </c>
      <c r="K371" s="15" t="s">
        <v>94</v>
      </c>
      <c r="L371" s="15" t="s">
        <v>182</v>
      </c>
      <c r="M371" s="15">
        <v>83010</v>
      </c>
      <c r="N371" s="15" t="s">
        <v>96</v>
      </c>
      <c r="O371" s="15">
        <v>2.0712328767123291</v>
      </c>
      <c r="P371" s="15" t="s">
        <v>1862</v>
      </c>
      <c r="Q371" s="15">
        <f t="shared" ca="1" si="10"/>
        <v>42</v>
      </c>
      <c r="R371" s="15" t="str">
        <f t="shared" si="11"/>
        <v>Medium</v>
      </c>
    </row>
    <row r="372" spans="1:18" s="15" customFormat="1" x14ac:dyDescent="0.3">
      <c r="A372" s="15" t="s">
        <v>911</v>
      </c>
      <c r="B372" s="15" t="s">
        <v>912</v>
      </c>
      <c r="C372" s="15" t="s">
        <v>624</v>
      </c>
      <c r="D372" s="15" t="s">
        <v>17</v>
      </c>
      <c r="E372" s="15" t="s">
        <v>18</v>
      </c>
      <c r="F372" s="15" t="s">
        <v>19</v>
      </c>
      <c r="G372" s="15" t="s">
        <v>20</v>
      </c>
      <c r="H372" s="16">
        <v>29764</v>
      </c>
      <c r="I372" s="16">
        <v>44753</v>
      </c>
      <c r="J372" s="16">
        <v>44933</v>
      </c>
      <c r="K372" s="15" t="s">
        <v>21</v>
      </c>
      <c r="L372" s="15" t="s">
        <v>22</v>
      </c>
      <c r="M372" s="15">
        <v>56691</v>
      </c>
      <c r="N372" s="15" t="s">
        <v>23</v>
      </c>
      <c r="O372" s="15">
        <v>0.49315068493150682</v>
      </c>
      <c r="P372" s="15" t="s">
        <v>1862</v>
      </c>
      <c r="Q372" s="15">
        <f t="shared" ca="1" si="10"/>
        <v>44</v>
      </c>
      <c r="R372" s="15" t="str">
        <f t="shared" si="11"/>
        <v>Low</v>
      </c>
    </row>
    <row r="373" spans="1:18" s="15" customFormat="1" x14ac:dyDescent="0.3">
      <c r="A373" s="15" t="s">
        <v>913</v>
      </c>
      <c r="B373" s="15" t="s">
        <v>777</v>
      </c>
      <c r="C373" s="15" t="s">
        <v>630</v>
      </c>
      <c r="D373" s="15" t="s">
        <v>27</v>
      </c>
      <c r="E373" s="15" t="s">
        <v>18</v>
      </c>
      <c r="F373" s="15" t="s">
        <v>19</v>
      </c>
      <c r="G373" s="15" t="s">
        <v>30</v>
      </c>
      <c r="H373" s="16">
        <v>35773</v>
      </c>
      <c r="I373" s="16">
        <v>43726</v>
      </c>
      <c r="J373" s="16">
        <v>45357</v>
      </c>
      <c r="K373" s="15" t="s">
        <v>51</v>
      </c>
      <c r="L373" s="15" t="s">
        <v>56</v>
      </c>
      <c r="M373" s="15">
        <v>61471</v>
      </c>
      <c r="N373" s="15" t="s">
        <v>23</v>
      </c>
      <c r="O373" s="15">
        <v>2.9534246575342471</v>
      </c>
      <c r="P373" s="15" t="s">
        <v>1861</v>
      </c>
      <c r="Q373" s="15">
        <f t="shared" ca="1" si="10"/>
        <v>28</v>
      </c>
      <c r="R373" s="15" t="str">
        <f t="shared" si="11"/>
        <v>Medium</v>
      </c>
    </row>
    <row r="374" spans="1:18" s="15" customFormat="1" x14ac:dyDescent="0.3">
      <c r="A374" s="15" t="s">
        <v>914</v>
      </c>
      <c r="B374" s="15" t="s">
        <v>915</v>
      </c>
      <c r="C374" s="15" t="s">
        <v>916</v>
      </c>
      <c r="D374" s="15" t="s">
        <v>17</v>
      </c>
      <c r="E374" s="15" t="s">
        <v>18</v>
      </c>
      <c r="F374" s="15" t="s">
        <v>19</v>
      </c>
      <c r="G374" s="15" t="s">
        <v>30</v>
      </c>
      <c r="H374" s="16">
        <v>31453</v>
      </c>
      <c r="I374" s="16">
        <v>42945</v>
      </c>
      <c r="J374" s="16">
        <v>45357</v>
      </c>
      <c r="K374" s="15" t="s">
        <v>65</v>
      </c>
      <c r="L374" s="15" t="s">
        <v>66</v>
      </c>
      <c r="M374" s="15">
        <v>62257</v>
      </c>
      <c r="N374" s="15" t="s">
        <v>44</v>
      </c>
      <c r="O374" s="15">
        <v>0.49315068493150682</v>
      </c>
      <c r="P374" s="15" t="s">
        <v>1862</v>
      </c>
      <c r="Q374" s="15">
        <f t="shared" ca="1" si="10"/>
        <v>39</v>
      </c>
      <c r="R374" s="15" t="str">
        <f t="shared" si="11"/>
        <v>Medium</v>
      </c>
    </row>
    <row r="375" spans="1:18" s="15" customFormat="1" x14ac:dyDescent="0.3">
      <c r="A375" s="15" t="s">
        <v>917</v>
      </c>
      <c r="B375" s="15" t="s">
        <v>85</v>
      </c>
      <c r="C375" s="15" t="s">
        <v>808</v>
      </c>
      <c r="D375" s="15" t="s">
        <v>17</v>
      </c>
      <c r="E375" s="15" t="s">
        <v>18</v>
      </c>
      <c r="F375" s="15" t="s">
        <v>19</v>
      </c>
      <c r="G375" s="15" t="s">
        <v>30</v>
      </c>
      <c r="H375" s="16">
        <v>28994</v>
      </c>
      <c r="I375" s="16">
        <v>44885</v>
      </c>
      <c r="J375" s="16">
        <v>45065</v>
      </c>
      <c r="K375" s="15" t="s">
        <v>51</v>
      </c>
      <c r="L375" s="15" t="s">
        <v>56</v>
      </c>
      <c r="M375" s="15">
        <v>58656</v>
      </c>
      <c r="N375" s="15" t="s">
        <v>33</v>
      </c>
      <c r="O375" s="15">
        <v>0.49315068493150682</v>
      </c>
      <c r="P375" s="15" t="s">
        <v>1861</v>
      </c>
      <c r="Q375" s="15">
        <f t="shared" ca="1" si="10"/>
        <v>46</v>
      </c>
      <c r="R375" s="15" t="str">
        <f t="shared" si="11"/>
        <v>Low</v>
      </c>
    </row>
    <row r="376" spans="1:18" s="15" customFormat="1" x14ac:dyDescent="0.3">
      <c r="A376" s="15" t="s">
        <v>918</v>
      </c>
      <c r="B376" s="15" t="s">
        <v>195</v>
      </c>
      <c r="C376" s="15" t="s">
        <v>246</v>
      </c>
      <c r="D376" s="15" t="s">
        <v>17</v>
      </c>
      <c r="E376" s="15" t="s">
        <v>354</v>
      </c>
      <c r="F376" s="15" t="s">
        <v>404</v>
      </c>
      <c r="G376" s="15" t="s">
        <v>20</v>
      </c>
      <c r="H376" s="16">
        <v>29967</v>
      </c>
      <c r="I376" s="16">
        <v>42113</v>
      </c>
      <c r="J376" s="16">
        <v>43937</v>
      </c>
      <c r="K376" s="15" t="s">
        <v>21</v>
      </c>
      <c r="L376" s="15" t="s">
        <v>22</v>
      </c>
      <c r="M376" s="15">
        <v>68102</v>
      </c>
      <c r="N376" s="15" t="s">
        <v>23</v>
      </c>
      <c r="O376" s="15">
        <v>0.49315068493150682</v>
      </c>
      <c r="P376" s="15" t="s">
        <v>1862</v>
      </c>
      <c r="Q376" s="15">
        <f t="shared" ca="1" si="10"/>
        <v>44</v>
      </c>
      <c r="R376" s="15" t="str">
        <f t="shared" si="11"/>
        <v>Medium</v>
      </c>
    </row>
    <row r="377" spans="1:18" s="15" customFormat="1" x14ac:dyDescent="0.3">
      <c r="A377" s="15" t="s">
        <v>920</v>
      </c>
      <c r="B377" s="15" t="s">
        <v>921</v>
      </c>
      <c r="C377" s="15" t="s">
        <v>272</v>
      </c>
      <c r="D377" s="15" t="s">
        <v>17</v>
      </c>
      <c r="E377" s="15" t="s">
        <v>18</v>
      </c>
      <c r="F377" s="15" t="s">
        <v>19</v>
      </c>
      <c r="G377" s="15" t="s">
        <v>30</v>
      </c>
      <c r="H377" s="16">
        <v>23530</v>
      </c>
      <c r="I377" s="16">
        <v>43971</v>
      </c>
      <c r="J377" s="16">
        <v>44586</v>
      </c>
      <c r="K377" s="15" t="s">
        <v>94</v>
      </c>
      <c r="L377" s="15" t="s">
        <v>182</v>
      </c>
      <c r="M377" s="15">
        <v>65617</v>
      </c>
      <c r="N377" s="15" t="s">
        <v>44</v>
      </c>
      <c r="O377" s="15">
        <v>8.6082191780821926</v>
      </c>
      <c r="P377" s="15" t="s">
        <v>1861</v>
      </c>
      <c r="Q377" s="15">
        <f t="shared" ca="1" si="10"/>
        <v>61</v>
      </c>
      <c r="R377" s="15" t="str">
        <f t="shared" si="11"/>
        <v>Medium</v>
      </c>
    </row>
    <row r="378" spans="1:18" s="15" customFormat="1" x14ac:dyDescent="0.3">
      <c r="A378" s="15" t="s">
        <v>922</v>
      </c>
      <c r="B378" s="15" t="s">
        <v>277</v>
      </c>
      <c r="C378" s="15" t="s">
        <v>923</v>
      </c>
      <c r="D378" s="15" t="s">
        <v>17</v>
      </c>
      <c r="E378" s="15" t="s">
        <v>18</v>
      </c>
      <c r="F378" s="15" t="s">
        <v>19</v>
      </c>
      <c r="G378" s="15" t="s">
        <v>30</v>
      </c>
      <c r="H378" s="16">
        <v>28356</v>
      </c>
      <c r="I378" s="16">
        <v>42028</v>
      </c>
      <c r="J378" s="16">
        <v>44304</v>
      </c>
      <c r="K378" s="15" t="s">
        <v>94</v>
      </c>
      <c r="L378" s="15" t="s">
        <v>182</v>
      </c>
      <c r="M378" s="15">
        <v>52981</v>
      </c>
      <c r="N378" s="15" t="s">
        <v>33</v>
      </c>
      <c r="O378" s="15">
        <v>0.49315068493150682</v>
      </c>
      <c r="P378" s="15" t="s">
        <v>1861</v>
      </c>
      <c r="Q378" s="15">
        <f t="shared" ca="1" si="10"/>
        <v>48</v>
      </c>
      <c r="R378" s="15" t="str">
        <f t="shared" si="11"/>
        <v>Low</v>
      </c>
    </row>
    <row r="379" spans="1:18" s="15" customFormat="1" x14ac:dyDescent="0.3">
      <c r="A379" s="15" t="s">
        <v>924</v>
      </c>
      <c r="B379" s="15" t="s">
        <v>925</v>
      </c>
      <c r="C379" s="15" t="s">
        <v>926</v>
      </c>
      <c r="D379" s="15" t="s">
        <v>27</v>
      </c>
      <c r="E379" s="15" t="s">
        <v>18</v>
      </c>
      <c r="F379" s="15" t="s">
        <v>19</v>
      </c>
      <c r="G379" s="15" t="s">
        <v>30</v>
      </c>
      <c r="H379" s="16">
        <v>24180</v>
      </c>
      <c r="I379" s="16">
        <v>43878</v>
      </c>
      <c r="J379" s="16">
        <v>44058</v>
      </c>
      <c r="K379" s="15" t="s">
        <v>31</v>
      </c>
      <c r="L379" s="15" t="s">
        <v>32</v>
      </c>
      <c r="M379" s="15">
        <v>75569</v>
      </c>
      <c r="N379" s="15" t="s">
        <v>33</v>
      </c>
      <c r="O379" s="15">
        <v>0.49315068493150682</v>
      </c>
      <c r="P379" s="15" t="s">
        <v>1861</v>
      </c>
      <c r="Q379" s="15">
        <f t="shared" ca="1" si="10"/>
        <v>59</v>
      </c>
      <c r="R379" s="15" t="str">
        <f t="shared" si="11"/>
        <v>Medium</v>
      </c>
    </row>
    <row r="380" spans="1:18" s="15" customFormat="1" x14ac:dyDescent="0.3">
      <c r="A380" s="15" t="s">
        <v>927</v>
      </c>
      <c r="B380" s="15" t="s">
        <v>915</v>
      </c>
      <c r="C380" s="15" t="s">
        <v>928</v>
      </c>
      <c r="D380" s="15" t="s">
        <v>17</v>
      </c>
      <c r="E380" s="15" t="s">
        <v>18</v>
      </c>
      <c r="F380" s="15" t="s">
        <v>19</v>
      </c>
      <c r="G380" s="15" t="s">
        <v>20</v>
      </c>
      <c r="H380" s="16">
        <v>34977</v>
      </c>
      <c r="I380" s="16">
        <v>43501</v>
      </c>
      <c r="J380" s="16">
        <v>43681</v>
      </c>
      <c r="K380" s="15" t="s">
        <v>37</v>
      </c>
      <c r="L380" s="15" t="s">
        <v>41</v>
      </c>
      <c r="M380" s="15">
        <v>53099</v>
      </c>
      <c r="N380" s="15" t="s">
        <v>23</v>
      </c>
      <c r="O380" s="15">
        <v>7.4027397260273968</v>
      </c>
      <c r="P380" s="15" t="s">
        <v>1862</v>
      </c>
      <c r="Q380" s="15">
        <f t="shared" ca="1" si="10"/>
        <v>30</v>
      </c>
      <c r="R380" s="15" t="str">
        <f t="shared" si="11"/>
        <v>Low</v>
      </c>
    </row>
    <row r="381" spans="1:18" s="15" customFormat="1" x14ac:dyDescent="0.3">
      <c r="A381" s="15" t="s">
        <v>929</v>
      </c>
      <c r="B381" s="15" t="s">
        <v>484</v>
      </c>
      <c r="C381" s="15" t="s">
        <v>930</v>
      </c>
      <c r="D381" s="15" t="s">
        <v>17</v>
      </c>
      <c r="E381" s="15" t="s">
        <v>18</v>
      </c>
      <c r="F381" s="15" t="s">
        <v>19</v>
      </c>
      <c r="G381" s="15" t="s">
        <v>30</v>
      </c>
      <c r="H381" s="16">
        <v>30654</v>
      </c>
      <c r="I381" s="16">
        <v>43331</v>
      </c>
      <c r="J381" s="16">
        <v>43511</v>
      </c>
      <c r="K381" s="15" t="s">
        <v>31</v>
      </c>
      <c r="L381" s="15" t="s">
        <v>159</v>
      </c>
      <c r="M381" s="15">
        <v>79955</v>
      </c>
      <c r="N381" s="15" t="s">
        <v>44</v>
      </c>
      <c r="O381" s="15">
        <v>2.6438356164383561</v>
      </c>
      <c r="P381" s="15" t="s">
        <v>1861</v>
      </c>
      <c r="Q381" s="15">
        <f t="shared" ca="1" si="10"/>
        <v>42</v>
      </c>
      <c r="R381" s="15" t="str">
        <f t="shared" si="11"/>
        <v>Medium</v>
      </c>
    </row>
    <row r="382" spans="1:18" s="15" customFormat="1" x14ac:dyDescent="0.3">
      <c r="A382" s="15" t="s">
        <v>931</v>
      </c>
      <c r="B382" s="15" t="s">
        <v>932</v>
      </c>
      <c r="C382" s="15" t="s">
        <v>89</v>
      </c>
      <c r="D382" s="15" t="s">
        <v>27</v>
      </c>
      <c r="E382" s="15" t="s">
        <v>81</v>
      </c>
      <c r="F382" s="15" t="s">
        <v>166</v>
      </c>
      <c r="G382" s="15" t="s">
        <v>30</v>
      </c>
      <c r="H382" s="16">
        <v>24606</v>
      </c>
      <c r="I382" s="16">
        <v>43595</v>
      </c>
      <c r="J382" s="16">
        <v>43775</v>
      </c>
      <c r="K382" s="15" t="s">
        <v>94</v>
      </c>
      <c r="L382" s="15" t="s">
        <v>182</v>
      </c>
      <c r="M382" s="15">
        <v>73482</v>
      </c>
      <c r="N382" s="15" t="s">
        <v>33</v>
      </c>
      <c r="O382" s="15">
        <v>3.6054794520547939</v>
      </c>
      <c r="P382" s="15" t="s">
        <v>1862</v>
      </c>
      <c r="Q382" s="15">
        <f t="shared" ca="1" si="10"/>
        <v>58</v>
      </c>
      <c r="R382" s="15" t="str">
        <f t="shared" si="11"/>
        <v>Medium</v>
      </c>
    </row>
    <row r="383" spans="1:18" s="15" customFormat="1" x14ac:dyDescent="0.3">
      <c r="A383" s="15" t="s">
        <v>933</v>
      </c>
      <c r="B383" s="15" t="s">
        <v>25</v>
      </c>
      <c r="C383" s="15" t="s">
        <v>632</v>
      </c>
      <c r="D383" s="15" t="s">
        <v>17</v>
      </c>
      <c r="E383" s="15" t="s">
        <v>354</v>
      </c>
      <c r="F383" s="15" t="s">
        <v>355</v>
      </c>
      <c r="G383" s="15" t="s">
        <v>112</v>
      </c>
      <c r="H383" s="16">
        <v>35792</v>
      </c>
      <c r="I383" s="16">
        <v>43685</v>
      </c>
      <c r="J383" s="16">
        <v>45358</v>
      </c>
      <c r="K383" s="15" t="s">
        <v>94</v>
      </c>
      <c r="L383" s="15" t="s">
        <v>95</v>
      </c>
      <c r="M383" s="15">
        <v>90215</v>
      </c>
      <c r="N383" s="15" t="s">
        <v>96</v>
      </c>
      <c r="O383" s="15">
        <v>0.49315068493150682</v>
      </c>
      <c r="P383" s="15" t="s">
        <v>1861</v>
      </c>
      <c r="Q383" s="15">
        <f t="shared" ca="1" si="10"/>
        <v>28</v>
      </c>
      <c r="R383" s="15" t="str">
        <f t="shared" si="11"/>
        <v>Medium</v>
      </c>
    </row>
    <row r="384" spans="1:18" s="15" customFormat="1" x14ac:dyDescent="0.3">
      <c r="A384" s="15" t="s">
        <v>934</v>
      </c>
      <c r="B384" s="15" t="s">
        <v>935</v>
      </c>
      <c r="C384" s="15" t="s">
        <v>936</v>
      </c>
      <c r="D384" s="15" t="s">
        <v>27</v>
      </c>
      <c r="E384" s="15" t="s">
        <v>354</v>
      </c>
      <c r="F384" s="15" t="s">
        <v>355</v>
      </c>
      <c r="G384" s="15" t="s">
        <v>93</v>
      </c>
      <c r="H384" s="16">
        <v>29980</v>
      </c>
      <c r="I384" s="16">
        <v>44046</v>
      </c>
      <c r="J384" s="16">
        <v>45050</v>
      </c>
      <c r="K384" s="15" t="s">
        <v>94</v>
      </c>
      <c r="L384" s="15" t="s">
        <v>117</v>
      </c>
      <c r="M384" s="15">
        <v>62776</v>
      </c>
      <c r="N384" s="15" t="s">
        <v>96</v>
      </c>
      <c r="O384" s="15">
        <v>0.49315068493150682</v>
      </c>
      <c r="P384" s="15" t="s">
        <v>1862</v>
      </c>
      <c r="Q384" s="15">
        <f t="shared" ca="1" si="10"/>
        <v>43</v>
      </c>
      <c r="R384" s="15" t="str">
        <f t="shared" si="11"/>
        <v>Medium</v>
      </c>
    </row>
    <row r="385" spans="1:18" s="15" customFormat="1" x14ac:dyDescent="0.3">
      <c r="A385" s="15" t="s">
        <v>937</v>
      </c>
      <c r="B385" s="15" t="s">
        <v>935</v>
      </c>
      <c r="C385" s="15" t="s">
        <v>50</v>
      </c>
      <c r="D385" s="15" t="s">
        <v>17</v>
      </c>
      <c r="E385" s="15" t="s">
        <v>18</v>
      </c>
      <c r="F385" s="15" t="s">
        <v>19</v>
      </c>
      <c r="G385" s="15" t="s">
        <v>30</v>
      </c>
      <c r="H385" s="16">
        <v>24892</v>
      </c>
      <c r="I385" s="16">
        <v>43073</v>
      </c>
      <c r="J385" s="16">
        <v>43252</v>
      </c>
      <c r="K385" s="15" t="s">
        <v>31</v>
      </c>
      <c r="L385" s="15" t="s">
        <v>159</v>
      </c>
      <c r="M385" s="15">
        <v>87013</v>
      </c>
      <c r="N385" s="15" t="s">
        <v>33</v>
      </c>
      <c r="O385" s="15">
        <v>1.7506849315068489</v>
      </c>
      <c r="P385" s="15" t="s">
        <v>1862</v>
      </c>
      <c r="Q385" s="15">
        <f t="shared" ca="1" si="10"/>
        <v>57</v>
      </c>
      <c r="R385" s="15" t="str">
        <f t="shared" si="11"/>
        <v>Medium</v>
      </c>
    </row>
    <row r="386" spans="1:18" s="15" customFormat="1" x14ac:dyDescent="0.3">
      <c r="A386" s="15" t="s">
        <v>938</v>
      </c>
      <c r="B386" s="15" t="s">
        <v>98</v>
      </c>
      <c r="C386" s="15" t="s">
        <v>939</v>
      </c>
      <c r="D386" s="15" t="s">
        <v>17</v>
      </c>
      <c r="E386" s="15" t="s">
        <v>137</v>
      </c>
      <c r="F386" s="15" t="s">
        <v>275</v>
      </c>
      <c r="G386" s="15" t="s">
        <v>30</v>
      </c>
      <c r="H386" s="16">
        <v>30836</v>
      </c>
      <c r="I386" s="16">
        <v>43407</v>
      </c>
      <c r="J386" s="16">
        <v>44216</v>
      </c>
      <c r="K386" s="15" t="s">
        <v>51</v>
      </c>
      <c r="L386" s="15" t="s">
        <v>56</v>
      </c>
      <c r="M386" s="15">
        <v>59789</v>
      </c>
      <c r="N386" s="15" t="s">
        <v>44</v>
      </c>
      <c r="O386" s="15">
        <v>1.6438356164383561</v>
      </c>
      <c r="P386" s="15" t="s">
        <v>1862</v>
      </c>
      <c r="Q386" s="15">
        <f t="shared" ref="Q386:Q449" ca="1" si="12">DATEDIF(H386, TODAY(), "Y")</f>
        <v>41</v>
      </c>
      <c r="R386" s="15" t="str">
        <f t="shared" si="11"/>
        <v>Low</v>
      </c>
    </row>
    <row r="387" spans="1:18" s="15" customFormat="1" x14ac:dyDescent="0.3">
      <c r="A387" s="15" t="s">
        <v>940</v>
      </c>
      <c r="B387" s="15" t="s">
        <v>277</v>
      </c>
      <c r="C387" s="15" t="s">
        <v>193</v>
      </c>
      <c r="D387" s="15" t="s">
        <v>17</v>
      </c>
      <c r="E387" s="15" t="s">
        <v>18</v>
      </c>
      <c r="F387" s="15" t="s">
        <v>19</v>
      </c>
      <c r="G387" s="15" t="s">
        <v>30</v>
      </c>
      <c r="H387" s="16">
        <v>28896</v>
      </c>
      <c r="I387" s="16">
        <v>44530</v>
      </c>
      <c r="J387" s="16">
        <v>45005</v>
      </c>
      <c r="K387" s="15" t="s">
        <v>51</v>
      </c>
      <c r="L387" s="15" t="s">
        <v>52</v>
      </c>
      <c r="M387" s="15">
        <v>71440</v>
      </c>
      <c r="N387" s="15" t="s">
        <v>33</v>
      </c>
      <c r="O387" s="15">
        <v>1.7068493150684929</v>
      </c>
      <c r="P387" s="15" t="s">
        <v>1861</v>
      </c>
      <c r="Q387" s="15">
        <f t="shared" ca="1" si="12"/>
        <v>46</v>
      </c>
      <c r="R387" s="15" t="str">
        <f t="shared" ref="R387:R450" si="13">IF(M387:M1352&gt;100000,"High",IF(M387:M1352&gt;60000,"Medium","Low"))</f>
        <v>Medium</v>
      </c>
    </row>
    <row r="388" spans="1:18" s="15" customFormat="1" x14ac:dyDescent="0.3">
      <c r="A388" s="15" t="s">
        <v>941</v>
      </c>
      <c r="B388" s="15" t="s">
        <v>942</v>
      </c>
      <c r="C388" s="15" t="s">
        <v>847</v>
      </c>
      <c r="D388" s="15" t="s">
        <v>27</v>
      </c>
      <c r="E388" s="15" t="s">
        <v>120</v>
      </c>
      <c r="F388" s="15" t="s">
        <v>904</v>
      </c>
      <c r="G388" s="15" t="s">
        <v>30</v>
      </c>
      <c r="H388" s="16">
        <v>30915</v>
      </c>
      <c r="I388" s="16">
        <v>42945</v>
      </c>
      <c r="J388" s="16">
        <v>43125</v>
      </c>
      <c r="K388" s="15" t="s">
        <v>94</v>
      </c>
      <c r="L388" s="15" t="s">
        <v>182</v>
      </c>
      <c r="M388" s="15">
        <v>61839</v>
      </c>
      <c r="N388" s="15" t="s">
        <v>96</v>
      </c>
      <c r="O388" s="15">
        <v>0.49315068493150682</v>
      </c>
      <c r="P388" s="15" t="s">
        <v>1862</v>
      </c>
      <c r="Q388" s="15">
        <f t="shared" ca="1" si="12"/>
        <v>41</v>
      </c>
      <c r="R388" s="15" t="str">
        <f t="shared" si="13"/>
        <v>Medium</v>
      </c>
    </row>
    <row r="389" spans="1:18" s="15" customFormat="1" x14ac:dyDescent="0.3">
      <c r="A389" s="15" t="s">
        <v>943</v>
      </c>
      <c r="B389" s="15" t="s">
        <v>25</v>
      </c>
      <c r="C389" s="15" t="s">
        <v>877</v>
      </c>
      <c r="D389" s="15" t="s">
        <v>17</v>
      </c>
      <c r="E389" s="15" t="s">
        <v>18</v>
      </c>
      <c r="F389" s="15" t="s">
        <v>19</v>
      </c>
      <c r="G389" s="15" t="s">
        <v>30</v>
      </c>
      <c r="H389" s="16">
        <v>33198</v>
      </c>
      <c r="I389" s="16">
        <v>42992</v>
      </c>
      <c r="J389" s="16">
        <v>43370</v>
      </c>
      <c r="K389" s="15" t="s">
        <v>37</v>
      </c>
      <c r="L389" s="15" t="s">
        <v>43</v>
      </c>
      <c r="M389" s="15">
        <v>82312</v>
      </c>
      <c r="N389" s="15" t="s">
        <v>33</v>
      </c>
      <c r="O389" s="15">
        <v>8.706849315068494</v>
      </c>
      <c r="P389" s="15" t="s">
        <v>1861</v>
      </c>
      <c r="Q389" s="15">
        <f t="shared" ca="1" si="12"/>
        <v>35</v>
      </c>
      <c r="R389" s="15" t="str">
        <f t="shared" si="13"/>
        <v>Medium</v>
      </c>
    </row>
    <row r="390" spans="1:18" s="15" customFormat="1" x14ac:dyDescent="0.3">
      <c r="A390" s="15" t="s">
        <v>944</v>
      </c>
      <c r="B390" s="15" t="s">
        <v>260</v>
      </c>
      <c r="C390" s="15" t="s">
        <v>210</v>
      </c>
      <c r="D390" s="15" t="s">
        <v>27</v>
      </c>
      <c r="E390" s="15" t="s">
        <v>18</v>
      </c>
      <c r="F390" s="15" t="s">
        <v>19</v>
      </c>
      <c r="G390" s="15" t="s">
        <v>93</v>
      </c>
      <c r="H390" s="16">
        <v>34330</v>
      </c>
      <c r="I390" s="16">
        <v>42875</v>
      </c>
      <c r="J390" s="16">
        <v>43949</v>
      </c>
      <c r="K390" s="15" t="s">
        <v>21</v>
      </c>
      <c r="L390" s="15" t="s">
        <v>482</v>
      </c>
      <c r="M390" s="15">
        <v>88028</v>
      </c>
      <c r="N390" s="15" t="s">
        <v>96</v>
      </c>
      <c r="O390" s="15">
        <v>4.4684931506849317</v>
      </c>
      <c r="P390" s="15" t="s">
        <v>1862</v>
      </c>
      <c r="Q390" s="15">
        <f t="shared" ca="1" si="12"/>
        <v>32</v>
      </c>
      <c r="R390" s="15" t="str">
        <f t="shared" si="13"/>
        <v>Medium</v>
      </c>
    </row>
    <row r="391" spans="1:18" s="15" customFormat="1" x14ac:dyDescent="0.3">
      <c r="A391" s="15" t="s">
        <v>945</v>
      </c>
      <c r="B391" s="15" t="s">
        <v>779</v>
      </c>
      <c r="C391" s="15" t="s">
        <v>272</v>
      </c>
      <c r="D391" s="15" t="s">
        <v>27</v>
      </c>
      <c r="E391" s="15" t="s">
        <v>18</v>
      </c>
      <c r="F391" s="15" t="s">
        <v>19</v>
      </c>
      <c r="G391" s="15" t="s">
        <v>30</v>
      </c>
      <c r="H391" s="16">
        <v>33610</v>
      </c>
      <c r="I391" s="16">
        <v>44687</v>
      </c>
      <c r="J391" s="16">
        <v>44867</v>
      </c>
      <c r="K391" s="15" t="s">
        <v>94</v>
      </c>
      <c r="L391" s="15" t="s">
        <v>122</v>
      </c>
      <c r="M391" s="15">
        <v>97258</v>
      </c>
      <c r="N391" s="15" t="s">
        <v>44</v>
      </c>
      <c r="O391" s="15">
        <v>6.6082191780821917</v>
      </c>
      <c r="P391" s="15" t="s">
        <v>1862</v>
      </c>
      <c r="Q391" s="15">
        <f t="shared" ca="1" si="12"/>
        <v>34</v>
      </c>
      <c r="R391" s="15" t="str">
        <f t="shared" si="13"/>
        <v>Medium</v>
      </c>
    </row>
    <row r="392" spans="1:18" s="15" customFormat="1" x14ac:dyDescent="0.3">
      <c r="A392" s="15" t="s">
        <v>946</v>
      </c>
      <c r="B392" s="15" t="s">
        <v>947</v>
      </c>
      <c r="C392" s="15" t="s">
        <v>147</v>
      </c>
      <c r="D392" s="15" t="s">
        <v>17</v>
      </c>
      <c r="E392" s="15" t="s">
        <v>18</v>
      </c>
      <c r="F392" s="15" t="s">
        <v>19</v>
      </c>
      <c r="G392" s="15" t="s">
        <v>20</v>
      </c>
      <c r="H392" s="16">
        <v>26013</v>
      </c>
      <c r="I392" s="16">
        <v>45341</v>
      </c>
      <c r="J392" s="16">
        <v>45521</v>
      </c>
      <c r="K392" s="15" t="s">
        <v>21</v>
      </c>
      <c r="L392" s="15" t="s">
        <v>100</v>
      </c>
      <c r="M392" s="15">
        <v>62902</v>
      </c>
      <c r="N392" s="15" t="s">
        <v>23</v>
      </c>
      <c r="O392" s="15">
        <v>8.1095890410958908</v>
      </c>
      <c r="P392" s="15" t="s">
        <v>1861</v>
      </c>
      <c r="Q392" s="15">
        <f t="shared" ca="1" si="12"/>
        <v>54</v>
      </c>
      <c r="R392" s="15" t="str">
        <f t="shared" si="13"/>
        <v>Medium</v>
      </c>
    </row>
    <row r="393" spans="1:18" s="15" customFormat="1" x14ac:dyDescent="0.3">
      <c r="A393" s="15" t="s">
        <v>948</v>
      </c>
      <c r="B393" s="15" t="s">
        <v>949</v>
      </c>
      <c r="C393" s="15" t="s">
        <v>950</v>
      </c>
      <c r="D393" s="15" t="s">
        <v>27</v>
      </c>
      <c r="E393" s="15" t="s">
        <v>18</v>
      </c>
      <c r="F393" s="15" t="s">
        <v>19</v>
      </c>
      <c r="G393" s="15" t="s">
        <v>20</v>
      </c>
      <c r="H393" s="16">
        <v>35984</v>
      </c>
      <c r="I393" s="16">
        <v>44851</v>
      </c>
      <c r="J393" s="16">
        <v>45031</v>
      </c>
      <c r="K393" s="15" t="s">
        <v>21</v>
      </c>
      <c r="L393" s="15" t="s">
        <v>108</v>
      </c>
      <c r="M393" s="15">
        <v>55023</v>
      </c>
      <c r="N393" s="15" t="s">
        <v>23</v>
      </c>
      <c r="O393" s="15">
        <v>0.49315068493150682</v>
      </c>
      <c r="P393" s="15" t="s">
        <v>1862</v>
      </c>
      <c r="Q393" s="15">
        <f t="shared" ca="1" si="12"/>
        <v>27</v>
      </c>
      <c r="R393" s="15" t="str">
        <f t="shared" si="13"/>
        <v>Low</v>
      </c>
    </row>
    <row r="394" spans="1:18" s="15" customFormat="1" x14ac:dyDescent="0.3">
      <c r="A394" s="15" t="s">
        <v>951</v>
      </c>
      <c r="B394" s="15" t="s">
        <v>952</v>
      </c>
      <c r="C394" s="15" t="s">
        <v>953</v>
      </c>
      <c r="D394" s="15" t="s">
        <v>27</v>
      </c>
      <c r="E394" s="15" t="s">
        <v>18</v>
      </c>
      <c r="F394" s="15" t="s">
        <v>19</v>
      </c>
      <c r="G394" s="15" t="s">
        <v>30</v>
      </c>
      <c r="H394" s="16">
        <v>36564</v>
      </c>
      <c r="I394" s="16">
        <v>44337</v>
      </c>
      <c r="J394" s="16">
        <v>45269</v>
      </c>
      <c r="K394" s="15" t="s">
        <v>37</v>
      </c>
      <c r="L394" s="15" t="s">
        <v>38</v>
      </c>
      <c r="M394" s="15">
        <v>69131</v>
      </c>
      <c r="N394" s="15" t="s">
        <v>33</v>
      </c>
      <c r="O394" s="15">
        <v>4.9972602739726026</v>
      </c>
      <c r="P394" s="15" t="s">
        <v>1862</v>
      </c>
      <c r="Q394" s="15">
        <f t="shared" ca="1" si="12"/>
        <v>25</v>
      </c>
      <c r="R394" s="15" t="str">
        <f t="shared" si="13"/>
        <v>Medium</v>
      </c>
    </row>
    <row r="395" spans="1:18" s="15" customFormat="1" x14ac:dyDescent="0.3">
      <c r="A395" s="15" t="s">
        <v>954</v>
      </c>
      <c r="B395" s="15" t="s">
        <v>437</v>
      </c>
      <c r="C395" s="15" t="s">
        <v>196</v>
      </c>
      <c r="D395" s="15" t="s">
        <v>27</v>
      </c>
      <c r="E395" s="15" t="s">
        <v>18</v>
      </c>
      <c r="F395" s="15" t="s">
        <v>19</v>
      </c>
      <c r="G395" s="15" t="s">
        <v>30</v>
      </c>
      <c r="H395" s="16">
        <v>23943</v>
      </c>
      <c r="I395" s="16">
        <v>43296</v>
      </c>
      <c r="J395" s="16">
        <v>43476</v>
      </c>
      <c r="K395" s="15" t="s">
        <v>37</v>
      </c>
      <c r="L395" s="15" t="s">
        <v>38</v>
      </c>
      <c r="M395" s="15">
        <v>65842</v>
      </c>
      <c r="N395" s="15" t="s">
        <v>44</v>
      </c>
      <c r="O395" s="15">
        <v>8.8054794520547937</v>
      </c>
      <c r="P395" s="15" t="s">
        <v>1861</v>
      </c>
      <c r="Q395" s="15">
        <f t="shared" ca="1" si="12"/>
        <v>60</v>
      </c>
      <c r="R395" s="15" t="str">
        <f t="shared" si="13"/>
        <v>Medium</v>
      </c>
    </row>
    <row r="396" spans="1:18" s="15" customFormat="1" x14ac:dyDescent="0.3">
      <c r="A396" s="15" t="s">
        <v>955</v>
      </c>
      <c r="B396" s="15" t="s">
        <v>127</v>
      </c>
      <c r="C396" s="15" t="s">
        <v>956</v>
      </c>
      <c r="D396" s="15" t="s">
        <v>27</v>
      </c>
      <c r="E396" s="15" t="s">
        <v>18</v>
      </c>
      <c r="F396" s="15" t="s">
        <v>19</v>
      </c>
      <c r="G396" s="15" t="s">
        <v>30</v>
      </c>
      <c r="H396" s="16">
        <v>31229</v>
      </c>
      <c r="I396" s="16">
        <v>43748</v>
      </c>
      <c r="J396" s="16">
        <v>43928</v>
      </c>
      <c r="K396" s="15" t="s">
        <v>37</v>
      </c>
      <c r="L396" s="15" t="s">
        <v>38</v>
      </c>
      <c r="M396" s="15">
        <v>67507</v>
      </c>
      <c r="N396" s="15" t="s">
        <v>33</v>
      </c>
      <c r="O396" s="15">
        <v>1.6849315068493149</v>
      </c>
      <c r="P396" s="15" t="s">
        <v>1862</v>
      </c>
      <c r="Q396" s="15">
        <f t="shared" ca="1" si="12"/>
        <v>40</v>
      </c>
      <c r="R396" s="15" t="str">
        <f t="shared" si="13"/>
        <v>Medium</v>
      </c>
    </row>
    <row r="397" spans="1:18" s="15" customFormat="1" x14ac:dyDescent="0.3">
      <c r="A397" s="15" t="s">
        <v>957</v>
      </c>
      <c r="B397" s="15" t="s">
        <v>958</v>
      </c>
      <c r="C397" s="15" t="s">
        <v>545</v>
      </c>
      <c r="D397" s="15" t="s">
        <v>17</v>
      </c>
      <c r="E397" s="15" t="s">
        <v>18</v>
      </c>
      <c r="F397" s="15" t="s">
        <v>19</v>
      </c>
      <c r="G397" s="15" t="s">
        <v>30</v>
      </c>
      <c r="H397" s="16">
        <v>37487</v>
      </c>
      <c r="I397" s="16">
        <v>44033</v>
      </c>
      <c r="J397" s="16">
        <v>44213</v>
      </c>
      <c r="K397" s="15" t="s">
        <v>65</v>
      </c>
      <c r="L397" s="15" t="s">
        <v>314</v>
      </c>
      <c r="M397" s="15">
        <v>68202</v>
      </c>
      <c r="N397" s="15" t="s">
        <v>96</v>
      </c>
      <c r="O397" s="15">
        <v>8.6986301369863011</v>
      </c>
      <c r="P397" s="15" t="s">
        <v>1861</v>
      </c>
      <c r="Q397" s="15">
        <f t="shared" ca="1" si="12"/>
        <v>23</v>
      </c>
      <c r="R397" s="15" t="str">
        <f t="shared" si="13"/>
        <v>Medium</v>
      </c>
    </row>
    <row r="398" spans="1:18" s="15" customFormat="1" x14ac:dyDescent="0.3">
      <c r="A398" s="15" t="s">
        <v>959</v>
      </c>
      <c r="B398" s="15" t="s">
        <v>318</v>
      </c>
      <c r="C398" s="15" t="s">
        <v>960</v>
      </c>
      <c r="D398" s="15" t="s">
        <v>17</v>
      </c>
      <c r="E398" s="15" t="s">
        <v>18</v>
      </c>
      <c r="F398" s="15" t="s">
        <v>19</v>
      </c>
      <c r="G398" s="15" t="s">
        <v>30</v>
      </c>
      <c r="H398" s="16">
        <v>35163</v>
      </c>
      <c r="I398" s="16">
        <v>43113</v>
      </c>
      <c r="J398" s="16">
        <v>43293</v>
      </c>
      <c r="K398" s="15" t="s">
        <v>37</v>
      </c>
      <c r="L398" s="15" t="s">
        <v>38</v>
      </c>
      <c r="M398" s="15">
        <v>54343</v>
      </c>
      <c r="N398" s="15" t="s">
        <v>44</v>
      </c>
      <c r="O398" s="15">
        <v>6.2356164383561641</v>
      </c>
      <c r="P398" s="15" t="s">
        <v>1862</v>
      </c>
      <c r="Q398" s="15">
        <f t="shared" ca="1" si="12"/>
        <v>29</v>
      </c>
      <c r="R398" s="15" t="str">
        <f t="shared" si="13"/>
        <v>Low</v>
      </c>
    </row>
    <row r="399" spans="1:18" s="15" customFormat="1" x14ac:dyDescent="0.3">
      <c r="A399" s="15" t="s">
        <v>961</v>
      </c>
      <c r="B399" s="15" t="s">
        <v>257</v>
      </c>
      <c r="C399" s="15" t="s">
        <v>962</v>
      </c>
      <c r="D399" s="15" t="s">
        <v>27</v>
      </c>
      <c r="E399" s="15" t="s">
        <v>137</v>
      </c>
      <c r="F399" s="15" t="s">
        <v>595</v>
      </c>
      <c r="G399" s="15" t="s">
        <v>30</v>
      </c>
      <c r="H399" s="16">
        <v>27065</v>
      </c>
      <c r="I399" s="16">
        <v>43256</v>
      </c>
      <c r="J399" s="16">
        <v>44702</v>
      </c>
      <c r="K399" s="15" t="s">
        <v>31</v>
      </c>
      <c r="L399" s="15" t="s">
        <v>32</v>
      </c>
      <c r="M399" s="15">
        <v>103091</v>
      </c>
      <c r="N399" s="15" t="s">
        <v>44</v>
      </c>
      <c r="O399" s="15">
        <v>0.49315068493150682</v>
      </c>
      <c r="P399" s="15" t="s">
        <v>1862</v>
      </c>
      <c r="Q399" s="15">
        <f t="shared" ca="1" si="12"/>
        <v>51</v>
      </c>
      <c r="R399" s="15" t="str">
        <f t="shared" si="13"/>
        <v>High</v>
      </c>
    </row>
    <row r="400" spans="1:18" s="15" customFormat="1" x14ac:dyDescent="0.3">
      <c r="A400" s="15" t="s">
        <v>963</v>
      </c>
      <c r="B400" s="15" t="s">
        <v>493</v>
      </c>
      <c r="C400" s="15" t="s">
        <v>196</v>
      </c>
      <c r="D400" s="15" t="s">
        <v>27</v>
      </c>
      <c r="E400" s="15" t="s">
        <v>18</v>
      </c>
      <c r="F400" s="15" t="s">
        <v>19</v>
      </c>
      <c r="G400" s="15" t="s">
        <v>30</v>
      </c>
      <c r="H400" s="16">
        <v>29241</v>
      </c>
      <c r="I400" s="16">
        <v>43012</v>
      </c>
      <c r="J400" s="16">
        <v>43191</v>
      </c>
      <c r="K400" s="15" t="s">
        <v>65</v>
      </c>
      <c r="L400" s="15" t="s">
        <v>131</v>
      </c>
      <c r="M400" s="15">
        <v>59360</v>
      </c>
      <c r="N400" s="15" t="s">
        <v>44</v>
      </c>
      <c r="O400" s="15">
        <v>0.49315068493150682</v>
      </c>
      <c r="P400" s="15" t="s">
        <v>1862</v>
      </c>
      <c r="Q400" s="15">
        <f t="shared" ca="1" si="12"/>
        <v>45</v>
      </c>
      <c r="R400" s="15" t="str">
        <f t="shared" si="13"/>
        <v>Low</v>
      </c>
    </row>
    <row r="401" spans="1:18" s="15" customFormat="1" x14ac:dyDescent="0.3">
      <c r="A401" s="15" t="s">
        <v>964</v>
      </c>
      <c r="B401" s="15" t="s">
        <v>806</v>
      </c>
      <c r="C401" s="15" t="s">
        <v>301</v>
      </c>
      <c r="D401" s="15" t="s">
        <v>27</v>
      </c>
      <c r="E401" s="15" t="s">
        <v>18</v>
      </c>
      <c r="F401" s="15" t="s">
        <v>19</v>
      </c>
      <c r="G401" s="15" t="s">
        <v>30</v>
      </c>
      <c r="H401" s="16">
        <v>31473</v>
      </c>
      <c r="I401" s="16">
        <v>43862</v>
      </c>
      <c r="J401" s="16">
        <v>45160</v>
      </c>
      <c r="K401" s="15" t="s">
        <v>37</v>
      </c>
      <c r="L401" s="15" t="s">
        <v>41</v>
      </c>
      <c r="M401" s="15">
        <v>61715</v>
      </c>
      <c r="N401" s="15" t="s">
        <v>33</v>
      </c>
      <c r="O401" s="15">
        <v>0.49315068493150682</v>
      </c>
      <c r="P401" s="15" t="s">
        <v>1862</v>
      </c>
      <c r="Q401" s="15">
        <f t="shared" ca="1" si="12"/>
        <v>39</v>
      </c>
      <c r="R401" s="15" t="str">
        <f t="shared" si="13"/>
        <v>Medium</v>
      </c>
    </row>
    <row r="402" spans="1:18" s="15" customFormat="1" x14ac:dyDescent="0.3">
      <c r="A402" s="15" t="s">
        <v>965</v>
      </c>
      <c r="B402" s="15" t="s">
        <v>966</v>
      </c>
      <c r="C402" s="15" t="s">
        <v>187</v>
      </c>
      <c r="D402" s="15" t="s">
        <v>27</v>
      </c>
      <c r="E402" s="15" t="s">
        <v>18</v>
      </c>
      <c r="F402" s="15" t="s">
        <v>19</v>
      </c>
      <c r="G402" s="15" t="s">
        <v>20</v>
      </c>
      <c r="H402" s="16">
        <v>38117</v>
      </c>
      <c r="I402" s="16">
        <v>45341</v>
      </c>
      <c r="J402" s="16">
        <v>45521</v>
      </c>
      <c r="K402" s="15" t="s">
        <v>21</v>
      </c>
      <c r="L402" s="15" t="s">
        <v>108</v>
      </c>
      <c r="M402" s="15">
        <v>54169</v>
      </c>
      <c r="N402" s="15" t="s">
        <v>23</v>
      </c>
      <c r="O402" s="15">
        <v>0.49315068493150682</v>
      </c>
      <c r="P402" s="15" t="s">
        <v>1861</v>
      </c>
      <c r="Q402" s="15">
        <f t="shared" ca="1" si="12"/>
        <v>21</v>
      </c>
      <c r="R402" s="15" t="str">
        <f t="shared" si="13"/>
        <v>Low</v>
      </c>
    </row>
    <row r="403" spans="1:18" s="15" customFormat="1" x14ac:dyDescent="0.3">
      <c r="A403" s="15" t="s">
        <v>967</v>
      </c>
      <c r="B403" s="15" t="s">
        <v>54</v>
      </c>
      <c r="C403" s="15" t="s">
        <v>460</v>
      </c>
      <c r="D403" s="15" t="s">
        <v>17</v>
      </c>
      <c r="E403" s="15" t="s">
        <v>18</v>
      </c>
      <c r="F403" s="15" t="s">
        <v>19</v>
      </c>
      <c r="G403" s="15" t="s">
        <v>20</v>
      </c>
      <c r="H403" s="16">
        <v>35123</v>
      </c>
      <c r="I403" s="16">
        <v>42948</v>
      </c>
      <c r="J403" s="16">
        <v>43128</v>
      </c>
      <c r="K403" s="15" t="s">
        <v>21</v>
      </c>
      <c r="L403" s="15" t="s">
        <v>100</v>
      </c>
      <c r="M403" s="15">
        <v>59545</v>
      </c>
      <c r="N403" s="15" t="s">
        <v>23</v>
      </c>
      <c r="O403" s="15">
        <v>4.5835616438356164</v>
      </c>
      <c r="P403" s="15" t="s">
        <v>1861</v>
      </c>
      <c r="Q403" s="15">
        <f t="shared" ca="1" si="12"/>
        <v>29</v>
      </c>
      <c r="R403" s="15" t="str">
        <f t="shared" si="13"/>
        <v>Low</v>
      </c>
    </row>
    <row r="404" spans="1:18" s="15" customFormat="1" x14ac:dyDescent="0.3">
      <c r="A404" s="15" t="s">
        <v>968</v>
      </c>
      <c r="B404" s="15" t="s">
        <v>140</v>
      </c>
      <c r="C404" s="15" t="s">
        <v>218</v>
      </c>
      <c r="D404" s="15" t="s">
        <v>27</v>
      </c>
      <c r="E404" s="15" t="s">
        <v>28</v>
      </c>
      <c r="F404" s="15" t="s">
        <v>116</v>
      </c>
      <c r="G404" s="15" t="s">
        <v>20</v>
      </c>
      <c r="H404" s="16">
        <v>30633</v>
      </c>
      <c r="I404" s="16">
        <v>43333</v>
      </c>
      <c r="J404" s="16">
        <v>44856</v>
      </c>
      <c r="K404" s="15" t="s">
        <v>21</v>
      </c>
      <c r="L404" s="15" t="s">
        <v>100</v>
      </c>
      <c r="M404" s="15">
        <v>61048</v>
      </c>
      <c r="N404" s="15" t="s">
        <v>96</v>
      </c>
      <c r="O404" s="15">
        <v>2.7506849315068491</v>
      </c>
      <c r="P404" s="15" t="s">
        <v>1862</v>
      </c>
      <c r="Q404" s="15">
        <f t="shared" ca="1" si="12"/>
        <v>42</v>
      </c>
      <c r="R404" s="15" t="str">
        <f t="shared" si="13"/>
        <v>Medium</v>
      </c>
    </row>
    <row r="405" spans="1:18" s="15" customFormat="1" x14ac:dyDescent="0.3">
      <c r="A405" s="15" t="s">
        <v>969</v>
      </c>
      <c r="B405" s="15" t="s">
        <v>192</v>
      </c>
      <c r="C405" s="15" t="s">
        <v>630</v>
      </c>
      <c r="D405" s="15" t="s">
        <v>17</v>
      </c>
      <c r="E405" s="15" t="s">
        <v>18</v>
      </c>
      <c r="F405" s="15" t="s">
        <v>19</v>
      </c>
      <c r="G405" s="15" t="s">
        <v>30</v>
      </c>
      <c r="H405" s="16">
        <v>27271</v>
      </c>
      <c r="I405" s="16">
        <v>43335</v>
      </c>
      <c r="J405" s="16">
        <v>43515</v>
      </c>
      <c r="K405" s="15" t="s">
        <v>65</v>
      </c>
      <c r="L405" s="15" t="s">
        <v>314</v>
      </c>
      <c r="M405" s="15">
        <v>66315</v>
      </c>
      <c r="N405" s="15" t="s">
        <v>33</v>
      </c>
      <c r="O405" s="15">
        <v>0.49041095890410957</v>
      </c>
      <c r="P405" s="15" t="s">
        <v>1861</v>
      </c>
      <c r="Q405" s="15">
        <f t="shared" ca="1" si="12"/>
        <v>51</v>
      </c>
      <c r="R405" s="15" t="str">
        <f t="shared" si="13"/>
        <v>Medium</v>
      </c>
    </row>
    <row r="406" spans="1:18" s="15" customFormat="1" x14ac:dyDescent="0.3">
      <c r="A406" s="15" t="s">
        <v>970</v>
      </c>
      <c r="B406" s="15" t="s">
        <v>246</v>
      </c>
      <c r="C406" s="15" t="s">
        <v>971</v>
      </c>
      <c r="D406" s="15" t="s">
        <v>27</v>
      </c>
      <c r="E406" s="15" t="s">
        <v>18</v>
      </c>
      <c r="F406" s="15" t="s">
        <v>19</v>
      </c>
      <c r="G406" s="15" t="s">
        <v>93</v>
      </c>
      <c r="H406" s="16">
        <v>31553</v>
      </c>
      <c r="I406" s="16">
        <v>45336</v>
      </c>
      <c r="J406" s="16">
        <v>45516</v>
      </c>
      <c r="K406" s="15" t="s">
        <v>94</v>
      </c>
      <c r="L406" s="15" t="s">
        <v>122</v>
      </c>
      <c r="M406" s="15">
        <v>85948</v>
      </c>
      <c r="N406" s="15" t="s">
        <v>96</v>
      </c>
      <c r="O406" s="15">
        <v>2.216438356164383</v>
      </c>
      <c r="P406" s="15" t="s">
        <v>1862</v>
      </c>
      <c r="Q406" s="15">
        <f t="shared" ca="1" si="12"/>
        <v>39</v>
      </c>
      <c r="R406" s="15" t="str">
        <f t="shared" si="13"/>
        <v>Medium</v>
      </c>
    </row>
    <row r="407" spans="1:18" s="15" customFormat="1" x14ac:dyDescent="0.3">
      <c r="A407" s="15" t="s">
        <v>972</v>
      </c>
      <c r="B407" s="15" t="s">
        <v>851</v>
      </c>
      <c r="C407" s="15" t="s">
        <v>578</v>
      </c>
      <c r="D407" s="15" t="s">
        <v>27</v>
      </c>
      <c r="E407" s="15" t="s">
        <v>656</v>
      </c>
      <c r="F407" s="15" t="s">
        <v>720</v>
      </c>
      <c r="G407" s="15" t="s">
        <v>30</v>
      </c>
      <c r="H407" s="16">
        <v>35200</v>
      </c>
      <c r="I407" s="16">
        <v>43034</v>
      </c>
      <c r="J407" s="16">
        <v>45585</v>
      </c>
      <c r="K407" s="15" t="s">
        <v>37</v>
      </c>
      <c r="L407" s="15" t="s">
        <v>43</v>
      </c>
      <c r="M407" s="15">
        <v>67086</v>
      </c>
      <c r="N407" s="15" t="s">
        <v>44</v>
      </c>
      <c r="O407" s="15">
        <v>1.3013698630136989</v>
      </c>
      <c r="P407" s="15" t="s">
        <v>1861</v>
      </c>
      <c r="Q407" s="15">
        <f t="shared" ca="1" si="12"/>
        <v>29</v>
      </c>
      <c r="R407" s="15" t="str">
        <f t="shared" si="13"/>
        <v>Medium</v>
      </c>
    </row>
    <row r="408" spans="1:18" s="15" customFormat="1" x14ac:dyDescent="0.3">
      <c r="A408" s="15" t="s">
        <v>973</v>
      </c>
      <c r="B408" s="15" t="s">
        <v>79</v>
      </c>
      <c r="C408" s="15" t="s">
        <v>974</v>
      </c>
      <c r="D408" s="15" t="s">
        <v>17</v>
      </c>
      <c r="E408" s="15" t="s">
        <v>18</v>
      </c>
      <c r="F408" s="15" t="s">
        <v>19</v>
      </c>
      <c r="G408" s="15" t="s">
        <v>30</v>
      </c>
      <c r="H408" s="16">
        <v>31908</v>
      </c>
      <c r="I408" s="16">
        <v>45459</v>
      </c>
      <c r="J408" s="16">
        <v>45639</v>
      </c>
      <c r="K408" s="15" t="s">
        <v>21</v>
      </c>
      <c r="L408" s="15" t="s">
        <v>108</v>
      </c>
      <c r="M408" s="15">
        <v>60537</v>
      </c>
      <c r="N408" s="15" t="s">
        <v>23</v>
      </c>
      <c r="O408" s="15">
        <v>0.49315068493150682</v>
      </c>
      <c r="P408" s="15" t="s">
        <v>1862</v>
      </c>
      <c r="Q408" s="15">
        <f t="shared" ca="1" si="12"/>
        <v>38</v>
      </c>
      <c r="R408" s="15" t="str">
        <f t="shared" si="13"/>
        <v>Medium</v>
      </c>
    </row>
    <row r="409" spans="1:18" s="15" customFormat="1" x14ac:dyDescent="0.3">
      <c r="A409" s="15" t="s">
        <v>975</v>
      </c>
      <c r="B409" s="15" t="s">
        <v>225</v>
      </c>
      <c r="C409" s="15" t="s">
        <v>130</v>
      </c>
      <c r="D409" s="15" t="s">
        <v>17</v>
      </c>
      <c r="E409" s="15" t="s">
        <v>656</v>
      </c>
      <c r="F409" s="15" t="s">
        <v>657</v>
      </c>
      <c r="G409" s="15" t="s">
        <v>112</v>
      </c>
      <c r="H409" s="16">
        <v>32381</v>
      </c>
      <c r="I409" s="16">
        <v>42867</v>
      </c>
      <c r="J409" s="16">
        <v>43387</v>
      </c>
      <c r="K409" s="15" t="s">
        <v>37</v>
      </c>
      <c r="L409" s="15" t="s">
        <v>43</v>
      </c>
      <c r="M409" s="15">
        <v>57264</v>
      </c>
      <c r="N409" s="15" t="s">
        <v>96</v>
      </c>
      <c r="O409" s="15">
        <v>1.0356164383561639</v>
      </c>
      <c r="P409" s="15" t="s">
        <v>1862</v>
      </c>
      <c r="Q409" s="15">
        <f t="shared" ca="1" si="12"/>
        <v>37</v>
      </c>
      <c r="R409" s="15" t="str">
        <f t="shared" si="13"/>
        <v>Low</v>
      </c>
    </row>
    <row r="410" spans="1:18" s="15" customFormat="1" x14ac:dyDescent="0.3">
      <c r="A410" s="15" t="s">
        <v>976</v>
      </c>
      <c r="B410" s="15" t="s">
        <v>977</v>
      </c>
      <c r="C410" s="15" t="s">
        <v>149</v>
      </c>
      <c r="D410" s="15" t="s">
        <v>27</v>
      </c>
      <c r="E410" s="15" t="s">
        <v>169</v>
      </c>
      <c r="F410" s="15" t="s">
        <v>170</v>
      </c>
      <c r="G410" s="15" t="s">
        <v>20</v>
      </c>
      <c r="H410" s="16">
        <v>36259</v>
      </c>
      <c r="I410" s="16">
        <v>43749</v>
      </c>
      <c r="J410" s="16">
        <v>44212</v>
      </c>
      <c r="K410" s="15" t="s">
        <v>21</v>
      </c>
      <c r="L410" s="15" t="s">
        <v>100</v>
      </c>
      <c r="M410" s="15">
        <v>59603</v>
      </c>
      <c r="N410" s="15" t="s">
        <v>23</v>
      </c>
      <c r="O410" s="15">
        <v>2.9424657534246581</v>
      </c>
      <c r="P410" s="15" t="s">
        <v>1861</v>
      </c>
      <c r="Q410" s="15">
        <f t="shared" ca="1" si="12"/>
        <v>26</v>
      </c>
      <c r="R410" s="15" t="str">
        <f t="shared" si="13"/>
        <v>Low</v>
      </c>
    </row>
    <row r="411" spans="1:18" s="15" customFormat="1" x14ac:dyDescent="0.3">
      <c r="A411" s="15" t="s">
        <v>978</v>
      </c>
      <c r="B411" s="15" t="s">
        <v>979</v>
      </c>
      <c r="C411" s="15" t="s">
        <v>980</v>
      </c>
      <c r="D411" s="15" t="s">
        <v>27</v>
      </c>
      <c r="E411" s="15" t="s">
        <v>18</v>
      </c>
      <c r="F411" s="15" t="s">
        <v>19</v>
      </c>
      <c r="G411" s="15" t="s">
        <v>30</v>
      </c>
      <c r="H411" s="16">
        <v>32201</v>
      </c>
      <c r="I411" s="16">
        <v>42628</v>
      </c>
      <c r="J411" s="16">
        <v>44872</v>
      </c>
      <c r="K411" s="15" t="s">
        <v>37</v>
      </c>
      <c r="L411" s="15" t="s">
        <v>38</v>
      </c>
      <c r="M411" s="15">
        <v>61601</v>
      </c>
      <c r="N411" s="15" t="s">
        <v>44</v>
      </c>
      <c r="O411" s="15">
        <v>0.49315068493150682</v>
      </c>
      <c r="P411" s="15" t="s">
        <v>1862</v>
      </c>
      <c r="Q411" s="15">
        <f t="shared" ca="1" si="12"/>
        <v>37</v>
      </c>
      <c r="R411" s="15" t="str">
        <f t="shared" si="13"/>
        <v>Medium</v>
      </c>
    </row>
    <row r="412" spans="1:18" s="15" customFormat="1" x14ac:dyDescent="0.3">
      <c r="A412" s="15" t="s">
        <v>981</v>
      </c>
      <c r="B412" s="15" t="s">
        <v>422</v>
      </c>
      <c r="C412" s="15" t="s">
        <v>179</v>
      </c>
      <c r="D412" s="15" t="s">
        <v>17</v>
      </c>
      <c r="E412" s="15" t="s">
        <v>18</v>
      </c>
      <c r="F412" s="15" t="s">
        <v>19</v>
      </c>
      <c r="G412" s="15" t="s">
        <v>20</v>
      </c>
      <c r="H412" s="16">
        <v>36827</v>
      </c>
      <c r="I412" s="16">
        <v>42636</v>
      </c>
      <c r="J412" s="16">
        <v>43888</v>
      </c>
      <c r="K412" s="15" t="s">
        <v>21</v>
      </c>
      <c r="L412" s="15" t="s">
        <v>100</v>
      </c>
      <c r="M412" s="15">
        <v>62539</v>
      </c>
      <c r="N412" s="15" t="s">
        <v>96</v>
      </c>
      <c r="O412" s="15">
        <v>0.49315068493150682</v>
      </c>
      <c r="P412" s="15" t="s">
        <v>1861</v>
      </c>
      <c r="Q412" s="15">
        <f t="shared" ca="1" si="12"/>
        <v>25</v>
      </c>
      <c r="R412" s="15" t="str">
        <f t="shared" si="13"/>
        <v>Medium</v>
      </c>
    </row>
    <row r="413" spans="1:18" s="15" customFormat="1" x14ac:dyDescent="0.3">
      <c r="A413" s="15" t="s">
        <v>982</v>
      </c>
      <c r="B413" s="15" t="s">
        <v>774</v>
      </c>
      <c r="C413" s="15" t="s">
        <v>301</v>
      </c>
      <c r="D413" s="15" t="s">
        <v>17</v>
      </c>
      <c r="E413" s="15" t="s">
        <v>18</v>
      </c>
      <c r="F413" s="15" t="s">
        <v>19</v>
      </c>
      <c r="G413" s="15" t="s">
        <v>20</v>
      </c>
      <c r="H413" s="16">
        <v>28501</v>
      </c>
      <c r="I413" s="16">
        <v>43059</v>
      </c>
      <c r="J413" s="16">
        <v>45504</v>
      </c>
      <c r="K413" s="15" t="s">
        <v>37</v>
      </c>
      <c r="L413" s="15" t="s">
        <v>41</v>
      </c>
      <c r="M413" s="15">
        <v>60781</v>
      </c>
      <c r="N413" s="15" t="s">
        <v>23</v>
      </c>
      <c r="O413" s="15">
        <v>0.49315068493150682</v>
      </c>
      <c r="P413" s="15" t="s">
        <v>1862</v>
      </c>
      <c r="Q413" s="15">
        <f t="shared" ca="1" si="12"/>
        <v>48</v>
      </c>
      <c r="R413" s="15" t="str">
        <f t="shared" si="13"/>
        <v>Medium</v>
      </c>
    </row>
    <row r="414" spans="1:18" s="15" customFormat="1" x14ac:dyDescent="0.3">
      <c r="A414" s="15" t="s">
        <v>983</v>
      </c>
      <c r="B414" s="15" t="s">
        <v>615</v>
      </c>
      <c r="C414" s="15" t="s">
        <v>430</v>
      </c>
      <c r="D414" s="15" t="s">
        <v>17</v>
      </c>
      <c r="E414" s="15" t="s">
        <v>18</v>
      </c>
      <c r="F414" s="15" t="s">
        <v>19</v>
      </c>
      <c r="G414" s="15" t="s">
        <v>30</v>
      </c>
      <c r="H414" s="16">
        <v>23014</v>
      </c>
      <c r="I414" s="16">
        <v>43389</v>
      </c>
      <c r="J414" s="16">
        <v>43569</v>
      </c>
      <c r="K414" s="15" t="s">
        <v>65</v>
      </c>
      <c r="L414" s="15" t="s">
        <v>66</v>
      </c>
      <c r="M414" s="15">
        <v>89319</v>
      </c>
      <c r="N414" s="15" t="s">
        <v>23</v>
      </c>
      <c r="O414" s="15">
        <v>2.5534246575342472</v>
      </c>
      <c r="P414" s="15" t="s">
        <v>1861</v>
      </c>
      <c r="Q414" s="15">
        <f t="shared" ca="1" si="12"/>
        <v>63</v>
      </c>
      <c r="R414" s="15" t="str">
        <f t="shared" si="13"/>
        <v>Medium</v>
      </c>
    </row>
    <row r="415" spans="1:18" s="15" customFormat="1" x14ac:dyDescent="0.3">
      <c r="A415" s="15" t="s">
        <v>984</v>
      </c>
      <c r="B415" s="15" t="s">
        <v>985</v>
      </c>
      <c r="C415" s="15" t="s">
        <v>986</v>
      </c>
      <c r="D415" s="15" t="s">
        <v>17</v>
      </c>
      <c r="E415" s="15" t="s">
        <v>18</v>
      </c>
      <c r="F415" s="15" t="s">
        <v>19</v>
      </c>
      <c r="G415" s="15" t="s">
        <v>112</v>
      </c>
      <c r="H415" s="16">
        <v>37041</v>
      </c>
      <c r="I415" s="16">
        <v>43317</v>
      </c>
      <c r="J415" s="16">
        <v>44399</v>
      </c>
      <c r="K415" s="15" t="s">
        <v>31</v>
      </c>
      <c r="L415" s="15" t="s">
        <v>159</v>
      </c>
      <c r="M415" s="15">
        <v>79321</v>
      </c>
      <c r="N415" s="15" t="s">
        <v>96</v>
      </c>
      <c r="O415" s="15">
        <v>0.49315068493150682</v>
      </c>
      <c r="P415" s="15" t="s">
        <v>1861</v>
      </c>
      <c r="Q415" s="15">
        <f t="shared" ca="1" si="12"/>
        <v>24</v>
      </c>
      <c r="R415" s="15" t="str">
        <f t="shared" si="13"/>
        <v>Medium</v>
      </c>
    </row>
    <row r="416" spans="1:18" s="15" customFormat="1" x14ac:dyDescent="0.3">
      <c r="A416" s="15" t="s">
        <v>987</v>
      </c>
      <c r="B416" s="15" t="s">
        <v>293</v>
      </c>
      <c r="C416" s="15" t="s">
        <v>988</v>
      </c>
      <c r="D416" s="15" t="s">
        <v>17</v>
      </c>
      <c r="E416" s="15" t="s">
        <v>18</v>
      </c>
      <c r="F416" s="15" t="s">
        <v>19</v>
      </c>
      <c r="G416" s="15" t="s">
        <v>30</v>
      </c>
      <c r="H416" s="16">
        <v>37524</v>
      </c>
      <c r="I416" s="16">
        <v>43318</v>
      </c>
      <c r="J416" s="16">
        <v>43498</v>
      </c>
      <c r="K416" s="15" t="s">
        <v>37</v>
      </c>
      <c r="L416" s="15" t="s">
        <v>38</v>
      </c>
      <c r="M416" s="15">
        <v>54814</v>
      </c>
      <c r="N416" s="15" t="s">
        <v>33</v>
      </c>
      <c r="O416" s="15">
        <v>0.49315068493150682</v>
      </c>
      <c r="P416" s="15" t="s">
        <v>1862</v>
      </c>
      <c r="Q416" s="15">
        <f t="shared" ca="1" si="12"/>
        <v>23</v>
      </c>
      <c r="R416" s="15" t="str">
        <f t="shared" si="13"/>
        <v>Low</v>
      </c>
    </row>
    <row r="417" spans="1:18" s="15" customFormat="1" x14ac:dyDescent="0.3">
      <c r="A417" s="15" t="s">
        <v>989</v>
      </c>
      <c r="B417" s="15" t="s">
        <v>990</v>
      </c>
      <c r="C417" s="15" t="s">
        <v>632</v>
      </c>
      <c r="D417" s="15" t="s">
        <v>17</v>
      </c>
      <c r="E417" s="15" t="s">
        <v>18</v>
      </c>
      <c r="F417" s="15" t="s">
        <v>19</v>
      </c>
      <c r="G417" s="15" t="s">
        <v>112</v>
      </c>
      <c r="H417" s="16">
        <v>31143</v>
      </c>
      <c r="I417" s="16">
        <v>43603</v>
      </c>
      <c r="J417" s="16">
        <v>44260</v>
      </c>
      <c r="K417" s="15" t="s">
        <v>94</v>
      </c>
      <c r="L417" s="15" t="s">
        <v>117</v>
      </c>
      <c r="M417" s="15">
        <v>90335</v>
      </c>
      <c r="N417" s="15" t="s">
        <v>96</v>
      </c>
      <c r="O417" s="15">
        <v>0.49315068493150682</v>
      </c>
      <c r="P417" s="15" t="s">
        <v>1862</v>
      </c>
      <c r="Q417" s="15">
        <f t="shared" ca="1" si="12"/>
        <v>40</v>
      </c>
      <c r="R417" s="15" t="str">
        <f t="shared" si="13"/>
        <v>Medium</v>
      </c>
    </row>
    <row r="418" spans="1:18" s="15" customFormat="1" x14ac:dyDescent="0.3">
      <c r="A418" s="15" t="s">
        <v>991</v>
      </c>
      <c r="B418" s="15" t="s">
        <v>803</v>
      </c>
      <c r="C418" s="15" t="s">
        <v>992</v>
      </c>
      <c r="D418" s="15" t="s">
        <v>27</v>
      </c>
      <c r="E418" s="15" t="s">
        <v>354</v>
      </c>
      <c r="F418" s="15" t="s">
        <v>355</v>
      </c>
      <c r="G418" s="15" t="s">
        <v>30</v>
      </c>
      <c r="H418" s="16">
        <v>24380</v>
      </c>
      <c r="I418" s="16">
        <v>43265</v>
      </c>
      <c r="J418" s="16">
        <v>45508</v>
      </c>
      <c r="K418" s="15" t="s">
        <v>51</v>
      </c>
      <c r="L418" s="15" t="s">
        <v>233</v>
      </c>
      <c r="M418" s="15">
        <v>86323</v>
      </c>
      <c r="N418" s="15" t="s">
        <v>33</v>
      </c>
      <c r="O418" s="15">
        <v>0.49315068493150682</v>
      </c>
      <c r="P418" s="15" t="s">
        <v>1861</v>
      </c>
      <c r="Q418" s="15">
        <f t="shared" ca="1" si="12"/>
        <v>59</v>
      </c>
      <c r="R418" s="15" t="str">
        <f t="shared" si="13"/>
        <v>Medium</v>
      </c>
    </row>
    <row r="419" spans="1:18" s="15" customFormat="1" x14ac:dyDescent="0.3">
      <c r="A419" s="15" t="s">
        <v>993</v>
      </c>
      <c r="B419" s="15" t="s">
        <v>994</v>
      </c>
      <c r="C419" s="15" t="s">
        <v>995</v>
      </c>
      <c r="D419" s="15" t="s">
        <v>27</v>
      </c>
      <c r="E419" s="15" t="s">
        <v>18</v>
      </c>
      <c r="F419" s="15" t="s">
        <v>19</v>
      </c>
      <c r="G419" s="15" t="s">
        <v>20</v>
      </c>
      <c r="H419" s="16">
        <v>24466</v>
      </c>
      <c r="I419" s="16">
        <v>45038</v>
      </c>
      <c r="J419" s="16">
        <v>45218</v>
      </c>
      <c r="K419" s="15" t="s">
        <v>65</v>
      </c>
      <c r="L419" s="15" t="s">
        <v>131</v>
      </c>
      <c r="M419" s="15">
        <v>64366</v>
      </c>
      <c r="N419" s="15" t="s">
        <v>23</v>
      </c>
      <c r="O419" s="15">
        <v>3.9616438356164378</v>
      </c>
      <c r="P419" s="15" t="s">
        <v>1861</v>
      </c>
      <c r="Q419" s="15">
        <f t="shared" ca="1" si="12"/>
        <v>59</v>
      </c>
      <c r="R419" s="15" t="str">
        <f t="shared" si="13"/>
        <v>Medium</v>
      </c>
    </row>
    <row r="420" spans="1:18" s="15" customFormat="1" x14ac:dyDescent="0.3">
      <c r="A420" s="15" t="s">
        <v>996</v>
      </c>
      <c r="B420" s="15" t="s">
        <v>997</v>
      </c>
      <c r="C420" s="15" t="s">
        <v>998</v>
      </c>
      <c r="D420" s="15" t="s">
        <v>27</v>
      </c>
      <c r="E420" s="15" t="s">
        <v>18</v>
      </c>
      <c r="F420" s="15" t="s">
        <v>19</v>
      </c>
      <c r="G420" s="15" t="s">
        <v>20</v>
      </c>
      <c r="H420" s="16">
        <v>24377</v>
      </c>
      <c r="I420" s="16">
        <v>42594</v>
      </c>
      <c r="J420" s="16">
        <v>43414</v>
      </c>
      <c r="K420" s="15" t="s">
        <v>31</v>
      </c>
      <c r="L420" s="15" t="s">
        <v>83</v>
      </c>
      <c r="M420" s="15">
        <v>64874</v>
      </c>
      <c r="N420" s="15" t="s">
        <v>23</v>
      </c>
      <c r="O420" s="15">
        <v>0.49041095890410957</v>
      </c>
      <c r="P420" s="15" t="s">
        <v>1862</v>
      </c>
      <c r="Q420" s="15">
        <f t="shared" ca="1" si="12"/>
        <v>59</v>
      </c>
      <c r="R420" s="15" t="str">
        <f t="shared" si="13"/>
        <v>Medium</v>
      </c>
    </row>
    <row r="421" spans="1:18" s="15" customFormat="1" x14ac:dyDescent="0.3">
      <c r="A421" s="15" t="s">
        <v>999</v>
      </c>
      <c r="B421" s="15" t="s">
        <v>437</v>
      </c>
      <c r="C421" s="15" t="s">
        <v>341</v>
      </c>
      <c r="D421" s="15" t="s">
        <v>17</v>
      </c>
      <c r="E421" s="15" t="s">
        <v>18</v>
      </c>
      <c r="F421" s="15" t="s">
        <v>19</v>
      </c>
      <c r="G421" s="15" t="s">
        <v>112</v>
      </c>
      <c r="H421" s="16">
        <v>28403</v>
      </c>
      <c r="I421" s="16">
        <v>43288</v>
      </c>
      <c r="J421" s="16">
        <v>44394</v>
      </c>
      <c r="K421" s="15" t="s">
        <v>31</v>
      </c>
      <c r="L421" s="15" t="s">
        <v>32</v>
      </c>
      <c r="M421" s="15">
        <v>106998</v>
      </c>
      <c r="N421" s="15" t="s">
        <v>33</v>
      </c>
      <c r="O421" s="15">
        <v>3.5561643835616441</v>
      </c>
      <c r="P421" s="15" t="s">
        <v>1862</v>
      </c>
      <c r="Q421" s="15">
        <f t="shared" ca="1" si="12"/>
        <v>48</v>
      </c>
      <c r="R421" s="15" t="str">
        <f t="shared" si="13"/>
        <v>High</v>
      </c>
    </row>
    <row r="422" spans="1:18" s="15" customFormat="1" x14ac:dyDescent="0.3">
      <c r="A422" s="15" t="s">
        <v>1000</v>
      </c>
      <c r="B422" s="15" t="s">
        <v>127</v>
      </c>
      <c r="C422" s="15" t="s">
        <v>196</v>
      </c>
      <c r="D422" s="15" t="s">
        <v>27</v>
      </c>
      <c r="E422" s="15" t="s">
        <v>18</v>
      </c>
      <c r="F422" s="15" t="s">
        <v>19</v>
      </c>
      <c r="G422" s="15" t="s">
        <v>112</v>
      </c>
      <c r="H422" s="16">
        <v>31182</v>
      </c>
      <c r="I422" s="16">
        <v>43428</v>
      </c>
      <c r="J422" s="16">
        <v>43608</v>
      </c>
      <c r="K422" s="15" t="s">
        <v>51</v>
      </c>
      <c r="L422" s="15" t="s">
        <v>233</v>
      </c>
      <c r="M422" s="15">
        <v>74915</v>
      </c>
      <c r="N422" s="15" t="s">
        <v>96</v>
      </c>
      <c r="O422" s="15">
        <v>0.49315068493150682</v>
      </c>
      <c r="P422" s="15" t="s">
        <v>1861</v>
      </c>
      <c r="Q422" s="15">
        <f t="shared" ca="1" si="12"/>
        <v>40</v>
      </c>
      <c r="R422" s="15" t="str">
        <f t="shared" si="13"/>
        <v>Medium</v>
      </c>
    </row>
    <row r="423" spans="1:18" s="15" customFormat="1" x14ac:dyDescent="0.3">
      <c r="A423" s="15" t="s">
        <v>1001</v>
      </c>
      <c r="B423" s="15" t="s">
        <v>617</v>
      </c>
      <c r="C423" s="15" t="s">
        <v>172</v>
      </c>
      <c r="D423" s="15" t="s">
        <v>17</v>
      </c>
      <c r="E423" s="15" t="s">
        <v>18</v>
      </c>
      <c r="F423" s="15" t="s">
        <v>19</v>
      </c>
      <c r="G423" s="15" t="s">
        <v>20</v>
      </c>
      <c r="H423" s="16">
        <v>37592</v>
      </c>
      <c r="I423" s="16">
        <v>42844</v>
      </c>
      <c r="J423" s="16">
        <v>44803</v>
      </c>
      <c r="K423" s="15" t="s">
        <v>31</v>
      </c>
      <c r="L423" s="15" t="s">
        <v>83</v>
      </c>
      <c r="M423" s="15">
        <v>52103</v>
      </c>
      <c r="N423" s="15" t="s">
        <v>96</v>
      </c>
      <c r="O423" s="15">
        <v>0.49315068493150682</v>
      </c>
      <c r="P423" s="15" t="s">
        <v>1862</v>
      </c>
      <c r="Q423" s="15">
        <f t="shared" ca="1" si="12"/>
        <v>23</v>
      </c>
      <c r="R423" s="15" t="str">
        <f t="shared" si="13"/>
        <v>Low</v>
      </c>
    </row>
    <row r="424" spans="1:18" s="15" customFormat="1" x14ac:dyDescent="0.3">
      <c r="A424" s="15" t="s">
        <v>1002</v>
      </c>
      <c r="B424" s="15" t="s">
        <v>1003</v>
      </c>
      <c r="C424" s="15" t="s">
        <v>1004</v>
      </c>
      <c r="D424" s="15" t="s">
        <v>27</v>
      </c>
      <c r="E424" s="15" t="s">
        <v>18</v>
      </c>
      <c r="F424" s="15" t="s">
        <v>19</v>
      </c>
      <c r="G424" s="15" t="s">
        <v>30</v>
      </c>
      <c r="H424" s="16">
        <v>29304</v>
      </c>
      <c r="I424" s="16">
        <v>43064</v>
      </c>
      <c r="J424" s="16">
        <v>43244</v>
      </c>
      <c r="K424" s="15" t="s">
        <v>65</v>
      </c>
      <c r="L424" s="15" t="s">
        <v>66</v>
      </c>
      <c r="M424" s="15">
        <v>68068</v>
      </c>
      <c r="N424" s="15" t="s">
        <v>96</v>
      </c>
      <c r="O424" s="15">
        <v>4.1726027397260266</v>
      </c>
      <c r="P424" s="15" t="s">
        <v>1861</v>
      </c>
      <c r="Q424" s="15">
        <f t="shared" ca="1" si="12"/>
        <v>45</v>
      </c>
      <c r="R424" s="15" t="str">
        <f t="shared" si="13"/>
        <v>Medium</v>
      </c>
    </row>
    <row r="425" spans="1:18" s="15" customFormat="1" x14ac:dyDescent="0.3">
      <c r="A425" s="15" t="s">
        <v>1005</v>
      </c>
      <c r="B425" s="15" t="s">
        <v>361</v>
      </c>
      <c r="C425" s="15" t="s">
        <v>868</v>
      </c>
      <c r="D425" s="15" t="s">
        <v>17</v>
      </c>
      <c r="E425" s="15" t="s">
        <v>18</v>
      </c>
      <c r="F425" s="15" t="s">
        <v>19</v>
      </c>
      <c r="G425" s="15" t="s">
        <v>30</v>
      </c>
      <c r="H425" s="16">
        <v>26588</v>
      </c>
      <c r="I425" s="16">
        <v>42977</v>
      </c>
      <c r="J425" s="16">
        <v>43157</v>
      </c>
      <c r="K425" s="15" t="s">
        <v>21</v>
      </c>
      <c r="L425" s="15" t="s">
        <v>100</v>
      </c>
      <c r="M425" s="15">
        <v>55930</v>
      </c>
      <c r="N425" s="15" t="s">
        <v>33</v>
      </c>
      <c r="O425" s="15">
        <v>0.49315068493150682</v>
      </c>
      <c r="P425" s="15" t="s">
        <v>1862</v>
      </c>
      <c r="Q425" s="15">
        <f t="shared" ca="1" si="12"/>
        <v>53</v>
      </c>
      <c r="R425" s="15" t="str">
        <f t="shared" si="13"/>
        <v>Low</v>
      </c>
    </row>
    <row r="426" spans="1:18" s="15" customFormat="1" x14ac:dyDescent="0.3">
      <c r="A426" s="15" t="s">
        <v>1006</v>
      </c>
      <c r="B426" s="15" t="s">
        <v>597</v>
      </c>
      <c r="C426" s="15" t="s">
        <v>1007</v>
      </c>
      <c r="D426" s="15" t="s">
        <v>17</v>
      </c>
      <c r="E426" s="15" t="s">
        <v>169</v>
      </c>
      <c r="F426" s="15" t="s">
        <v>335</v>
      </c>
      <c r="G426" s="15" t="s">
        <v>30</v>
      </c>
      <c r="H426" s="16">
        <v>30326</v>
      </c>
      <c r="I426" s="16">
        <v>43111</v>
      </c>
      <c r="J426" s="16">
        <v>44201</v>
      </c>
      <c r="K426" s="15" t="s">
        <v>37</v>
      </c>
      <c r="L426" s="15" t="s">
        <v>38</v>
      </c>
      <c r="M426" s="15">
        <v>58847</v>
      </c>
      <c r="N426" s="15" t="s">
        <v>23</v>
      </c>
      <c r="O426" s="15">
        <v>0.49315068493150682</v>
      </c>
      <c r="P426" s="15" t="s">
        <v>1862</v>
      </c>
      <c r="Q426" s="15">
        <f t="shared" ca="1" si="12"/>
        <v>43</v>
      </c>
      <c r="R426" s="15" t="str">
        <f t="shared" si="13"/>
        <v>Low</v>
      </c>
    </row>
    <row r="427" spans="1:18" s="15" customFormat="1" x14ac:dyDescent="0.3">
      <c r="A427" s="15" t="s">
        <v>1008</v>
      </c>
      <c r="B427" s="15" t="s">
        <v>114</v>
      </c>
      <c r="C427" s="15" t="s">
        <v>1009</v>
      </c>
      <c r="D427" s="15" t="s">
        <v>17</v>
      </c>
      <c r="E427" s="15" t="s">
        <v>137</v>
      </c>
      <c r="F427" s="15" t="s">
        <v>595</v>
      </c>
      <c r="G427" s="15" t="s">
        <v>93</v>
      </c>
      <c r="H427" s="16">
        <v>31049</v>
      </c>
      <c r="I427" s="16">
        <v>43370</v>
      </c>
      <c r="J427" s="16">
        <v>45419</v>
      </c>
      <c r="K427" s="15" t="s">
        <v>94</v>
      </c>
      <c r="L427" s="15" t="s">
        <v>117</v>
      </c>
      <c r="M427" s="15">
        <v>70819</v>
      </c>
      <c r="N427" s="15" t="s">
        <v>96</v>
      </c>
      <c r="O427" s="15">
        <v>6.9890410958904106</v>
      </c>
      <c r="P427" s="15" t="s">
        <v>1861</v>
      </c>
      <c r="Q427" s="15">
        <f t="shared" ca="1" si="12"/>
        <v>41</v>
      </c>
      <c r="R427" s="15" t="str">
        <f t="shared" si="13"/>
        <v>Medium</v>
      </c>
    </row>
    <row r="428" spans="1:18" s="15" customFormat="1" x14ac:dyDescent="0.3">
      <c r="A428" s="15" t="s">
        <v>1010</v>
      </c>
      <c r="B428" s="15" t="s">
        <v>316</v>
      </c>
      <c r="C428" s="15" t="s">
        <v>1011</v>
      </c>
      <c r="D428" s="15" t="s">
        <v>27</v>
      </c>
      <c r="E428" s="15" t="s">
        <v>18</v>
      </c>
      <c r="F428" s="15" t="s">
        <v>19</v>
      </c>
      <c r="G428" s="15" t="s">
        <v>30</v>
      </c>
      <c r="H428" s="16">
        <v>35693</v>
      </c>
      <c r="I428" s="16">
        <v>43008</v>
      </c>
      <c r="J428" s="16">
        <v>43187</v>
      </c>
      <c r="K428" s="15" t="s">
        <v>51</v>
      </c>
      <c r="L428" s="15" t="s">
        <v>52</v>
      </c>
      <c r="M428" s="15">
        <v>86643</v>
      </c>
      <c r="N428" s="15" t="s">
        <v>33</v>
      </c>
      <c r="O428" s="15">
        <v>0.49315068493150682</v>
      </c>
      <c r="P428" s="15" t="s">
        <v>1862</v>
      </c>
      <c r="Q428" s="15">
        <f t="shared" ca="1" si="12"/>
        <v>28</v>
      </c>
      <c r="R428" s="15" t="str">
        <f t="shared" si="13"/>
        <v>Medium</v>
      </c>
    </row>
    <row r="429" spans="1:18" s="15" customFormat="1" x14ac:dyDescent="0.3">
      <c r="A429" s="15" t="s">
        <v>1012</v>
      </c>
      <c r="B429" s="15" t="s">
        <v>1013</v>
      </c>
      <c r="C429" s="15" t="s">
        <v>1014</v>
      </c>
      <c r="D429" s="15" t="s">
        <v>17</v>
      </c>
      <c r="E429" s="15" t="s">
        <v>18</v>
      </c>
      <c r="F429" s="15" t="s">
        <v>19</v>
      </c>
      <c r="G429" s="15" t="s">
        <v>30</v>
      </c>
      <c r="H429" s="16">
        <v>38037</v>
      </c>
      <c r="I429" s="16">
        <v>42141</v>
      </c>
      <c r="J429" s="16">
        <v>43466</v>
      </c>
      <c r="K429" s="15" t="s">
        <v>31</v>
      </c>
      <c r="L429" s="15" t="s">
        <v>83</v>
      </c>
      <c r="M429" s="15">
        <v>60942</v>
      </c>
      <c r="N429" s="15" t="s">
        <v>33</v>
      </c>
      <c r="O429" s="15">
        <v>1.424657534246575</v>
      </c>
      <c r="P429" s="15" t="s">
        <v>1862</v>
      </c>
      <c r="Q429" s="15">
        <f t="shared" ca="1" si="12"/>
        <v>21</v>
      </c>
      <c r="R429" s="15" t="str">
        <f t="shared" si="13"/>
        <v>Medium</v>
      </c>
    </row>
    <row r="430" spans="1:18" s="15" customFormat="1" x14ac:dyDescent="0.3">
      <c r="A430" s="15" t="s">
        <v>1015</v>
      </c>
      <c r="B430" s="15" t="s">
        <v>1016</v>
      </c>
      <c r="C430" s="15" t="s">
        <v>1017</v>
      </c>
      <c r="D430" s="15" t="s">
        <v>27</v>
      </c>
      <c r="E430" s="15" t="s">
        <v>18</v>
      </c>
      <c r="F430" s="15" t="s">
        <v>19</v>
      </c>
      <c r="G430" s="15" t="s">
        <v>30</v>
      </c>
      <c r="H430" s="16">
        <v>32951</v>
      </c>
      <c r="I430" s="16">
        <v>43319</v>
      </c>
      <c r="J430" s="16">
        <v>43499</v>
      </c>
      <c r="K430" s="15" t="s">
        <v>31</v>
      </c>
      <c r="L430" s="15" t="s">
        <v>159</v>
      </c>
      <c r="M430" s="15">
        <v>88560</v>
      </c>
      <c r="N430" s="15" t="s">
        <v>33</v>
      </c>
      <c r="O430" s="15">
        <v>1.268493150684932</v>
      </c>
      <c r="P430" s="15" t="s">
        <v>1861</v>
      </c>
      <c r="Q430" s="15">
        <f t="shared" ca="1" si="12"/>
        <v>35</v>
      </c>
      <c r="R430" s="15" t="str">
        <f t="shared" si="13"/>
        <v>Medium</v>
      </c>
    </row>
    <row r="431" spans="1:18" s="15" customFormat="1" x14ac:dyDescent="0.3">
      <c r="A431" s="15" t="s">
        <v>1018</v>
      </c>
      <c r="B431" s="15" t="s">
        <v>746</v>
      </c>
      <c r="C431" s="15" t="s">
        <v>301</v>
      </c>
      <c r="D431" s="15" t="s">
        <v>27</v>
      </c>
      <c r="E431" s="15" t="s">
        <v>18</v>
      </c>
      <c r="F431" s="15" t="s">
        <v>19</v>
      </c>
      <c r="G431" s="15" t="s">
        <v>20</v>
      </c>
      <c r="H431" s="16">
        <v>31200</v>
      </c>
      <c r="I431" s="16">
        <v>43023</v>
      </c>
      <c r="J431" s="16">
        <v>44753</v>
      </c>
      <c r="K431" s="15" t="s">
        <v>37</v>
      </c>
      <c r="L431" s="15" t="s">
        <v>41</v>
      </c>
      <c r="M431" s="15">
        <v>57135</v>
      </c>
      <c r="N431" s="15" t="s">
        <v>23</v>
      </c>
      <c r="O431" s="15">
        <v>6.1479452054794521</v>
      </c>
      <c r="P431" s="15" t="s">
        <v>1862</v>
      </c>
      <c r="Q431" s="15">
        <f t="shared" ca="1" si="12"/>
        <v>40</v>
      </c>
      <c r="R431" s="15" t="str">
        <f t="shared" si="13"/>
        <v>Low</v>
      </c>
    </row>
    <row r="432" spans="1:18" s="15" customFormat="1" x14ac:dyDescent="0.3">
      <c r="A432" s="15" t="s">
        <v>1019</v>
      </c>
      <c r="B432" s="15" t="s">
        <v>726</v>
      </c>
      <c r="C432" s="15" t="s">
        <v>16</v>
      </c>
      <c r="D432" s="15" t="s">
        <v>27</v>
      </c>
      <c r="E432" s="15" t="s">
        <v>18</v>
      </c>
      <c r="F432" s="15" t="s">
        <v>19</v>
      </c>
      <c r="G432" s="15" t="s">
        <v>30</v>
      </c>
      <c r="H432" s="16">
        <v>35055</v>
      </c>
      <c r="I432" s="16">
        <v>43025</v>
      </c>
      <c r="J432" s="16">
        <v>43204</v>
      </c>
      <c r="K432" s="15" t="s">
        <v>37</v>
      </c>
      <c r="L432" s="15" t="s">
        <v>38</v>
      </c>
      <c r="M432" s="15">
        <v>63169</v>
      </c>
      <c r="N432" s="15" t="s">
        <v>33</v>
      </c>
      <c r="O432" s="15">
        <v>3.43013698630137</v>
      </c>
      <c r="P432" s="15" t="s">
        <v>1861</v>
      </c>
      <c r="Q432" s="15">
        <f t="shared" ca="1" si="12"/>
        <v>30</v>
      </c>
      <c r="R432" s="15" t="str">
        <f t="shared" si="13"/>
        <v>Medium</v>
      </c>
    </row>
    <row r="433" spans="1:18" s="15" customFormat="1" x14ac:dyDescent="0.3">
      <c r="A433" s="15" t="s">
        <v>1020</v>
      </c>
      <c r="B433" s="15" t="s">
        <v>192</v>
      </c>
      <c r="C433" s="15" t="s">
        <v>1021</v>
      </c>
      <c r="D433" s="15" t="s">
        <v>17</v>
      </c>
      <c r="E433" s="15" t="s">
        <v>18</v>
      </c>
      <c r="F433" s="15" t="s">
        <v>19</v>
      </c>
      <c r="G433" s="15" t="s">
        <v>30</v>
      </c>
      <c r="H433" s="16">
        <v>30390</v>
      </c>
      <c r="I433" s="16">
        <v>45468</v>
      </c>
      <c r="J433" s="16">
        <v>45648</v>
      </c>
      <c r="K433" s="15" t="s">
        <v>65</v>
      </c>
      <c r="L433" s="15" t="s">
        <v>66</v>
      </c>
      <c r="M433" s="15">
        <v>65631</v>
      </c>
      <c r="N433" s="15" t="s">
        <v>33</v>
      </c>
      <c r="O433" s="15">
        <v>6.6986301369863011</v>
      </c>
      <c r="P433" s="15" t="s">
        <v>1862</v>
      </c>
      <c r="Q433" s="15">
        <f t="shared" ca="1" si="12"/>
        <v>42</v>
      </c>
      <c r="R433" s="15" t="str">
        <f t="shared" si="13"/>
        <v>Medium</v>
      </c>
    </row>
    <row r="434" spans="1:18" s="15" customFormat="1" x14ac:dyDescent="0.3">
      <c r="A434" s="15" t="s">
        <v>1022</v>
      </c>
      <c r="B434" s="15" t="s">
        <v>63</v>
      </c>
      <c r="C434" s="15" t="s">
        <v>563</v>
      </c>
      <c r="D434" s="15" t="s">
        <v>27</v>
      </c>
      <c r="E434" s="15" t="s">
        <v>18</v>
      </c>
      <c r="F434" s="15" t="s">
        <v>19</v>
      </c>
      <c r="G434" s="15" t="s">
        <v>30</v>
      </c>
      <c r="H434" s="16">
        <v>25456</v>
      </c>
      <c r="I434" s="16">
        <v>43016</v>
      </c>
      <c r="J434" s="16">
        <v>43195</v>
      </c>
      <c r="K434" s="15" t="s">
        <v>94</v>
      </c>
      <c r="L434" s="15" t="s">
        <v>182</v>
      </c>
      <c r="M434" s="15">
        <v>88827</v>
      </c>
      <c r="N434" s="15" t="s">
        <v>33</v>
      </c>
      <c r="O434" s="15">
        <v>0.49315068493150682</v>
      </c>
      <c r="P434" s="15" t="s">
        <v>1862</v>
      </c>
      <c r="Q434" s="15">
        <f t="shared" ca="1" si="12"/>
        <v>56</v>
      </c>
      <c r="R434" s="15" t="str">
        <f t="shared" si="13"/>
        <v>Medium</v>
      </c>
    </row>
    <row r="435" spans="1:18" s="15" customFormat="1" x14ac:dyDescent="0.3">
      <c r="A435" s="15" t="s">
        <v>1023</v>
      </c>
      <c r="B435" s="15" t="s">
        <v>990</v>
      </c>
      <c r="C435" s="15" t="s">
        <v>992</v>
      </c>
      <c r="D435" s="15" t="s">
        <v>17</v>
      </c>
      <c r="E435" s="15" t="s">
        <v>81</v>
      </c>
      <c r="F435" s="15" t="s">
        <v>166</v>
      </c>
      <c r="G435" s="15" t="s">
        <v>112</v>
      </c>
      <c r="H435" s="16">
        <v>35282</v>
      </c>
      <c r="I435" s="16">
        <v>43331</v>
      </c>
      <c r="J435" s="16">
        <v>43511</v>
      </c>
      <c r="K435" s="15" t="s">
        <v>37</v>
      </c>
      <c r="L435" s="15" t="s">
        <v>43</v>
      </c>
      <c r="M435" s="15">
        <v>78171</v>
      </c>
      <c r="N435" s="15" t="s">
        <v>33</v>
      </c>
      <c r="O435" s="15">
        <v>2.9643835616438361</v>
      </c>
      <c r="P435" s="15" t="s">
        <v>1862</v>
      </c>
      <c r="Q435" s="15">
        <f t="shared" ca="1" si="12"/>
        <v>29</v>
      </c>
      <c r="R435" s="15" t="str">
        <f t="shared" si="13"/>
        <v>Medium</v>
      </c>
    </row>
    <row r="436" spans="1:18" s="15" customFormat="1" x14ac:dyDescent="0.3">
      <c r="A436" s="15" t="s">
        <v>1024</v>
      </c>
      <c r="B436" s="15" t="s">
        <v>271</v>
      </c>
      <c r="C436" s="15" t="s">
        <v>89</v>
      </c>
      <c r="D436" s="15" t="s">
        <v>17</v>
      </c>
      <c r="E436" s="15" t="s">
        <v>18</v>
      </c>
      <c r="F436" s="15" t="s">
        <v>19</v>
      </c>
      <c r="G436" s="15" t="s">
        <v>30</v>
      </c>
      <c r="H436" s="16">
        <v>33000</v>
      </c>
      <c r="I436" s="16">
        <v>43497</v>
      </c>
      <c r="J436" s="16">
        <v>43881</v>
      </c>
      <c r="K436" s="15" t="s">
        <v>94</v>
      </c>
      <c r="L436" s="15" t="s">
        <v>182</v>
      </c>
      <c r="M436" s="15">
        <v>75714</v>
      </c>
      <c r="N436" s="15" t="s">
        <v>33</v>
      </c>
      <c r="O436" s="15">
        <v>0.49315068493150682</v>
      </c>
      <c r="P436" s="15" t="s">
        <v>1862</v>
      </c>
      <c r="Q436" s="15">
        <f t="shared" ca="1" si="12"/>
        <v>35</v>
      </c>
      <c r="R436" s="15" t="str">
        <f t="shared" si="13"/>
        <v>Medium</v>
      </c>
    </row>
    <row r="437" spans="1:18" s="15" customFormat="1" x14ac:dyDescent="0.3">
      <c r="A437" s="15" t="s">
        <v>1025</v>
      </c>
      <c r="B437" s="15" t="s">
        <v>316</v>
      </c>
      <c r="C437" s="15" t="s">
        <v>586</v>
      </c>
      <c r="D437" s="15" t="s">
        <v>17</v>
      </c>
      <c r="E437" s="15" t="s">
        <v>18</v>
      </c>
      <c r="F437" s="15" t="s">
        <v>19</v>
      </c>
      <c r="G437" s="15" t="s">
        <v>112</v>
      </c>
      <c r="H437" s="16">
        <v>23808</v>
      </c>
      <c r="I437" s="16">
        <v>44750</v>
      </c>
      <c r="J437" s="16">
        <v>45515</v>
      </c>
      <c r="K437" s="15" t="s">
        <v>94</v>
      </c>
      <c r="L437" s="15" t="s">
        <v>117</v>
      </c>
      <c r="M437" s="15">
        <v>88335</v>
      </c>
      <c r="N437" s="15" t="s">
        <v>96</v>
      </c>
      <c r="O437" s="15">
        <v>1.8</v>
      </c>
      <c r="P437" s="15" t="s">
        <v>1862</v>
      </c>
      <c r="Q437" s="15">
        <f t="shared" ca="1" si="12"/>
        <v>60</v>
      </c>
      <c r="R437" s="15" t="str">
        <f t="shared" si="13"/>
        <v>Medium</v>
      </c>
    </row>
    <row r="438" spans="1:18" s="15" customFormat="1" x14ac:dyDescent="0.3">
      <c r="A438" s="15" t="s">
        <v>1026</v>
      </c>
      <c r="B438" s="15" t="s">
        <v>565</v>
      </c>
      <c r="C438" s="15" t="s">
        <v>780</v>
      </c>
      <c r="D438" s="15" t="s">
        <v>27</v>
      </c>
      <c r="E438" s="15" t="s">
        <v>120</v>
      </c>
      <c r="F438" s="15" t="s">
        <v>904</v>
      </c>
      <c r="G438" s="15" t="s">
        <v>20</v>
      </c>
      <c r="H438" s="16">
        <v>26079</v>
      </c>
      <c r="I438" s="16">
        <v>42819</v>
      </c>
      <c r="J438" s="16">
        <v>45492</v>
      </c>
      <c r="K438" s="15" t="s">
        <v>21</v>
      </c>
      <c r="L438" s="15" t="s">
        <v>22</v>
      </c>
      <c r="M438" s="15">
        <v>74004</v>
      </c>
      <c r="N438" s="15" t="s">
        <v>96</v>
      </c>
      <c r="O438" s="15">
        <v>6.1452054794520548</v>
      </c>
      <c r="P438" s="15" t="s">
        <v>1862</v>
      </c>
      <c r="Q438" s="15">
        <f t="shared" ca="1" si="12"/>
        <v>54</v>
      </c>
      <c r="R438" s="15" t="str">
        <f t="shared" si="13"/>
        <v>Medium</v>
      </c>
    </row>
    <row r="439" spans="1:18" s="15" customFormat="1" x14ac:dyDescent="0.3">
      <c r="A439" s="15" t="s">
        <v>1027</v>
      </c>
      <c r="B439" s="15" t="s">
        <v>1028</v>
      </c>
      <c r="C439" s="15" t="s">
        <v>172</v>
      </c>
      <c r="D439" s="15" t="s">
        <v>27</v>
      </c>
      <c r="E439" s="15" t="s">
        <v>18</v>
      </c>
      <c r="F439" s="15" t="s">
        <v>19</v>
      </c>
      <c r="G439" s="15" t="s">
        <v>30</v>
      </c>
      <c r="H439" s="16">
        <v>37359</v>
      </c>
      <c r="I439" s="16">
        <v>45093</v>
      </c>
      <c r="J439" s="16">
        <v>45273</v>
      </c>
      <c r="K439" s="15" t="s">
        <v>31</v>
      </c>
      <c r="L439" s="15" t="s">
        <v>83</v>
      </c>
      <c r="M439" s="15">
        <v>69688</v>
      </c>
      <c r="N439" s="15" t="s">
        <v>44</v>
      </c>
      <c r="O439" s="15">
        <v>0.49315068493150682</v>
      </c>
      <c r="P439" s="15" t="s">
        <v>1862</v>
      </c>
      <c r="Q439" s="15">
        <f t="shared" ca="1" si="12"/>
        <v>23</v>
      </c>
      <c r="R439" s="15" t="str">
        <f t="shared" si="13"/>
        <v>Medium</v>
      </c>
    </row>
    <row r="440" spans="1:18" s="15" customFormat="1" x14ac:dyDescent="0.3">
      <c r="A440" s="15" t="s">
        <v>1029</v>
      </c>
      <c r="B440" s="15" t="s">
        <v>157</v>
      </c>
      <c r="C440" s="15" t="s">
        <v>382</v>
      </c>
      <c r="D440" s="15" t="s">
        <v>17</v>
      </c>
      <c r="E440" s="15" t="s">
        <v>18</v>
      </c>
      <c r="F440" s="15" t="s">
        <v>19</v>
      </c>
      <c r="G440" s="15" t="s">
        <v>112</v>
      </c>
      <c r="H440" s="16">
        <v>28797</v>
      </c>
      <c r="I440" s="16">
        <v>42600</v>
      </c>
      <c r="J440" s="16">
        <v>44128</v>
      </c>
      <c r="K440" s="15" t="s">
        <v>31</v>
      </c>
      <c r="L440" s="15" t="s">
        <v>159</v>
      </c>
      <c r="M440" s="15">
        <v>103528</v>
      </c>
      <c r="N440" s="15" t="s">
        <v>33</v>
      </c>
      <c r="O440" s="15">
        <v>2.246575342465754</v>
      </c>
      <c r="P440" s="15" t="s">
        <v>1862</v>
      </c>
      <c r="Q440" s="15">
        <f t="shared" ca="1" si="12"/>
        <v>47</v>
      </c>
      <c r="R440" s="15" t="str">
        <f t="shared" si="13"/>
        <v>High</v>
      </c>
    </row>
    <row r="441" spans="1:18" s="15" customFormat="1" x14ac:dyDescent="0.3">
      <c r="A441" s="15" t="s">
        <v>1030</v>
      </c>
      <c r="B441" s="15" t="s">
        <v>1031</v>
      </c>
      <c r="C441" s="15" t="s">
        <v>438</v>
      </c>
      <c r="D441" s="15" t="s">
        <v>27</v>
      </c>
      <c r="E441" s="15" t="s">
        <v>18</v>
      </c>
      <c r="F441" s="15" t="s">
        <v>19</v>
      </c>
      <c r="G441" s="15" t="s">
        <v>30</v>
      </c>
      <c r="H441" s="16">
        <v>24486</v>
      </c>
      <c r="I441" s="16">
        <v>44944</v>
      </c>
      <c r="J441" s="16">
        <v>45124</v>
      </c>
      <c r="K441" s="15" t="s">
        <v>94</v>
      </c>
      <c r="L441" s="15" t="s">
        <v>182</v>
      </c>
      <c r="M441" s="15">
        <v>83745</v>
      </c>
      <c r="N441" s="15" t="s">
        <v>44</v>
      </c>
      <c r="O441" s="15">
        <v>3.0301369863013701</v>
      </c>
      <c r="P441" s="15" t="s">
        <v>1862</v>
      </c>
      <c r="Q441" s="15">
        <f t="shared" ca="1" si="12"/>
        <v>59</v>
      </c>
      <c r="R441" s="15" t="str">
        <f t="shared" si="13"/>
        <v>Medium</v>
      </c>
    </row>
    <row r="442" spans="1:18" s="15" customFormat="1" x14ac:dyDescent="0.3">
      <c r="A442" s="15" t="s">
        <v>1032</v>
      </c>
      <c r="B442" s="15" t="s">
        <v>127</v>
      </c>
      <c r="C442" s="15" t="s">
        <v>255</v>
      </c>
      <c r="D442" s="15" t="s">
        <v>17</v>
      </c>
      <c r="E442" s="15" t="s">
        <v>18</v>
      </c>
      <c r="F442" s="15" t="s">
        <v>19</v>
      </c>
      <c r="G442" s="15" t="s">
        <v>93</v>
      </c>
      <c r="H442" s="16">
        <v>23688</v>
      </c>
      <c r="I442" s="16">
        <v>43487</v>
      </c>
      <c r="J442" s="16">
        <v>44199</v>
      </c>
      <c r="K442" s="15" t="s">
        <v>94</v>
      </c>
      <c r="L442" s="15" t="s">
        <v>117</v>
      </c>
      <c r="M442" s="15">
        <v>79998</v>
      </c>
      <c r="N442" s="15" t="s">
        <v>96</v>
      </c>
      <c r="O442" s="15">
        <v>0.49315068493150682</v>
      </c>
      <c r="P442" s="15" t="s">
        <v>1862</v>
      </c>
      <c r="Q442" s="15">
        <f t="shared" ca="1" si="12"/>
        <v>61</v>
      </c>
      <c r="R442" s="15" t="str">
        <f t="shared" si="13"/>
        <v>Medium</v>
      </c>
    </row>
    <row r="443" spans="1:18" s="15" customFormat="1" x14ac:dyDescent="0.3">
      <c r="A443" s="15" t="s">
        <v>1033</v>
      </c>
      <c r="B443" s="15" t="s">
        <v>1034</v>
      </c>
      <c r="C443" s="15" t="s">
        <v>850</v>
      </c>
      <c r="D443" s="15" t="s">
        <v>17</v>
      </c>
      <c r="E443" s="15" t="s">
        <v>18</v>
      </c>
      <c r="F443" s="15" t="s">
        <v>19</v>
      </c>
      <c r="G443" s="15" t="s">
        <v>20</v>
      </c>
      <c r="H443" s="16">
        <v>32507</v>
      </c>
      <c r="I443" s="16">
        <v>45374</v>
      </c>
      <c r="J443" s="16">
        <v>45554</v>
      </c>
      <c r="K443" s="15" t="s">
        <v>37</v>
      </c>
      <c r="L443" s="15" t="s">
        <v>41</v>
      </c>
      <c r="M443" s="15">
        <v>56282</v>
      </c>
      <c r="N443" s="15" t="s">
        <v>23</v>
      </c>
      <c r="O443" s="15">
        <v>5.3671232876712329</v>
      </c>
      <c r="P443" s="15" t="s">
        <v>1862</v>
      </c>
      <c r="Q443" s="15">
        <f t="shared" ca="1" si="12"/>
        <v>37</v>
      </c>
      <c r="R443" s="15" t="str">
        <f t="shared" si="13"/>
        <v>Low</v>
      </c>
    </row>
    <row r="444" spans="1:18" s="15" customFormat="1" x14ac:dyDescent="0.3">
      <c r="A444" s="15" t="s">
        <v>1035</v>
      </c>
      <c r="B444" s="15" t="s">
        <v>1036</v>
      </c>
      <c r="C444" s="15" t="s">
        <v>1037</v>
      </c>
      <c r="D444" s="15" t="s">
        <v>27</v>
      </c>
      <c r="E444" s="15" t="s">
        <v>18</v>
      </c>
      <c r="F444" s="15" t="s">
        <v>19</v>
      </c>
      <c r="G444" s="15" t="s">
        <v>30</v>
      </c>
      <c r="H444" s="16">
        <v>35091</v>
      </c>
      <c r="I444" s="16">
        <v>43213</v>
      </c>
      <c r="J444" s="16">
        <v>44182</v>
      </c>
      <c r="K444" s="15" t="s">
        <v>37</v>
      </c>
      <c r="L444" s="15" t="s">
        <v>41</v>
      </c>
      <c r="M444" s="15">
        <v>61488</v>
      </c>
      <c r="N444" s="15" t="s">
        <v>33</v>
      </c>
      <c r="O444" s="15">
        <v>0.49315068493150682</v>
      </c>
      <c r="P444" s="15" t="s">
        <v>1862</v>
      </c>
      <c r="Q444" s="15">
        <f t="shared" ca="1" si="12"/>
        <v>29</v>
      </c>
      <c r="R444" s="15" t="str">
        <f t="shared" si="13"/>
        <v>Medium</v>
      </c>
    </row>
    <row r="445" spans="1:18" s="15" customFormat="1" x14ac:dyDescent="0.3">
      <c r="A445" s="15" t="s">
        <v>1038</v>
      </c>
      <c r="B445" s="15" t="s">
        <v>990</v>
      </c>
      <c r="C445" s="15" t="s">
        <v>193</v>
      </c>
      <c r="D445" s="15" t="s">
        <v>17</v>
      </c>
      <c r="E445" s="15" t="s">
        <v>18</v>
      </c>
      <c r="F445" s="15" t="s">
        <v>19</v>
      </c>
      <c r="G445" s="15" t="s">
        <v>30</v>
      </c>
      <c r="H445" s="16">
        <v>35593</v>
      </c>
      <c r="I445" s="16">
        <v>43391</v>
      </c>
      <c r="J445" s="16">
        <v>44841</v>
      </c>
      <c r="K445" s="15" t="s">
        <v>21</v>
      </c>
      <c r="L445" s="15" t="s">
        <v>100</v>
      </c>
      <c r="M445" s="15">
        <v>54570</v>
      </c>
      <c r="N445" s="15" t="s">
        <v>23</v>
      </c>
      <c r="O445" s="15">
        <v>0.49315068493150682</v>
      </c>
      <c r="P445" s="15" t="s">
        <v>1862</v>
      </c>
      <c r="Q445" s="15">
        <f t="shared" ca="1" si="12"/>
        <v>28</v>
      </c>
      <c r="R445" s="15" t="str">
        <f t="shared" si="13"/>
        <v>Low</v>
      </c>
    </row>
    <row r="446" spans="1:18" s="15" customFormat="1" x14ac:dyDescent="0.3">
      <c r="A446" s="15" t="s">
        <v>1039</v>
      </c>
      <c r="B446" s="15" t="s">
        <v>555</v>
      </c>
      <c r="C446" s="15" t="s">
        <v>210</v>
      </c>
      <c r="D446" s="15" t="s">
        <v>17</v>
      </c>
      <c r="E446" s="15" t="s">
        <v>81</v>
      </c>
      <c r="F446" s="15" t="s">
        <v>82</v>
      </c>
      <c r="G446" s="15" t="s">
        <v>30</v>
      </c>
      <c r="H446" s="16">
        <v>33650</v>
      </c>
      <c r="I446" s="16">
        <v>42942</v>
      </c>
      <c r="J446" s="16">
        <v>44709</v>
      </c>
      <c r="K446" s="15" t="s">
        <v>51</v>
      </c>
      <c r="L446" s="15" t="s">
        <v>56</v>
      </c>
      <c r="M446" s="15">
        <v>58678</v>
      </c>
      <c r="N446" s="15" t="s">
        <v>23</v>
      </c>
      <c r="O446" s="15">
        <v>2.9863013698630141</v>
      </c>
      <c r="P446" s="15" t="s">
        <v>1862</v>
      </c>
      <c r="Q446" s="15">
        <f t="shared" ca="1" si="12"/>
        <v>33</v>
      </c>
      <c r="R446" s="15" t="str">
        <f t="shared" si="13"/>
        <v>Low</v>
      </c>
    </row>
    <row r="447" spans="1:18" s="15" customFormat="1" x14ac:dyDescent="0.3">
      <c r="A447" s="15" t="s">
        <v>1040</v>
      </c>
      <c r="B447" s="15" t="s">
        <v>1041</v>
      </c>
      <c r="C447" s="15" t="s">
        <v>1042</v>
      </c>
      <c r="D447" s="15" t="s">
        <v>27</v>
      </c>
      <c r="E447" s="15" t="s">
        <v>18</v>
      </c>
      <c r="F447" s="15" t="s">
        <v>19</v>
      </c>
      <c r="G447" s="15" t="s">
        <v>20</v>
      </c>
      <c r="H447" s="16">
        <v>31672</v>
      </c>
      <c r="I447" s="16">
        <v>44885</v>
      </c>
      <c r="J447" s="16">
        <v>45440</v>
      </c>
      <c r="K447" s="15" t="s">
        <v>37</v>
      </c>
      <c r="L447" s="15" t="s">
        <v>41</v>
      </c>
      <c r="M447" s="15">
        <v>63760</v>
      </c>
      <c r="N447" s="15" t="s">
        <v>23</v>
      </c>
      <c r="O447" s="15">
        <v>5.6136986301369856</v>
      </c>
      <c r="P447" s="15" t="s">
        <v>1862</v>
      </c>
      <c r="Q447" s="15">
        <f t="shared" ca="1" si="12"/>
        <v>39</v>
      </c>
      <c r="R447" s="15" t="str">
        <f t="shared" si="13"/>
        <v>Medium</v>
      </c>
    </row>
    <row r="448" spans="1:18" s="15" customFormat="1" x14ac:dyDescent="0.3">
      <c r="A448" s="15" t="s">
        <v>1043</v>
      </c>
      <c r="B448" s="15" t="s">
        <v>484</v>
      </c>
      <c r="C448" s="15" t="s">
        <v>1044</v>
      </c>
      <c r="D448" s="15" t="s">
        <v>27</v>
      </c>
      <c r="E448" s="15" t="s">
        <v>18</v>
      </c>
      <c r="F448" s="15" t="s">
        <v>19</v>
      </c>
      <c r="G448" s="15" t="s">
        <v>30</v>
      </c>
      <c r="H448" s="16">
        <v>27313</v>
      </c>
      <c r="I448" s="16">
        <v>42159</v>
      </c>
      <c r="J448" s="16">
        <v>43635</v>
      </c>
      <c r="K448" s="15" t="s">
        <v>31</v>
      </c>
      <c r="L448" s="15" t="s">
        <v>32</v>
      </c>
      <c r="M448" s="15">
        <v>91567</v>
      </c>
      <c r="N448" s="15" t="s">
        <v>44</v>
      </c>
      <c r="O448" s="15">
        <v>0.49041095890410957</v>
      </c>
      <c r="P448" s="15" t="s">
        <v>1862</v>
      </c>
      <c r="Q448" s="15">
        <f t="shared" ca="1" si="12"/>
        <v>51</v>
      </c>
      <c r="R448" s="15" t="str">
        <f t="shared" si="13"/>
        <v>Medium</v>
      </c>
    </row>
    <row r="449" spans="1:18" s="15" customFormat="1" x14ac:dyDescent="0.3">
      <c r="A449" s="15" t="s">
        <v>1045</v>
      </c>
      <c r="B449" s="15" t="s">
        <v>260</v>
      </c>
      <c r="C449" s="15" t="s">
        <v>89</v>
      </c>
      <c r="D449" s="15" t="s">
        <v>17</v>
      </c>
      <c r="E449" s="15" t="s">
        <v>81</v>
      </c>
      <c r="F449" s="15" t="s">
        <v>104</v>
      </c>
      <c r="G449" s="15" t="s">
        <v>30</v>
      </c>
      <c r="H449" s="16">
        <v>22042</v>
      </c>
      <c r="I449" s="16">
        <v>42743</v>
      </c>
      <c r="J449" s="16">
        <v>44844</v>
      </c>
      <c r="K449" s="15" t="s">
        <v>21</v>
      </c>
      <c r="L449" s="15" t="s">
        <v>100</v>
      </c>
      <c r="M449" s="15">
        <v>56722</v>
      </c>
      <c r="N449" s="15" t="s">
        <v>96</v>
      </c>
      <c r="O449" s="15">
        <v>3.6301369863013702</v>
      </c>
      <c r="P449" s="15" t="s">
        <v>1862</v>
      </c>
      <c r="Q449" s="15">
        <f t="shared" ca="1" si="12"/>
        <v>65</v>
      </c>
      <c r="R449" s="15" t="str">
        <f t="shared" si="13"/>
        <v>Low</v>
      </c>
    </row>
    <row r="450" spans="1:18" s="15" customFormat="1" x14ac:dyDescent="0.3">
      <c r="A450" s="15" t="s">
        <v>1046</v>
      </c>
      <c r="B450" s="15" t="s">
        <v>594</v>
      </c>
      <c r="C450" s="15" t="s">
        <v>204</v>
      </c>
      <c r="D450" s="15" t="s">
        <v>17</v>
      </c>
      <c r="E450" s="15" t="s">
        <v>18</v>
      </c>
      <c r="F450" s="15" t="s">
        <v>19</v>
      </c>
      <c r="G450" s="15" t="s">
        <v>112</v>
      </c>
      <c r="H450" s="16">
        <v>36730</v>
      </c>
      <c r="I450" s="16">
        <v>43952</v>
      </c>
      <c r="J450" s="16">
        <v>44132</v>
      </c>
      <c r="K450" s="15" t="s">
        <v>31</v>
      </c>
      <c r="L450" s="15" t="s">
        <v>32</v>
      </c>
      <c r="M450" s="15">
        <v>85152</v>
      </c>
      <c r="N450" s="15" t="s">
        <v>33</v>
      </c>
      <c r="O450" s="15">
        <v>0.49315068493150682</v>
      </c>
      <c r="P450" s="15" t="s">
        <v>1862</v>
      </c>
      <c r="Q450" s="15">
        <f t="shared" ref="Q450:Q513" ca="1" si="14">DATEDIF(H450, TODAY(), "Y")</f>
        <v>25</v>
      </c>
      <c r="R450" s="15" t="str">
        <f t="shared" si="13"/>
        <v>Medium</v>
      </c>
    </row>
    <row r="451" spans="1:18" s="15" customFormat="1" x14ac:dyDescent="0.3">
      <c r="A451" s="15" t="s">
        <v>1047</v>
      </c>
      <c r="B451" s="15" t="s">
        <v>570</v>
      </c>
      <c r="C451" s="15" t="s">
        <v>1048</v>
      </c>
      <c r="D451" s="15" t="s">
        <v>17</v>
      </c>
      <c r="E451" s="15" t="s">
        <v>120</v>
      </c>
      <c r="F451" s="15" t="s">
        <v>121</v>
      </c>
      <c r="G451" s="15" t="s">
        <v>20</v>
      </c>
      <c r="H451" s="16">
        <v>33219</v>
      </c>
      <c r="I451" s="16">
        <v>43011</v>
      </c>
      <c r="J451" s="16">
        <v>43191</v>
      </c>
      <c r="K451" s="15" t="s">
        <v>21</v>
      </c>
      <c r="L451" s="15" t="s">
        <v>108</v>
      </c>
      <c r="M451" s="15">
        <v>56998</v>
      </c>
      <c r="N451" s="15" t="s">
        <v>23</v>
      </c>
      <c r="O451" s="15">
        <v>4.7397260273972606</v>
      </c>
      <c r="P451" s="15" t="s">
        <v>1862</v>
      </c>
      <c r="Q451" s="15">
        <f t="shared" ca="1" si="14"/>
        <v>35</v>
      </c>
      <c r="R451" s="15" t="str">
        <f t="shared" ref="R451:R514" si="15">IF(M451:M1416&gt;100000,"High",IF(M451:M1416&gt;60000,"Medium","Low"))</f>
        <v>Low</v>
      </c>
    </row>
    <row r="452" spans="1:18" s="15" customFormat="1" x14ac:dyDescent="0.3">
      <c r="A452" s="15" t="s">
        <v>1049</v>
      </c>
      <c r="B452" s="15" t="s">
        <v>15</v>
      </c>
      <c r="C452" s="15" t="s">
        <v>1050</v>
      </c>
      <c r="D452" s="15" t="s">
        <v>27</v>
      </c>
      <c r="E452" s="15" t="s">
        <v>18</v>
      </c>
      <c r="F452" s="15" t="s">
        <v>19</v>
      </c>
      <c r="G452" s="15" t="s">
        <v>112</v>
      </c>
      <c r="H452" s="16">
        <v>32889</v>
      </c>
      <c r="I452" s="16">
        <v>43623</v>
      </c>
      <c r="J452" s="16">
        <v>43803</v>
      </c>
      <c r="K452" s="15" t="s">
        <v>94</v>
      </c>
      <c r="L452" s="15" t="s">
        <v>122</v>
      </c>
      <c r="M452" s="15">
        <v>79402</v>
      </c>
      <c r="N452" s="15" t="s">
        <v>33</v>
      </c>
      <c r="O452" s="15">
        <v>0.49041095890410957</v>
      </c>
      <c r="P452" s="15" t="s">
        <v>1862</v>
      </c>
      <c r="Q452" s="15">
        <f t="shared" ca="1" si="14"/>
        <v>36</v>
      </c>
      <c r="R452" s="15" t="str">
        <f t="shared" si="15"/>
        <v>Medium</v>
      </c>
    </row>
    <row r="453" spans="1:18" s="15" customFormat="1" x14ac:dyDescent="0.3">
      <c r="A453" s="15" t="s">
        <v>1051</v>
      </c>
      <c r="B453" s="15" t="s">
        <v>295</v>
      </c>
      <c r="C453" s="15" t="s">
        <v>64</v>
      </c>
      <c r="D453" s="15" t="s">
        <v>17</v>
      </c>
      <c r="E453" s="15" t="s">
        <v>18</v>
      </c>
      <c r="F453" s="15" t="s">
        <v>19</v>
      </c>
      <c r="G453" s="15" t="s">
        <v>20</v>
      </c>
      <c r="H453" s="16">
        <v>28436</v>
      </c>
      <c r="I453" s="16">
        <v>44889</v>
      </c>
      <c r="J453" s="16">
        <v>45069</v>
      </c>
      <c r="K453" s="15" t="s">
        <v>37</v>
      </c>
      <c r="L453" s="15" t="s">
        <v>41</v>
      </c>
      <c r="M453" s="15">
        <v>55752</v>
      </c>
      <c r="N453" s="15" t="s">
        <v>23</v>
      </c>
      <c r="O453" s="15">
        <v>0.49315068493150682</v>
      </c>
      <c r="P453" s="15" t="s">
        <v>1862</v>
      </c>
      <c r="Q453" s="15">
        <f t="shared" ca="1" si="14"/>
        <v>48</v>
      </c>
      <c r="R453" s="15" t="str">
        <f t="shared" si="15"/>
        <v>Low</v>
      </c>
    </row>
    <row r="454" spans="1:18" s="15" customFormat="1" x14ac:dyDescent="0.3">
      <c r="A454" s="15" t="s">
        <v>1052</v>
      </c>
      <c r="B454" s="15" t="s">
        <v>157</v>
      </c>
      <c r="C454" s="15" t="s">
        <v>418</v>
      </c>
      <c r="D454" s="15" t="s">
        <v>27</v>
      </c>
      <c r="E454" s="15" t="s">
        <v>18</v>
      </c>
      <c r="F454" s="15" t="s">
        <v>19</v>
      </c>
      <c r="G454" s="15" t="s">
        <v>30</v>
      </c>
      <c r="H454" s="16">
        <v>32658</v>
      </c>
      <c r="I454" s="16">
        <v>44352</v>
      </c>
      <c r="J454" s="16">
        <v>44532</v>
      </c>
      <c r="K454" s="15" t="s">
        <v>94</v>
      </c>
      <c r="L454" s="15" t="s">
        <v>182</v>
      </c>
      <c r="M454" s="15">
        <v>64892</v>
      </c>
      <c r="N454" s="15" t="s">
        <v>33</v>
      </c>
      <c r="O454" s="15">
        <v>0.49041095890410957</v>
      </c>
      <c r="P454" s="15" t="s">
        <v>1862</v>
      </c>
      <c r="Q454" s="15">
        <f t="shared" ca="1" si="14"/>
        <v>36</v>
      </c>
      <c r="R454" s="15" t="str">
        <f t="shared" si="15"/>
        <v>Medium</v>
      </c>
    </row>
    <row r="455" spans="1:18" s="15" customFormat="1" x14ac:dyDescent="0.3">
      <c r="A455" s="15" t="s">
        <v>1053</v>
      </c>
      <c r="B455" s="15" t="s">
        <v>1054</v>
      </c>
      <c r="C455" s="15" t="s">
        <v>895</v>
      </c>
      <c r="D455" s="15" t="s">
        <v>27</v>
      </c>
      <c r="E455" s="15" t="s">
        <v>18</v>
      </c>
      <c r="F455" s="15" t="s">
        <v>19</v>
      </c>
      <c r="G455" s="15" t="s">
        <v>30</v>
      </c>
      <c r="H455" s="16">
        <v>30242</v>
      </c>
      <c r="I455" s="16">
        <v>42856</v>
      </c>
      <c r="J455" s="16">
        <v>43984</v>
      </c>
      <c r="K455" s="15" t="s">
        <v>70</v>
      </c>
      <c r="L455" s="15" t="s">
        <v>298</v>
      </c>
      <c r="M455" s="15">
        <v>70789</v>
      </c>
      <c r="N455" s="15" t="s">
        <v>44</v>
      </c>
      <c r="O455" s="15">
        <v>0.49315068493150682</v>
      </c>
      <c r="P455" s="15" t="s">
        <v>1862</v>
      </c>
      <c r="Q455" s="15">
        <f t="shared" ca="1" si="14"/>
        <v>43</v>
      </c>
      <c r="R455" s="15" t="str">
        <f t="shared" si="15"/>
        <v>Medium</v>
      </c>
    </row>
    <row r="456" spans="1:18" s="15" customFormat="1" x14ac:dyDescent="0.3">
      <c r="A456" s="15" t="s">
        <v>1055</v>
      </c>
      <c r="B456" s="15" t="s">
        <v>876</v>
      </c>
      <c r="C456" s="15" t="s">
        <v>393</v>
      </c>
      <c r="D456" s="15" t="s">
        <v>17</v>
      </c>
      <c r="E456" s="15" t="s">
        <v>81</v>
      </c>
      <c r="F456" s="15" t="s">
        <v>166</v>
      </c>
      <c r="G456" s="15" t="s">
        <v>30</v>
      </c>
      <c r="H456" s="16">
        <v>29391</v>
      </c>
      <c r="I456" s="16">
        <v>43402</v>
      </c>
      <c r="J456" s="16">
        <v>43582</v>
      </c>
      <c r="K456" s="15" t="s">
        <v>70</v>
      </c>
      <c r="L456" s="15" t="s">
        <v>298</v>
      </c>
      <c r="M456" s="15">
        <v>53320</v>
      </c>
      <c r="N456" s="15" t="s">
        <v>96</v>
      </c>
      <c r="O456" s="15">
        <v>8.1068493150684926</v>
      </c>
      <c r="P456" s="15" t="s">
        <v>1861</v>
      </c>
      <c r="Q456" s="15">
        <f t="shared" ca="1" si="14"/>
        <v>45</v>
      </c>
      <c r="R456" s="15" t="str">
        <f t="shared" si="15"/>
        <v>Low</v>
      </c>
    </row>
    <row r="457" spans="1:18" s="15" customFormat="1" x14ac:dyDescent="0.3">
      <c r="A457" s="15" t="s">
        <v>1056</v>
      </c>
      <c r="B457" s="15" t="s">
        <v>1057</v>
      </c>
      <c r="C457" s="15" t="s">
        <v>1058</v>
      </c>
      <c r="D457" s="15" t="s">
        <v>27</v>
      </c>
      <c r="E457" s="15" t="s">
        <v>81</v>
      </c>
      <c r="F457" s="15" t="s">
        <v>104</v>
      </c>
      <c r="G457" s="15" t="s">
        <v>93</v>
      </c>
      <c r="H457" s="16">
        <v>21977</v>
      </c>
      <c r="I457" s="16">
        <v>43875</v>
      </c>
      <c r="J457" s="16">
        <v>44128</v>
      </c>
      <c r="K457" s="15" t="s">
        <v>94</v>
      </c>
      <c r="L457" s="15" t="s">
        <v>122</v>
      </c>
      <c r="M457" s="15">
        <v>74235</v>
      </c>
      <c r="N457" s="15" t="s">
        <v>96</v>
      </c>
      <c r="O457" s="15">
        <v>1.0520547945205481</v>
      </c>
      <c r="P457" s="15" t="s">
        <v>1862</v>
      </c>
      <c r="Q457" s="15">
        <f t="shared" ca="1" si="14"/>
        <v>65</v>
      </c>
      <c r="R457" s="15" t="str">
        <f t="shared" si="15"/>
        <v>Medium</v>
      </c>
    </row>
    <row r="458" spans="1:18" s="15" customFormat="1" x14ac:dyDescent="0.3">
      <c r="A458" s="15" t="s">
        <v>1059</v>
      </c>
      <c r="B458" s="15" t="s">
        <v>192</v>
      </c>
      <c r="C458" s="15" t="s">
        <v>637</v>
      </c>
      <c r="D458" s="15" t="s">
        <v>27</v>
      </c>
      <c r="E458" s="15" t="s">
        <v>81</v>
      </c>
      <c r="F458" s="15" t="s">
        <v>166</v>
      </c>
      <c r="G458" s="15" t="s">
        <v>30</v>
      </c>
      <c r="H458" s="16">
        <v>25366</v>
      </c>
      <c r="I458" s="16">
        <v>43767</v>
      </c>
      <c r="J458" s="16">
        <v>43947</v>
      </c>
      <c r="K458" s="15" t="s">
        <v>37</v>
      </c>
      <c r="L458" s="15" t="s">
        <v>41</v>
      </c>
      <c r="M458" s="15">
        <v>68058</v>
      </c>
      <c r="N458" s="15" t="s">
        <v>33</v>
      </c>
      <c r="O458" s="15">
        <v>2.095890410958904</v>
      </c>
      <c r="P458" s="15" t="s">
        <v>1862</v>
      </c>
      <c r="Q458" s="15">
        <f t="shared" ca="1" si="14"/>
        <v>56</v>
      </c>
      <c r="R458" s="15" t="str">
        <f t="shared" si="15"/>
        <v>Medium</v>
      </c>
    </row>
    <row r="459" spans="1:18" s="15" customFormat="1" x14ac:dyDescent="0.3">
      <c r="A459" s="15" t="s">
        <v>1060</v>
      </c>
      <c r="B459" s="15" t="s">
        <v>68</v>
      </c>
      <c r="C459" s="15" t="s">
        <v>1061</v>
      </c>
      <c r="D459" s="15" t="s">
        <v>27</v>
      </c>
      <c r="E459" s="15" t="s">
        <v>18</v>
      </c>
      <c r="F459" s="15" t="s">
        <v>19</v>
      </c>
      <c r="G459" s="15" t="s">
        <v>30</v>
      </c>
      <c r="H459" s="16">
        <v>35725</v>
      </c>
      <c r="I459" s="16">
        <v>43419</v>
      </c>
      <c r="J459" s="16">
        <v>44551</v>
      </c>
      <c r="K459" s="15" t="s">
        <v>31</v>
      </c>
      <c r="L459" s="15" t="s">
        <v>159</v>
      </c>
      <c r="M459" s="15">
        <v>88518</v>
      </c>
      <c r="N459" s="15" t="s">
        <v>44</v>
      </c>
      <c r="O459" s="15">
        <v>7.3232876712328769</v>
      </c>
      <c r="P459" s="15" t="s">
        <v>1862</v>
      </c>
      <c r="Q459" s="15">
        <f t="shared" ca="1" si="14"/>
        <v>28</v>
      </c>
      <c r="R459" s="15" t="str">
        <f t="shared" si="15"/>
        <v>Medium</v>
      </c>
    </row>
    <row r="460" spans="1:18" s="15" customFormat="1" x14ac:dyDescent="0.3">
      <c r="A460" s="15" t="s">
        <v>1062</v>
      </c>
      <c r="B460" s="15" t="s">
        <v>619</v>
      </c>
      <c r="C460" s="15" t="s">
        <v>187</v>
      </c>
      <c r="D460" s="15" t="s">
        <v>27</v>
      </c>
      <c r="E460" s="15" t="s">
        <v>18</v>
      </c>
      <c r="F460" s="15" t="s">
        <v>19</v>
      </c>
      <c r="G460" s="15" t="s">
        <v>30</v>
      </c>
      <c r="H460" s="16">
        <v>25476</v>
      </c>
      <c r="I460" s="16">
        <v>43140</v>
      </c>
      <c r="J460" s="16">
        <v>45014</v>
      </c>
      <c r="K460" s="15" t="s">
        <v>31</v>
      </c>
      <c r="L460" s="15" t="s">
        <v>83</v>
      </c>
      <c r="M460" s="15">
        <v>74100</v>
      </c>
      <c r="N460" s="15" t="s">
        <v>44</v>
      </c>
      <c r="O460" s="15">
        <v>0.49315068493150682</v>
      </c>
      <c r="P460" s="15" t="s">
        <v>1862</v>
      </c>
      <c r="Q460" s="15">
        <f t="shared" ca="1" si="14"/>
        <v>56</v>
      </c>
      <c r="R460" s="15" t="str">
        <f t="shared" si="15"/>
        <v>Medium</v>
      </c>
    </row>
    <row r="461" spans="1:18" s="15" customFormat="1" x14ac:dyDescent="0.3">
      <c r="A461" s="15" t="s">
        <v>1063</v>
      </c>
      <c r="B461" s="15" t="s">
        <v>1064</v>
      </c>
      <c r="C461" s="15" t="s">
        <v>694</v>
      </c>
      <c r="D461" s="15" t="s">
        <v>27</v>
      </c>
      <c r="E461" s="15" t="s">
        <v>18</v>
      </c>
      <c r="F461" s="15" t="s">
        <v>19</v>
      </c>
      <c r="G461" s="15" t="s">
        <v>30</v>
      </c>
      <c r="H461" s="16">
        <v>31720</v>
      </c>
      <c r="I461" s="16">
        <v>44795</v>
      </c>
      <c r="J461" s="16">
        <v>44975</v>
      </c>
      <c r="K461" s="15" t="s">
        <v>37</v>
      </c>
      <c r="L461" s="15" t="s">
        <v>38</v>
      </c>
      <c r="M461" s="15">
        <v>68805</v>
      </c>
      <c r="N461" s="15" t="s">
        <v>33</v>
      </c>
      <c r="O461" s="15">
        <v>4.1863013698630134</v>
      </c>
      <c r="P461" s="15" t="s">
        <v>1862</v>
      </c>
      <c r="Q461" s="15">
        <f t="shared" ca="1" si="14"/>
        <v>39</v>
      </c>
      <c r="R461" s="15" t="str">
        <f t="shared" si="15"/>
        <v>Medium</v>
      </c>
    </row>
    <row r="462" spans="1:18" s="15" customFormat="1" x14ac:dyDescent="0.3">
      <c r="A462" s="15" t="s">
        <v>1065</v>
      </c>
      <c r="B462" s="15" t="s">
        <v>512</v>
      </c>
      <c r="C462" s="15" t="s">
        <v>1066</v>
      </c>
      <c r="D462" s="15" t="s">
        <v>27</v>
      </c>
      <c r="E462" s="15" t="s">
        <v>18</v>
      </c>
      <c r="F462" s="15" t="s">
        <v>19</v>
      </c>
      <c r="G462" s="15" t="s">
        <v>93</v>
      </c>
      <c r="H462" s="16">
        <v>28813</v>
      </c>
      <c r="I462" s="16">
        <v>44591</v>
      </c>
      <c r="J462" s="16">
        <v>44771</v>
      </c>
      <c r="K462" s="15" t="s">
        <v>94</v>
      </c>
      <c r="L462" s="15" t="s">
        <v>122</v>
      </c>
      <c r="M462" s="15">
        <v>70602</v>
      </c>
      <c r="N462" s="15" t="s">
        <v>96</v>
      </c>
      <c r="O462" s="15">
        <v>0.49315068493150682</v>
      </c>
      <c r="P462" s="15" t="s">
        <v>1862</v>
      </c>
      <c r="Q462" s="15">
        <f t="shared" ca="1" si="14"/>
        <v>47</v>
      </c>
      <c r="R462" s="15" t="str">
        <f t="shared" si="15"/>
        <v>Medium</v>
      </c>
    </row>
    <row r="463" spans="1:18" s="15" customFormat="1" x14ac:dyDescent="0.3">
      <c r="A463" s="15" t="s">
        <v>1067</v>
      </c>
      <c r="B463" s="15" t="s">
        <v>382</v>
      </c>
      <c r="C463" s="15" t="s">
        <v>1068</v>
      </c>
      <c r="D463" s="15" t="s">
        <v>17</v>
      </c>
      <c r="E463" s="15" t="s">
        <v>354</v>
      </c>
      <c r="F463" s="15" t="s">
        <v>404</v>
      </c>
      <c r="G463" s="15" t="s">
        <v>30</v>
      </c>
      <c r="H463" s="16">
        <v>37859</v>
      </c>
      <c r="I463" s="16">
        <v>43292</v>
      </c>
      <c r="J463" s="16">
        <v>43472</v>
      </c>
      <c r="K463" s="15" t="s">
        <v>37</v>
      </c>
      <c r="L463" s="15" t="s">
        <v>41</v>
      </c>
      <c r="M463" s="15">
        <v>57414</v>
      </c>
      <c r="N463" s="15" t="s">
        <v>44</v>
      </c>
      <c r="O463" s="15">
        <v>1.9506849315068491</v>
      </c>
      <c r="P463" s="15" t="s">
        <v>1862</v>
      </c>
      <c r="Q463" s="15">
        <f t="shared" ca="1" si="14"/>
        <v>22</v>
      </c>
      <c r="R463" s="15" t="str">
        <f t="shared" si="15"/>
        <v>Low</v>
      </c>
    </row>
    <row r="464" spans="1:18" s="15" customFormat="1" x14ac:dyDescent="0.3">
      <c r="A464" s="15" t="s">
        <v>1069</v>
      </c>
      <c r="B464" s="15" t="s">
        <v>452</v>
      </c>
      <c r="C464" s="15" t="s">
        <v>1070</v>
      </c>
      <c r="D464" s="15" t="s">
        <v>27</v>
      </c>
      <c r="E464" s="15" t="s">
        <v>18</v>
      </c>
      <c r="F464" s="15" t="s">
        <v>19</v>
      </c>
      <c r="G464" s="15" t="s">
        <v>20</v>
      </c>
      <c r="H464" s="16">
        <v>34569</v>
      </c>
      <c r="I464" s="16">
        <v>42961</v>
      </c>
      <c r="J464" s="16">
        <v>43897</v>
      </c>
      <c r="K464" s="15" t="s">
        <v>31</v>
      </c>
      <c r="L464" s="15" t="s">
        <v>83</v>
      </c>
      <c r="M464" s="15">
        <v>57147</v>
      </c>
      <c r="N464" s="15" t="s">
        <v>23</v>
      </c>
      <c r="O464" s="15">
        <v>0.49315068493150682</v>
      </c>
      <c r="P464" s="15" t="s">
        <v>1862</v>
      </c>
      <c r="Q464" s="15">
        <f t="shared" ca="1" si="14"/>
        <v>31</v>
      </c>
      <c r="R464" s="15" t="str">
        <f t="shared" si="15"/>
        <v>Low</v>
      </c>
    </row>
    <row r="465" spans="1:18" s="15" customFormat="1" x14ac:dyDescent="0.3">
      <c r="A465" s="15" t="s">
        <v>1071</v>
      </c>
      <c r="B465" s="15" t="s">
        <v>1072</v>
      </c>
      <c r="C465" s="15" t="s">
        <v>1073</v>
      </c>
      <c r="D465" s="15" t="s">
        <v>27</v>
      </c>
      <c r="E465" s="15" t="s">
        <v>18</v>
      </c>
      <c r="F465" s="15" t="s">
        <v>19</v>
      </c>
      <c r="G465" s="15" t="s">
        <v>30</v>
      </c>
      <c r="H465" s="16">
        <v>28080</v>
      </c>
      <c r="I465" s="16">
        <v>44416</v>
      </c>
      <c r="J465" s="16">
        <v>44596</v>
      </c>
      <c r="K465" s="15" t="s">
        <v>21</v>
      </c>
      <c r="L465" s="15" t="s">
        <v>100</v>
      </c>
      <c r="M465" s="15">
        <v>71339</v>
      </c>
      <c r="N465" s="15" t="s">
        <v>96</v>
      </c>
      <c r="O465" s="15">
        <v>2.6547945205479451</v>
      </c>
      <c r="P465" s="15" t="s">
        <v>1862</v>
      </c>
      <c r="Q465" s="15">
        <f t="shared" ca="1" si="14"/>
        <v>49</v>
      </c>
      <c r="R465" s="15" t="str">
        <f t="shared" si="15"/>
        <v>Medium</v>
      </c>
    </row>
    <row r="466" spans="1:18" s="15" customFormat="1" x14ac:dyDescent="0.3">
      <c r="A466" s="15" t="s">
        <v>1074</v>
      </c>
      <c r="B466" s="15" t="s">
        <v>1075</v>
      </c>
      <c r="C466" s="15" t="s">
        <v>1076</v>
      </c>
      <c r="D466" s="15" t="s">
        <v>17</v>
      </c>
      <c r="E466" s="15" t="s">
        <v>18</v>
      </c>
      <c r="F466" s="15" t="s">
        <v>19</v>
      </c>
      <c r="G466" s="15" t="s">
        <v>30</v>
      </c>
      <c r="H466" s="16">
        <v>35137</v>
      </c>
      <c r="I466" s="16">
        <v>42130</v>
      </c>
      <c r="J466" s="16">
        <v>42419</v>
      </c>
      <c r="K466" s="15" t="s">
        <v>31</v>
      </c>
      <c r="L466" s="15" t="s">
        <v>159</v>
      </c>
      <c r="M466" s="15">
        <v>91584</v>
      </c>
      <c r="N466" s="15" t="s">
        <v>44</v>
      </c>
      <c r="O466" s="15">
        <v>3.9726027397260268</v>
      </c>
      <c r="P466" s="15" t="s">
        <v>1862</v>
      </c>
      <c r="Q466" s="15">
        <f t="shared" ca="1" si="14"/>
        <v>29</v>
      </c>
      <c r="R466" s="15" t="str">
        <f t="shared" si="15"/>
        <v>Medium</v>
      </c>
    </row>
    <row r="467" spans="1:18" s="15" customFormat="1" x14ac:dyDescent="0.3">
      <c r="A467" s="15" t="s">
        <v>1077</v>
      </c>
      <c r="B467" s="15" t="s">
        <v>260</v>
      </c>
      <c r="C467" s="15" t="s">
        <v>158</v>
      </c>
      <c r="D467" s="15" t="s">
        <v>27</v>
      </c>
      <c r="E467" s="15" t="s">
        <v>18</v>
      </c>
      <c r="F467" s="15" t="s">
        <v>19</v>
      </c>
      <c r="G467" s="15" t="s">
        <v>93</v>
      </c>
      <c r="H467" s="16">
        <v>28741</v>
      </c>
      <c r="I467" s="16">
        <v>42794</v>
      </c>
      <c r="J467" s="16">
        <v>43160</v>
      </c>
      <c r="K467" s="15" t="s">
        <v>51</v>
      </c>
      <c r="L467" s="15" t="s">
        <v>1078</v>
      </c>
      <c r="M467" s="15">
        <v>122140</v>
      </c>
      <c r="N467" s="15" t="s">
        <v>96</v>
      </c>
      <c r="O467" s="15">
        <v>4.8410958904109593</v>
      </c>
      <c r="P467" s="15" t="s">
        <v>1862</v>
      </c>
      <c r="Q467" s="15">
        <f t="shared" ca="1" si="14"/>
        <v>47</v>
      </c>
      <c r="R467" s="15" t="str">
        <f t="shared" si="15"/>
        <v>High</v>
      </c>
    </row>
    <row r="468" spans="1:18" s="15" customFormat="1" x14ac:dyDescent="0.3">
      <c r="A468" s="15" t="s">
        <v>1079</v>
      </c>
      <c r="B468" s="15" t="s">
        <v>842</v>
      </c>
      <c r="C468" s="15" t="s">
        <v>1080</v>
      </c>
      <c r="D468" s="15" t="s">
        <v>27</v>
      </c>
      <c r="E468" s="15" t="s">
        <v>81</v>
      </c>
      <c r="F468" s="15" t="s">
        <v>166</v>
      </c>
      <c r="G468" s="15" t="s">
        <v>30</v>
      </c>
      <c r="H468" s="16">
        <v>21839</v>
      </c>
      <c r="I468" s="16">
        <v>43711</v>
      </c>
      <c r="J468" s="16">
        <v>45475</v>
      </c>
      <c r="K468" s="15" t="s">
        <v>37</v>
      </c>
      <c r="L468" s="15" t="s">
        <v>38</v>
      </c>
      <c r="M468" s="15">
        <v>73999</v>
      </c>
      <c r="N468" s="15" t="s">
        <v>33</v>
      </c>
      <c r="O468" s="15">
        <v>1.52054794520548</v>
      </c>
      <c r="P468" s="15" t="s">
        <v>1862</v>
      </c>
      <c r="Q468" s="15">
        <f t="shared" ca="1" si="14"/>
        <v>66</v>
      </c>
      <c r="R468" s="15" t="str">
        <f t="shared" si="15"/>
        <v>Medium</v>
      </c>
    </row>
    <row r="469" spans="1:18" s="15" customFormat="1" x14ac:dyDescent="0.3">
      <c r="A469" s="15" t="s">
        <v>1081</v>
      </c>
      <c r="B469" s="15" t="s">
        <v>318</v>
      </c>
      <c r="C469" s="15" t="s">
        <v>1082</v>
      </c>
      <c r="D469" s="15" t="s">
        <v>27</v>
      </c>
      <c r="E469" s="15" t="s">
        <v>18</v>
      </c>
      <c r="F469" s="15" t="s">
        <v>19</v>
      </c>
      <c r="G469" s="15" t="s">
        <v>30</v>
      </c>
      <c r="H469" s="16">
        <v>32094</v>
      </c>
      <c r="I469" s="16">
        <v>42026</v>
      </c>
      <c r="J469" s="16">
        <v>42373</v>
      </c>
      <c r="K469" s="15" t="s">
        <v>37</v>
      </c>
      <c r="L469" s="15" t="s">
        <v>41</v>
      </c>
      <c r="M469" s="15">
        <v>67909</v>
      </c>
      <c r="N469" s="15" t="s">
        <v>44</v>
      </c>
      <c r="O469" s="15">
        <v>4.043835616438356</v>
      </c>
      <c r="P469" s="15" t="s">
        <v>1862</v>
      </c>
      <c r="Q469" s="15">
        <f t="shared" ca="1" si="14"/>
        <v>38</v>
      </c>
      <c r="R469" s="15" t="str">
        <f t="shared" si="15"/>
        <v>Medium</v>
      </c>
    </row>
    <row r="470" spans="1:18" s="15" customFormat="1" x14ac:dyDescent="0.3">
      <c r="A470" s="15" t="s">
        <v>1083</v>
      </c>
      <c r="B470" s="15" t="s">
        <v>68</v>
      </c>
      <c r="C470" s="15" t="s">
        <v>301</v>
      </c>
      <c r="D470" s="15" t="s">
        <v>27</v>
      </c>
      <c r="E470" s="15" t="s">
        <v>18</v>
      </c>
      <c r="F470" s="15" t="s">
        <v>19</v>
      </c>
      <c r="G470" s="15" t="s">
        <v>20</v>
      </c>
      <c r="H470" s="16">
        <v>28252</v>
      </c>
      <c r="I470" s="16">
        <v>43280</v>
      </c>
      <c r="J470" s="16">
        <v>43460</v>
      </c>
      <c r="K470" s="15" t="s">
        <v>21</v>
      </c>
      <c r="L470" s="15" t="s">
        <v>100</v>
      </c>
      <c r="M470" s="15">
        <v>64203</v>
      </c>
      <c r="N470" s="15" t="s">
        <v>96</v>
      </c>
      <c r="O470" s="15">
        <v>5.7561643835616438</v>
      </c>
      <c r="P470" s="15" t="s">
        <v>1862</v>
      </c>
      <c r="Q470" s="15">
        <f t="shared" ca="1" si="14"/>
        <v>48</v>
      </c>
      <c r="R470" s="15" t="str">
        <f t="shared" si="15"/>
        <v>Medium</v>
      </c>
    </row>
    <row r="471" spans="1:18" s="15" customFormat="1" x14ac:dyDescent="0.3">
      <c r="A471" s="15" t="s">
        <v>1084</v>
      </c>
      <c r="B471" s="15" t="s">
        <v>225</v>
      </c>
      <c r="C471" s="15" t="s">
        <v>291</v>
      </c>
      <c r="D471" s="15" t="s">
        <v>27</v>
      </c>
      <c r="E471" s="15" t="s">
        <v>81</v>
      </c>
      <c r="F471" s="15" t="s">
        <v>82</v>
      </c>
      <c r="G471" s="15" t="s">
        <v>112</v>
      </c>
      <c r="H471" s="16">
        <v>25729</v>
      </c>
      <c r="I471" s="16">
        <v>43423</v>
      </c>
      <c r="J471" s="16">
        <v>43603</v>
      </c>
      <c r="K471" s="15" t="s">
        <v>31</v>
      </c>
      <c r="L471" s="15" t="s">
        <v>32</v>
      </c>
      <c r="M471" s="15">
        <v>78187</v>
      </c>
      <c r="N471" s="15" t="s">
        <v>96</v>
      </c>
      <c r="O471" s="15">
        <v>0.49315068493150682</v>
      </c>
      <c r="P471" s="15" t="s">
        <v>1862</v>
      </c>
      <c r="Q471" s="15">
        <f t="shared" ca="1" si="14"/>
        <v>55</v>
      </c>
      <c r="R471" s="15" t="str">
        <f t="shared" si="15"/>
        <v>Medium</v>
      </c>
    </row>
    <row r="472" spans="1:18" s="15" customFormat="1" x14ac:dyDescent="0.3">
      <c r="A472" s="15" t="s">
        <v>1085</v>
      </c>
      <c r="B472" s="15" t="s">
        <v>783</v>
      </c>
      <c r="C472" s="15" t="s">
        <v>923</v>
      </c>
      <c r="D472" s="15" t="s">
        <v>17</v>
      </c>
      <c r="E472" s="15" t="s">
        <v>120</v>
      </c>
      <c r="F472" s="15" t="s">
        <v>904</v>
      </c>
      <c r="G472" s="15" t="s">
        <v>30</v>
      </c>
      <c r="H472" s="16">
        <v>37798</v>
      </c>
      <c r="I472" s="16">
        <v>43798</v>
      </c>
      <c r="J472" s="16">
        <v>44531</v>
      </c>
      <c r="K472" s="15" t="s">
        <v>37</v>
      </c>
      <c r="L472" s="15" t="s">
        <v>38</v>
      </c>
      <c r="M472" s="15">
        <v>54812</v>
      </c>
      <c r="N472" s="15" t="s">
        <v>33</v>
      </c>
      <c r="O472" s="15">
        <v>0.49315068493150682</v>
      </c>
      <c r="P472" s="15" t="s">
        <v>1862</v>
      </c>
      <c r="Q472" s="15">
        <f t="shared" ca="1" si="14"/>
        <v>22</v>
      </c>
      <c r="R472" s="15" t="str">
        <f t="shared" si="15"/>
        <v>Low</v>
      </c>
    </row>
    <row r="473" spans="1:18" s="15" customFormat="1" x14ac:dyDescent="0.3">
      <c r="A473" s="15" t="s">
        <v>1086</v>
      </c>
      <c r="B473" s="15" t="s">
        <v>615</v>
      </c>
      <c r="C473" s="15" t="s">
        <v>1087</v>
      </c>
      <c r="D473" s="15" t="s">
        <v>17</v>
      </c>
      <c r="E473" s="15" t="s">
        <v>18</v>
      </c>
      <c r="F473" s="15" t="s">
        <v>19</v>
      </c>
      <c r="G473" s="15" t="s">
        <v>30</v>
      </c>
      <c r="H473" s="16">
        <v>25502</v>
      </c>
      <c r="I473" s="16">
        <v>45076</v>
      </c>
      <c r="J473" s="16">
        <v>45256</v>
      </c>
      <c r="K473" s="15" t="s">
        <v>37</v>
      </c>
      <c r="L473" s="15" t="s">
        <v>38</v>
      </c>
      <c r="M473" s="15">
        <v>54046</v>
      </c>
      <c r="N473" s="15" t="s">
        <v>33</v>
      </c>
      <c r="O473" s="15">
        <v>0.49315068493150682</v>
      </c>
      <c r="P473" s="15" t="s">
        <v>1862</v>
      </c>
      <c r="Q473" s="15">
        <f t="shared" ca="1" si="14"/>
        <v>56</v>
      </c>
      <c r="R473" s="15" t="str">
        <f t="shared" si="15"/>
        <v>Low</v>
      </c>
    </row>
    <row r="474" spans="1:18" s="15" customFormat="1" x14ac:dyDescent="0.3">
      <c r="A474" s="15" t="s">
        <v>1088</v>
      </c>
      <c r="B474" s="15" t="s">
        <v>452</v>
      </c>
      <c r="C474" s="15" t="s">
        <v>1089</v>
      </c>
      <c r="D474" s="15" t="s">
        <v>27</v>
      </c>
      <c r="E474" s="15" t="s">
        <v>18</v>
      </c>
      <c r="F474" s="15" t="s">
        <v>19</v>
      </c>
      <c r="G474" s="15" t="s">
        <v>30</v>
      </c>
      <c r="H474" s="16">
        <v>33872</v>
      </c>
      <c r="I474" s="16">
        <v>44138</v>
      </c>
      <c r="J474" s="16">
        <v>44770</v>
      </c>
      <c r="K474" s="15" t="s">
        <v>65</v>
      </c>
      <c r="L474" s="15" t="s">
        <v>131</v>
      </c>
      <c r="M474" s="15">
        <v>64441</v>
      </c>
      <c r="N474" s="15" t="s">
        <v>44</v>
      </c>
      <c r="O474" s="15">
        <v>8.4246575342465757</v>
      </c>
      <c r="P474" s="15" t="s">
        <v>1861</v>
      </c>
      <c r="Q474" s="15">
        <f t="shared" ca="1" si="14"/>
        <v>33</v>
      </c>
      <c r="R474" s="15" t="str">
        <f t="shared" si="15"/>
        <v>Medium</v>
      </c>
    </row>
    <row r="475" spans="1:18" s="15" customFormat="1" x14ac:dyDescent="0.3">
      <c r="A475" s="15" t="s">
        <v>1090</v>
      </c>
      <c r="B475" s="15" t="s">
        <v>985</v>
      </c>
      <c r="C475" s="15" t="s">
        <v>89</v>
      </c>
      <c r="D475" s="15" t="s">
        <v>27</v>
      </c>
      <c r="E475" s="15" t="s">
        <v>28</v>
      </c>
      <c r="F475" s="15" t="s">
        <v>29</v>
      </c>
      <c r="G475" s="15" t="s">
        <v>20</v>
      </c>
      <c r="H475" s="16">
        <v>37821</v>
      </c>
      <c r="I475" s="16">
        <v>43089</v>
      </c>
      <c r="J475" s="16">
        <v>43269</v>
      </c>
      <c r="K475" s="15" t="s">
        <v>21</v>
      </c>
      <c r="L475" s="15" t="s">
        <v>108</v>
      </c>
      <c r="M475" s="15">
        <v>61791</v>
      </c>
      <c r="N475" s="15" t="s">
        <v>23</v>
      </c>
      <c r="O475" s="15">
        <v>9.5452054794520542</v>
      </c>
      <c r="P475" s="15" t="s">
        <v>1861</v>
      </c>
      <c r="Q475" s="15">
        <f t="shared" ca="1" si="14"/>
        <v>22</v>
      </c>
      <c r="R475" s="15" t="str">
        <f t="shared" si="15"/>
        <v>Medium</v>
      </c>
    </row>
    <row r="476" spans="1:18" s="15" customFormat="1" x14ac:dyDescent="0.3">
      <c r="A476" s="15" t="s">
        <v>1091</v>
      </c>
      <c r="B476" s="15" t="s">
        <v>206</v>
      </c>
      <c r="C476" s="15" t="s">
        <v>722</v>
      </c>
      <c r="D476" s="15" t="s">
        <v>17</v>
      </c>
      <c r="E476" s="15" t="s">
        <v>18</v>
      </c>
      <c r="F476" s="15" t="s">
        <v>19</v>
      </c>
      <c r="G476" s="15" t="s">
        <v>30</v>
      </c>
      <c r="H476" s="16">
        <v>28807</v>
      </c>
      <c r="I476" s="16">
        <v>42494</v>
      </c>
      <c r="J476" s="16">
        <v>43759</v>
      </c>
      <c r="K476" s="15" t="s">
        <v>70</v>
      </c>
      <c r="L476" s="15" t="s">
        <v>71</v>
      </c>
      <c r="M476" s="15">
        <v>73946</v>
      </c>
      <c r="N476" s="15" t="s">
        <v>44</v>
      </c>
      <c r="O476" s="15">
        <v>0.49315068493150682</v>
      </c>
      <c r="P476" s="15" t="s">
        <v>1862</v>
      </c>
      <c r="Q476" s="15">
        <f t="shared" ca="1" si="14"/>
        <v>47</v>
      </c>
      <c r="R476" s="15" t="str">
        <f t="shared" si="15"/>
        <v>Medium</v>
      </c>
    </row>
    <row r="477" spans="1:18" s="15" customFormat="1" x14ac:dyDescent="0.3">
      <c r="A477" s="15" t="s">
        <v>1092</v>
      </c>
      <c r="B477" s="15" t="s">
        <v>1093</v>
      </c>
      <c r="C477" s="15" t="s">
        <v>1042</v>
      </c>
      <c r="D477" s="15" t="s">
        <v>17</v>
      </c>
      <c r="E477" s="15" t="s">
        <v>18</v>
      </c>
      <c r="F477" s="15" t="s">
        <v>19</v>
      </c>
      <c r="G477" s="15" t="s">
        <v>30</v>
      </c>
      <c r="H477" s="16">
        <v>37196</v>
      </c>
      <c r="I477" s="16">
        <v>43855</v>
      </c>
      <c r="J477" s="16">
        <v>45653</v>
      </c>
      <c r="K477" s="15" t="s">
        <v>37</v>
      </c>
      <c r="L477" s="15" t="s">
        <v>38</v>
      </c>
      <c r="M477" s="15">
        <v>61906</v>
      </c>
      <c r="N477" s="15" t="s">
        <v>33</v>
      </c>
      <c r="O477" s="15">
        <v>0.49315068493150682</v>
      </c>
      <c r="P477" s="15" t="s">
        <v>1862</v>
      </c>
      <c r="Q477" s="15">
        <f t="shared" ca="1" si="14"/>
        <v>24</v>
      </c>
      <c r="R477" s="15" t="str">
        <f t="shared" si="15"/>
        <v>Medium</v>
      </c>
    </row>
    <row r="478" spans="1:18" s="15" customFormat="1" x14ac:dyDescent="0.3">
      <c r="A478" s="15" t="s">
        <v>1094</v>
      </c>
      <c r="B478" s="15" t="s">
        <v>225</v>
      </c>
      <c r="C478" s="15" t="s">
        <v>1095</v>
      </c>
      <c r="D478" s="15" t="s">
        <v>27</v>
      </c>
      <c r="E478" s="15" t="s">
        <v>120</v>
      </c>
      <c r="F478" s="15" t="s">
        <v>223</v>
      </c>
      <c r="G478" s="15" t="s">
        <v>30</v>
      </c>
      <c r="H478" s="16">
        <v>35246</v>
      </c>
      <c r="I478" s="16">
        <v>43426</v>
      </c>
      <c r="J478" s="16">
        <v>44774</v>
      </c>
      <c r="K478" s="15" t="s">
        <v>31</v>
      </c>
      <c r="L478" s="15" t="s">
        <v>32</v>
      </c>
      <c r="M478" s="15">
        <v>94377</v>
      </c>
      <c r="N478" s="15" t="s">
        <v>96</v>
      </c>
      <c r="O478" s="15">
        <v>3.0904109589041102</v>
      </c>
      <c r="P478" s="15" t="s">
        <v>1862</v>
      </c>
      <c r="Q478" s="15">
        <f t="shared" ca="1" si="14"/>
        <v>29</v>
      </c>
      <c r="R478" s="15" t="str">
        <f t="shared" si="15"/>
        <v>Medium</v>
      </c>
    </row>
    <row r="479" spans="1:18" s="15" customFormat="1" x14ac:dyDescent="0.3">
      <c r="A479" s="15" t="s">
        <v>1096</v>
      </c>
      <c r="B479" s="15" t="s">
        <v>63</v>
      </c>
      <c r="C479" s="15" t="s">
        <v>1097</v>
      </c>
      <c r="D479" s="15" t="s">
        <v>17</v>
      </c>
      <c r="E479" s="15" t="s">
        <v>18</v>
      </c>
      <c r="F479" s="15" t="s">
        <v>19</v>
      </c>
      <c r="G479" s="15" t="s">
        <v>30</v>
      </c>
      <c r="H479" s="16">
        <v>28629</v>
      </c>
      <c r="I479" s="16">
        <v>44392</v>
      </c>
      <c r="J479" s="16">
        <v>44572</v>
      </c>
      <c r="K479" s="15" t="s">
        <v>37</v>
      </c>
      <c r="L479" s="15" t="s">
        <v>41</v>
      </c>
      <c r="M479" s="15">
        <v>57243</v>
      </c>
      <c r="N479" s="15" t="s">
        <v>23</v>
      </c>
      <c r="O479" s="15">
        <v>0.49315068493150682</v>
      </c>
      <c r="P479" s="15" t="s">
        <v>1862</v>
      </c>
      <c r="Q479" s="15">
        <f t="shared" ca="1" si="14"/>
        <v>47</v>
      </c>
      <c r="R479" s="15" t="str">
        <f t="shared" si="15"/>
        <v>Low</v>
      </c>
    </row>
    <row r="480" spans="1:18" s="15" customFormat="1" x14ac:dyDescent="0.3">
      <c r="A480" s="15" t="s">
        <v>1098</v>
      </c>
      <c r="B480" s="15" t="s">
        <v>619</v>
      </c>
      <c r="C480" s="15" t="s">
        <v>89</v>
      </c>
      <c r="D480" s="15" t="s">
        <v>27</v>
      </c>
      <c r="E480" s="15" t="s">
        <v>18</v>
      </c>
      <c r="F480" s="15" t="s">
        <v>19</v>
      </c>
      <c r="G480" s="15" t="s">
        <v>112</v>
      </c>
      <c r="H480" s="16">
        <v>25799</v>
      </c>
      <c r="I480" s="16">
        <v>43375</v>
      </c>
      <c r="J480" s="16">
        <v>45391</v>
      </c>
      <c r="K480" s="15" t="s">
        <v>94</v>
      </c>
      <c r="L480" s="15" t="s">
        <v>122</v>
      </c>
      <c r="M480" s="15">
        <v>89439</v>
      </c>
      <c r="N480" s="15" t="s">
        <v>96</v>
      </c>
      <c r="O480" s="15">
        <v>0.69315068493150689</v>
      </c>
      <c r="P480" s="15" t="s">
        <v>1862</v>
      </c>
      <c r="Q480" s="15">
        <f t="shared" ca="1" si="14"/>
        <v>55</v>
      </c>
      <c r="R480" s="15" t="str">
        <f t="shared" si="15"/>
        <v>Medium</v>
      </c>
    </row>
    <row r="481" spans="1:18" s="15" customFormat="1" x14ac:dyDescent="0.3">
      <c r="A481" s="15" t="s">
        <v>1099</v>
      </c>
      <c r="B481" s="15" t="s">
        <v>1100</v>
      </c>
      <c r="C481" s="15" t="s">
        <v>1101</v>
      </c>
      <c r="D481" s="15" t="s">
        <v>27</v>
      </c>
      <c r="E481" s="15" t="s">
        <v>18</v>
      </c>
      <c r="F481" s="15" t="s">
        <v>19</v>
      </c>
      <c r="G481" s="15" t="s">
        <v>30</v>
      </c>
      <c r="H481" s="16">
        <v>29893</v>
      </c>
      <c r="I481" s="16">
        <v>44400</v>
      </c>
      <c r="J481" s="16">
        <v>44624</v>
      </c>
      <c r="K481" s="15" t="s">
        <v>31</v>
      </c>
      <c r="L481" s="15" t="s">
        <v>159</v>
      </c>
      <c r="M481" s="15">
        <v>113040</v>
      </c>
      <c r="N481" s="15" t="s">
        <v>44</v>
      </c>
      <c r="O481" s="15">
        <v>0.49315068493150682</v>
      </c>
      <c r="P481" s="15" t="s">
        <v>1862</v>
      </c>
      <c r="Q481" s="15">
        <f t="shared" ca="1" si="14"/>
        <v>44</v>
      </c>
      <c r="R481" s="15" t="str">
        <f t="shared" si="15"/>
        <v>High</v>
      </c>
    </row>
    <row r="482" spans="1:18" s="15" customFormat="1" x14ac:dyDescent="0.3">
      <c r="A482" s="15" t="s">
        <v>1102</v>
      </c>
      <c r="B482" s="15" t="s">
        <v>114</v>
      </c>
      <c r="C482" s="15" t="s">
        <v>1103</v>
      </c>
      <c r="D482" s="15" t="s">
        <v>27</v>
      </c>
      <c r="E482" s="15" t="s">
        <v>81</v>
      </c>
      <c r="F482" s="15" t="s">
        <v>104</v>
      </c>
      <c r="G482" s="15" t="s">
        <v>112</v>
      </c>
      <c r="H482" s="16">
        <v>24509</v>
      </c>
      <c r="I482" s="16">
        <v>43456</v>
      </c>
      <c r="J482" s="16">
        <v>43636</v>
      </c>
      <c r="K482" s="15" t="s">
        <v>94</v>
      </c>
      <c r="L482" s="15" t="s">
        <v>117</v>
      </c>
      <c r="M482" s="15">
        <v>81588</v>
      </c>
      <c r="N482" s="15" t="s">
        <v>33</v>
      </c>
      <c r="O482" s="15">
        <v>3.1013698630136992</v>
      </c>
      <c r="P482" s="15" t="s">
        <v>1862</v>
      </c>
      <c r="Q482" s="15">
        <f t="shared" ca="1" si="14"/>
        <v>58</v>
      </c>
      <c r="R482" s="15" t="str">
        <f t="shared" si="15"/>
        <v>Medium</v>
      </c>
    </row>
    <row r="483" spans="1:18" s="15" customFormat="1" x14ac:dyDescent="0.3">
      <c r="A483" s="15" t="s">
        <v>1104</v>
      </c>
      <c r="B483" s="15" t="s">
        <v>783</v>
      </c>
      <c r="C483" s="15" t="s">
        <v>731</v>
      </c>
      <c r="D483" s="15" t="s">
        <v>17</v>
      </c>
      <c r="E483" s="15" t="s">
        <v>81</v>
      </c>
      <c r="F483" s="15" t="s">
        <v>166</v>
      </c>
      <c r="G483" s="15" t="s">
        <v>30</v>
      </c>
      <c r="H483" s="16">
        <v>35427</v>
      </c>
      <c r="I483" s="16">
        <v>43597</v>
      </c>
      <c r="J483" s="16">
        <v>43777</v>
      </c>
      <c r="K483" s="15" t="s">
        <v>94</v>
      </c>
      <c r="L483" s="15" t="s">
        <v>182</v>
      </c>
      <c r="M483" s="15">
        <v>70593</v>
      </c>
      <c r="N483" s="15" t="s">
        <v>44</v>
      </c>
      <c r="O483" s="15">
        <v>5.1342465753424653</v>
      </c>
      <c r="P483" s="15" t="s">
        <v>1862</v>
      </c>
      <c r="Q483" s="15">
        <f t="shared" ca="1" si="14"/>
        <v>29</v>
      </c>
      <c r="R483" s="15" t="str">
        <f t="shared" si="15"/>
        <v>Medium</v>
      </c>
    </row>
    <row r="484" spans="1:18" s="15" customFormat="1" x14ac:dyDescent="0.3">
      <c r="A484" s="15" t="s">
        <v>1105</v>
      </c>
      <c r="B484" s="15" t="s">
        <v>1106</v>
      </c>
      <c r="C484" s="15" t="s">
        <v>89</v>
      </c>
      <c r="D484" s="15" t="s">
        <v>27</v>
      </c>
      <c r="E484" s="15" t="s">
        <v>18</v>
      </c>
      <c r="F484" s="15" t="s">
        <v>19</v>
      </c>
      <c r="G484" s="15" t="s">
        <v>112</v>
      </c>
      <c r="H484" s="16">
        <v>33044</v>
      </c>
      <c r="I484" s="16">
        <v>43345</v>
      </c>
      <c r="J484" s="16">
        <v>43525</v>
      </c>
      <c r="K484" s="15" t="s">
        <v>94</v>
      </c>
      <c r="L484" s="15" t="s">
        <v>117</v>
      </c>
      <c r="M484" s="15">
        <v>74000</v>
      </c>
      <c r="N484" s="15" t="s">
        <v>96</v>
      </c>
      <c r="O484" s="15">
        <v>0.49315068493150682</v>
      </c>
      <c r="P484" s="15" t="s">
        <v>1862</v>
      </c>
      <c r="Q484" s="15">
        <f t="shared" ca="1" si="14"/>
        <v>35</v>
      </c>
      <c r="R484" s="15" t="str">
        <f t="shared" si="15"/>
        <v>Medium</v>
      </c>
    </row>
    <row r="485" spans="1:18" s="15" customFormat="1" x14ac:dyDescent="0.3">
      <c r="A485" s="15" t="s">
        <v>1107</v>
      </c>
      <c r="B485" s="15" t="s">
        <v>1108</v>
      </c>
      <c r="C485" s="15" t="s">
        <v>301</v>
      </c>
      <c r="D485" s="15" t="s">
        <v>27</v>
      </c>
      <c r="E485" s="15" t="s">
        <v>18</v>
      </c>
      <c r="F485" s="15" t="s">
        <v>19</v>
      </c>
      <c r="G485" s="15" t="s">
        <v>20</v>
      </c>
      <c r="H485" s="16">
        <v>22907</v>
      </c>
      <c r="I485" s="16">
        <v>44598</v>
      </c>
      <c r="J485" s="16">
        <v>44778</v>
      </c>
      <c r="K485" s="15" t="s">
        <v>65</v>
      </c>
      <c r="L485" s="15" t="s">
        <v>131</v>
      </c>
      <c r="M485" s="15">
        <v>60242</v>
      </c>
      <c r="N485" s="15" t="s">
        <v>23</v>
      </c>
      <c r="O485" s="15">
        <v>0.49315068493150682</v>
      </c>
      <c r="P485" s="15" t="s">
        <v>1862</v>
      </c>
      <c r="Q485" s="15">
        <f t="shared" ca="1" si="14"/>
        <v>63</v>
      </c>
      <c r="R485" s="15" t="str">
        <f t="shared" si="15"/>
        <v>Medium</v>
      </c>
    </row>
    <row r="486" spans="1:18" s="15" customFormat="1" x14ac:dyDescent="0.3">
      <c r="A486" s="15" t="s">
        <v>1109</v>
      </c>
      <c r="B486" s="15" t="s">
        <v>617</v>
      </c>
      <c r="C486" s="15" t="s">
        <v>796</v>
      </c>
      <c r="D486" s="15" t="s">
        <v>27</v>
      </c>
      <c r="E486" s="15" t="s">
        <v>18</v>
      </c>
      <c r="F486" s="15" t="s">
        <v>19</v>
      </c>
      <c r="G486" s="15" t="s">
        <v>112</v>
      </c>
      <c r="H486" s="16">
        <v>27767</v>
      </c>
      <c r="I486" s="16">
        <v>42467</v>
      </c>
      <c r="J486" s="16">
        <v>45482</v>
      </c>
      <c r="K486" s="15" t="s">
        <v>94</v>
      </c>
      <c r="L486" s="15" t="s">
        <v>117</v>
      </c>
      <c r="M486" s="15">
        <v>67201</v>
      </c>
      <c r="N486" s="15" t="s">
        <v>33</v>
      </c>
      <c r="O486" s="15">
        <v>0.49315068493150682</v>
      </c>
      <c r="P486" s="15" t="s">
        <v>1862</v>
      </c>
      <c r="Q486" s="15">
        <f t="shared" ca="1" si="14"/>
        <v>50</v>
      </c>
      <c r="R486" s="15" t="str">
        <f t="shared" si="15"/>
        <v>Medium</v>
      </c>
    </row>
    <row r="487" spans="1:18" s="15" customFormat="1" x14ac:dyDescent="0.3">
      <c r="A487" s="15" t="s">
        <v>1110</v>
      </c>
      <c r="B487" s="15" t="s">
        <v>140</v>
      </c>
      <c r="C487" s="15" t="s">
        <v>145</v>
      </c>
      <c r="D487" s="15" t="s">
        <v>17</v>
      </c>
      <c r="E487" s="15" t="s">
        <v>18</v>
      </c>
      <c r="F487" s="15" t="s">
        <v>19</v>
      </c>
      <c r="G487" s="15" t="s">
        <v>30</v>
      </c>
      <c r="H487" s="16">
        <v>35559</v>
      </c>
      <c r="I487" s="16">
        <v>43452</v>
      </c>
      <c r="J487" s="16">
        <v>45373</v>
      </c>
      <c r="K487" s="15" t="s">
        <v>94</v>
      </c>
      <c r="L487" s="15" t="s">
        <v>182</v>
      </c>
      <c r="M487" s="15">
        <v>60073</v>
      </c>
      <c r="N487" s="15" t="s">
        <v>23</v>
      </c>
      <c r="O487" s="15">
        <v>2.5643835616438362</v>
      </c>
      <c r="P487" s="15" t="s">
        <v>1862</v>
      </c>
      <c r="Q487" s="15">
        <f t="shared" ca="1" si="14"/>
        <v>28</v>
      </c>
      <c r="R487" s="15" t="str">
        <f t="shared" si="15"/>
        <v>Medium</v>
      </c>
    </row>
    <row r="488" spans="1:18" s="15" customFormat="1" x14ac:dyDescent="0.3">
      <c r="A488" s="15" t="s">
        <v>1111</v>
      </c>
      <c r="B488" s="15" t="s">
        <v>1112</v>
      </c>
      <c r="C488" s="15" t="s">
        <v>187</v>
      </c>
      <c r="D488" s="15" t="s">
        <v>17</v>
      </c>
      <c r="E488" s="15" t="s">
        <v>81</v>
      </c>
      <c r="F488" s="15" t="s">
        <v>82</v>
      </c>
      <c r="G488" s="15" t="s">
        <v>20</v>
      </c>
      <c r="H488" s="16">
        <v>37615</v>
      </c>
      <c r="I488" s="16">
        <v>42767</v>
      </c>
      <c r="J488" s="16">
        <v>44554</v>
      </c>
      <c r="K488" s="15" t="s">
        <v>65</v>
      </c>
      <c r="L488" s="15" t="s">
        <v>66</v>
      </c>
      <c r="M488" s="15">
        <v>58810</v>
      </c>
      <c r="N488" s="15" t="s">
        <v>23</v>
      </c>
      <c r="O488" s="15">
        <v>0.49315068493150682</v>
      </c>
      <c r="P488" s="15" t="s">
        <v>1862</v>
      </c>
      <c r="Q488" s="15">
        <f t="shared" ca="1" si="14"/>
        <v>23</v>
      </c>
      <c r="R488" s="15" t="str">
        <f t="shared" si="15"/>
        <v>Low</v>
      </c>
    </row>
    <row r="489" spans="1:18" s="15" customFormat="1" x14ac:dyDescent="0.3">
      <c r="A489" s="15" t="s">
        <v>1113</v>
      </c>
      <c r="B489" s="15" t="s">
        <v>1114</v>
      </c>
      <c r="C489" s="15" t="s">
        <v>245</v>
      </c>
      <c r="D489" s="15" t="s">
        <v>17</v>
      </c>
      <c r="E489" s="15" t="s">
        <v>81</v>
      </c>
      <c r="F489" s="15" t="s">
        <v>82</v>
      </c>
      <c r="G489" s="15" t="s">
        <v>20</v>
      </c>
      <c r="H489" s="16">
        <v>27561</v>
      </c>
      <c r="I489" s="16">
        <v>43601</v>
      </c>
      <c r="J489" s="16">
        <v>44322</v>
      </c>
      <c r="K489" s="15" t="s">
        <v>31</v>
      </c>
      <c r="L489" s="15" t="s">
        <v>83</v>
      </c>
      <c r="M489" s="15">
        <v>58882</v>
      </c>
      <c r="N489" s="15" t="s">
        <v>23</v>
      </c>
      <c r="O489" s="15">
        <v>0.79178082191780819</v>
      </c>
      <c r="P489" s="15" t="s">
        <v>1862</v>
      </c>
      <c r="Q489" s="15">
        <f t="shared" ca="1" si="14"/>
        <v>50</v>
      </c>
      <c r="R489" s="15" t="str">
        <f t="shared" si="15"/>
        <v>Low</v>
      </c>
    </row>
    <row r="490" spans="1:18" s="15" customFormat="1" x14ac:dyDescent="0.3">
      <c r="A490" s="15" t="s">
        <v>1115</v>
      </c>
      <c r="B490" s="15" t="s">
        <v>1116</v>
      </c>
      <c r="C490" s="15" t="s">
        <v>145</v>
      </c>
      <c r="D490" s="15" t="s">
        <v>27</v>
      </c>
      <c r="E490" s="15" t="s">
        <v>18</v>
      </c>
      <c r="F490" s="15" t="s">
        <v>19</v>
      </c>
      <c r="G490" s="15" t="s">
        <v>93</v>
      </c>
      <c r="H490" s="16">
        <v>31246</v>
      </c>
      <c r="I490" s="16">
        <v>44088</v>
      </c>
      <c r="J490" s="16">
        <v>44918</v>
      </c>
      <c r="K490" s="15" t="s">
        <v>51</v>
      </c>
      <c r="L490" s="15" t="s">
        <v>233</v>
      </c>
      <c r="M490" s="15">
        <v>77136</v>
      </c>
      <c r="N490" s="15" t="s">
        <v>96</v>
      </c>
      <c r="O490" s="15">
        <v>1.0027397260273969</v>
      </c>
      <c r="P490" s="15" t="s">
        <v>1862</v>
      </c>
      <c r="Q490" s="15">
        <f t="shared" ca="1" si="14"/>
        <v>40</v>
      </c>
      <c r="R490" s="15" t="str">
        <f t="shared" si="15"/>
        <v>Medium</v>
      </c>
    </row>
    <row r="491" spans="1:18" s="15" customFormat="1" x14ac:dyDescent="0.3">
      <c r="A491" s="15" t="s">
        <v>1117</v>
      </c>
      <c r="B491" s="15" t="s">
        <v>1118</v>
      </c>
      <c r="C491" s="15" t="s">
        <v>1119</v>
      </c>
      <c r="D491" s="15" t="s">
        <v>27</v>
      </c>
      <c r="E491" s="15" t="s">
        <v>18</v>
      </c>
      <c r="F491" s="15" t="s">
        <v>19</v>
      </c>
      <c r="G491" s="15" t="s">
        <v>93</v>
      </c>
      <c r="H491" s="16">
        <v>33521</v>
      </c>
      <c r="I491" s="16">
        <v>42768</v>
      </c>
      <c r="J491" s="16">
        <v>45375</v>
      </c>
      <c r="K491" s="15" t="s">
        <v>94</v>
      </c>
      <c r="L491" s="15" t="s">
        <v>95</v>
      </c>
      <c r="M491" s="15">
        <v>85655</v>
      </c>
      <c r="N491" s="15" t="s">
        <v>96</v>
      </c>
      <c r="O491" s="15">
        <v>4.8328767123287673</v>
      </c>
      <c r="P491" s="15" t="s">
        <v>1862</v>
      </c>
      <c r="Q491" s="15">
        <f t="shared" ca="1" si="14"/>
        <v>34</v>
      </c>
      <c r="R491" s="15" t="str">
        <f t="shared" si="15"/>
        <v>Medium</v>
      </c>
    </row>
    <row r="492" spans="1:18" s="15" customFormat="1" x14ac:dyDescent="0.3">
      <c r="A492" s="15" t="s">
        <v>1120</v>
      </c>
      <c r="B492" s="15" t="s">
        <v>1116</v>
      </c>
      <c r="C492" s="15" t="s">
        <v>1021</v>
      </c>
      <c r="D492" s="15" t="s">
        <v>27</v>
      </c>
      <c r="E492" s="15" t="s">
        <v>18</v>
      </c>
      <c r="F492" s="15" t="s">
        <v>19</v>
      </c>
      <c r="G492" s="15" t="s">
        <v>30</v>
      </c>
      <c r="H492" s="16">
        <v>30912</v>
      </c>
      <c r="I492" s="16">
        <v>44138</v>
      </c>
      <c r="J492" s="16">
        <v>44318</v>
      </c>
      <c r="K492" s="15" t="s">
        <v>37</v>
      </c>
      <c r="L492" s="15" t="s">
        <v>41</v>
      </c>
      <c r="M492" s="15">
        <v>63732</v>
      </c>
      <c r="N492" s="15" t="s">
        <v>44</v>
      </c>
      <c r="O492" s="15">
        <v>0.9506849315068493</v>
      </c>
      <c r="P492" s="15" t="s">
        <v>1862</v>
      </c>
      <c r="Q492" s="15">
        <f t="shared" ca="1" si="14"/>
        <v>41</v>
      </c>
      <c r="R492" s="15" t="str">
        <f t="shared" si="15"/>
        <v>Medium</v>
      </c>
    </row>
    <row r="493" spans="1:18" s="15" customFormat="1" x14ac:dyDescent="0.3">
      <c r="A493" s="15" t="s">
        <v>1121</v>
      </c>
      <c r="B493" s="15" t="s">
        <v>990</v>
      </c>
      <c r="C493" s="15" t="s">
        <v>210</v>
      </c>
      <c r="D493" s="15" t="s">
        <v>17</v>
      </c>
      <c r="E493" s="15" t="s">
        <v>18</v>
      </c>
      <c r="F493" s="15" t="s">
        <v>19</v>
      </c>
      <c r="G493" s="15" t="s">
        <v>30</v>
      </c>
      <c r="H493" s="16">
        <v>31438</v>
      </c>
      <c r="I493" s="16">
        <v>43008</v>
      </c>
      <c r="J493" s="16">
        <v>43804</v>
      </c>
      <c r="K493" s="15" t="s">
        <v>37</v>
      </c>
      <c r="L493" s="15" t="s">
        <v>38</v>
      </c>
      <c r="M493" s="15">
        <v>62658</v>
      </c>
      <c r="N493" s="15" t="s">
        <v>33</v>
      </c>
      <c r="O493" s="15">
        <v>0.49315068493150682</v>
      </c>
      <c r="P493" s="15" t="s">
        <v>1862</v>
      </c>
      <c r="Q493" s="15">
        <f t="shared" ca="1" si="14"/>
        <v>39</v>
      </c>
      <c r="R493" s="15" t="str">
        <f t="shared" si="15"/>
        <v>Medium</v>
      </c>
    </row>
    <row r="494" spans="1:18" s="15" customFormat="1" x14ac:dyDescent="0.3">
      <c r="A494" s="15" t="s">
        <v>1122</v>
      </c>
      <c r="B494" s="15" t="s">
        <v>977</v>
      </c>
      <c r="C494" s="15" t="s">
        <v>1123</v>
      </c>
      <c r="D494" s="15" t="s">
        <v>27</v>
      </c>
      <c r="E494" s="15" t="s">
        <v>18</v>
      </c>
      <c r="F494" s="15" t="s">
        <v>19</v>
      </c>
      <c r="G494" s="15" t="s">
        <v>20</v>
      </c>
      <c r="H494" s="16">
        <v>35582</v>
      </c>
      <c r="I494" s="16">
        <v>43002</v>
      </c>
      <c r="J494" s="16">
        <v>43383</v>
      </c>
      <c r="K494" s="15" t="s">
        <v>37</v>
      </c>
      <c r="L494" s="15" t="s">
        <v>41</v>
      </c>
      <c r="M494" s="15">
        <v>59333</v>
      </c>
      <c r="N494" s="15" t="s">
        <v>23</v>
      </c>
      <c r="O494" s="15">
        <v>0.49315068493150682</v>
      </c>
      <c r="P494" s="15" t="s">
        <v>1862</v>
      </c>
      <c r="Q494" s="15">
        <f t="shared" ca="1" si="14"/>
        <v>28</v>
      </c>
      <c r="R494" s="15" t="str">
        <f t="shared" si="15"/>
        <v>Low</v>
      </c>
    </row>
    <row r="495" spans="1:18" s="15" customFormat="1" x14ac:dyDescent="0.3">
      <c r="A495" s="15" t="s">
        <v>1124</v>
      </c>
      <c r="B495" s="15" t="s">
        <v>1125</v>
      </c>
      <c r="C495" s="15" t="s">
        <v>64</v>
      </c>
      <c r="D495" s="15" t="s">
        <v>17</v>
      </c>
      <c r="E495" s="15" t="s">
        <v>18</v>
      </c>
      <c r="F495" s="15" t="s">
        <v>19</v>
      </c>
      <c r="G495" s="15" t="s">
        <v>30</v>
      </c>
      <c r="H495" s="16">
        <v>25911</v>
      </c>
      <c r="I495" s="16">
        <v>42996</v>
      </c>
      <c r="J495" s="16">
        <v>44586</v>
      </c>
      <c r="K495" s="15" t="s">
        <v>94</v>
      </c>
      <c r="L495" s="15" t="s">
        <v>182</v>
      </c>
      <c r="M495" s="15">
        <v>60945</v>
      </c>
      <c r="N495" s="15" t="s">
        <v>44</v>
      </c>
      <c r="O495" s="15">
        <v>2.0082191780821921</v>
      </c>
      <c r="P495" s="15" t="s">
        <v>1862</v>
      </c>
      <c r="Q495" s="15">
        <f t="shared" ca="1" si="14"/>
        <v>55</v>
      </c>
      <c r="R495" s="15" t="str">
        <f t="shared" si="15"/>
        <v>Medium</v>
      </c>
    </row>
    <row r="496" spans="1:18" s="15" customFormat="1" x14ac:dyDescent="0.3">
      <c r="A496" s="15" t="s">
        <v>1126</v>
      </c>
      <c r="B496" s="15" t="s">
        <v>1127</v>
      </c>
      <c r="C496" s="15" t="s">
        <v>1103</v>
      </c>
      <c r="D496" s="15" t="s">
        <v>17</v>
      </c>
      <c r="E496" s="15" t="s">
        <v>18</v>
      </c>
      <c r="F496" s="15" t="s">
        <v>19</v>
      </c>
      <c r="G496" s="15" t="s">
        <v>30</v>
      </c>
      <c r="H496" s="16">
        <v>27647</v>
      </c>
      <c r="I496" s="16">
        <v>43606</v>
      </c>
      <c r="J496" s="16">
        <v>43786</v>
      </c>
      <c r="K496" s="15" t="s">
        <v>37</v>
      </c>
      <c r="L496" s="15" t="s">
        <v>41</v>
      </c>
      <c r="M496" s="15">
        <v>61008</v>
      </c>
      <c r="N496" s="15" t="s">
        <v>44</v>
      </c>
      <c r="O496" s="15">
        <v>0.49315068493150682</v>
      </c>
      <c r="P496" s="15" t="s">
        <v>1862</v>
      </c>
      <c r="Q496" s="15">
        <f t="shared" ca="1" si="14"/>
        <v>50</v>
      </c>
      <c r="R496" s="15" t="str">
        <f t="shared" si="15"/>
        <v>Medium</v>
      </c>
    </row>
    <row r="497" spans="1:18" s="15" customFormat="1" x14ac:dyDescent="0.3">
      <c r="A497" s="15" t="s">
        <v>1128</v>
      </c>
      <c r="B497" s="15" t="s">
        <v>1116</v>
      </c>
      <c r="C497" s="15" t="s">
        <v>1129</v>
      </c>
      <c r="D497" s="15" t="s">
        <v>17</v>
      </c>
      <c r="E497" s="15" t="s">
        <v>18</v>
      </c>
      <c r="F497" s="15" t="s">
        <v>19</v>
      </c>
      <c r="G497" s="15" t="s">
        <v>30</v>
      </c>
      <c r="H497" s="16">
        <v>34554</v>
      </c>
      <c r="I497" s="16">
        <v>45059</v>
      </c>
      <c r="J497" s="16">
        <v>45239</v>
      </c>
      <c r="K497" s="15" t="s">
        <v>94</v>
      </c>
      <c r="L497" s="15" t="s">
        <v>182</v>
      </c>
      <c r="M497" s="15">
        <v>67369</v>
      </c>
      <c r="N497" s="15" t="s">
        <v>33</v>
      </c>
      <c r="O497" s="15">
        <v>1.731506849315068</v>
      </c>
      <c r="P497" s="15" t="s">
        <v>1862</v>
      </c>
      <c r="Q497" s="15">
        <f t="shared" ca="1" si="14"/>
        <v>31</v>
      </c>
      <c r="R497" s="15" t="str">
        <f t="shared" si="15"/>
        <v>Medium</v>
      </c>
    </row>
    <row r="498" spans="1:18" s="15" customFormat="1" x14ac:dyDescent="0.3">
      <c r="A498" s="15" t="s">
        <v>1130</v>
      </c>
      <c r="B498" s="15" t="s">
        <v>203</v>
      </c>
      <c r="C498" s="15" t="s">
        <v>286</v>
      </c>
      <c r="D498" s="15" t="s">
        <v>17</v>
      </c>
      <c r="E498" s="15" t="s">
        <v>18</v>
      </c>
      <c r="F498" s="15" t="s">
        <v>19</v>
      </c>
      <c r="G498" s="15" t="s">
        <v>30</v>
      </c>
      <c r="H498" s="16">
        <v>35395</v>
      </c>
      <c r="I498" s="16">
        <v>44649</v>
      </c>
      <c r="J498" s="16">
        <v>44829</v>
      </c>
      <c r="K498" s="15" t="s">
        <v>37</v>
      </c>
      <c r="L498" s="15" t="s">
        <v>38</v>
      </c>
      <c r="M498" s="15">
        <v>58815</v>
      </c>
      <c r="N498" s="15" t="s">
        <v>33</v>
      </c>
      <c r="O498" s="15">
        <v>0.49315068493150682</v>
      </c>
      <c r="P498" s="15" t="s">
        <v>1862</v>
      </c>
      <c r="Q498" s="15">
        <f t="shared" ca="1" si="14"/>
        <v>29</v>
      </c>
      <c r="R498" s="15" t="str">
        <f t="shared" si="15"/>
        <v>Low</v>
      </c>
    </row>
    <row r="499" spans="1:18" s="15" customFormat="1" x14ac:dyDescent="0.3">
      <c r="A499" s="15" t="s">
        <v>1131</v>
      </c>
      <c r="B499" s="15" t="s">
        <v>1132</v>
      </c>
      <c r="C499" s="15" t="s">
        <v>341</v>
      </c>
      <c r="D499" s="15" t="s">
        <v>17</v>
      </c>
      <c r="E499" s="15" t="s">
        <v>18</v>
      </c>
      <c r="F499" s="15" t="s">
        <v>19</v>
      </c>
      <c r="G499" s="15" t="s">
        <v>30</v>
      </c>
      <c r="H499" s="16">
        <v>26724</v>
      </c>
      <c r="I499" s="16">
        <v>45041</v>
      </c>
      <c r="J499" s="16">
        <v>45221</v>
      </c>
      <c r="K499" s="15" t="s">
        <v>37</v>
      </c>
      <c r="L499" s="15" t="s">
        <v>41</v>
      </c>
      <c r="M499" s="15">
        <v>62697</v>
      </c>
      <c r="N499" s="15" t="s">
        <v>33</v>
      </c>
      <c r="O499" s="15">
        <v>3.4657534246575339</v>
      </c>
      <c r="P499" s="15" t="s">
        <v>1862</v>
      </c>
      <c r="Q499" s="15">
        <f t="shared" ca="1" si="14"/>
        <v>52</v>
      </c>
      <c r="R499" s="15" t="str">
        <f t="shared" si="15"/>
        <v>Medium</v>
      </c>
    </row>
    <row r="500" spans="1:18" s="15" customFormat="1" x14ac:dyDescent="0.3">
      <c r="A500" s="15" t="s">
        <v>1133</v>
      </c>
      <c r="B500" s="15" t="s">
        <v>1134</v>
      </c>
      <c r="C500" s="15" t="s">
        <v>99</v>
      </c>
      <c r="D500" s="15" t="s">
        <v>27</v>
      </c>
      <c r="E500" s="15" t="s">
        <v>81</v>
      </c>
      <c r="F500" s="15" t="s">
        <v>104</v>
      </c>
      <c r="G500" s="15" t="s">
        <v>112</v>
      </c>
      <c r="H500" s="16">
        <v>29154</v>
      </c>
      <c r="I500" s="16">
        <v>43035</v>
      </c>
      <c r="J500" s="16">
        <v>44430</v>
      </c>
      <c r="K500" s="15" t="s">
        <v>94</v>
      </c>
      <c r="L500" s="15" t="s">
        <v>117</v>
      </c>
      <c r="M500" s="15">
        <v>58400</v>
      </c>
      <c r="N500" s="15" t="s">
        <v>33</v>
      </c>
      <c r="O500" s="15">
        <v>4.9260273972602739</v>
      </c>
      <c r="P500" s="15" t="s">
        <v>1862</v>
      </c>
      <c r="Q500" s="15">
        <f t="shared" ca="1" si="14"/>
        <v>46</v>
      </c>
      <c r="R500" s="15" t="str">
        <f t="shared" si="15"/>
        <v>Low</v>
      </c>
    </row>
    <row r="501" spans="1:18" s="15" customFormat="1" x14ac:dyDescent="0.3">
      <c r="A501" s="15" t="s">
        <v>1135</v>
      </c>
      <c r="B501" s="15" t="s">
        <v>240</v>
      </c>
      <c r="C501" s="15" t="s">
        <v>1123</v>
      </c>
      <c r="D501" s="15" t="s">
        <v>17</v>
      </c>
      <c r="E501" s="15" t="s">
        <v>18</v>
      </c>
      <c r="F501" s="15" t="s">
        <v>19</v>
      </c>
      <c r="G501" s="15" t="s">
        <v>93</v>
      </c>
      <c r="H501" s="16">
        <v>35083</v>
      </c>
      <c r="I501" s="16">
        <v>42574</v>
      </c>
      <c r="J501" s="16">
        <v>45623</v>
      </c>
      <c r="K501" s="15" t="s">
        <v>94</v>
      </c>
      <c r="L501" s="15" t="s">
        <v>122</v>
      </c>
      <c r="M501" s="15">
        <v>103249</v>
      </c>
      <c r="N501" s="15" t="s">
        <v>96</v>
      </c>
      <c r="O501" s="15">
        <v>3.6931506849315072</v>
      </c>
      <c r="P501" s="15" t="s">
        <v>1862</v>
      </c>
      <c r="Q501" s="15">
        <f t="shared" ca="1" si="14"/>
        <v>29</v>
      </c>
      <c r="R501" s="15" t="str">
        <f t="shared" si="15"/>
        <v>High</v>
      </c>
    </row>
    <row r="502" spans="1:18" s="15" customFormat="1" x14ac:dyDescent="0.3">
      <c r="A502" s="15" t="s">
        <v>1136</v>
      </c>
      <c r="B502" s="15" t="s">
        <v>740</v>
      </c>
      <c r="C502" s="15" t="s">
        <v>549</v>
      </c>
      <c r="D502" s="15" t="s">
        <v>27</v>
      </c>
      <c r="E502" s="15" t="s">
        <v>18</v>
      </c>
      <c r="F502" s="15" t="s">
        <v>19</v>
      </c>
      <c r="G502" s="15" t="s">
        <v>30</v>
      </c>
      <c r="H502" s="16">
        <v>34717</v>
      </c>
      <c r="I502" s="16">
        <v>43033</v>
      </c>
      <c r="J502" s="16">
        <v>43328</v>
      </c>
      <c r="K502" s="15" t="s">
        <v>37</v>
      </c>
      <c r="L502" s="15" t="s">
        <v>38</v>
      </c>
      <c r="M502" s="15">
        <v>64015</v>
      </c>
      <c r="N502" s="15" t="s">
        <v>33</v>
      </c>
      <c r="O502" s="15">
        <v>0.49315068493150682</v>
      </c>
      <c r="P502" s="15" t="s">
        <v>1862</v>
      </c>
      <c r="Q502" s="15">
        <f t="shared" ca="1" si="14"/>
        <v>30</v>
      </c>
      <c r="R502" s="15" t="str">
        <f t="shared" si="15"/>
        <v>Medium</v>
      </c>
    </row>
    <row r="503" spans="1:18" s="15" customFormat="1" x14ac:dyDescent="0.3">
      <c r="A503" s="15" t="s">
        <v>1137</v>
      </c>
      <c r="B503" s="15" t="s">
        <v>307</v>
      </c>
      <c r="C503" s="15" t="s">
        <v>1138</v>
      </c>
      <c r="D503" s="15" t="s">
        <v>17</v>
      </c>
      <c r="E503" s="15" t="s">
        <v>120</v>
      </c>
      <c r="F503" s="15" t="s">
        <v>223</v>
      </c>
      <c r="G503" s="15" t="s">
        <v>30</v>
      </c>
      <c r="H503" s="16">
        <v>31254</v>
      </c>
      <c r="I503" s="16">
        <v>43890</v>
      </c>
      <c r="J503" s="16">
        <v>44070</v>
      </c>
      <c r="K503" s="15" t="s">
        <v>37</v>
      </c>
      <c r="L503" s="15" t="s">
        <v>261</v>
      </c>
      <c r="M503" s="15">
        <v>95684</v>
      </c>
      <c r="N503" s="15" t="s">
        <v>96</v>
      </c>
      <c r="O503" s="15">
        <v>5.5232876712328771</v>
      </c>
      <c r="P503" s="15" t="s">
        <v>1862</v>
      </c>
      <c r="Q503" s="15">
        <f t="shared" ca="1" si="14"/>
        <v>40</v>
      </c>
      <c r="R503" s="15" t="str">
        <f t="shared" si="15"/>
        <v>Medium</v>
      </c>
    </row>
    <row r="504" spans="1:18" s="15" customFormat="1" x14ac:dyDescent="0.3">
      <c r="A504" s="15" t="s">
        <v>1139</v>
      </c>
      <c r="B504" s="15" t="s">
        <v>824</v>
      </c>
      <c r="C504" s="15" t="s">
        <v>1140</v>
      </c>
      <c r="D504" s="15" t="s">
        <v>17</v>
      </c>
      <c r="E504" s="15" t="s">
        <v>18</v>
      </c>
      <c r="F504" s="15" t="s">
        <v>19</v>
      </c>
      <c r="G504" s="15" t="s">
        <v>30</v>
      </c>
      <c r="H504" s="16">
        <v>29248</v>
      </c>
      <c r="I504" s="16">
        <v>42669</v>
      </c>
      <c r="J504" s="16">
        <v>45082</v>
      </c>
      <c r="K504" s="15" t="s">
        <v>51</v>
      </c>
      <c r="L504" s="15" t="s">
        <v>52</v>
      </c>
      <c r="M504" s="15">
        <v>62508</v>
      </c>
      <c r="N504" s="15" t="s">
        <v>96</v>
      </c>
      <c r="O504" s="15">
        <v>0.61369863013698633</v>
      </c>
      <c r="P504" s="15" t="s">
        <v>1862</v>
      </c>
      <c r="Q504" s="15">
        <f t="shared" ca="1" si="14"/>
        <v>45</v>
      </c>
      <c r="R504" s="15" t="str">
        <f t="shared" si="15"/>
        <v>Medium</v>
      </c>
    </row>
    <row r="505" spans="1:18" s="15" customFormat="1" x14ac:dyDescent="0.3">
      <c r="A505" s="15" t="s">
        <v>1141</v>
      </c>
      <c r="B505" s="15" t="s">
        <v>184</v>
      </c>
      <c r="C505" s="15" t="s">
        <v>444</v>
      </c>
      <c r="D505" s="15" t="s">
        <v>27</v>
      </c>
      <c r="E505" s="15" t="s">
        <v>18</v>
      </c>
      <c r="F505" s="15" t="s">
        <v>19</v>
      </c>
      <c r="G505" s="15" t="s">
        <v>30</v>
      </c>
      <c r="H505" s="16">
        <v>29969</v>
      </c>
      <c r="I505" s="16">
        <v>43746</v>
      </c>
      <c r="J505" s="16">
        <v>44682</v>
      </c>
      <c r="K505" s="15" t="s">
        <v>37</v>
      </c>
      <c r="L505" s="15" t="s">
        <v>43</v>
      </c>
      <c r="M505" s="15">
        <v>92796</v>
      </c>
      <c r="N505" s="15" t="s">
        <v>44</v>
      </c>
      <c r="O505" s="15">
        <v>0.49315068493150682</v>
      </c>
      <c r="P505" s="15" t="s">
        <v>1862</v>
      </c>
      <c r="Q505" s="15">
        <f t="shared" ca="1" si="14"/>
        <v>43</v>
      </c>
      <c r="R505" s="15" t="str">
        <f t="shared" si="15"/>
        <v>Medium</v>
      </c>
    </row>
    <row r="506" spans="1:18" s="15" customFormat="1" x14ac:dyDescent="0.3">
      <c r="A506" s="15" t="s">
        <v>1142</v>
      </c>
      <c r="B506" s="15" t="s">
        <v>1100</v>
      </c>
      <c r="C506" s="15" t="s">
        <v>1143</v>
      </c>
      <c r="D506" s="15" t="s">
        <v>17</v>
      </c>
      <c r="E506" s="15" t="s">
        <v>656</v>
      </c>
      <c r="F506" s="15" t="s">
        <v>657</v>
      </c>
      <c r="G506" s="15" t="s">
        <v>30</v>
      </c>
      <c r="H506" s="16">
        <v>34808</v>
      </c>
      <c r="I506" s="16">
        <v>44093</v>
      </c>
      <c r="J506" s="16">
        <v>44376</v>
      </c>
      <c r="K506" s="15" t="s">
        <v>37</v>
      </c>
      <c r="L506" s="15" t="s">
        <v>41</v>
      </c>
      <c r="M506" s="15">
        <v>58835</v>
      </c>
      <c r="N506" s="15" t="s">
        <v>33</v>
      </c>
      <c r="O506" s="15">
        <v>0.49315068493150682</v>
      </c>
      <c r="P506" s="15" t="s">
        <v>1862</v>
      </c>
      <c r="Q506" s="15">
        <f t="shared" ca="1" si="14"/>
        <v>30</v>
      </c>
      <c r="R506" s="15" t="str">
        <f t="shared" si="15"/>
        <v>Low</v>
      </c>
    </row>
    <row r="507" spans="1:18" s="15" customFormat="1" x14ac:dyDescent="0.3">
      <c r="A507" s="15" t="s">
        <v>1144</v>
      </c>
      <c r="B507" s="15" t="s">
        <v>140</v>
      </c>
      <c r="C507" s="15" t="s">
        <v>1145</v>
      </c>
      <c r="D507" s="15" t="s">
        <v>27</v>
      </c>
      <c r="E507" s="15" t="s">
        <v>18</v>
      </c>
      <c r="F507" s="15" t="s">
        <v>19</v>
      </c>
      <c r="G507" s="15" t="s">
        <v>30</v>
      </c>
      <c r="H507" s="16">
        <v>26598</v>
      </c>
      <c r="I507" s="16">
        <v>42607</v>
      </c>
      <c r="J507" s="16">
        <v>43239</v>
      </c>
      <c r="K507" s="15" t="s">
        <v>31</v>
      </c>
      <c r="L507" s="15" t="s">
        <v>159</v>
      </c>
      <c r="M507" s="15">
        <v>95974</v>
      </c>
      <c r="N507" s="15" t="s">
        <v>23</v>
      </c>
      <c r="O507" s="15">
        <v>0.49315068493150682</v>
      </c>
      <c r="P507" s="15" t="s">
        <v>1862</v>
      </c>
      <c r="Q507" s="15">
        <f t="shared" ca="1" si="14"/>
        <v>53</v>
      </c>
      <c r="R507" s="15" t="str">
        <f t="shared" si="15"/>
        <v>Medium</v>
      </c>
    </row>
    <row r="508" spans="1:18" s="15" customFormat="1" x14ac:dyDescent="0.3">
      <c r="A508" s="15" t="s">
        <v>1146</v>
      </c>
      <c r="B508" s="15" t="s">
        <v>783</v>
      </c>
      <c r="C508" s="15" t="s">
        <v>1147</v>
      </c>
      <c r="D508" s="15" t="s">
        <v>17</v>
      </c>
      <c r="E508" s="15" t="s">
        <v>18</v>
      </c>
      <c r="F508" s="15" t="s">
        <v>19</v>
      </c>
      <c r="G508" s="15" t="s">
        <v>30</v>
      </c>
      <c r="H508" s="16">
        <v>30575</v>
      </c>
      <c r="I508" s="16">
        <v>43640</v>
      </c>
      <c r="J508" s="16">
        <v>45321</v>
      </c>
      <c r="K508" s="15" t="s">
        <v>21</v>
      </c>
      <c r="L508" s="15" t="s">
        <v>100</v>
      </c>
      <c r="M508" s="15">
        <v>61555</v>
      </c>
      <c r="N508" s="15" t="s">
        <v>33</v>
      </c>
      <c r="O508" s="15">
        <v>0.49315068493150682</v>
      </c>
      <c r="P508" s="15" t="s">
        <v>1862</v>
      </c>
      <c r="Q508" s="15">
        <f t="shared" ca="1" si="14"/>
        <v>42</v>
      </c>
      <c r="R508" s="15" t="str">
        <f t="shared" si="15"/>
        <v>Medium</v>
      </c>
    </row>
    <row r="509" spans="1:18" s="15" customFormat="1" x14ac:dyDescent="0.3">
      <c r="A509" s="15" t="s">
        <v>1148</v>
      </c>
      <c r="B509" s="15" t="s">
        <v>1149</v>
      </c>
      <c r="C509" s="15" t="s">
        <v>762</v>
      </c>
      <c r="D509" s="15" t="s">
        <v>17</v>
      </c>
      <c r="E509" s="15" t="s">
        <v>18</v>
      </c>
      <c r="F509" s="15" t="s">
        <v>19</v>
      </c>
      <c r="G509" s="15" t="s">
        <v>30</v>
      </c>
      <c r="H509" s="16">
        <v>34292</v>
      </c>
      <c r="I509" s="16">
        <v>45463</v>
      </c>
      <c r="J509" s="16">
        <v>45643</v>
      </c>
      <c r="K509" s="15" t="s">
        <v>51</v>
      </c>
      <c r="L509" s="15" t="s">
        <v>233</v>
      </c>
      <c r="M509" s="15">
        <v>69086</v>
      </c>
      <c r="N509" s="15" t="s">
        <v>44</v>
      </c>
      <c r="O509" s="15">
        <v>8.2602739726027394</v>
      </c>
      <c r="P509" s="15" t="s">
        <v>1862</v>
      </c>
      <c r="Q509" s="15">
        <f t="shared" ca="1" si="14"/>
        <v>32</v>
      </c>
      <c r="R509" s="15" t="str">
        <f t="shared" si="15"/>
        <v>Medium</v>
      </c>
    </row>
    <row r="510" spans="1:18" s="15" customFormat="1" x14ac:dyDescent="0.3">
      <c r="A510" s="15" t="s">
        <v>1150</v>
      </c>
      <c r="B510" s="15" t="s">
        <v>452</v>
      </c>
      <c r="C510" s="15" t="s">
        <v>642</v>
      </c>
      <c r="D510" s="15" t="s">
        <v>27</v>
      </c>
      <c r="E510" s="15" t="s">
        <v>18</v>
      </c>
      <c r="F510" s="15" t="s">
        <v>19</v>
      </c>
      <c r="G510" s="15" t="s">
        <v>112</v>
      </c>
      <c r="H510" s="16">
        <v>32588</v>
      </c>
      <c r="I510" s="16">
        <v>43979</v>
      </c>
      <c r="J510" s="16">
        <v>44159</v>
      </c>
      <c r="K510" s="15" t="s">
        <v>94</v>
      </c>
      <c r="L510" s="15" t="s">
        <v>122</v>
      </c>
      <c r="M510" s="15">
        <v>79231</v>
      </c>
      <c r="N510" s="15" t="s">
        <v>96</v>
      </c>
      <c r="O510" s="15">
        <v>5.2630136986301368</v>
      </c>
      <c r="P510" s="15" t="s">
        <v>1862</v>
      </c>
      <c r="Q510" s="15">
        <f t="shared" ca="1" si="14"/>
        <v>36</v>
      </c>
      <c r="R510" s="15" t="str">
        <f t="shared" si="15"/>
        <v>Medium</v>
      </c>
    </row>
    <row r="511" spans="1:18" s="15" customFormat="1" x14ac:dyDescent="0.3">
      <c r="A511" s="15" t="s">
        <v>1151</v>
      </c>
      <c r="B511" s="15" t="s">
        <v>1152</v>
      </c>
      <c r="C511" s="15" t="s">
        <v>308</v>
      </c>
      <c r="D511" s="15" t="s">
        <v>27</v>
      </c>
      <c r="E511" s="15" t="s">
        <v>28</v>
      </c>
      <c r="F511" s="15" t="s">
        <v>282</v>
      </c>
      <c r="G511" s="15" t="s">
        <v>112</v>
      </c>
      <c r="H511" s="16">
        <v>36265</v>
      </c>
      <c r="I511" s="16">
        <v>43163</v>
      </c>
      <c r="J511" s="16">
        <v>44404</v>
      </c>
      <c r="K511" s="15" t="s">
        <v>94</v>
      </c>
      <c r="L511" s="15" t="s">
        <v>122</v>
      </c>
      <c r="M511" s="15">
        <v>77094</v>
      </c>
      <c r="N511" s="15" t="s">
        <v>96</v>
      </c>
      <c r="O511" s="15">
        <v>4.8958904109589039</v>
      </c>
      <c r="P511" s="15" t="s">
        <v>1862</v>
      </c>
      <c r="Q511" s="15">
        <f t="shared" ca="1" si="14"/>
        <v>26</v>
      </c>
      <c r="R511" s="15" t="str">
        <f t="shared" si="15"/>
        <v>Medium</v>
      </c>
    </row>
    <row r="512" spans="1:18" s="15" customFormat="1" x14ac:dyDescent="0.3">
      <c r="A512" s="15" t="s">
        <v>1153</v>
      </c>
      <c r="B512" s="15" t="s">
        <v>206</v>
      </c>
      <c r="C512" s="15" t="s">
        <v>1154</v>
      </c>
      <c r="D512" s="15" t="s">
        <v>27</v>
      </c>
      <c r="E512" s="15" t="s">
        <v>18</v>
      </c>
      <c r="F512" s="15" t="s">
        <v>19</v>
      </c>
      <c r="G512" s="15" t="s">
        <v>30</v>
      </c>
      <c r="H512" s="16">
        <v>34672</v>
      </c>
      <c r="I512" s="16">
        <v>45345</v>
      </c>
      <c r="J512" s="16">
        <v>45525</v>
      </c>
      <c r="K512" s="15" t="s">
        <v>31</v>
      </c>
      <c r="L512" s="15" t="s">
        <v>83</v>
      </c>
      <c r="M512" s="15">
        <v>63722</v>
      </c>
      <c r="N512" s="15" t="s">
        <v>33</v>
      </c>
      <c r="O512" s="15">
        <v>1.9753424657534251</v>
      </c>
      <c r="P512" s="15" t="s">
        <v>1862</v>
      </c>
      <c r="Q512" s="15">
        <f t="shared" ca="1" si="14"/>
        <v>31</v>
      </c>
      <c r="R512" s="15" t="str">
        <f t="shared" si="15"/>
        <v>Medium</v>
      </c>
    </row>
    <row r="513" spans="1:18" s="15" customFormat="1" x14ac:dyDescent="0.3">
      <c r="A513" s="15" t="s">
        <v>1155</v>
      </c>
      <c r="B513" s="15" t="s">
        <v>213</v>
      </c>
      <c r="C513" s="15" t="s">
        <v>89</v>
      </c>
      <c r="D513" s="15" t="s">
        <v>27</v>
      </c>
      <c r="E513" s="15" t="s">
        <v>18</v>
      </c>
      <c r="F513" s="15" t="s">
        <v>19</v>
      </c>
      <c r="G513" s="15" t="s">
        <v>30</v>
      </c>
      <c r="H513" s="16">
        <v>29699</v>
      </c>
      <c r="I513" s="16">
        <v>42922</v>
      </c>
      <c r="J513" s="16">
        <v>43102</v>
      </c>
      <c r="K513" s="15" t="s">
        <v>94</v>
      </c>
      <c r="L513" s="15" t="s">
        <v>182</v>
      </c>
      <c r="M513" s="15">
        <v>70989</v>
      </c>
      <c r="N513" s="15" t="s">
        <v>96</v>
      </c>
      <c r="O513" s="15">
        <v>2.2739726027397258</v>
      </c>
      <c r="P513" s="15" t="s">
        <v>1862</v>
      </c>
      <c r="Q513" s="15">
        <f t="shared" ca="1" si="14"/>
        <v>44</v>
      </c>
      <c r="R513" s="15" t="str">
        <f t="shared" si="15"/>
        <v>Medium</v>
      </c>
    </row>
    <row r="514" spans="1:18" s="15" customFormat="1" x14ac:dyDescent="0.3">
      <c r="A514" s="15" t="s">
        <v>1156</v>
      </c>
      <c r="B514" s="15" t="s">
        <v>803</v>
      </c>
      <c r="C514" s="15" t="s">
        <v>1089</v>
      </c>
      <c r="D514" s="15" t="s">
        <v>17</v>
      </c>
      <c r="E514" s="15" t="s">
        <v>120</v>
      </c>
      <c r="F514" s="15" t="s">
        <v>121</v>
      </c>
      <c r="G514" s="15" t="s">
        <v>30</v>
      </c>
      <c r="H514" s="16">
        <v>34832</v>
      </c>
      <c r="I514" s="16">
        <v>42409</v>
      </c>
      <c r="J514" s="16">
        <v>42589</v>
      </c>
      <c r="K514" s="15" t="s">
        <v>94</v>
      </c>
      <c r="L514" s="15" t="s">
        <v>182</v>
      </c>
      <c r="M514" s="15">
        <v>65299</v>
      </c>
      <c r="N514" s="15" t="s">
        <v>33</v>
      </c>
      <c r="O514" s="15">
        <v>7.1424657534246574</v>
      </c>
      <c r="P514" s="15" t="s">
        <v>1862</v>
      </c>
      <c r="Q514" s="15">
        <f t="shared" ref="Q514:Q577" ca="1" si="16">DATEDIF(H514, TODAY(), "Y")</f>
        <v>30</v>
      </c>
      <c r="R514" s="15" t="str">
        <f t="shared" si="15"/>
        <v>Medium</v>
      </c>
    </row>
    <row r="515" spans="1:18" s="15" customFormat="1" x14ac:dyDescent="0.3">
      <c r="A515" s="15" t="s">
        <v>1157</v>
      </c>
      <c r="B515" s="15" t="s">
        <v>140</v>
      </c>
      <c r="C515" s="15" t="s">
        <v>1158</v>
      </c>
      <c r="D515" s="15" t="s">
        <v>17</v>
      </c>
      <c r="E515" s="15" t="s">
        <v>81</v>
      </c>
      <c r="F515" s="15" t="s">
        <v>82</v>
      </c>
      <c r="G515" s="15" t="s">
        <v>20</v>
      </c>
      <c r="H515" s="16">
        <v>31627</v>
      </c>
      <c r="I515" s="16">
        <v>42418</v>
      </c>
      <c r="J515" s="16">
        <v>44298</v>
      </c>
      <c r="K515" s="15" t="s">
        <v>31</v>
      </c>
      <c r="L515" s="15" t="s">
        <v>83</v>
      </c>
      <c r="M515" s="15">
        <v>61437</v>
      </c>
      <c r="N515" s="15" t="s">
        <v>23</v>
      </c>
      <c r="O515" s="15">
        <v>0.49315068493150682</v>
      </c>
      <c r="P515" s="15" t="s">
        <v>1862</v>
      </c>
      <c r="Q515" s="15">
        <f t="shared" ca="1" si="16"/>
        <v>39</v>
      </c>
      <c r="R515" s="15" t="str">
        <f t="shared" ref="R515:R578" si="17">IF(M515:M1480&gt;100000,"High",IF(M515:M1480&gt;60000,"Medium","Low"))</f>
        <v>Medium</v>
      </c>
    </row>
    <row r="516" spans="1:18" s="15" customFormat="1" x14ac:dyDescent="0.3">
      <c r="A516" s="15" t="s">
        <v>1159</v>
      </c>
      <c r="B516" s="15" t="s">
        <v>783</v>
      </c>
      <c r="C516" s="15" t="s">
        <v>719</v>
      </c>
      <c r="D516" s="15" t="s">
        <v>27</v>
      </c>
      <c r="E516" s="15" t="s">
        <v>18</v>
      </c>
      <c r="F516" s="15" t="s">
        <v>19</v>
      </c>
      <c r="G516" s="15" t="s">
        <v>30</v>
      </c>
      <c r="H516" s="16">
        <v>26203</v>
      </c>
      <c r="I516" s="16">
        <v>45397</v>
      </c>
      <c r="J516" s="16">
        <v>45577</v>
      </c>
      <c r="K516" s="15" t="s">
        <v>37</v>
      </c>
      <c r="L516" s="15" t="s">
        <v>41</v>
      </c>
      <c r="M516" s="15">
        <v>61847</v>
      </c>
      <c r="N516" s="15" t="s">
        <v>33</v>
      </c>
      <c r="O516" s="15">
        <v>2.1808219178082191</v>
      </c>
      <c r="P516" s="15" t="s">
        <v>1862</v>
      </c>
      <c r="Q516" s="15">
        <f t="shared" ca="1" si="16"/>
        <v>54</v>
      </c>
      <c r="R516" s="15" t="str">
        <f t="shared" si="17"/>
        <v>Medium</v>
      </c>
    </row>
    <row r="517" spans="1:18" s="15" customFormat="1" x14ac:dyDescent="0.3">
      <c r="A517" s="15" t="s">
        <v>1160</v>
      </c>
      <c r="B517" s="15" t="s">
        <v>225</v>
      </c>
      <c r="C517" s="15" t="s">
        <v>1161</v>
      </c>
      <c r="D517" s="15" t="s">
        <v>27</v>
      </c>
      <c r="E517" s="15" t="s">
        <v>18</v>
      </c>
      <c r="F517" s="15" t="s">
        <v>19</v>
      </c>
      <c r="G517" s="15" t="s">
        <v>30</v>
      </c>
      <c r="H517" s="16">
        <v>35521</v>
      </c>
      <c r="I517" s="16">
        <v>44519</v>
      </c>
      <c r="J517" s="16">
        <v>44699</v>
      </c>
      <c r="K517" s="15" t="s">
        <v>51</v>
      </c>
      <c r="L517" s="15" t="s">
        <v>52</v>
      </c>
      <c r="M517" s="15">
        <v>64667</v>
      </c>
      <c r="N517" s="15" t="s">
        <v>33</v>
      </c>
      <c r="O517" s="15">
        <v>1.043835616438356</v>
      </c>
      <c r="P517" s="15" t="s">
        <v>1862</v>
      </c>
      <c r="Q517" s="15">
        <f t="shared" ca="1" si="16"/>
        <v>28</v>
      </c>
      <c r="R517" s="15" t="str">
        <f t="shared" si="17"/>
        <v>Medium</v>
      </c>
    </row>
    <row r="518" spans="1:18" s="15" customFormat="1" x14ac:dyDescent="0.3">
      <c r="A518" s="15" t="s">
        <v>1162</v>
      </c>
      <c r="B518" s="15" t="s">
        <v>1100</v>
      </c>
      <c r="C518" s="15" t="s">
        <v>1163</v>
      </c>
      <c r="D518" s="15" t="s">
        <v>17</v>
      </c>
      <c r="E518" s="15" t="s">
        <v>18</v>
      </c>
      <c r="F518" s="15" t="s">
        <v>19</v>
      </c>
      <c r="G518" s="15" t="s">
        <v>30</v>
      </c>
      <c r="H518" s="16">
        <v>26784</v>
      </c>
      <c r="I518" s="16">
        <v>42091</v>
      </c>
      <c r="J518" s="16">
        <v>43489</v>
      </c>
      <c r="K518" s="15" t="s">
        <v>31</v>
      </c>
      <c r="L518" s="15" t="s">
        <v>83</v>
      </c>
      <c r="M518" s="15">
        <v>56478</v>
      </c>
      <c r="N518" s="15" t="s">
        <v>33</v>
      </c>
      <c r="O518" s="15">
        <v>4.3561643835616426</v>
      </c>
      <c r="P518" s="15" t="s">
        <v>1862</v>
      </c>
      <c r="Q518" s="15">
        <f t="shared" ca="1" si="16"/>
        <v>52</v>
      </c>
      <c r="R518" s="15" t="str">
        <f t="shared" si="17"/>
        <v>Low</v>
      </c>
    </row>
    <row r="519" spans="1:18" s="15" customFormat="1" x14ac:dyDescent="0.3">
      <c r="A519" s="15" t="s">
        <v>1164</v>
      </c>
      <c r="B519" s="15" t="s">
        <v>206</v>
      </c>
      <c r="C519" s="15" t="s">
        <v>1165</v>
      </c>
      <c r="D519" s="15" t="s">
        <v>27</v>
      </c>
      <c r="E519" s="15" t="s">
        <v>81</v>
      </c>
      <c r="F519" s="15" t="s">
        <v>82</v>
      </c>
      <c r="G519" s="15" t="s">
        <v>20</v>
      </c>
      <c r="H519" s="16">
        <v>31142</v>
      </c>
      <c r="I519" s="16">
        <v>43461</v>
      </c>
      <c r="J519" s="16">
        <v>43641</v>
      </c>
      <c r="K519" s="15" t="s">
        <v>70</v>
      </c>
      <c r="L519" s="15" t="s">
        <v>1166</v>
      </c>
      <c r="M519" s="15">
        <v>60533</v>
      </c>
      <c r="N519" s="15" t="s">
        <v>23</v>
      </c>
      <c r="O519" s="15">
        <v>0.49315068493150682</v>
      </c>
      <c r="P519" s="15" t="s">
        <v>1862</v>
      </c>
      <c r="Q519" s="15">
        <f t="shared" ca="1" si="16"/>
        <v>40</v>
      </c>
      <c r="R519" s="15" t="str">
        <f t="shared" si="17"/>
        <v>Medium</v>
      </c>
    </row>
    <row r="520" spans="1:18" s="15" customFormat="1" x14ac:dyDescent="0.3">
      <c r="A520" s="15" t="s">
        <v>1167</v>
      </c>
      <c r="B520" s="15" t="s">
        <v>235</v>
      </c>
      <c r="C520" s="15" t="s">
        <v>291</v>
      </c>
      <c r="D520" s="15" t="s">
        <v>17</v>
      </c>
      <c r="E520" s="15" t="s">
        <v>28</v>
      </c>
      <c r="F520" s="15" t="s">
        <v>282</v>
      </c>
      <c r="G520" s="15" t="s">
        <v>20</v>
      </c>
      <c r="H520" s="16">
        <v>26081</v>
      </c>
      <c r="I520" s="16">
        <v>42930</v>
      </c>
      <c r="J520" s="16">
        <v>43110</v>
      </c>
      <c r="K520" s="15" t="s">
        <v>21</v>
      </c>
      <c r="L520" s="15" t="s">
        <v>22</v>
      </c>
      <c r="M520" s="15">
        <v>61689</v>
      </c>
      <c r="N520" s="15" t="s">
        <v>23</v>
      </c>
      <c r="O520" s="15">
        <v>0.49315068493150682</v>
      </c>
      <c r="P520" s="15" t="s">
        <v>1862</v>
      </c>
      <c r="Q520" s="15">
        <f t="shared" ca="1" si="16"/>
        <v>54</v>
      </c>
      <c r="R520" s="15" t="str">
        <f t="shared" si="17"/>
        <v>Medium</v>
      </c>
    </row>
    <row r="521" spans="1:18" s="15" customFormat="1" x14ac:dyDescent="0.3">
      <c r="A521" s="15" t="s">
        <v>1168</v>
      </c>
      <c r="B521" s="15" t="s">
        <v>1169</v>
      </c>
      <c r="C521" s="15" t="s">
        <v>796</v>
      </c>
      <c r="D521" s="15" t="s">
        <v>17</v>
      </c>
      <c r="E521" s="15" t="s">
        <v>18</v>
      </c>
      <c r="F521" s="15" t="s">
        <v>19</v>
      </c>
      <c r="G521" s="15" t="s">
        <v>30</v>
      </c>
      <c r="H521" s="16">
        <v>27015</v>
      </c>
      <c r="I521" s="16">
        <v>44228</v>
      </c>
      <c r="J521" s="16">
        <v>44408</v>
      </c>
      <c r="K521" s="15" t="s">
        <v>65</v>
      </c>
      <c r="L521" s="15" t="s">
        <v>728</v>
      </c>
      <c r="M521" s="15">
        <v>98920</v>
      </c>
      <c r="N521" s="15" t="s">
        <v>96</v>
      </c>
      <c r="O521" s="15">
        <v>0.49315068493150682</v>
      </c>
      <c r="P521" s="15" t="s">
        <v>1862</v>
      </c>
      <c r="Q521" s="15">
        <f t="shared" ca="1" si="16"/>
        <v>52</v>
      </c>
      <c r="R521" s="15" t="str">
        <f t="shared" si="17"/>
        <v>Medium</v>
      </c>
    </row>
    <row r="522" spans="1:18" s="15" customFormat="1" x14ac:dyDescent="0.3">
      <c r="A522" s="15" t="s">
        <v>1170</v>
      </c>
      <c r="B522" s="15" t="s">
        <v>551</v>
      </c>
      <c r="C522" s="15" t="s">
        <v>16</v>
      </c>
      <c r="D522" s="15" t="s">
        <v>27</v>
      </c>
      <c r="E522" s="15" t="s">
        <v>18</v>
      </c>
      <c r="F522" s="15" t="s">
        <v>19</v>
      </c>
      <c r="G522" s="15" t="s">
        <v>112</v>
      </c>
      <c r="H522" s="16">
        <v>25822</v>
      </c>
      <c r="I522" s="16">
        <v>43097</v>
      </c>
      <c r="J522" s="16">
        <v>45095</v>
      </c>
      <c r="K522" s="15" t="s">
        <v>31</v>
      </c>
      <c r="L522" s="15" t="s">
        <v>32</v>
      </c>
      <c r="M522" s="15">
        <v>68864</v>
      </c>
      <c r="N522" s="15" t="s">
        <v>96</v>
      </c>
      <c r="O522" s="15">
        <v>0.49315068493150682</v>
      </c>
      <c r="P522" s="15" t="s">
        <v>1862</v>
      </c>
      <c r="Q522" s="15">
        <f t="shared" ca="1" si="16"/>
        <v>55</v>
      </c>
      <c r="R522" s="15" t="str">
        <f t="shared" si="17"/>
        <v>Medium</v>
      </c>
    </row>
    <row r="523" spans="1:18" s="15" customFormat="1" x14ac:dyDescent="0.3">
      <c r="A523" s="15" t="s">
        <v>1171</v>
      </c>
      <c r="B523" s="15" t="s">
        <v>680</v>
      </c>
      <c r="C523" s="15" t="s">
        <v>574</v>
      </c>
      <c r="D523" s="15" t="s">
        <v>27</v>
      </c>
      <c r="E523" s="15" t="s">
        <v>18</v>
      </c>
      <c r="F523" s="15" t="s">
        <v>19</v>
      </c>
      <c r="G523" s="15" t="s">
        <v>30</v>
      </c>
      <c r="H523" s="16">
        <v>34376</v>
      </c>
      <c r="I523" s="16">
        <v>45057</v>
      </c>
      <c r="J523" s="16">
        <v>45237</v>
      </c>
      <c r="K523" s="15" t="s">
        <v>37</v>
      </c>
      <c r="L523" s="15" t="s">
        <v>38</v>
      </c>
      <c r="M523" s="15">
        <v>68092</v>
      </c>
      <c r="N523" s="15" t="s">
        <v>33</v>
      </c>
      <c r="O523" s="15">
        <v>3.8219178082191778</v>
      </c>
      <c r="P523" s="15" t="s">
        <v>1862</v>
      </c>
      <c r="Q523" s="15">
        <f t="shared" ca="1" si="16"/>
        <v>31</v>
      </c>
      <c r="R523" s="15" t="str">
        <f t="shared" si="17"/>
        <v>Medium</v>
      </c>
    </row>
    <row r="524" spans="1:18" s="15" customFormat="1" x14ac:dyDescent="0.3">
      <c r="A524" s="15" t="s">
        <v>1172</v>
      </c>
      <c r="B524" s="15" t="s">
        <v>1173</v>
      </c>
      <c r="C524" s="15" t="s">
        <v>26</v>
      </c>
      <c r="D524" s="15" t="s">
        <v>27</v>
      </c>
      <c r="E524" s="15" t="s">
        <v>18</v>
      </c>
      <c r="F524" s="15" t="s">
        <v>19</v>
      </c>
      <c r="G524" s="15" t="s">
        <v>30</v>
      </c>
      <c r="H524" s="16">
        <v>35281</v>
      </c>
      <c r="I524" s="16">
        <v>43577</v>
      </c>
      <c r="J524" s="16">
        <v>43757</v>
      </c>
      <c r="K524" s="15" t="s">
        <v>37</v>
      </c>
      <c r="L524" s="15" t="s">
        <v>38</v>
      </c>
      <c r="M524" s="15">
        <v>67357</v>
      </c>
      <c r="N524" s="15" t="s">
        <v>33</v>
      </c>
      <c r="O524" s="15">
        <v>8.3534246575342461</v>
      </c>
      <c r="P524" s="15" t="s">
        <v>1862</v>
      </c>
      <c r="Q524" s="15">
        <f t="shared" ca="1" si="16"/>
        <v>29</v>
      </c>
      <c r="R524" s="15" t="str">
        <f t="shared" si="17"/>
        <v>Medium</v>
      </c>
    </row>
    <row r="525" spans="1:18" s="15" customFormat="1" x14ac:dyDescent="0.3">
      <c r="A525" s="15" t="s">
        <v>1174</v>
      </c>
      <c r="B525" s="15" t="s">
        <v>295</v>
      </c>
      <c r="C525" s="15" t="s">
        <v>243</v>
      </c>
      <c r="D525" s="15" t="s">
        <v>27</v>
      </c>
      <c r="E525" s="15" t="s">
        <v>18</v>
      </c>
      <c r="F525" s="15" t="s">
        <v>19</v>
      </c>
      <c r="G525" s="15" t="s">
        <v>112</v>
      </c>
      <c r="H525" s="16">
        <v>33842</v>
      </c>
      <c r="I525" s="16">
        <v>43788</v>
      </c>
      <c r="J525" s="16">
        <v>44360</v>
      </c>
      <c r="K525" s="15" t="s">
        <v>51</v>
      </c>
      <c r="L525" s="15" t="s">
        <v>233</v>
      </c>
      <c r="M525" s="15">
        <v>82596</v>
      </c>
      <c r="N525" s="15" t="s">
        <v>33</v>
      </c>
      <c r="O525" s="15">
        <v>0.80821917808219179</v>
      </c>
      <c r="P525" s="15" t="s">
        <v>1862</v>
      </c>
      <c r="Q525" s="15">
        <f t="shared" ca="1" si="16"/>
        <v>33</v>
      </c>
      <c r="R525" s="15" t="str">
        <f t="shared" si="17"/>
        <v>Medium</v>
      </c>
    </row>
    <row r="526" spans="1:18" s="15" customFormat="1" x14ac:dyDescent="0.3">
      <c r="A526" s="15" t="s">
        <v>1175</v>
      </c>
      <c r="B526" s="15" t="s">
        <v>1176</v>
      </c>
      <c r="C526" s="15" t="s">
        <v>768</v>
      </c>
      <c r="D526" s="15" t="s">
        <v>17</v>
      </c>
      <c r="E526" s="15" t="s">
        <v>137</v>
      </c>
      <c r="F526" s="15" t="s">
        <v>595</v>
      </c>
      <c r="G526" s="15" t="s">
        <v>20</v>
      </c>
      <c r="H526" s="16">
        <v>34037</v>
      </c>
      <c r="I526" s="16">
        <v>43275</v>
      </c>
      <c r="J526" s="16">
        <v>44456</v>
      </c>
      <c r="K526" s="15" t="s">
        <v>21</v>
      </c>
      <c r="L526" s="15" t="s">
        <v>22</v>
      </c>
      <c r="M526" s="15">
        <v>64487</v>
      </c>
      <c r="N526" s="15" t="s">
        <v>23</v>
      </c>
      <c r="O526" s="15">
        <v>0.49315068493150682</v>
      </c>
      <c r="P526" s="15" t="s">
        <v>1862</v>
      </c>
      <c r="Q526" s="15">
        <f t="shared" ca="1" si="16"/>
        <v>32</v>
      </c>
      <c r="R526" s="15" t="str">
        <f t="shared" si="17"/>
        <v>Medium</v>
      </c>
    </row>
    <row r="527" spans="1:18" s="15" customFormat="1" x14ac:dyDescent="0.3">
      <c r="A527" s="15" t="s">
        <v>1177</v>
      </c>
      <c r="B527" s="15" t="s">
        <v>597</v>
      </c>
      <c r="C527" s="15" t="s">
        <v>1178</v>
      </c>
      <c r="D527" s="15" t="s">
        <v>17</v>
      </c>
      <c r="E527" s="15" t="s">
        <v>18</v>
      </c>
      <c r="F527" s="15" t="s">
        <v>19</v>
      </c>
      <c r="G527" s="15" t="s">
        <v>30</v>
      </c>
      <c r="H527" s="16">
        <v>30881</v>
      </c>
      <c r="I527" s="16">
        <v>44569</v>
      </c>
      <c r="J527" s="16">
        <v>44749</v>
      </c>
      <c r="K527" s="15" t="s">
        <v>37</v>
      </c>
      <c r="L527" s="15" t="s">
        <v>41</v>
      </c>
      <c r="M527" s="15">
        <v>65346</v>
      </c>
      <c r="N527" s="15" t="s">
        <v>33</v>
      </c>
      <c r="O527" s="15">
        <v>6.6109589041095891</v>
      </c>
      <c r="P527" s="15" t="s">
        <v>1862</v>
      </c>
      <c r="Q527" s="15">
        <f t="shared" ca="1" si="16"/>
        <v>41</v>
      </c>
      <c r="R527" s="15" t="str">
        <f t="shared" si="17"/>
        <v>Medium</v>
      </c>
    </row>
    <row r="528" spans="1:18" s="15" customFormat="1" x14ac:dyDescent="0.3">
      <c r="A528" s="15" t="s">
        <v>1179</v>
      </c>
      <c r="B528" s="15" t="s">
        <v>422</v>
      </c>
      <c r="C528" s="15" t="s">
        <v>553</v>
      </c>
      <c r="D528" s="15" t="s">
        <v>17</v>
      </c>
      <c r="E528" s="15" t="s">
        <v>18</v>
      </c>
      <c r="F528" s="15" t="s">
        <v>19</v>
      </c>
      <c r="G528" s="15" t="s">
        <v>30</v>
      </c>
      <c r="H528" s="16">
        <v>37750</v>
      </c>
      <c r="I528" s="16">
        <v>44775</v>
      </c>
      <c r="J528" s="16">
        <v>45514</v>
      </c>
      <c r="K528" s="15" t="s">
        <v>31</v>
      </c>
      <c r="L528" s="15" t="s">
        <v>83</v>
      </c>
      <c r="M528" s="15">
        <v>52574</v>
      </c>
      <c r="N528" s="15" t="s">
        <v>33</v>
      </c>
      <c r="O528" s="15">
        <v>2.5643835616438362</v>
      </c>
      <c r="P528" s="15" t="s">
        <v>1862</v>
      </c>
      <c r="Q528" s="15">
        <f t="shared" ca="1" si="16"/>
        <v>22</v>
      </c>
      <c r="R528" s="15" t="str">
        <f t="shared" si="17"/>
        <v>Low</v>
      </c>
    </row>
    <row r="529" spans="1:18" s="15" customFormat="1" x14ac:dyDescent="0.3">
      <c r="A529" s="15" t="s">
        <v>1180</v>
      </c>
      <c r="B529" s="15" t="s">
        <v>1181</v>
      </c>
      <c r="C529" s="15" t="s">
        <v>678</v>
      </c>
      <c r="D529" s="15" t="s">
        <v>27</v>
      </c>
      <c r="E529" s="15" t="s">
        <v>137</v>
      </c>
      <c r="F529" s="15" t="s">
        <v>138</v>
      </c>
      <c r="G529" s="15" t="s">
        <v>30</v>
      </c>
      <c r="H529" s="16">
        <v>30924</v>
      </c>
      <c r="I529" s="16">
        <v>43265</v>
      </c>
      <c r="J529" s="16">
        <v>43445</v>
      </c>
      <c r="K529" s="15" t="s">
        <v>37</v>
      </c>
      <c r="L529" s="15" t="s">
        <v>41</v>
      </c>
      <c r="M529" s="15">
        <v>62945</v>
      </c>
      <c r="N529" s="15" t="s">
        <v>33</v>
      </c>
      <c r="O529" s="15">
        <v>0.77534246575342469</v>
      </c>
      <c r="P529" s="15" t="s">
        <v>1862</v>
      </c>
      <c r="Q529" s="15">
        <f t="shared" ca="1" si="16"/>
        <v>41</v>
      </c>
      <c r="R529" s="15" t="str">
        <f t="shared" si="17"/>
        <v>Medium</v>
      </c>
    </row>
    <row r="530" spans="1:18" s="15" customFormat="1" x14ac:dyDescent="0.3">
      <c r="A530" s="15" t="s">
        <v>1182</v>
      </c>
      <c r="B530" s="15" t="s">
        <v>157</v>
      </c>
      <c r="C530" s="15" t="s">
        <v>1050</v>
      </c>
      <c r="D530" s="15" t="s">
        <v>27</v>
      </c>
      <c r="E530" s="15" t="s">
        <v>18</v>
      </c>
      <c r="F530" s="15" t="s">
        <v>19</v>
      </c>
      <c r="G530" s="15" t="s">
        <v>30</v>
      </c>
      <c r="H530" s="16">
        <v>21762</v>
      </c>
      <c r="I530" s="16">
        <v>43582</v>
      </c>
      <c r="J530" s="16">
        <v>44068</v>
      </c>
      <c r="K530" s="15" t="s">
        <v>65</v>
      </c>
      <c r="L530" s="15" t="s">
        <v>66</v>
      </c>
      <c r="M530" s="15">
        <v>91080</v>
      </c>
      <c r="N530" s="15" t="s">
        <v>96</v>
      </c>
      <c r="O530" s="15">
        <v>1.731506849315068</v>
      </c>
      <c r="P530" s="15" t="s">
        <v>1862</v>
      </c>
      <c r="Q530" s="15">
        <f t="shared" ca="1" si="16"/>
        <v>66</v>
      </c>
      <c r="R530" s="15" t="str">
        <f t="shared" si="17"/>
        <v>Medium</v>
      </c>
    </row>
    <row r="531" spans="1:18" s="15" customFormat="1" x14ac:dyDescent="0.3">
      <c r="A531" s="15" t="s">
        <v>1183</v>
      </c>
      <c r="B531" s="15" t="s">
        <v>76</v>
      </c>
      <c r="C531" s="15" t="s">
        <v>201</v>
      </c>
      <c r="D531" s="15" t="s">
        <v>17</v>
      </c>
      <c r="E531" s="15" t="s">
        <v>18</v>
      </c>
      <c r="F531" s="15" t="s">
        <v>19</v>
      </c>
      <c r="G531" s="15" t="s">
        <v>20</v>
      </c>
      <c r="H531" s="16">
        <v>33100</v>
      </c>
      <c r="I531" s="16">
        <v>42984</v>
      </c>
      <c r="J531" s="16">
        <v>43164</v>
      </c>
      <c r="K531" s="15" t="s">
        <v>65</v>
      </c>
      <c r="L531" s="15" t="s">
        <v>131</v>
      </c>
      <c r="M531" s="15">
        <v>60358</v>
      </c>
      <c r="N531" s="15" t="s">
        <v>23</v>
      </c>
      <c r="O531" s="15">
        <v>4.6054794520547944</v>
      </c>
      <c r="P531" s="15" t="s">
        <v>1862</v>
      </c>
      <c r="Q531" s="15">
        <f t="shared" ca="1" si="16"/>
        <v>35</v>
      </c>
      <c r="R531" s="15" t="str">
        <f t="shared" si="17"/>
        <v>Medium</v>
      </c>
    </row>
    <row r="532" spans="1:18" s="15" customFormat="1" x14ac:dyDescent="0.3">
      <c r="A532" s="15" t="s">
        <v>1184</v>
      </c>
      <c r="B532" s="15" t="s">
        <v>397</v>
      </c>
      <c r="C532" s="15" t="s">
        <v>1185</v>
      </c>
      <c r="D532" s="15" t="s">
        <v>27</v>
      </c>
      <c r="E532" s="15" t="s">
        <v>18</v>
      </c>
      <c r="F532" s="15" t="s">
        <v>19</v>
      </c>
      <c r="G532" s="15" t="s">
        <v>30</v>
      </c>
      <c r="H532" s="16">
        <v>34961</v>
      </c>
      <c r="I532" s="16">
        <v>43509</v>
      </c>
      <c r="J532" s="16">
        <v>43689</v>
      </c>
      <c r="K532" s="15" t="s">
        <v>37</v>
      </c>
      <c r="L532" s="15" t="s">
        <v>38</v>
      </c>
      <c r="M532" s="15">
        <v>69470</v>
      </c>
      <c r="N532" s="15" t="s">
        <v>44</v>
      </c>
      <c r="O532" s="15">
        <v>8.4164383561643827</v>
      </c>
      <c r="P532" s="15" t="s">
        <v>1861</v>
      </c>
      <c r="Q532" s="15">
        <f t="shared" ca="1" si="16"/>
        <v>30</v>
      </c>
      <c r="R532" s="15" t="str">
        <f t="shared" si="17"/>
        <v>Medium</v>
      </c>
    </row>
    <row r="533" spans="1:18" s="15" customFormat="1" x14ac:dyDescent="0.3">
      <c r="A533" s="15" t="s">
        <v>1186</v>
      </c>
      <c r="B533" s="15" t="s">
        <v>268</v>
      </c>
      <c r="C533" s="15" t="s">
        <v>1187</v>
      </c>
      <c r="D533" s="15" t="s">
        <v>27</v>
      </c>
      <c r="E533" s="15" t="s">
        <v>18</v>
      </c>
      <c r="F533" s="15" t="s">
        <v>19</v>
      </c>
      <c r="G533" s="15" t="s">
        <v>20</v>
      </c>
      <c r="H533" s="16">
        <v>24815</v>
      </c>
      <c r="I533" s="16">
        <v>43308</v>
      </c>
      <c r="J533" s="16">
        <v>43488</v>
      </c>
      <c r="K533" s="15" t="s">
        <v>21</v>
      </c>
      <c r="L533" s="15" t="s">
        <v>108</v>
      </c>
      <c r="M533" s="15">
        <v>62053</v>
      </c>
      <c r="N533" s="15" t="s">
        <v>23</v>
      </c>
      <c r="O533" s="15">
        <v>8.0684931506849313</v>
      </c>
      <c r="P533" s="15" t="s">
        <v>1861</v>
      </c>
      <c r="Q533" s="15">
        <f t="shared" ca="1" si="16"/>
        <v>58</v>
      </c>
      <c r="R533" s="15" t="str">
        <f t="shared" si="17"/>
        <v>Medium</v>
      </c>
    </row>
    <row r="534" spans="1:18" s="15" customFormat="1" x14ac:dyDescent="0.3">
      <c r="A534" s="15" t="s">
        <v>1188</v>
      </c>
      <c r="B534" s="15" t="s">
        <v>201</v>
      </c>
      <c r="C534" s="15" t="s">
        <v>1189</v>
      </c>
      <c r="D534" s="15" t="s">
        <v>27</v>
      </c>
      <c r="E534" s="15" t="s">
        <v>18</v>
      </c>
      <c r="F534" s="15" t="s">
        <v>19</v>
      </c>
      <c r="G534" s="15" t="s">
        <v>20</v>
      </c>
      <c r="H534" s="16">
        <v>25714</v>
      </c>
      <c r="I534" s="16">
        <v>44655</v>
      </c>
      <c r="J534" s="16">
        <v>44835</v>
      </c>
      <c r="K534" s="15" t="s">
        <v>37</v>
      </c>
      <c r="L534" s="15" t="s">
        <v>41</v>
      </c>
      <c r="M534" s="15">
        <v>67166</v>
      </c>
      <c r="N534" s="15" t="s">
        <v>23</v>
      </c>
      <c r="O534" s="15">
        <v>0.49315068493150682</v>
      </c>
      <c r="P534" s="15" t="s">
        <v>1862</v>
      </c>
      <c r="Q534" s="15">
        <f t="shared" ca="1" si="16"/>
        <v>55</v>
      </c>
      <c r="R534" s="15" t="str">
        <f t="shared" si="17"/>
        <v>Medium</v>
      </c>
    </row>
    <row r="535" spans="1:18" s="15" customFormat="1" x14ac:dyDescent="0.3">
      <c r="A535" s="15" t="s">
        <v>1190</v>
      </c>
      <c r="B535" s="15" t="s">
        <v>140</v>
      </c>
      <c r="C535" s="15" t="s">
        <v>177</v>
      </c>
      <c r="D535" s="15" t="s">
        <v>27</v>
      </c>
      <c r="E535" s="15" t="s">
        <v>656</v>
      </c>
      <c r="F535" s="15" t="s">
        <v>720</v>
      </c>
      <c r="G535" s="15" t="s">
        <v>112</v>
      </c>
      <c r="H535" s="16">
        <v>34776</v>
      </c>
      <c r="I535" s="16">
        <v>43831</v>
      </c>
      <c r="J535" s="16">
        <v>45567</v>
      </c>
      <c r="K535" s="15" t="s">
        <v>31</v>
      </c>
      <c r="L535" s="15" t="s">
        <v>32</v>
      </c>
      <c r="M535" s="15">
        <v>73800</v>
      </c>
      <c r="N535" s="15" t="s">
        <v>96</v>
      </c>
      <c r="O535" s="15">
        <v>0.49315068493150682</v>
      </c>
      <c r="P535" s="15" t="s">
        <v>1862</v>
      </c>
      <c r="Q535" s="15">
        <f t="shared" ca="1" si="16"/>
        <v>30</v>
      </c>
      <c r="R535" s="15" t="str">
        <f t="shared" si="17"/>
        <v>Medium</v>
      </c>
    </row>
    <row r="536" spans="1:18" s="15" customFormat="1" x14ac:dyDescent="0.3">
      <c r="A536" s="15" t="s">
        <v>1191</v>
      </c>
      <c r="B536" s="15" t="s">
        <v>597</v>
      </c>
      <c r="C536" s="15" t="s">
        <v>201</v>
      </c>
      <c r="D536" s="15" t="s">
        <v>17</v>
      </c>
      <c r="E536" s="15" t="s">
        <v>81</v>
      </c>
      <c r="F536" s="15" t="s">
        <v>82</v>
      </c>
      <c r="G536" s="15" t="s">
        <v>30</v>
      </c>
      <c r="H536" s="16">
        <v>30108</v>
      </c>
      <c r="I536" s="16">
        <v>42531</v>
      </c>
      <c r="J536" s="16">
        <v>45017</v>
      </c>
      <c r="K536" s="15" t="s">
        <v>94</v>
      </c>
      <c r="L536" s="15" t="s">
        <v>122</v>
      </c>
      <c r="M536" s="15">
        <v>95022</v>
      </c>
      <c r="N536" s="15" t="s">
        <v>44</v>
      </c>
      <c r="O536" s="15">
        <v>3.4</v>
      </c>
      <c r="P536" s="15" t="s">
        <v>1862</v>
      </c>
      <c r="Q536" s="15">
        <f t="shared" ca="1" si="16"/>
        <v>43</v>
      </c>
      <c r="R536" s="15" t="str">
        <f t="shared" si="17"/>
        <v>Medium</v>
      </c>
    </row>
    <row r="537" spans="1:18" s="15" customFormat="1" x14ac:dyDescent="0.3">
      <c r="A537" s="15" t="s">
        <v>1192</v>
      </c>
      <c r="B537" s="15" t="s">
        <v>1193</v>
      </c>
      <c r="C537" s="15" t="s">
        <v>1194</v>
      </c>
      <c r="D537" s="15" t="s">
        <v>17</v>
      </c>
      <c r="E537" s="15" t="s">
        <v>81</v>
      </c>
      <c r="F537" s="15" t="s">
        <v>166</v>
      </c>
      <c r="G537" s="15" t="s">
        <v>30</v>
      </c>
      <c r="H537" s="16">
        <v>26915</v>
      </c>
      <c r="I537" s="16">
        <v>43303</v>
      </c>
      <c r="J537" s="16">
        <v>43483</v>
      </c>
      <c r="K537" s="15" t="s">
        <v>94</v>
      </c>
      <c r="L537" s="15" t="s">
        <v>182</v>
      </c>
      <c r="M537" s="15">
        <v>63268</v>
      </c>
      <c r="N537" s="15" t="s">
        <v>44</v>
      </c>
      <c r="O537" s="15">
        <v>0.49315068493150682</v>
      </c>
      <c r="P537" s="15" t="s">
        <v>1862</v>
      </c>
      <c r="Q537" s="15">
        <f t="shared" ca="1" si="16"/>
        <v>52</v>
      </c>
      <c r="R537" s="15" t="str">
        <f t="shared" si="17"/>
        <v>Medium</v>
      </c>
    </row>
    <row r="538" spans="1:18" s="15" customFormat="1" x14ac:dyDescent="0.3">
      <c r="A538" s="15" t="s">
        <v>1195</v>
      </c>
      <c r="B538" s="15" t="s">
        <v>1196</v>
      </c>
      <c r="C538" s="15" t="s">
        <v>301</v>
      </c>
      <c r="D538" s="15" t="s">
        <v>17</v>
      </c>
      <c r="E538" s="15" t="s">
        <v>169</v>
      </c>
      <c r="F538" s="15" t="s">
        <v>335</v>
      </c>
      <c r="G538" s="15" t="s">
        <v>30</v>
      </c>
      <c r="H538" s="16">
        <v>35241</v>
      </c>
      <c r="I538" s="16">
        <v>42209</v>
      </c>
      <c r="J538" s="16">
        <v>44217</v>
      </c>
      <c r="K538" s="15" t="s">
        <v>31</v>
      </c>
      <c r="L538" s="15" t="s">
        <v>159</v>
      </c>
      <c r="M538" s="15">
        <v>84569</v>
      </c>
      <c r="N538" s="15" t="s">
        <v>33</v>
      </c>
      <c r="O538" s="15">
        <v>0.49315068493150682</v>
      </c>
      <c r="P538" s="15" t="s">
        <v>1862</v>
      </c>
      <c r="Q538" s="15">
        <f t="shared" ca="1" si="16"/>
        <v>29</v>
      </c>
      <c r="R538" s="15" t="str">
        <f t="shared" si="17"/>
        <v>Medium</v>
      </c>
    </row>
    <row r="539" spans="1:18" s="15" customFormat="1" x14ac:dyDescent="0.3">
      <c r="A539" s="15" t="s">
        <v>1197</v>
      </c>
      <c r="B539" s="15" t="s">
        <v>49</v>
      </c>
      <c r="C539" s="15" t="s">
        <v>1198</v>
      </c>
      <c r="D539" s="15" t="s">
        <v>17</v>
      </c>
      <c r="E539" s="15" t="s">
        <v>28</v>
      </c>
      <c r="F539" s="15" t="s">
        <v>29</v>
      </c>
      <c r="G539" s="15" t="s">
        <v>30</v>
      </c>
      <c r="H539" s="16">
        <v>34655</v>
      </c>
      <c r="I539" s="16">
        <v>42933</v>
      </c>
      <c r="J539" s="16">
        <v>43113</v>
      </c>
      <c r="K539" s="15" t="s">
        <v>37</v>
      </c>
      <c r="L539" s="15" t="s">
        <v>38</v>
      </c>
      <c r="M539" s="15">
        <v>58084</v>
      </c>
      <c r="N539" s="15" t="s">
        <v>44</v>
      </c>
      <c r="O539" s="15">
        <v>0.49315068493150682</v>
      </c>
      <c r="P539" s="15" t="s">
        <v>1862</v>
      </c>
      <c r="Q539" s="15">
        <f t="shared" ca="1" si="16"/>
        <v>31</v>
      </c>
      <c r="R539" s="15" t="str">
        <f t="shared" si="17"/>
        <v>Low</v>
      </c>
    </row>
    <row r="540" spans="1:18" s="15" customFormat="1" x14ac:dyDescent="0.3">
      <c r="A540" s="15" t="s">
        <v>1199</v>
      </c>
      <c r="B540" s="15" t="s">
        <v>1200</v>
      </c>
      <c r="C540" s="15" t="s">
        <v>796</v>
      </c>
      <c r="D540" s="15" t="s">
        <v>27</v>
      </c>
      <c r="E540" s="15" t="s">
        <v>18</v>
      </c>
      <c r="F540" s="15" t="s">
        <v>19</v>
      </c>
      <c r="G540" s="15" t="s">
        <v>30</v>
      </c>
      <c r="H540" s="16">
        <v>25396</v>
      </c>
      <c r="I540" s="16">
        <v>43610</v>
      </c>
      <c r="J540" s="16">
        <v>43790</v>
      </c>
      <c r="K540" s="15" t="s">
        <v>21</v>
      </c>
      <c r="L540" s="15" t="s">
        <v>22</v>
      </c>
      <c r="M540" s="15">
        <v>88167</v>
      </c>
      <c r="N540" s="15" t="s">
        <v>33</v>
      </c>
      <c r="O540" s="15">
        <v>5.1506849315068486</v>
      </c>
      <c r="P540" s="15" t="s">
        <v>1862</v>
      </c>
      <c r="Q540" s="15">
        <f t="shared" ca="1" si="16"/>
        <v>56</v>
      </c>
      <c r="R540" s="15" t="str">
        <f t="shared" si="17"/>
        <v>Medium</v>
      </c>
    </row>
    <row r="541" spans="1:18" s="15" customFormat="1" x14ac:dyDescent="0.3">
      <c r="A541" s="15" t="s">
        <v>1201</v>
      </c>
      <c r="B541" s="15" t="s">
        <v>1202</v>
      </c>
      <c r="C541" s="15" t="s">
        <v>193</v>
      </c>
      <c r="D541" s="15" t="s">
        <v>17</v>
      </c>
      <c r="E541" s="15" t="s">
        <v>18</v>
      </c>
      <c r="F541" s="15" t="s">
        <v>19</v>
      </c>
      <c r="G541" s="15" t="s">
        <v>30</v>
      </c>
      <c r="H541" s="16">
        <v>21814</v>
      </c>
      <c r="I541" s="16">
        <v>44868</v>
      </c>
      <c r="J541" s="16">
        <v>45048</v>
      </c>
      <c r="K541" s="15" t="s">
        <v>21</v>
      </c>
      <c r="L541" s="15" t="s">
        <v>22</v>
      </c>
      <c r="M541" s="15">
        <v>73895</v>
      </c>
      <c r="N541" s="15" t="s">
        <v>33</v>
      </c>
      <c r="O541" s="15">
        <v>0.49315068493150682</v>
      </c>
      <c r="P541" s="15" t="s">
        <v>1862</v>
      </c>
      <c r="Q541" s="15">
        <f t="shared" ca="1" si="16"/>
        <v>66</v>
      </c>
      <c r="R541" s="15" t="str">
        <f t="shared" si="17"/>
        <v>Medium</v>
      </c>
    </row>
    <row r="542" spans="1:18" s="15" customFormat="1" x14ac:dyDescent="0.3">
      <c r="A542" s="15" t="s">
        <v>1203</v>
      </c>
      <c r="B542" s="15" t="s">
        <v>1204</v>
      </c>
      <c r="C542" s="15" t="s">
        <v>201</v>
      </c>
      <c r="D542" s="15" t="s">
        <v>27</v>
      </c>
      <c r="E542" s="15" t="s">
        <v>18</v>
      </c>
      <c r="F542" s="15" t="s">
        <v>19</v>
      </c>
      <c r="G542" s="15" t="s">
        <v>30</v>
      </c>
      <c r="H542" s="16">
        <v>34886</v>
      </c>
      <c r="I542" s="16">
        <v>42625</v>
      </c>
      <c r="J542" s="16">
        <v>45564</v>
      </c>
      <c r="K542" s="15" t="s">
        <v>37</v>
      </c>
      <c r="L542" s="15" t="s">
        <v>261</v>
      </c>
      <c r="M542" s="15">
        <v>107787</v>
      </c>
      <c r="N542" s="15" t="s">
        <v>44</v>
      </c>
      <c r="O542" s="15">
        <v>0.49315068493150682</v>
      </c>
      <c r="P542" s="15" t="s">
        <v>1862</v>
      </c>
      <c r="Q542" s="15">
        <f t="shared" ca="1" si="16"/>
        <v>30</v>
      </c>
      <c r="R542" s="15" t="str">
        <f t="shared" si="17"/>
        <v>High</v>
      </c>
    </row>
    <row r="543" spans="1:18" s="15" customFormat="1" x14ac:dyDescent="0.3">
      <c r="A543" s="15" t="s">
        <v>1205</v>
      </c>
      <c r="B543" s="15" t="s">
        <v>817</v>
      </c>
      <c r="C543" s="15" t="s">
        <v>1206</v>
      </c>
      <c r="D543" s="15" t="s">
        <v>27</v>
      </c>
      <c r="E543" s="15" t="s">
        <v>18</v>
      </c>
      <c r="F543" s="15" t="s">
        <v>19</v>
      </c>
      <c r="G543" s="15" t="s">
        <v>20</v>
      </c>
      <c r="H543" s="16">
        <v>31836</v>
      </c>
      <c r="I543" s="16">
        <v>44116</v>
      </c>
      <c r="J543" s="16">
        <v>45592</v>
      </c>
      <c r="K543" s="15" t="s">
        <v>37</v>
      </c>
      <c r="L543" s="15" t="s">
        <v>41</v>
      </c>
      <c r="M543" s="15">
        <v>58463</v>
      </c>
      <c r="N543" s="15" t="s">
        <v>23</v>
      </c>
      <c r="O543" s="15">
        <v>3.8301369863013699</v>
      </c>
      <c r="P543" s="15" t="s">
        <v>1862</v>
      </c>
      <c r="Q543" s="15">
        <f t="shared" ca="1" si="16"/>
        <v>38</v>
      </c>
      <c r="R543" s="15" t="str">
        <f t="shared" si="17"/>
        <v>Low</v>
      </c>
    </row>
    <row r="544" spans="1:18" s="15" customFormat="1" x14ac:dyDescent="0.3">
      <c r="A544" s="15" t="s">
        <v>1207</v>
      </c>
      <c r="B544" s="15" t="s">
        <v>750</v>
      </c>
      <c r="C544" s="15" t="s">
        <v>210</v>
      </c>
      <c r="D544" s="15" t="s">
        <v>27</v>
      </c>
      <c r="E544" s="15" t="s">
        <v>18</v>
      </c>
      <c r="F544" s="15" t="s">
        <v>19</v>
      </c>
      <c r="G544" s="15" t="s">
        <v>30</v>
      </c>
      <c r="H544" s="16">
        <v>37164</v>
      </c>
      <c r="I544" s="16">
        <v>43602</v>
      </c>
      <c r="J544" s="16">
        <v>44206</v>
      </c>
      <c r="K544" s="15" t="s">
        <v>94</v>
      </c>
      <c r="L544" s="15" t="s">
        <v>182</v>
      </c>
      <c r="M544" s="15">
        <v>60800</v>
      </c>
      <c r="N544" s="15" t="s">
        <v>33</v>
      </c>
      <c r="O544" s="15">
        <v>0.49315068493150682</v>
      </c>
      <c r="P544" s="15" t="s">
        <v>1862</v>
      </c>
      <c r="Q544" s="15">
        <f t="shared" ca="1" si="16"/>
        <v>24</v>
      </c>
      <c r="R544" s="15" t="str">
        <f t="shared" si="17"/>
        <v>Medium</v>
      </c>
    </row>
    <row r="545" spans="1:18" s="15" customFormat="1" x14ac:dyDescent="0.3">
      <c r="A545" s="15" t="s">
        <v>1208</v>
      </c>
      <c r="B545" s="15" t="s">
        <v>49</v>
      </c>
      <c r="C545" s="15" t="s">
        <v>1209</v>
      </c>
      <c r="D545" s="15" t="s">
        <v>17</v>
      </c>
      <c r="E545" s="15" t="s">
        <v>18</v>
      </c>
      <c r="F545" s="15" t="s">
        <v>19</v>
      </c>
      <c r="G545" s="15" t="s">
        <v>20</v>
      </c>
      <c r="H545" s="16">
        <v>34611</v>
      </c>
      <c r="I545" s="16">
        <v>44629</v>
      </c>
      <c r="J545" s="16">
        <v>44809</v>
      </c>
      <c r="K545" s="15" t="s">
        <v>65</v>
      </c>
      <c r="L545" s="15" t="s">
        <v>131</v>
      </c>
      <c r="M545" s="15">
        <v>60380</v>
      </c>
      <c r="N545" s="15" t="s">
        <v>96</v>
      </c>
      <c r="O545" s="15">
        <v>0.49315068493150682</v>
      </c>
      <c r="P545" s="15" t="s">
        <v>1862</v>
      </c>
      <c r="Q545" s="15">
        <f t="shared" ca="1" si="16"/>
        <v>31</v>
      </c>
      <c r="R545" s="15" t="str">
        <f t="shared" si="17"/>
        <v>Medium</v>
      </c>
    </row>
    <row r="546" spans="1:18" s="15" customFormat="1" x14ac:dyDescent="0.3">
      <c r="A546" s="15" t="s">
        <v>1210</v>
      </c>
      <c r="B546" s="15" t="s">
        <v>977</v>
      </c>
      <c r="C546" s="15" t="s">
        <v>822</v>
      </c>
      <c r="D546" s="15" t="s">
        <v>17</v>
      </c>
      <c r="E546" s="15" t="s">
        <v>18</v>
      </c>
      <c r="F546" s="15" t="s">
        <v>19</v>
      </c>
      <c r="G546" s="15" t="s">
        <v>20</v>
      </c>
      <c r="H546" s="16">
        <v>33478</v>
      </c>
      <c r="I546" s="16">
        <v>43736</v>
      </c>
      <c r="J546" s="16">
        <v>44207</v>
      </c>
      <c r="K546" s="15" t="s">
        <v>31</v>
      </c>
      <c r="L546" s="15" t="s">
        <v>83</v>
      </c>
      <c r="M546" s="15">
        <v>61217</v>
      </c>
      <c r="N546" s="15" t="s">
        <v>23</v>
      </c>
      <c r="O546" s="15">
        <v>0.49315068493150682</v>
      </c>
      <c r="P546" s="15" t="s">
        <v>1862</v>
      </c>
      <c r="Q546" s="15">
        <f t="shared" ca="1" si="16"/>
        <v>34</v>
      </c>
      <c r="R546" s="15" t="str">
        <f t="shared" si="17"/>
        <v>Medium</v>
      </c>
    </row>
    <row r="547" spans="1:18" s="15" customFormat="1" x14ac:dyDescent="0.3">
      <c r="A547" s="15" t="s">
        <v>1211</v>
      </c>
      <c r="B547" s="15" t="s">
        <v>600</v>
      </c>
      <c r="C547" s="15" t="s">
        <v>1011</v>
      </c>
      <c r="D547" s="15" t="s">
        <v>27</v>
      </c>
      <c r="E547" s="15" t="s">
        <v>81</v>
      </c>
      <c r="F547" s="15" t="s">
        <v>82</v>
      </c>
      <c r="G547" s="15" t="s">
        <v>20</v>
      </c>
      <c r="H547" s="16">
        <v>26783</v>
      </c>
      <c r="I547" s="16">
        <v>44614</v>
      </c>
      <c r="J547" s="16">
        <v>44794</v>
      </c>
      <c r="K547" s="15" t="s">
        <v>31</v>
      </c>
      <c r="L547" s="15" t="s">
        <v>83</v>
      </c>
      <c r="M547" s="15">
        <v>64881</v>
      </c>
      <c r="N547" s="15" t="s">
        <v>23</v>
      </c>
      <c r="O547" s="15">
        <v>5.4739726027397264</v>
      </c>
      <c r="P547" s="15" t="s">
        <v>1862</v>
      </c>
      <c r="Q547" s="15">
        <f t="shared" ca="1" si="16"/>
        <v>52</v>
      </c>
      <c r="R547" s="15" t="str">
        <f t="shared" si="17"/>
        <v>Medium</v>
      </c>
    </row>
    <row r="548" spans="1:18" s="15" customFormat="1" x14ac:dyDescent="0.3">
      <c r="A548" s="15" t="s">
        <v>1212</v>
      </c>
      <c r="B548" s="15" t="s">
        <v>517</v>
      </c>
      <c r="C548" s="15" t="s">
        <v>1213</v>
      </c>
      <c r="D548" s="15" t="s">
        <v>17</v>
      </c>
      <c r="E548" s="15" t="s">
        <v>18</v>
      </c>
      <c r="F548" s="15" t="s">
        <v>19</v>
      </c>
      <c r="G548" s="15" t="s">
        <v>20</v>
      </c>
      <c r="H548" s="16">
        <v>36459</v>
      </c>
      <c r="I548" s="16">
        <v>43643</v>
      </c>
      <c r="J548" s="16">
        <v>44380</v>
      </c>
      <c r="K548" s="15" t="s">
        <v>70</v>
      </c>
      <c r="L548" s="15" t="s">
        <v>71</v>
      </c>
      <c r="M548" s="15">
        <v>64537</v>
      </c>
      <c r="N548" s="15" t="s">
        <v>23</v>
      </c>
      <c r="O548" s="15">
        <v>0.49315068493150682</v>
      </c>
      <c r="P548" s="15" t="s">
        <v>1862</v>
      </c>
      <c r="Q548" s="15">
        <f t="shared" ca="1" si="16"/>
        <v>26</v>
      </c>
      <c r="R548" s="15" t="str">
        <f t="shared" si="17"/>
        <v>Medium</v>
      </c>
    </row>
    <row r="549" spans="1:18" s="15" customFormat="1" x14ac:dyDescent="0.3">
      <c r="A549" s="15" t="s">
        <v>1214</v>
      </c>
      <c r="B549" s="15" t="s">
        <v>740</v>
      </c>
      <c r="C549" s="15" t="s">
        <v>1215</v>
      </c>
      <c r="D549" s="15" t="s">
        <v>17</v>
      </c>
      <c r="E549" s="15" t="s">
        <v>18</v>
      </c>
      <c r="F549" s="15" t="s">
        <v>19</v>
      </c>
      <c r="G549" s="15" t="s">
        <v>30</v>
      </c>
      <c r="H549" s="16">
        <v>30694</v>
      </c>
      <c r="I549" s="16">
        <v>43043</v>
      </c>
      <c r="J549" s="16">
        <v>44470</v>
      </c>
      <c r="K549" s="15" t="s">
        <v>94</v>
      </c>
      <c r="L549" s="15" t="s">
        <v>182</v>
      </c>
      <c r="M549" s="15">
        <v>73247</v>
      </c>
      <c r="N549" s="15" t="s">
        <v>33</v>
      </c>
      <c r="O549" s="15">
        <v>0.49315068493150682</v>
      </c>
      <c r="P549" s="15" t="s">
        <v>1862</v>
      </c>
      <c r="Q549" s="15">
        <f t="shared" ca="1" si="16"/>
        <v>42</v>
      </c>
      <c r="R549" s="15" t="str">
        <f t="shared" si="17"/>
        <v>Medium</v>
      </c>
    </row>
    <row r="550" spans="1:18" s="15" customFormat="1" x14ac:dyDescent="0.3">
      <c r="A550" s="15" t="s">
        <v>1216</v>
      </c>
      <c r="B550" s="15" t="s">
        <v>218</v>
      </c>
      <c r="C550" s="15" t="s">
        <v>89</v>
      </c>
      <c r="D550" s="15" t="s">
        <v>17</v>
      </c>
      <c r="E550" s="15" t="s">
        <v>18</v>
      </c>
      <c r="F550" s="15" t="s">
        <v>19</v>
      </c>
      <c r="G550" s="15" t="s">
        <v>112</v>
      </c>
      <c r="H550" s="16">
        <v>34885</v>
      </c>
      <c r="I550" s="16">
        <v>44193</v>
      </c>
      <c r="J550" s="16">
        <v>44456</v>
      </c>
      <c r="K550" s="15" t="s">
        <v>31</v>
      </c>
      <c r="L550" s="15" t="s">
        <v>159</v>
      </c>
      <c r="M550" s="15">
        <v>86075</v>
      </c>
      <c r="N550" s="15" t="s">
        <v>96</v>
      </c>
      <c r="O550" s="15">
        <v>1.5671232876712331</v>
      </c>
      <c r="P550" s="15" t="s">
        <v>1862</v>
      </c>
      <c r="Q550" s="15">
        <f t="shared" ca="1" si="16"/>
        <v>30</v>
      </c>
      <c r="R550" s="15" t="str">
        <f t="shared" si="17"/>
        <v>Medium</v>
      </c>
    </row>
    <row r="551" spans="1:18" s="15" customFormat="1" x14ac:dyDescent="0.3">
      <c r="A551" s="15" t="s">
        <v>1217</v>
      </c>
      <c r="B551" s="15" t="s">
        <v>1116</v>
      </c>
      <c r="C551" s="15" t="s">
        <v>1218</v>
      </c>
      <c r="D551" s="15" t="s">
        <v>27</v>
      </c>
      <c r="E551" s="15" t="s">
        <v>81</v>
      </c>
      <c r="F551" s="15" t="s">
        <v>104</v>
      </c>
      <c r="G551" s="15" t="s">
        <v>20</v>
      </c>
      <c r="H551" s="16">
        <v>23649</v>
      </c>
      <c r="I551" s="16">
        <v>43052</v>
      </c>
      <c r="J551" s="16">
        <v>43469</v>
      </c>
      <c r="K551" s="15" t="s">
        <v>21</v>
      </c>
      <c r="L551" s="15" t="s">
        <v>100</v>
      </c>
      <c r="M551" s="15">
        <v>57871</v>
      </c>
      <c r="N551" s="15" t="s">
        <v>23</v>
      </c>
      <c r="O551" s="15">
        <v>3.235616438356165</v>
      </c>
      <c r="P551" s="15" t="s">
        <v>1862</v>
      </c>
      <c r="Q551" s="15">
        <f t="shared" ca="1" si="16"/>
        <v>61</v>
      </c>
      <c r="R551" s="15" t="str">
        <f t="shared" si="17"/>
        <v>Low</v>
      </c>
    </row>
    <row r="552" spans="1:18" s="15" customFormat="1" x14ac:dyDescent="0.3">
      <c r="A552" s="15" t="s">
        <v>1219</v>
      </c>
      <c r="B552" s="15" t="s">
        <v>49</v>
      </c>
      <c r="C552" s="15" t="s">
        <v>1220</v>
      </c>
      <c r="D552" s="15" t="s">
        <v>17</v>
      </c>
      <c r="E552" s="15" t="s">
        <v>18</v>
      </c>
      <c r="F552" s="15" t="s">
        <v>19</v>
      </c>
      <c r="G552" s="15" t="s">
        <v>20</v>
      </c>
      <c r="H552" s="16">
        <v>37973</v>
      </c>
      <c r="I552" s="16">
        <v>43758</v>
      </c>
      <c r="J552" s="16">
        <v>44558</v>
      </c>
      <c r="K552" s="15" t="s">
        <v>70</v>
      </c>
      <c r="L552" s="15" t="s">
        <v>71</v>
      </c>
      <c r="M552" s="15">
        <v>65022</v>
      </c>
      <c r="N552" s="15" t="s">
        <v>23</v>
      </c>
      <c r="O552" s="15">
        <v>0.49315068493150682</v>
      </c>
      <c r="P552" s="15" t="s">
        <v>1862</v>
      </c>
      <c r="Q552" s="15">
        <f t="shared" ca="1" si="16"/>
        <v>22</v>
      </c>
      <c r="R552" s="15" t="str">
        <f t="shared" si="17"/>
        <v>Medium</v>
      </c>
    </row>
    <row r="553" spans="1:18" s="15" customFormat="1" x14ac:dyDescent="0.3">
      <c r="A553" s="15" t="s">
        <v>1221</v>
      </c>
      <c r="B553" s="15" t="s">
        <v>1108</v>
      </c>
      <c r="C553" s="15" t="s">
        <v>106</v>
      </c>
      <c r="D553" s="15" t="s">
        <v>17</v>
      </c>
      <c r="E553" s="15" t="s">
        <v>28</v>
      </c>
      <c r="F553" s="15" t="s">
        <v>29</v>
      </c>
      <c r="G553" s="15" t="s">
        <v>30</v>
      </c>
      <c r="H553" s="16">
        <v>29497</v>
      </c>
      <c r="I553" s="16">
        <v>44165</v>
      </c>
      <c r="J553" s="16">
        <v>44345</v>
      </c>
      <c r="K553" s="15" t="s">
        <v>94</v>
      </c>
      <c r="L553" s="15" t="s">
        <v>117</v>
      </c>
      <c r="M553" s="15">
        <v>75269</v>
      </c>
      <c r="N553" s="15" t="s">
        <v>23</v>
      </c>
      <c r="O553" s="15">
        <v>2.0246575342465749</v>
      </c>
      <c r="P553" s="15" t="s">
        <v>1862</v>
      </c>
      <c r="Q553" s="15">
        <f t="shared" ca="1" si="16"/>
        <v>45</v>
      </c>
      <c r="R553" s="15" t="str">
        <f t="shared" si="17"/>
        <v>Medium</v>
      </c>
    </row>
    <row r="554" spans="1:18" s="15" customFormat="1" x14ac:dyDescent="0.3">
      <c r="A554" s="15" t="s">
        <v>1222</v>
      </c>
      <c r="B554" s="15" t="s">
        <v>129</v>
      </c>
      <c r="C554" s="15" t="s">
        <v>974</v>
      </c>
      <c r="D554" s="15" t="s">
        <v>27</v>
      </c>
      <c r="E554" s="15" t="s">
        <v>120</v>
      </c>
      <c r="F554" s="15" t="s">
        <v>121</v>
      </c>
      <c r="G554" s="15" t="s">
        <v>30</v>
      </c>
      <c r="H554" s="16">
        <v>31679</v>
      </c>
      <c r="I554" s="16">
        <v>43959</v>
      </c>
      <c r="J554" s="16">
        <v>44438</v>
      </c>
      <c r="K554" s="15" t="s">
        <v>21</v>
      </c>
      <c r="L554" s="15" t="s">
        <v>22</v>
      </c>
      <c r="M554" s="15">
        <v>96041</v>
      </c>
      <c r="N554" s="15" t="s">
        <v>33</v>
      </c>
      <c r="O554" s="15">
        <v>0.49315068493150682</v>
      </c>
      <c r="P554" s="15" t="s">
        <v>1862</v>
      </c>
      <c r="Q554" s="15">
        <f t="shared" ca="1" si="16"/>
        <v>39</v>
      </c>
      <c r="R554" s="15" t="str">
        <f t="shared" si="17"/>
        <v>Medium</v>
      </c>
    </row>
    <row r="555" spans="1:18" s="15" customFormat="1" x14ac:dyDescent="0.3">
      <c r="A555" s="15" t="s">
        <v>1223</v>
      </c>
      <c r="B555" s="15" t="s">
        <v>54</v>
      </c>
      <c r="C555" s="15" t="s">
        <v>1224</v>
      </c>
      <c r="D555" s="15" t="s">
        <v>17</v>
      </c>
      <c r="E555" s="15" t="s">
        <v>18</v>
      </c>
      <c r="F555" s="15" t="s">
        <v>19</v>
      </c>
      <c r="G555" s="15" t="s">
        <v>30</v>
      </c>
      <c r="H555" s="16">
        <v>32831</v>
      </c>
      <c r="I555" s="16">
        <v>43635</v>
      </c>
      <c r="J555" s="16">
        <v>44257</v>
      </c>
      <c r="K555" s="15" t="s">
        <v>51</v>
      </c>
      <c r="L555" s="15" t="s">
        <v>56</v>
      </c>
      <c r="M555" s="15">
        <v>58786</v>
      </c>
      <c r="N555" s="15" t="s">
        <v>33</v>
      </c>
      <c r="O555" s="15">
        <v>1.331506849315069</v>
      </c>
      <c r="P555" s="15" t="s">
        <v>1862</v>
      </c>
      <c r="Q555" s="15">
        <f t="shared" ca="1" si="16"/>
        <v>36</v>
      </c>
      <c r="R555" s="15" t="str">
        <f t="shared" si="17"/>
        <v>Low</v>
      </c>
    </row>
    <row r="556" spans="1:18" s="15" customFormat="1" x14ac:dyDescent="0.3">
      <c r="A556" s="15" t="s">
        <v>1225</v>
      </c>
      <c r="B556" s="15" t="s">
        <v>710</v>
      </c>
      <c r="C556" s="15" t="s">
        <v>1226</v>
      </c>
      <c r="D556" s="15" t="s">
        <v>27</v>
      </c>
      <c r="E556" s="15" t="s">
        <v>18</v>
      </c>
      <c r="F556" s="15" t="s">
        <v>19</v>
      </c>
      <c r="G556" s="15" t="s">
        <v>30</v>
      </c>
      <c r="H556" s="16">
        <v>32397</v>
      </c>
      <c r="I556" s="16">
        <v>44909</v>
      </c>
      <c r="J556" s="16">
        <v>45089</v>
      </c>
      <c r="K556" s="15" t="s">
        <v>21</v>
      </c>
      <c r="L556" s="15" t="s">
        <v>108</v>
      </c>
      <c r="M556" s="15">
        <v>63925</v>
      </c>
      <c r="N556" s="15" t="s">
        <v>96</v>
      </c>
      <c r="O556" s="15">
        <v>0.49315068493150682</v>
      </c>
      <c r="P556" s="15" t="s">
        <v>1862</v>
      </c>
      <c r="Q556" s="15">
        <f t="shared" ca="1" si="16"/>
        <v>37</v>
      </c>
      <c r="R556" s="15" t="str">
        <f t="shared" si="17"/>
        <v>Medium</v>
      </c>
    </row>
    <row r="557" spans="1:18" s="15" customFormat="1" x14ac:dyDescent="0.3">
      <c r="A557" s="15" t="s">
        <v>1227</v>
      </c>
      <c r="B557" s="15" t="s">
        <v>530</v>
      </c>
      <c r="C557" s="15" t="s">
        <v>803</v>
      </c>
      <c r="D557" s="15" t="s">
        <v>27</v>
      </c>
      <c r="E557" s="15" t="s">
        <v>18</v>
      </c>
      <c r="F557" s="15" t="s">
        <v>19</v>
      </c>
      <c r="G557" s="15" t="s">
        <v>30</v>
      </c>
      <c r="H557" s="16">
        <v>33346</v>
      </c>
      <c r="I557" s="16">
        <v>44999</v>
      </c>
      <c r="J557" s="16">
        <v>45179</v>
      </c>
      <c r="K557" s="15" t="s">
        <v>94</v>
      </c>
      <c r="L557" s="15" t="s">
        <v>122</v>
      </c>
      <c r="M557" s="15">
        <v>93364</v>
      </c>
      <c r="N557" s="15" t="s">
        <v>96</v>
      </c>
      <c r="O557" s="15">
        <v>0.49315068493150682</v>
      </c>
      <c r="P557" s="15" t="s">
        <v>1861</v>
      </c>
      <c r="Q557" s="15">
        <f t="shared" ca="1" si="16"/>
        <v>34</v>
      </c>
      <c r="R557" s="15" t="str">
        <f t="shared" si="17"/>
        <v>Medium</v>
      </c>
    </row>
    <row r="558" spans="1:18" s="15" customFormat="1" x14ac:dyDescent="0.3">
      <c r="A558" s="15" t="s">
        <v>1228</v>
      </c>
      <c r="B558" s="15" t="s">
        <v>799</v>
      </c>
      <c r="C558" s="15" t="s">
        <v>765</v>
      </c>
      <c r="D558" s="15" t="s">
        <v>17</v>
      </c>
      <c r="E558" s="15" t="s">
        <v>120</v>
      </c>
      <c r="F558" s="15" t="s">
        <v>904</v>
      </c>
      <c r="G558" s="15" t="s">
        <v>112</v>
      </c>
      <c r="H558" s="16">
        <v>23018</v>
      </c>
      <c r="I558" s="16">
        <v>42363</v>
      </c>
      <c r="J558" s="16">
        <v>42543</v>
      </c>
      <c r="K558" s="15" t="s">
        <v>31</v>
      </c>
      <c r="L558" s="15" t="s">
        <v>32</v>
      </c>
      <c r="M558" s="15">
        <v>110836</v>
      </c>
      <c r="N558" s="15" t="s">
        <v>33</v>
      </c>
      <c r="O558" s="15">
        <v>0.49315068493150682</v>
      </c>
      <c r="P558" s="15" t="s">
        <v>1861</v>
      </c>
      <c r="Q558" s="15">
        <f t="shared" ca="1" si="16"/>
        <v>63</v>
      </c>
      <c r="R558" s="15" t="str">
        <f t="shared" si="17"/>
        <v>High</v>
      </c>
    </row>
    <row r="559" spans="1:18" s="15" customFormat="1" x14ac:dyDescent="0.3">
      <c r="A559" s="15" t="s">
        <v>1229</v>
      </c>
      <c r="B559" s="15" t="s">
        <v>397</v>
      </c>
      <c r="C559" s="15" t="s">
        <v>175</v>
      </c>
      <c r="D559" s="15" t="s">
        <v>17</v>
      </c>
      <c r="E559" s="15" t="s">
        <v>18</v>
      </c>
      <c r="F559" s="15" t="s">
        <v>19</v>
      </c>
      <c r="G559" s="15" t="s">
        <v>20</v>
      </c>
      <c r="H559" s="16">
        <v>33013</v>
      </c>
      <c r="I559" s="16">
        <v>44959</v>
      </c>
      <c r="J559" s="16">
        <v>45139</v>
      </c>
      <c r="K559" s="15" t="s">
        <v>21</v>
      </c>
      <c r="L559" s="15" t="s">
        <v>108</v>
      </c>
      <c r="M559" s="15">
        <v>59444</v>
      </c>
      <c r="N559" s="15" t="s">
        <v>23</v>
      </c>
      <c r="O559" s="15">
        <v>0.49315068493150682</v>
      </c>
      <c r="P559" s="15" t="s">
        <v>1862</v>
      </c>
      <c r="Q559" s="15">
        <f t="shared" ca="1" si="16"/>
        <v>35</v>
      </c>
      <c r="R559" s="15" t="str">
        <f t="shared" si="17"/>
        <v>Low</v>
      </c>
    </row>
    <row r="560" spans="1:18" s="15" customFormat="1" x14ac:dyDescent="0.3">
      <c r="A560" s="15" t="s">
        <v>1230</v>
      </c>
      <c r="B560" s="15" t="s">
        <v>532</v>
      </c>
      <c r="C560" s="15" t="s">
        <v>204</v>
      </c>
      <c r="D560" s="15" t="s">
        <v>17</v>
      </c>
      <c r="E560" s="15" t="s">
        <v>354</v>
      </c>
      <c r="F560" s="15" t="s">
        <v>355</v>
      </c>
      <c r="G560" s="15" t="s">
        <v>30</v>
      </c>
      <c r="H560" s="16">
        <v>34125</v>
      </c>
      <c r="I560" s="16">
        <v>44795</v>
      </c>
      <c r="J560" s="16">
        <v>44975</v>
      </c>
      <c r="K560" s="15" t="s">
        <v>94</v>
      </c>
      <c r="L560" s="15" t="s">
        <v>117</v>
      </c>
      <c r="M560" s="15">
        <v>59327</v>
      </c>
      <c r="N560" s="15" t="s">
        <v>44</v>
      </c>
      <c r="O560" s="15">
        <v>4.7561643835616438</v>
      </c>
      <c r="P560" s="15" t="s">
        <v>1862</v>
      </c>
      <c r="Q560" s="15">
        <f t="shared" ca="1" si="16"/>
        <v>32</v>
      </c>
      <c r="R560" s="15" t="str">
        <f t="shared" si="17"/>
        <v>Low</v>
      </c>
    </row>
    <row r="561" spans="1:18" s="15" customFormat="1" x14ac:dyDescent="0.3">
      <c r="A561" s="15" t="s">
        <v>1231</v>
      </c>
      <c r="B561" s="15" t="s">
        <v>1232</v>
      </c>
      <c r="C561" s="15" t="s">
        <v>1011</v>
      </c>
      <c r="D561" s="15" t="s">
        <v>27</v>
      </c>
      <c r="E561" s="15" t="s">
        <v>18</v>
      </c>
      <c r="F561" s="15" t="s">
        <v>19</v>
      </c>
      <c r="G561" s="15" t="s">
        <v>30</v>
      </c>
      <c r="H561" s="16">
        <v>31706</v>
      </c>
      <c r="I561" s="16">
        <v>43945</v>
      </c>
      <c r="J561" s="16">
        <v>45018</v>
      </c>
      <c r="K561" s="15" t="s">
        <v>37</v>
      </c>
      <c r="L561" s="15" t="s">
        <v>38</v>
      </c>
      <c r="M561" s="15">
        <v>62992</v>
      </c>
      <c r="N561" s="15" t="s">
        <v>96</v>
      </c>
      <c r="O561" s="15">
        <v>6.8109589041095893</v>
      </c>
      <c r="P561" s="15" t="s">
        <v>1862</v>
      </c>
      <c r="Q561" s="15">
        <f t="shared" ca="1" si="16"/>
        <v>39</v>
      </c>
      <c r="R561" s="15" t="str">
        <f t="shared" si="17"/>
        <v>Medium</v>
      </c>
    </row>
    <row r="562" spans="1:18" s="15" customFormat="1" x14ac:dyDescent="0.3">
      <c r="A562" s="15" t="s">
        <v>1233</v>
      </c>
      <c r="B562" s="15" t="s">
        <v>1234</v>
      </c>
      <c r="C562" s="15" t="s">
        <v>204</v>
      </c>
      <c r="D562" s="15" t="s">
        <v>17</v>
      </c>
      <c r="E562" s="15" t="s">
        <v>81</v>
      </c>
      <c r="F562" s="15" t="s">
        <v>82</v>
      </c>
      <c r="G562" s="15" t="s">
        <v>30</v>
      </c>
      <c r="H562" s="16">
        <v>34911</v>
      </c>
      <c r="I562" s="16">
        <v>42992</v>
      </c>
      <c r="J562" s="16">
        <v>44142</v>
      </c>
      <c r="K562" s="15" t="s">
        <v>21</v>
      </c>
      <c r="L562" s="15" t="s">
        <v>108</v>
      </c>
      <c r="M562" s="15">
        <v>61119</v>
      </c>
      <c r="N562" s="15" t="s">
        <v>33</v>
      </c>
      <c r="O562" s="15">
        <v>0.49315068493150682</v>
      </c>
      <c r="P562" s="15" t="s">
        <v>1862</v>
      </c>
      <c r="Q562" s="15">
        <f t="shared" ca="1" si="16"/>
        <v>30</v>
      </c>
      <c r="R562" s="15" t="str">
        <f t="shared" si="17"/>
        <v>Medium</v>
      </c>
    </row>
    <row r="563" spans="1:18" s="15" customFormat="1" x14ac:dyDescent="0.3">
      <c r="A563" s="15" t="s">
        <v>1235</v>
      </c>
      <c r="B563" s="15" t="s">
        <v>288</v>
      </c>
      <c r="C563" s="15" t="s">
        <v>1236</v>
      </c>
      <c r="D563" s="15" t="s">
        <v>27</v>
      </c>
      <c r="E563" s="15" t="s">
        <v>18</v>
      </c>
      <c r="F563" s="15" t="s">
        <v>19</v>
      </c>
      <c r="G563" s="15" t="s">
        <v>112</v>
      </c>
      <c r="H563" s="16">
        <v>32976</v>
      </c>
      <c r="I563" s="16">
        <v>44109</v>
      </c>
      <c r="J563" s="16">
        <v>44289</v>
      </c>
      <c r="K563" s="15" t="s">
        <v>31</v>
      </c>
      <c r="L563" s="15" t="s">
        <v>1237</v>
      </c>
      <c r="M563" s="15">
        <v>131494</v>
      </c>
      <c r="N563" s="15" t="s">
        <v>96</v>
      </c>
      <c r="O563" s="15">
        <v>5.5013698630136982</v>
      </c>
      <c r="P563" s="15" t="s">
        <v>1861</v>
      </c>
      <c r="Q563" s="15">
        <f t="shared" ca="1" si="16"/>
        <v>35</v>
      </c>
      <c r="R563" s="15" t="str">
        <f t="shared" si="17"/>
        <v>High</v>
      </c>
    </row>
    <row r="564" spans="1:18" s="15" customFormat="1" x14ac:dyDescent="0.3">
      <c r="A564" s="15" t="s">
        <v>1238</v>
      </c>
      <c r="B564" s="15" t="s">
        <v>493</v>
      </c>
      <c r="C564" s="15" t="s">
        <v>1239</v>
      </c>
      <c r="D564" s="15" t="s">
        <v>27</v>
      </c>
      <c r="E564" s="15" t="s">
        <v>81</v>
      </c>
      <c r="F564" s="15" t="s">
        <v>82</v>
      </c>
      <c r="G564" s="15" t="s">
        <v>30</v>
      </c>
      <c r="H564" s="16">
        <v>36133</v>
      </c>
      <c r="I564" s="16">
        <v>42141</v>
      </c>
      <c r="J564" s="16">
        <v>45480</v>
      </c>
      <c r="K564" s="15" t="s">
        <v>31</v>
      </c>
      <c r="L564" s="15" t="s">
        <v>159</v>
      </c>
      <c r="M564" s="15">
        <v>87048</v>
      </c>
      <c r="N564" s="15" t="s">
        <v>44</v>
      </c>
      <c r="O564" s="15">
        <v>0.49315068493150682</v>
      </c>
      <c r="P564" s="15" t="s">
        <v>1862</v>
      </c>
      <c r="Q564" s="15">
        <f t="shared" ca="1" si="16"/>
        <v>27</v>
      </c>
      <c r="R564" s="15" t="str">
        <f t="shared" si="17"/>
        <v>Medium</v>
      </c>
    </row>
    <row r="565" spans="1:18" s="15" customFormat="1" x14ac:dyDescent="0.3">
      <c r="A565" s="15" t="s">
        <v>1240</v>
      </c>
      <c r="B565" s="15" t="s">
        <v>1241</v>
      </c>
      <c r="C565" s="15" t="s">
        <v>1242</v>
      </c>
      <c r="D565" s="15" t="s">
        <v>27</v>
      </c>
      <c r="E565" s="15" t="s">
        <v>18</v>
      </c>
      <c r="F565" s="15" t="s">
        <v>19</v>
      </c>
      <c r="G565" s="15" t="s">
        <v>30</v>
      </c>
      <c r="H565" s="16">
        <v>30679</v>
      </c>
      <c r="I565" s="16">
        <v>43820</v>
      </c>
      <c r="J565" s="16">
        <v>44000</v>
      </c>
      <c r="K565" s="15" t="s">
        <v>94</v>
      </c>
      <c r="L565" s="15" t="s">
        <v>182</v>
      </c>
      <c r="M565" s="15">
        <v>64194</v>
      </c>
      <c r="N565" s="15" t="s">
        <v>33</v>
      </c>
      <c r="O565" s="15">
        <v>7.7753424657534236</v>
      </c>
      <c r="P565" s="15" t="s">
        <v>1861</v>
      </c>
      <c r="Q565" s="15">
        <f t="shared" ca="1" si="16"/>
        <v>42</v>
      </c>
      <c r="R565" s="15" t="str">
        <f t="shared" si="17"/>
        <v>Medium</v>
      </c>
    </row>
    <row r="566" spans="1:18" s="15" customFormat="1" x14ac:dyDescent="0.3">
      <c r="A566" s="15" t="s">
        <v>1243</v>
      </c>
      <c r="B566" s="15" t="s">
        <v>68</v>
      </c>
      <c r="C566" s="15" t="s">
        <v>1244</v>
      </c>
      <c r="D566" s="15" t="s">
        <v>17</v>
      </c>
      <c r="E566" s="15" t="s">
        <v>18</v>
      </c>
      <c r="F566" s="15" t="s">
        <v>19</v>
      </c>
      <c r="G566" s="15" t="s">
        <v>20</v>
      </c>
      <c r="H566" s="16">
        <v>37715</v>
      </c>
      <c r="I566" s="16">
        <v>45033</v>
      </c>
      <c r="J566" s="16">
        <v>45213</v>
      </c>
      <c r="K566" s="15" t="s">
        <v>65</v>
      </c>
      <c r="L566" s="15" t="s">
        <v>131</v>
      </c>
      <c r="M566" s="15">
        <v>58980</v>
      </c>
      <c r="N566" s="15" t="s">
        <v>23</v>
      </c>
      <c r="O566" s="15">
        <v>0.49315068493150682</v>
      </c>
      <c r="P566" s="15" t="s">
        <v>1862</v>
      </c>
      <c r="Q566" s="15">
        <f t="shared" ca="1" si="16"/>
        <v>22</v>
      </c>
      <c r="R566" s="15" t="str">
        <f t="shared" si="17"/>
        <v>Low</v>
      </c>
    </row>
    <row r="567" spans="1:18" s="15" customFormat="1" x14ac:dyDescent="0.3">
      <c r="A567" s="15" t="s">
        <v>1245</v>
      </c>
      <c r="B567" s="15" t="s">
        <v>15</v>
      </c>
      <c r="C567" s="15" t="s">
        <v>1246</v>
      </c>
      <c r="D567" s="15" t="s">
        <v>27</v>
      </c>
      <c r="E567" s="15" t="s">
        <v>81</v>
      </c>
      <c r="F567" s="15" t="s">
        <v>104</v>
      </c>
      <c r="G567" s="15" t="s">
        <v>30</v>
      </c>
      <c r="H567" s="16">
        <v>33165</v>
      </c>
      <c r="I567" s="16">
        <v>44584</v>
      </c>
      <c r="J567" s="16">
        <v>44764</v>
      </c>
      <c r="K567" s="15" t="s">
        <v>21</v>
      </c>
      <c r="L567" s="15" t="s">
        <v>108</v>
      </c>
      <c r="M567" s="15">
        <v>61190</v>
      </c>
      <c r="N567" s="15" t="s">
        <v>44</v>
      </c>
      <c r="O567" s="15">
        <v>0.49315068493150682</v>
      </c>
      <c r="P567" s="15" t="s">
        <v>1861</v>
      </c>
      <c r="Q567" s="15">
        <f t="shared" ca="1" si="16"/>
        <v>35</v>
      </c>
      <c r="R567" s="15" t="str">
        <f t="shared" si="17"/>
        <v>Medium</v>
      </c>
    </row>
    <row r="568" spans="1:18" s="15" customFormat="1" x14ac:dyDescent="0.3">
      <c r="A568" s="15" t="s">
        <v>1247</v>
      </c>
      <c r="B568" s="15" t="s">
        <v>265</v>
      </c>
      <c r="C568" s="15" t="s">
        <v>1248</v>
      </c>
      <c r="D568" s="15" t="s">
        <v>17</v>
      </c>
      <c r="E568" s="15" t="s">
        <v>81</v>
      </c>
      <c r="F568" s="15" t="s">
        <v>166</v>
      </c>
      <c r="G568" s="15" t="s">
        <v>30</v>
      </c>
      <c r="H568" s="16">
        <v>30466</v>
      </c>
      <c r="I568" s="16">
        <v>43242</v>
      </c>
      <c r="J568" s="16">
        <v>43982</v>
      </c>
      <c r="K568" s="15" t="s">
        <v>94</v>
      </c>
      <c r="L568" s="15" t="s">
        <v>182</v>
      </c>
      <c r="M568" s="15">
        <v>55533</v>
      </c>
      <c r="N568" s="15" t="s">
        <v>33</v>
      </c>
      <c r="O568" s="15">
        <v>8.0520547945205472</v>
      </c>
      <c r="P568" s="15" t="s">
        <v>1861</v>
      </c>
      <c r="Q568" s="15">
        <f t="shared" ca="1" si="16"/>
        <v>42</v>
      </c>
      <c r="R568" s="15" t="str">
        <f t="shared" si="17"/>
        <v>Low</v>
      </c>
    </row>
    <row r="569" spans="1:18" s="15" customFormat="1" x14ac:dyDescent="0.3">
      <c r="A569" s="15" t="s">
        <v>1249</v>
      </c>
      <c r="B569" s="15" t="s">
        <v>437</v>
      </c>
      <c r="C569" s="15" t="s">
        <v>1250</v>
      </c>
      <c r="D569" s="15" t="s">
        <v>17</v>
      </c>
      <c r="E569" s="15" t="s">
        <v>18</v>
      </c>
      <c r="F569" s="15" t="s">
        <v>19</v>
      </c>
      <c r="G569" s="15" t="s">
        <v>93</v>
      </c>
      <c r="H569" s="16">
        <v>34906</v>
      </c>
      <c r="I569" s="16">
        <v>43163</v>
      </c>
      <c r="J569" s="16">
        <v>45630</v>
      </c>
      <c r="K569" s="15" t="s">
        <v>51</v>
      </c>
      <c r="L569" s="15" t="s">
        <v>233</v>
      </c>
      <c r="M569" s="15">
        <v>81660</v>
      </c>
      <c r="N569" s="15" t="s">
        <v>96</v>
      </c>
      <c r="O569" s="15">
        <v>4.043835616438356</v>
      </c>
      <c r="P569" s="15" t="s">
        <v>1862</v>
      </c>
      <c r="Q569" s="15">
        <f t="shared" ca="1" si="16"/>
        <v>30</v>
      </c>
      <c r="R569" s="15" t="str">
        <f t="shared" si="17"/>
        <v>Medium</v>
      </c>
    </row>
    <row r="570" spans="1:18" s="15" customFormat="1" x14ac:dyDescent="0.3">
      <c r="A570" s="15" t="s">
        <v>1251</v>
      </c>
      <c r="B570" s="15" t="s">
        <v>530</v>
      </c>
      <c r="C570" s="15" t="s">
        <v>245</v>
      </c>
      <c r="D570" s="15" t="s">
        <v>27</v>
      </c>
      <c r="E570" s="15" t="s">
        <v>81</v>
      </c>
      <c r="F570" s="15" t="s">
        <v>104</v>
      </c>
      <c r="G570" s="15" t="s">
        <v>20</v>
      </c>
      <c r="H570" s="16">
        <v>29838</v>
      </c>
      <c r="I570" s="16">
        <v>43336</v>
      </c>
      <c r="J570" s="16">
        <v>44383</v>
      </c>
      <c r="K570" s="15" t="s">
        <v>65</v>
      </c>
      <c r="L570" s="15" t="s">
        <v>131</v>
      </c>
      <c r="M570" s="15">
        <v>57604</v>
      </c>
      <c r="N570" s="15" t="s">
        <v>96</v>
      </c>
      <c r="O570" s="15">
        <v>1.6547945205479451</v>
      </c>
      <c r="P570" s="15" t="s">
        <v>1861</v>
      </c>
      <c r="Q570" s="15">
        <f t="shared" ca="1" si="16"/>
        <v>44</v>
      </c>
      <c r="R570" s="15" t="str">
        <f t="shared" si="17"/>
        <v>Low</v>
      </c>
    </row>
    <row r="571" spans="1:18" s="15" customFormat="1" x14ac:dyDescent="0.3">
      <c r="A571" s="15" t="s">
        <v>1252</v>
      </c>
      <c r="B571" s="15" t="s">
        <v>1106</v>
      </c>
      <c r="C571" s="15" t="s">
        <v>222</v>
      </c>
      <c r="D571" s="15" t="s">
        <v>27</v>
      </c>
      <c r="E571" s="15" t="s">
        <v>18</v>
      </c>
      <c r="F571" s="15" t="s">
        <v>19</v>
      </c>
      <c r="G571" s="15" t="s">
        <v>112</v>
      </c>
      <c r="H571" s="16">
        <v>31985</v>
      </c>
      <c r="I571" s="16">
        <v>44976</v>
      </c>
      <c r="J571" s="16">
        <v>45156</v>
      </c>
      <c r="K571" s="15" t="s">
        <v>31</v>
      </c>
      <c r="L571" s="15" t="s">
        <v>32</v>
      </c>
      <c r="M571" s="15">
        <v>88001</v>
      </c>
      <c r="N571" s="15" t="s">
        <v>96</v>
      </c>
      <c r="O571" s="15">
        <v>0.49315068493150682</v>
      </c>
      <c r="P571" s="15" t="s">
        <v>1861</v>
      </c>
      <c r="Q571" s="15">
        <f t="shared" ca="1" si="16"/>
        <v>38</v>
      </c>
      <c r="R571" s="15" t="str">
        <f t="shared" si="17"/>
        <v>Medium</v>
      </c>
    </row>
    <row r="572" spans="1:18" s="15" customFormat="1" x14ac:dyDescent="0.3">
      <c r="A572" s="15" t="s">
        <v>1253</v>
      </c>
      <c r="B572" s="15" t="s">
        <v>1204</v>
      </c>
      <c r="C572" s="15" t="s">
        <v>1254</v>
      </c>
      <c r="D572" s="15" t="s">
        <v>27</v>
      </c>
      <c r="E572" s="15" t="s">
        <v>18</v>
      </c>
      <c r="F572" s="15" t="s">
        <v>19</v>
      </c>
      <c r="G572" s="15" t="s">
        <v>30</v>
      </c>
      <c r="H572" s="16">
        <v>36814</v>
      </c>
      <c r="I572" s="16">
        <v>42878</v>
      </c>
      <c r="J572" s="16">
        <v>44654</v>
      </c>
      <c r="K572" s="15" t="s">
        <v>94</v>
      </c>
      <c r="L572" s="15" t="s">
        <v>182</v>
      </c>
      <c r="M572" s="15">
        <v>71220</v>
      </c>
      <c r="N572" s="15" t="s">
        <v>33</v>
      </c>
      <c r="O572" s="15">
        <v>1.29041095890411</v>
      </c>
      <c r="P572" s="15" t="s">
        <v>1862</v>
      </c>
      <c r="Q572" s="15">
        <f t="shared" ca="1" si="16"/>
        <v>25</v>
      </c>
      <c r="R572" s="15" t="str">
        <f t="shared" si="17"/>
        <v>Medium</v>
      </c>
    </row>
    <row r="573" spans="1:18" s="15" customFormat="1" x14ac:dyDescent="0.3">
      <c r="A573" s="15" t="s">
        <v>1255</v>
      </c>
      <c r="B573" s="15" t="s">
        <v>1256</v>
      </c>
      <c r="C573" s="15" t="s">
        <v>1257</v>
      </c>
      <c r="D573" s="15" t="s">
        <v>17</v>
      </c>
      <c r="E573" s="15" t="s">
        <v>18</v>
      </c>
      <c r="F573" s="15" t="s">
        <v>19</v>
      </c>
      <c r="G573" s="15" t="s">
        <v>30</v>
      </c>
      <c r="H573" s="16">
        <v>29023</v>
      </c>
      <c r="I573" s="16">
        <v>44706</v>
      </c>
      <c r="J573" s="16">
        <v>44886</v>
      </c>
      <c r="K573" s="15" t="s">
        <v>65</v>
      </c>
      <c r="L573" s="15" t="s">
        <v>131</v>
      </c>
      <c r="M573" s="15">
        <v>52793</v>
      </c>
      <c r="N573" s="15" t="s">
        <v>44</v>
      </c>
      <c r="O573" s="15">
        <v>0.49315068493150682</v>
      </c>
      <c r="P573" s="15" t="s">
        <v>1861</v>
      </c>
      <c r="Q573" s="15">
        <f t="shared" ca="1" si="16"/>
        <v>46</v>
      </c>
      <c r="R573" s="15" t="str">
        <f t="shared" si="17"/>
        <v>Low</v>
      </c>
    </row>
    <row r="574" spans="1:18" s="15" customFormat="1" x14ac:dyDescent="0.3">
      <c r="A574" s="15" t="s">
        <v>1258</v>
      </c>
      <c r="B574" s="15" t="s">
        <v>1259</v>
      </c>
      <c r="C574" s="15" t="s">
        <v>719</v>
      </c>
      <c r="D574" s="15" t="s">
        <v>27</v>
      </c>
      <c r="E574" s="15" t="s">
        <v>18</v>
      </c>
      <c r="F574" s="15" t="s">
        <v>19</v>
      </c>
      <c r="G574" s="15" t="s">
        <v>30</v>
      </c>
      <c r="H574" s="16">
        <v>37493</v>
      </c>
      <c r="I574" s="16">
        <v>43323</v>
      </c>
      <c r="J574" s="16">
        <v>43503</v>
      </c>
      <c r="K574" s="15" t="s">
        <v>94</v>
      </c>
      <c r="L574" s="15" t="s">
        <v>182</v>
      </c>
      <c r="M574" s="15">
        <v>76043</v>
      </c>
      <c r="N574" s="15" t="s">
        <v>44</v>
      </c>
      <c r="O574" s="15">
        <v>2.0191780821917811</v>
      </c>
      <c r="P574" s="15" t="s">
        <v>1862</v>
      </c>
      <c r="Q574" s="15">
        <f t="shared" ca="1" si="16"/>
        <v>23</v>
      </c>
      <c r="R574" s="15" t="str">
        <f t="shared" si="17"/>
        <v>Medium</v>
      </c>
    </row>
    <row r="575" spans="1:18" s="15" customFormat="1" x14ac:dyDescent="0.3">
      <c r="A575" s="15" t="s">
        <v>1260</v>
      </c>
      <c r="B575" s="15" t="s">
        <v>221</v>
      </c>
      <c r="C575" s="15" t="s">
        <v>226</v>
      </c>
      <c r="D575" s="15" t="s">
        <v>17</v>
      </c>
      <c r="E575" s="15" t="s">
        <v>18</v>
      </c>
      <c r="F575" s="15" t="s">
        <v>19</v>
      </c>
      <c r="G575" s="15" t="s">
        <v>30</v>
      </c>
      <c r="H575" s="16">
        <v>34196</v>
      </c>
      <c r="I575" s="16">
        <v>43145</v>
      </c>
      <c r="J575" s="16">
        <v>44039</v>
      </c>
      <c r="K575" s="15" t="s">
        <v>37</v>
      </c>
      <c r="L575" s="15" t="s">
        <v>41</v>
      </c>
      <c r="M575" s="15">
        <v>61175</v>
      </c>
      <c r="N575" s="15" t="s">
        <v>33</v>
      </c>
      <c r="O575" s="15">
        <v>3.9095890410958898</v>
      </c>
      <c r="P575" s="15" t="s">
        <v>1861</v>
      </c>
      <c r="Q575" s="15">
        <f t="shared" ca="1" si="16"/>
        <v>32</v>
      </c>
      <c r="R575" s="15" t="str">
        <f t="shared" si="17"/>
        <v>Medium</v>
      </c>
    </row>
    <row r="576" spans="1:18" s="15" customFormat="1" x14ac:dyDescent="0.3">
      <c r="A576" s="15" t="s">
        <v>1261</v>
      </c>
      <c r="B576" s="15" t="s">
        <v>235</v>
      </c>
      <c r="C576" s="15" t="s">
        <v>926</v>
      </c>
      <c r="D576" s="15" t="s">
        <v>27</v>
      </c>
      <c r="E576" s="15" t="s">
        <v>18</v>
      </c>
      <c r="F576" s="15" t="s">
        <v>19</v>
      </c>
      <c r="G576" s="15" t="s">
        <v>20</v>
      </c>
      <c r="H576" s="16">
        <v>26895</v>
      </c>
      <c r="I576" s="16">
        <v>43301</v>
      </c>
      <c r="J576" s="16">
        <v>43481</v>
      </c>
      <c r="K576" s="15" t="s">
        <v>37</v>
      </c>
      <c r="L576" s="15" t="s">
        <v>41</v>
      </c>
      <c r="M576" s="15">
        <v>64342</v>
      </c>
      <c r="N576" s="15" t="s">
        <v>23</v>
      </c>
      <c r="O576" s="15">
        <v>0.72054794520547949</v>
      </c>
      <c r="P576" s="15" t="s">
        <v>1861</v>
      </c>
      <c r="Q576" s="15">
        <f t="shared" ca="1" si="16"/>
        <v>52</v>
      </c>
      <c r="R576" s="15" t="str">
        <f t="shared" si="17"/>
        <v>Medium</v>
      </c>
    </row>
    <row r="577" spans="1:18" s="15" customFormat="1" x14ac:dyDescent="0.3">
      <c r="A577" s="15" t="s">
        <v>1262</v>
      </c>
      <c r="B577" s="15" t="s">
        <v>1226</v>
      </c>
      <c r="C577" s="15" t="s">
        <v>906</v>
      </c>
      <c r="D577" s="15" t="s">
        <v>27</v>
      </c>
      <c r="E577" s="15" t="s">
        <v>81</v>
      </c>
      <c r="F577" s="15" t="s">
        <v>82</v>
      </c>
      <c r="G577" s="15" t="s">
        <v>30</v>
      </c>
      <c r="H577" s="16">
        <v>23777</v>
      </c>
      <c r="I577" s="16">
        <v>42837</v>
      </c>
      <c r="J577" s="16">
        <v>43995</v>
      </c>
      <c r="K577" s="15" t="s">
        <v>31</v>
      </c>
      <c r="L577" s="15" t="s">
        <v>83</v>
      </c>
      <c r="M577" s="15">
        <v>75475</v>
      </c>
      <c r="N577" s="15" t="s">
        <v>33</v>
      </c>
      <c r="O577" s="15">
        <v>1.1424657534246581</v>
      </c>
      <c r="P577" s="15" t="s">
        <v>1861</v>
      </c>
      <c r="Q577" s="15">
        <f t="shared" ca="1" si="16"/>
        <v>60</v>
      </c>
      <c r="R577" s="15" t="str">
        <f t="shared" si="17"/>
        <v>Medium</v>
      </c>
    </row>
    <row r="578" spans="1:18" s="15" customFormat="1" x14ac:dyDescent="0.3">
      <c r="A578" s="15" t="s">
        <v>1263</v>
      </c>
      <c r="B578" s="15" t="s">
        <v>129</v>
      </c>
      <c r="C578" s="15" t="s">
        <v>1264</v>
      </c>
      <c r="D578" s="15" t="s">
        <v>17</v>
      </c>
      <c r="E578" s="15" t="s">
        <v>28</v>
      </c>
      <c r="F578" s="15" t="s">
        <v>29</v>
      </c>
      <c r="G578" s="15" t="s">
        <v>30</v>
      </c>
      <c r="H578" s="16">
        <v>28691</v>
      </c>
      <c r="I578" s="16">
        <v>45375</v>
      </c>
      <c r="J578" s="16">
        <v>45555</v>
      </c>
      <c r="K578" s="15" t="s">
        <v>21</v>
      </c>
      <c r="L578" s="15" t="s">
        <v>100</v>
      </c>
      <c r="M578" s="15">
        <v>64626</v>
      </c>
      <c r="N578" s="15" t="s">
        <v>96</v>
      </c>
      <c r="O578" s="15">
        <v>2.1917808219178081</v>
      </c>
      <c r="P578" s="15" t="s">
        <v>1862</v>
      </c>
      <c r="Q578" s="15">
        <f t="shared" ref="Q578:Q641" ca="1" si="18">DATEDIF(H578, TODAY(), "Y")</f>
        <v>47</v>
      </c>
      <c r="R578" s="15" t="str">
        <f t="shared" si="17"/>
        <v>Medium</v>
      </c>
    </row>
    <row r="579" spans="1:18" s="15" customFormat="1" x14ac:dyDescent="0.3">
      <c r="A579" s="15" t="s">
        <v>1265</v>
      </c>
      <c r="B579" s="15" t="s">
        <v>823</v>
      </c>
      <c r="C579" s="15" t="s">
        <v>106</v>
      </c>
      <c r="D579" s="15" t="s">
        <v>27</v>
      </c>
      <c r="E579" s="15" t="s">
        <v>18</v>
      </c>
      <c r="F579" s="15" t="s">
        <v>19</v>
      </c>
      <c r="G579" s="15" t="s">
        <v>30</v>
      </c>
      <c r="H579" s="16">
        <v>38007</v>
      </c>
      <c r="I579" s="16">
        <v>43091</v>
      </c>
      <c r="J579" s="16">
        <v>45180</v>
      </c>
      <c r="K579" s="15" t="s">
        <v>37</v>
      </c>
      <c r="L579" s="15" t="s">
        <v>41</v>
      </c>
      <c r="M579" s="15">
        <v>63645</v>
      </c>
      <c r="N579" s="15" t="s">
        <v>33</v>
      </c>
      <c r="O579" s="15">
        <v>0.49315068493150682</v>
      </c>
      <c r="P579" s="15" t="s">
        <v>1862</v>
      </c>
      <c r="Q579" s="15">
        <f t="shared" ca="1" si="18"/>
        <v>21</v>
      </c>
      <c r="R579" s="15" t="str">
        <f t="shared" ref="R579:R642" si="19">IF(M579:M1544&gt;100000,"High",IF(M579:M1544&gt;60000,"Medium","Low"))</f>
        <v>Medium</v>
      </c>
    </row>
    <row r="580" spans="1:18" s="15" customFormat="1" x14ac:dyDescent="0.3">
      <c r="A580" s="15" t="s">
        <v>1266</v>
      </c>
      <c r="B580" s="15" t="s">
        <v>322</v>
      </c>
      <c r="C580" s="15" t="s">
        <v>694</v>
      </c>
      <c r="D580" s="15" t="s">
        <v>27</v>
      </c>
      <c r="E580" s="15" t="s">
        <v>18</v>
      </c>
      <c r="F580" s="15" t="s">
        <v>19</v>
      </c>
      <c r="G580" s="15" t="s">
        <v>20</v>
      </c>
      <c r="H580" s="16">
        <v>33691</v>
      </c>
      <c r="I580" s="16">
        <v>44614</v>
      </c>
      <c r="J580" s="16">
        <v>44794</v>
      </c>
      <c r="K580" s="15" t="s">
        <v>37</v>
      </c>
      <c r="L580" s="15" t="s">
        <v>41</v>
      </c>
      <c r="M580" s="15">
        <v>64251</v>
      </c>
      <c r="N580" s="15" t="s">
        <v>23</v>
      </c>
      <c r="O580" s="15">
        <v>1.3123287671232879</v>
      </c>
      <c r="P580" s="15" t="s">
        <v>1861</v>
      </c>
      <c r="Q580" s="15">
        <f t="shared" ca="1" si="18"/>
        <v>33</v>
      </c>
      <c r="R580" s="15" t="str">
        <f t="shared" si="19"/>
        <v>Medium</v>
      </c>
    </row>
    <row r="581" spans="1:18" s="15" customFormat="1" x14ac:dyDescent="0.3">
      <c r="A581" s="15" t="s">
        <v>1267</v>
      </c>
      <c r="B581" s="15" t="s">
        <v>851</v>
      </c>
      <c r="C581" s="15" t="s">
        <v>686</v>
      </c>
      <c r="D581" s="15" t="s">
        <v>17</v>
      </c>
      <c r="E581" s="15" t="s">
        <v>120</v>
      </c>
      <c r="F581" s="15" t="s">
        <v>223</v>
      </c>
      <c r="G581" s="15" t="s">
        <v>20</v>
      </c>
      <c r="H581" s="16">
        <v>37897</v>
      </c>
      <c r="I581" s="16">
        <v>44911</v>
      </c>
      <c r="J581" s="16">
        <v>45091</v>
      </c>
      <c r="K581" s="15" t="s">
        <v>21</v>
      </c>
      <c r="L581" s="15" t="s">
        <v>108</v>
      </c>
      <c r="M581" s="15">
        <v>54961</v>
      </c>
      <c r="N581" s="15" t="s">
        <v>23</v>
      </c>
      <c r="O581" s="15">
        <v>1.704109589041096</v>
      </c>
      <c r="P581" s="15" t="s">
        <v>1861</v>
      </c>
      <c r="Q581" s="15">
        <f t="shared" ca="1" si="18"/>
        <v>22</v>
      </c>
      <c r="R581" s="15" t="str">
        <f t="shared" si="19"/>
        <v>Low</v>
      </c>
    </row>
    <row r="582" spans="1:18" s="15" customFormat="1" x14ac:dyDescent="0.3">
      <c r="A582" s="15" t="s">
        <v>1268</v>
      </c>
      <c r="B582" s="15" t="s">
        <v>140</v>
      </c>
      <c r="C582" s="15" t="s">
        <v>1269</v>
      </c>
      <c r="D582" s="15" t="s">
        <v>17</v>
      </c>
      <c r="E582" s="15" t="s">
        <v>18</v>
      </c>
      <c r="F582" s="15" t="s">
        <v>19</v>
      </c>
      <c r="G582" s="15" t="s">
        <v>20</v>
      </c>
      <c r="H582" s="16">
        <v>31089</v>
      </c>
      <c r="I582" s="16">
        <v>44876</v>
      </c>
      <c r="J582" s="16">
        <v>45056</v>
      </c>
      <c r="K582" s="15" t="s">
        <v>37</v>
      </c>
      <c r="L582" s="15" t="s">
        <v>41</v>
      </c>
      <c r="M582" s="15">
        <v>61212</v>
      </c>
      <c r="N582" s="15" t="s">
        <v>23</v>
      </c>
      <c r="O582" s="15">
        <v>0.49315068493150682</v>
      </c>
      <c r="P582" s="15" t="s">
        <v>1862</v>
      </c>
      <c r="Q582" s="15">
        <f t="shared" ca="1" si="18"/>
        <v>40</v>
      </c>
      <c r="R582" s="15" t="str">
        <f t="shared" si="19"/>
        <v>Medium</v>
      </c>
    </row>
    <row r="583" spans="1:18" s="15" customFormat="1" x14ac:dyDescent="0.3">
      <c r="A583" s="15" t="s">
        <v>1270</v>
      </c>
      <c r="B583" s="15" t="s">
        <v>1271</v>
      </c>
      <c r="C583" s="15" t="s">
        <v>257</v>
      </c>
      <c r="D583" s="15" t="s">
        <v>17</v>
      </c>
      <c r="E583" s="15" t="s">
        <v>18</v>
      </c>
      <c r="F583" s="15" t="s">
        <v>19</v>
      </c>
      <c r="G583" s="15" t="s">
        <v>30</v>
      </c>
      <c r="H583" s="16">
        <v>31789</v>
      </c>
      <c r="I583" s="16">
        <v>42860</v>
      </c>
      <c r="J583" s="16">
        <v>44981</v>
      </c>
      <c r="K583" s="15" t="s">
        <v>21</v>
      </c>
      <c r="L583" s="15" t="s">
        <v>22</v>
      </c>
      <c r="M583" s="15">
        <v>87620</v>
      </c>
      <c r="N583" s="15" t="s">
        <v>23</v>
      </c>
      <c r="O583" s="15">
        <v>0.49315068493150682</v>
      </c>
      <c r="P583" s="15" t="s">
        <v>1862</v>
      </c>
      <c r="Q583" s="15">
        <f t="shared" ca="1" si="18"/>
        <v>39</v>
      </c>
      <c r="R583" s="15" t="str">
        <f t="shared" si="19"/>
        <v>Medium</v>
      </c>
    </row>
    <row r="584" spans="1:18" s="15" customFormat="1" x14ac:dyDescent="0.3">
      <c r="A584" s="15" t="s">
        <v>1272</v>
      </c>
      <c r="B584" s="15" t="s">
        <v>484</v>
      </c>
      <c r="C584" s="15" t="s">
        <v>1273</v>
      </c>
      <c r="D584" s="15" t="s">
        <v>17</v>
      </c>
      <c r="E584" s="15" t="s">
        <v>18</v>
      </c>
      <c r="F584" s="15" t="s">
        <v>19</v>
      </c>
      <c r="G584" s="15" t="s">
        <v>20</v>
      </c>
      <c r="H584" s="16">
        <v>30574</v>
      </c>
      <c r="I584" s="16">
        <v>44775</v>
      </c>
      <c r="J584" s="16">
        <v>44955</v>
      </c>
      <c r="K584" s="15" t="s">
        <v>21</v>
      </c>
      <c r="L584" s="15" t="s">
        <v>108</v>
      </c>
      <c r="M584" s="15">
        <v>65530</v>
      </c>
      <c r="N584" s="15" t="s">
        <v>23</v>
      </c>
      <c r="O584" s="15">
        <v>0.49315068493150682</v>
      </c>
      <c r="P584" s="15" t="s">
        <v>1862</v>
      </c>
      <c r="Q584" s="15">
        <f t="shared" ca="1" si="18"/>
        <v>42</v>
      </c>
      <c r="R584" s="15" t="str">
        <f t="shared" si="19"/>
        <v>Medium</v>
      </c>
    </row>
    <row r="585" spans="1:18" s="15" customFormat="1" x14ac:dyDescent="0.3">
      <c r="A585" s="15" t="s">
        <v>1274</v>
      </c>
      <c r="B585" s="15" t="s">
        <v>240</v>
      </c>
      <c r="C585" s="15" t="s">
        <v>1275</v>
      </c>
      <c r="D585" s="15" t="s">
        <v>17</v>
      </c>
      <c r="E585" s="15" t="s">
        <v>18</v>
      </c>
      <c r="F585" s="15" t="s">
        <v>19</v>
      </c>
      <c r="G585" s="15" t="s">
        <v>30</v>
      </c>
      <c r="H585" s="16">
        <v>26217</v>
      </c>
      <c r="I585" s="16">
        <v>42335</v>
      </c>
      <c r="J585" s="16">
        <v>44293</v>
      </c>
      <c r="K585" s="15" t="s">
        <v>37</v>
      </c>
      <c r="L585" s="15" t="s">
        <v>38</v>
      </c>
      <c r="M585" s="15">
        <v>64649</v>
      </c>
      <c r="N585" s="15" t="s">
        <v>33</v>
      </c>
      <c r="O585" s="15">
        <v>0.49315068493150682</v>
      </c>
      <c r="P585" s="15" t="s">
        <v>1861</v>
      </c>
      <c r="Q585" s="15">
        <f t="shared" ca="1" si="18"/>
        <v>54</v>
      </c>
      <c r="R585" s="15" t="str">
        <f t="shared" si="19"/>
        <v>Medium</v>
      </c>
    </row>
    <row r="586" spans="1:18" s="15" customFormat="1" x14ac:dyDescent="0.3">
      <c r="A586" s="15" t="s">
        <v>1276</v>
      </c>
      <c r="B586" s="15" t="s">
        <v>512</v>
      </c>
      <c r="C586" s="15" t="s">
        <v>1273</v>
      </c>
      <c r="D586" s="15" t="s">
        <v>27</v>
      </c>
      <c r="E586" s="15" t="s">
        <v>18</v>
      </c>
      <c r="F586" s="15" t="s">
        <v>19</v>
      </c>
      <c r="G586" s="15" t="s">
        <v>112</v>
      </c>
      <c r="H586" s="16">
        <v>26514</v>
      </c>
      <c r="I586" s="16">
        <v>44833</v>
      </c>
      <c r="J586" s="16">
        <v>45013</v>
      </c>
      <c r="K586" s="15" t="s">
        <v>37</v>
      </c>
      <c r="L586" s="15" t="s">
        <v>43</v>
      </c>
      <c r="M586" s="15">
        <v>81221</v>
      </c>
      <c r="N586" s="15" t="s">
        <v>33</v>
      </c>
      <c r="O586" s="15">
        <v>0.49315068493150682</v>
      </c>
      <c r="P586" s="15" t="s">
        <v>1862</v>
      </c>
      <c r="Q586" s="15">
        <f t="shared" ca="1" si="18"/>
        <v>53</v>
      </c>
      <c r="R586" s="15" t="str">
        <f t="shared" si="19"/>
        <v>Medium</v>
      </c>
    </row>
    <row r="587" spans="1:18" s="15" customFormat="1" x14ac:dyDescent="0.3">
      <c r="A587" s="15" t="s">
        <v>1277</v>
      </c>
      <c r="B587" s="15" t="s">
        <v>501</v>
      </c>
      <c r="C587" s="15" t="s">
        <v>455</v>
      </c>
      <c r="D587" s="15" t="s">
        <v>17</v>
      </c>
      <c r="E587" s="15" t="s">
        <v>18</v>
      </c>
      <c r="F587" s="15" t="s">
        <v>19</v>
      </c>
      <c r="G587" s="15" t="s">
        <v>20</v>
      </c>
      <c r="H587" s="16">
        <v>26074</v>
      </c>
      <c r="I587" s="16">
        <v>42933</v>
      </c>
      <c r="J587" s="16">
        <v>43769</v>
      </c>
      <c r="K587" s="15" t="s">
        <v>65</v>
      </c>
      <c r="L587" s="15" t="s">
        <v>131</v>
      </c>
      <c r="M587" s="15">
        <v>55055</v>
      </c>
      <c r="N587" s="15" t="s">
        <v>23</v>
      </c>
      <c r="O587" s="15">
        <v>2.9397260273972599</v>
      </c>
      <c r="P587" s="15" t="s">
        <v>1861</v>
      </c>
      <c r="Q587" s="15">
        <f t="shared" ca="1" si="18"/>
        <v>54</v>
      </c>
      <c r="R587" s="15" t="str">
        <f t="shared" si="19"/>
        <v>Low</v>
      </c>
    </row>
    <row r="588" spans="1:18" s="15" customFormat="1" x14ac:dyDescent="0.3">
      <c r="A588" s="15" t="s">
        <v>1278</v>
      </c>
      <c r="B588" s="15" t="s">
        <v>127</v>
      </c>
      <c r="C588" s="15" t="s">
        <v>92</v>
      </c>
      <c r="D588" s="15" t="s">
        <v>17</v>
      </c>
      <c r="E588" s="15" t="s">
        <v>18</v>
      </c>
      <c r="F588" s="15" t="s">
        <v>19</v>
      </c>
      <c r="G588" s="15" t="s">
        <v>30</v>
      </c>
      <c r="H588" s="16">
        <v>33469</v>
      </c>
      <c r="I588" s="16">
        <v>44504</v>
      </c>
      <c r="J588" s="16">
        <v>44684</v>
      </c>
      <c r="K588" s="15" t="s">
        <v>31</v>
      </c>
      <c r="L588" s="15" t="s">
        <v>32</v>
      </c>
      <c r="M588" s="15">
        <v>89837</v>
      </c>
      <c r="N588" s="15" t="s">
        <v>33</v>
      </c>
      <c r="O588" s="15">
        <v>3.150684931506849</v>
      </c>
      <c r="P588" s="15" t="s">
        <v>1861</v>
      </c>
      <c r="Q588" s="15">
        <f t="shared" ca="1" si="18"/>
        <v>34</v>
      </c>
      <c r="R588" s="15" t="str">
        <f t="shared" si="19"/>
        <v>Medium</v>
      </c>
    </row>
    <row r="589" spans="1:18" s="15" customFormat="1" x14ac:dyDescent="0.3">
      <c r="A589" s="15" t="s">
        <v>1279</v>
      </c>
      <c r="B589" s="15" t="s">
        <v>1176</v>
      </c>
      <c r="C589" s="15" t="s">
        <v>799</v>
      </c>
      <c r="D589" s="15" t="s">
        <v>17</v>
      </c>
      <c r="E589" s="15" t="s">
        <v>28</v>
      </c>
      <c r="F589" s="15" t="s">
        <v>116</v>
      </c>
      <c r="G589" s="15" t="s">
        <v>30</v>
      </c>
      <c r="H589" s="16">
        <v>27138</v>
      </c>
      <c r="I589" s="16">
        <v>42746</v>
      </c>
      <c r="J589" s="16">
        <v>43945</v>
      </c>
      <c r="K589" s="15" t="s">
        <v>21</v>
      </c>
      <c r="L589" s="15" t="s">
        <v>108</v>
      </c>
      <c r="M589" s="15">
        <v>66282</v>
      </c>
      <c r="N589" s="15" t="s">
        <v>96</v>
      </c>
      <c r="O589" s="15">
        <v>0.49315068493150682</v>
      </c>
      <c r="P589" s="15" t="s">
        <v>1861</v>
      </c>
      <c r="Q589" s="15">
        <f t="shared" ca="1" si="18"/>
        <v>51</v>
      </c>
      <c r="R589" s="15" t="str">
        <f t="shared" si="19"/>
        <v>Medium</v>
      </c>
    </row>
    <row r="590" spans="1:18" s="15" customFormat="1" x14ac:dyDescent="0.3">
      <c r="A590" s="15" t="s">
        <v>1280</v>
      </c>
      <c r="B590" s="15" t="s">
        <v>68</v>
      </c>
      <c r="C590" s="15" t="s">
        <v>1281</v>
      </c>
      <c r="D590" s="15" t="s">
        <v>27</v>
      </c>
      <c r="E590" s="15" t="s">
        <v>81</v>
      </c>
      <c r="F590" s="15" t="s">
        <v>104</v>
      </c>
      <c r="G590" s="15" t="s">
        <v>112</v>
      </c>
      <c r="H590" s="16">
        <v>29032</v>
      </c>
      <c r="I590" s="16">
        <v>45473</v>
      </c>
      <c r="J590" s="16">
        <v>45653</v>
      </c>
      <c r="K590" s="15" t="s">
        <v>37</v>
      </c>
      <c r="L590" s="15" t="s">
        <v>43</v>
      </c>
      <c r="M590" s="15">
        <v>67293</v>
      </c>
      <c r="N590" s="15" t="s">
        <v>33</v>
      </c>
      <c r="O590" s="15">
        <v>9.1479452054794521</v>
      </c>
      <c r="P590" s="15" t="s">
        <v>1862</v>
      </c>
      <c r="Q590" s="15">
        <f t="shared" ca="1" si="18"/>
        <v>46</v>
      </c>
      <c r="R590" s="15" t="str">
        <f t="shared" si="19"/>
        <v>Medium</v>
      </c>
    </row>
    <row r="591" spans="1:18" s="15" customFormat="1" x14ac:dyDescent="0.3">
      <c r="A591" s="15" t="s">
        <v>1282</v>
      </c>
      <c r="B591" s="15" t="s">
        <v>58</v>
      </c>
      <c r="C591" s="15" t="s">
        <v>359</v>
      </c>
      <c r="D591" s="15" t="s">
        <v>17</v>
      </c>
      <c r="E591" s="15" t="s">
        <v>18</v>
      </c>
      <c r="F591" s="15" t="s">
        <v>19</v>
      </c>
      <c r="G591" s="15" t="s">
        <v>20</v>
      </c>
      <c r="H591" s="16">
        <v>35700</v>
      </c>
      <c r="I591" s="16">
        <v>43337</v>
      </c>
      <c r="J591" s="16">
        <v>43517</v>
      </c>
      <c r="K591" s="15" t="s">
        <v>37</v>
      </c>
      <c r="L591" s="15" t="s">
        <v>41</v>
      </c>
      <c r="M591" s="15">
        <v>59592</v>
      </c>
      <c r="N591" s="15" t="s">
        <v>23</v>
      </c>
      <c r="O591" s="15">
        <v>0.49315068493150682</v>
      </c>
      <c r="P591" s="15" t="s">
        <v>1861</v>
      </c>
      <c r="Q591" s="15">
        <f t="shared" ca="1" si="18"/>
        <v>28</v>
      </c>
      <c r="R591" s="15" t="str">
        <f t="shared" si="19"/>
        <v>Low</v>
      </c>
    </row>
    <row r="592" spans="1:18" s="15" customFormat="1" x14ac:dyDescent="0.3">
      <c r="A592" s="15" t="s">
        <v>1283</v>
      </c>
      <c r="B592" s="15" t="s">
        <v>85</v>
      </c>
      <c r="C592" s="15" t="s">
        <v>301</v>
      </c>
      <c r="D592" s="15" t="s">
        <v>27</v>
      </c>
      <c r="E592" s="15" t="s">
        <v>18</v>
      </c>
      <c r="F592" s="15" t="s">
        <v>19</v>
      </c>
      <c r="G592" s="15" t="s">
        <v>30</v>
      </c>
      <c r="H592" s="16">
        <v>30344</v>
      </c>
      <c r="I592" s="16">
        <v>45081</v>
      </c>
      <c r="J592" s="16">
        <v>45261</v>
      </c>
      <c r="K592" s="15" t="s">
        <v>51</v>
      </c>
      <c r="L592" s="15" t="s">
        <v>56</v>
      </c>
      <c r="M592" s="15">
        <v>61465</v>
      </c>
      <c r="N592" s="15" t="s">
        <v>33</v>
      </c>
      <c r="O592" s="15">
        <v>0.49315068493150682</v>
      </c>
      <c r="P592" s="15" t="s">
        <v>1861</v>
      </c>
      <c r="Q592" s="15">
        <f t="shared" ca="1" si="18"/>
        <v>42</v>
      </c>
      <c r="R592" s="15" t="str">
        <f t="shared" si="19"/>
        <v>Medium</v>
      </c>
    </row>
    <row r="593" spans="1:18" s="15" customFormat="1" x14ac:dyDescent="0.3">
      <c r="A593" s="15" t="s">
        <v>1284</v>
      </c>
      <c r="B593" s="15" t="s">
        <v>716</v>
      </c>
      <c r="C593" s="15" t="s">
        <v>1285</v>
      </c>
      <c r="D593" s="15" t="s">
        <v>17</v>
      </c>
      <c r="E593" s="15" t="s">
        <v>120</v>
      </c>
      <c r="F593" s="15" t="s">
        <v>121</v>
      </c>
      <c r="G593" s="15" t="s">
        <v>30</v>
      </c>
      <c r="H593" s="16">
        <v>34687</v>
      </c>
      <c r="I593" s="16">
        <v>42940</v>
      </c>
      <c r="J593" s="16">
        <v>43120</v>
      </c>
      <c r="K593" s="15" t="s">
        <v>70</v>
      </c>
      <c r="L593" s="15" t="s">
        <v>71</v>
      </c>
      <c r="M593" s="15">
        <v>73461</v>
      </c>
      <c r="N593" s="15" t="s">
        <v>33</v>
      </c>
      <c r="O593" s="15">
        <v>0.49315068493150682</v>
      </c>
      <c r="P593" s="15" t="s">
        <v>1862</v>
      </c>
      <c r="Q593" s="15">
        <f t="shared" ca="1" si="18"/>
        <v>31</v>
      </c>
      <c r="R593" s="15" t="str">
        <f t="shared" si="19"/>
        <v>Medium</v>
      </c>
    </row>
    <row r="594" spans="1:18" s="15" customFormat="1" x14ac:dyDescent="0.3">
      <c r="A594" s="15" t="s">
        <v>1286</v>
      </c>
      <c r="B594" s="15" t="s">
        <v>251</v>
      </c>
      <c r="C594" s="15" t="s">
        <v>731</v>
      </c>
      <c r="D594" s="15" t="s">
        <v>17</v>
      </c>
      <c r="E594" s="15" t="s">
        <v>18</v>
      </c>
      <c r="F594" s="15" t="s">
        <v>19</v>
      </c>
      <c r="G594" s="15" t="s">
        <v>30</v>
      </c>
      <c r="H594" s="16">
        <v>29357</v>
      </c>
      <c r="I594" s="16">
        <v>44420</v>
      </c>
      <c r="J594" s="16">
        <v>44600</v>
      </c>
      <c r="K594" s="15" t="s">
        <v>94</v>
      </c>
      <c r="L594" s="15" t="s">
        <v>117</v>
      </c>
      <c r="M594" s="15">
        <v>57475</v>
      </c>
      <c r="N594" s="15" t="s">
        <v>33</v>
      </c>
      <c r="O594" s="15">
        <v>2.0273972602739732</v>
      </c>
      <c r="P594" s="15" t="s">
        <v>1861</v>
      </c>
      <c r="Q594" s="15">
        <f t="shared" ca="1" si="18"/>
        <v>45</v>
      </c>
      <c r="R594" s="15" t="str">
        <f t="shared" si="19"/>
        <v>Low</v>
      </c>
    </row>
    <row r="595" spans="1:18" s="15" customFormat="1" x14ac:dyDescent="0.3">
      <c r="A595" s="15" t="s">
        <v>1287</v>
      </c>
      <c r="B595" s="15" t="s">
        <v>265</v>
      </c>
      <c r="C595" s="15" t="s">
        <v>1288</v>
      </c>
      <c r="D595" s="15" t="s">
        <v>27</v>
      </c>
      <c r="E595" s="15" t="s">
        <v>18</v>
      </c>
      <c r="F595" s="15" t="s">
        <v>19</v>
      </c>
      <c r="G595" s="15" t="s">
        <v>112</v>
      </c>
      <c r="H595" s="16">
        <v>29314</v>
      </c>
      <c r="I595" s="16">
        <v>43349</v>
      </c>
      <c r="J595" s="16">
        <v>43529</v>
      </c>
      <c r="K595" s="15" t="s">
        <v>31</v>
      </c>
      <c r="L595" s="15" t="s">
        <v>32</v>
      </c>
      <c r="M595" s="15">
        <v>69069</v>
      </c>
      <c r="N595" s="15" t="s">
        <v>96</v>
      </c>
      <c r="O595" s="15">
        <v>6.7589041095890412</v>
      </c>
      <c r="P595" s="15" t="s">
        <v>1862</v>
      </c>
      <c r="Q595" s="15">
        <f t="shared" ca="1" si="18"/>
        <v>45</v>
      </c>
      <c r="R595" s="15" t="str">
        <f t="shared" si="19"/>
        <v>Medium</v>
      </c>
    </row>
    <row r="596" spans="1:18" s="15" customFormat="1" x14ac:dyDescent="0.3">
      <c r="A596" s="15" t="s">
        <v>1289</v>
      </c>
      <c r="B596" s="15" t="s">
        <v>265</v>
      </c>
      <c r="C596" s="15" t="s">
        <v>1290</v>
      </c>
      <c r="D596" s="15" t="s">
        <v>27</v>
      </c>
      <c r="E596" s="15" t="s">
        <v>18</v>
      </c>
      <c r="F596" s="15" t="s">
        <v>19</v>
      </c>
      <c r="G596" s="15" t="s">
        <v>30</v>
      </c>
      <c r="H596" s="16">
        <v>35264</v>
      </c>
      <c r="I596" s="16">
        <v>42936</v>
      </c>
      <c r="J596" s="16">
        <v>43116</v>
      </c>
      <c r="K596" s="15" t="s">
        <v>37</v>
      </c>
      <c r="L596" s="15" t="s">
        <v>38</v>
      </c>
      <c r="M596" s="15">
        <v>61015</v>
      </c>
      <c r="N596" s="15" t="s">
        <v>44</v>
      </c>
      <c r="O596" s="15">
        <v>2.868493150684932</v>
      </c>
      <c r="P596" s="15" t="s">
        <v>1862</v>
      </c>
      <c r="Q596" s="15">
        <f t="shared" ca="1" si="18"/>
        <v>29</v>
      </c>
      <c r="R596" s="15" t="str">
        <f t="shared" si="19"/>
        <v>Medium</v>
      </c>
    </row>
    <row r="597" spans="1:18" s="15" customFormat="1" x14ac:dyDescent="0.3">
      <c r="A597" s="15" t="s">
        <v>1291</v>
      </c>
      <c r="B597" s="15" t="s">
        <v>1292</v>
      </c>
      <c r="C597" s="15" t="s">
        <v>1293</v>
      </c>
      <c r="D597" s="15" t="s">
        <v>27</v>
      </c>
      <c r="E597" s="15" t="s">
        <v>120</v>
      </c>
      <c r="F597" s="15" t="s">
        <v>121</v>
      </c>
      <c r="G597" s="15" t="s">
        <v>112</v>
      </c>
      <c r="H597" s="16">
        <v>29570</v>
      </c>
      <c r="I597" s="16">
        <v>43769</v>
      </c>
      <c r="J597" s="16">
        <v>44057</v>
      </c>
      <c r="K597" s="15" t="s">
        <v>94</v>
      </c>
      <c r="L597" s="15" t="s">
        <v>95</v>
      </c>
      <c r="M597" s="15">
        <v>117180</v>
      </c>
      <c r="N597" s="15" t="s">
        <v>96</v>
      </c>
      <c r="O597" s="15">
        <v>0.49315068493150682</v>
      </c>
      <c r="P597" s="15" t="s">
        <v>1861</v>
      </c>
      <c r="Q597" s="15">
        <f t="shared" ca="1" si="18"/>
        <v>45</v>
      </c>
      <c r="R597" s="15" t="str">
        <f t="shared" si="19"/>
        <v>High</v>
      </c>
    </row>
    <row r="598" spans="1:18" s="15" customFormat="1" x14ac:dyDescent="0.3">
      <c r="A598" s="15" t="s">
        <v>1294</v>
      </c>
      <c r="B598" s="15" t="s">
        <v>79</v>
      </c>
      <c r="C598" s="15" t="s">
        <v>1295</v>
      </c>
      <c r="D598" s="15" t="s">
        <v>27</v>
      </c>
      <c r="E598" s="15" t="s">
        <v>656</v>
      </c>
      <c r="F598" s="15" t="s">
        <v>657</v>
      </c>
      <c r="G598" s="15" t="s">
        <v>30</v>
      </c>
      <c r="H598" s="16">
        <v>35360</v>
      </c>
      <c r="I598" s="16">
        <v>43399</v>
      </c>
      <c r="J598" s="16">
        <v>44690</v>
      </c>
      <c r="K598" s="15" t="s">
        <v>21</v>
      </c>
      <c r="L598" s="15" t="s">
        <v>100</v>
      </c>
      <c r="M598" s="15">
        <v>58585</v>
      </c>
      <c r="N598" s="15" t="s">
        <v>33</v>
      </c>
      <c r="O598" s="15">
        <v>4.8657534246575347</v>
      </c>
      <c r="P598" s="15" t="s">
        <v>1862</v>
      </c>
      <c r="Q598" s="15">
        <f t="shared" ca="1" si="18"/>
        <v>29</v>
      </c>
      <c r="R598" s="15" t="str">
        <f t="shared" si="19"/>
        <v>Low</v>
      </c>
    </row>
    <row r="599" spans="1:18" s="15" customFormat="1" x14ac:dyDescent="0.3">
      <c r="A599" s="15" t="s">
        <v>1296</v>
      </c>
      <c r="B599" s="15" t="s">
        <v>801</v>
      </c>
      <c r="C599" s="15" t="s">
        <v>430</v>
      </c>
      <c r="D599" s="15" t="s">
        <v>27</v>
      </c>
      <c r="E599" s="15" t="s">
        <v>81</v>
      </c>
      <c r="F599" s="15" t="s">
        <v>166</v>
      </c>
      <c r="G599" s="15" t="s">
        <v>93</v>
      </c>
      <c r="H599" s="16">
        <v>22148</v>
      </c>
      <c r="I599" s="16">
        <v>43089</v>
      </c>
      <c r="J599" s="16">
        <v>44728</v>
      </c>
      <c r="K599" s="15" t="s">
        <v>94</v>
      </c>
      <c r="L599" s="15" t="s">
        <v>117</v>
      </c>
      <c r="M599" s="15">
        <v>58073</v>
      </c>
      <c r="N599" s="15" t="s">
        <v>96</v>
      </c>
      <c r="O599" s="15">
        <v>8.2410958904109588</v>
      </c>
      <c r="P599" s="15" t="s">
        <v>1861</v>
      </c>
      <c r="Q599" s="15">
        <f t="shared" ca="1" si="18"/>
        <v>65</v>
      </c>
      <c r="R599" s="15" t="str">
        <f t="shared" si="19"/>
        <v>Low</v>
      </c>
    </row>
    <row r="600" spans="1:18" s="15" customFormat="1" x14ac:dyDescent="0.3">
      <c r="A600" s="15" t="s">
        <v>1297</v>
      </c>
      <c r="B600" s="15" t="s">
        <v>994</v>
      </c>
      <c r="C600" s="15" t="s">
        <v>1140</v>
      </c>
      <c r="D600" s="15" t="s">
        <v>17</v>
      </c>
      <c r="E600" s="15" t="s">
        <v>18</v>
      </c>
      <c r="F600" s="15" t="s">
        <v>19</v>
      </c>
      <c r="G600" s="15" t="s">
        <v>112</v>
      </c>
      <c r="H600" s="16">
        <v>34131</v>
      </c>
      <c r="I600" s="16">
        <v>42937</v>
      </c>
      <c r="J600" s="16">
        <v>43117</v>
      </c>
      <c r="K600" s="15" t="s">
        <v>37</v>
      </c>
      <c r="L600" s="15" t="s">
        <v>43</v>
      </c>
      <c r="M600" s="15">
        <v>69136</v>
      </c>
      <c r="N600" s="15" t="s">
        <v>33</v>
      </c>
      <c r="O600" s="15">
        <v>0.49315068493150682</v>
      </c>
      <c r="P600" s="15" t="s">
        <v>1862</v>
      </c>
      <c r="Q600" s="15">
        <f t="shared" ca="1" si="18"/>
        <v>32</v>
      </c>
      <c r="R600" s="15" t="str">
        <f t="shared" si="19"/>
        <v>Medium</v>
      </c>
    </row>
    <row r="601" spans="1:18" s="15" customFormat="1" x14ac:dyDescent="0.3">
      <c r="A601" s="15" t="s">
        <v>1298</v>
      </c>
      <c r="B601" s="15" t="s">
        <v>512</v>
      </c>
      <c r="C601" s="15" t="s">
        <v>211</v>
      </c>
      <c r="D601" s="15" t="s">
        <v>17</v>
      </c>
      <c r="E601" s="15" t="s">
        <v>18</v>
      </c>
      <c r="F601" s="15" t="s">
        <v>19</v>
      </c>
      <c r="G601" s="15" t="s">
        <v>20</v>
      </c>
      <c r="H601" s="16">
        <v>32396</v>
      </c>
      <c r="I601" s="16">
        <v>42861</v>
      </c>
      <c r="J601" s="16">
        <v>43519</v>
      </c>
      <c r="K601" s="15" t="s">
        <v>37</v>
      </c>
      <c r="L601" s="15" t="s">
        <v>41</v>
      </c>
      <c r="M601" s="15">
        <v>62641</v>
      </c>
      <c r="N601" s="15" t="s">
        <v>23</v>
      </c>
      <c r="O601" s="15">
        <v>0.49315068493150682</v>
      </c>
      <c r="P601" s="15" t="s">
        <v>1862</v>
      </c>
      <c r="Q601" s="15">
        <f t="shared" ca="1" si="18"/>
        <v>37</v>
      </c>
      <c r="R601" s="15" t="str">
        <f t="shared" si="19"/>
        <v>Medium</v>
      </c>
    </row>
    <row r="602" spans="1:18" s="15" customFormat="1" x14ac:dyDescent="0.3">
      <c r="A602" s="15" t="s">
        <v>1299</v>
      </c>
      <c r="B602" s="15" t="s">
        <v>216</v>
      </c>
      <c r="C602" s="15" t="s">
        <v>130</v>
      </c>
      <c r="D602" s="15" t="s">
        <v>17</v>
      </c>
      <c r="E602" s="15" t="s">
        <v>18</v>
      </c>
      <c r="F602" s="15" t="s">
        <v>19</v>
      </c>
      <c r="G602" s="15" t="s">
        <v>30</v>
      </c>
      <c r="H602" s="16">
        <v>23894</v>
      </c>
      <c r="I602" s="16">
        <v>44032</v>
      </c>
      <c r="J602" s="16">
        <v>44212</v>
      </c>
      <c r="K602" s="15" t="s">
        <v>65</v>
      </c>
      <c r="L602" s="15" t="s">
        <v>314</v>
      </c>
      <c r="M602" s="15">
        <v>55460</v>
      </c>
      <c r="N602" s="15" t="s">
        <v>33</v>
      </c>
      <c r="O602" s="15">
        <v>7.9397260273972599</v>
      </c>
      <c r="P602" s="15" t="s">
        <v>1861</v>
      </c>
      <c r="Q602" s="15">
        <f t="shared" ca="1" si="18"/>
        <v>60</v>
      </c>
      <c r="R602" s="15" t="str">
        <f t="shared" si="19"/>
        <v>Low</v>
      </c>
    </row>
    <row r="603" spans="1:18" s="15" customFormat="1" x14ac:dyDescent="0.3">
      <c r="A603" s="15" t="s">
        <v>1300</v>
      </c>
      <c r="B603" s="15" t="s">
        <v>1301</v>
      </c>
      <c r="C603" s="15" t="s">
        <v>1302</v>
      </c>
      <c r="D603" s="15" t="s">
        <v>27</v>
      </c>
      <c r="E603" s="15" t="s">
        <v>18</v>
      </c>
      <c r="F603" s="15" t="s">
        <v>19</v>
      </c>
      <c r="G603" s="15" t="s">
        <v>30</v>
      </c>
      <c r="H603" s="16">
        <v>29354</v>
      </c>
      <c r="I603" s="16">
        <v>42467</v>
      </c>
      <c r="J603" s="16">
        <v>44396</v>
      </c>
      <c r="K603" s="15" t="s">
        <v>37</v>
      </c>
      <c r="L603" s="15" t="s">
        <v>38</v>
      </c>
      <c r="M603" s="15">
        <v>63096</v>
      </c>
      <c r="N603" s="15" t="s">
        <v>33</v>
      </c>
      <c r="O603" s="15">
        <v>2.4493150684931511</v>
      </c>
      <c r="P603" s="15" t="s">
        <v>1862</v>
      </c>
      <c r="Q603" s="15">
        <f t="shared" ca="1" si="18"/>
        <v>45</v>
      </c>
      <c r="R603" s="15" t="str">
        <f t="shared" si="19"/>
        <v>Medium</v>
      </c>
    </row>
    <row r="604" spans="1:18" s="15" customFormat="1" x14ac:dyDescent="0.3">
      <c r="A604" s="15" t="s">
        <v>1303</v>
      </c>
      <c r="B604" s="15" t="s">
        <v>218</v>
      </c>
      <c r="C604" s="15" t="s">
        <v>1304</v>
      </c>
      <c r="D604" s="15" t="s">
        <v>17</v>
      </c>
      <c r="E604" s="15" t="s">
        <v>120</v>
      </c>
      <c r="F604" s="15" t="s">
        <v>121</v>
      </c>
      <c r="G604" s="15" t="s">
        <v>20</v>
      </c>
      <c r="H604" s="16">
        <v>34070</v>
      </c>
      <c r="I604" s="16">
        <v>45398</v>
      </c>
      <c r="J604" s="16">
        <v>45578</v>
      </c>
      <c r="K604" s="15" t="s">
        <v>37</v>
      </c>
      <c r="L604" s="15" t="s">
        <v>41</v>
      </c>
      <c r="M604" s="15">
        <v>63880</v>
      </c>
      <c r="N604" s="15" t="s">
        <v>23</v>
      </c>
      <c r="O604" s="15">
        <v>0.49315068493150682</v>
      </c>
      <c r="P604" s="15" t="s">
        <v>1861</v>
      </c>
      <c r="Q604" s="15">
        <f t="shared" ca="1" si="18"/>
        <v>32</v>
      </c>
      <c r="R604" s="15" t="str">
        <f t="shared" si="19"/>
        <v>Medium</v>
      </c>
    </row>
    <row r="605" spans="1:18" s="15" customFormat="1" x14ac:dyDescent="0.3">
      <c r="A605" s="15" t="s">
        <v>1305</v>
      </c>
      <c r="B605" s="15" t="s">
        <v>76</v>
      </c>
      <c r="C605" s="15" t="s">
        <v>850</v>
      </c>
      <c r="D605" s="15" t="s">
        <v>27</v>
      </c>
      <c r="E605" s="15" t="s">
        <v>18</v>
      </c>
      <c r="F605" s="15" t="s">
        <v>19</v>
      </c>
      <c r="G605" s="15" t="s">
        <v>30</v>
      </c>
      <c r="H605" s="16">
        <v>29785</v>
      </c>
      <c r="I605" s="16">
        <v>42943</v>
      </c>
      <c r="J605" s="16">
        <v>43382</v>
      </c>
      <c r="K605" s="15" t="s">
        <v>65</v>
      </c>
      <c r="L605" s="15" t="s">
        <v>131</v>
      </c>
      <c r="M605" s="15">
        <v>64090</v>
      </c>
      <c r="N605" s="15" t="s">
        <v>96</v>
      </c>
      <c r="O605" s="15">
        <v>3.172602739726027</v>
      </c>
      <c r="P605" s="15" t="s">
        <v>1861</v>
      </c>
      <c r="Q605" s="15">
        <f t="shared" ca="1" si="18"/>
        <v>44</v>
      </c>
      <c r="R605" s="15" t="str">
        <f t="shared" si="19"/>
        <v>Medium</v>
      </c>
    </row>
    <row r="606" spans="1:18" s="15" customFormat="1" x14ac:dyDescent="0.3">
      <c r="A606" s="15" t="s">
        <v>1306</v>
      </c>
      <c r="B606" s="15" t="s">
        <v>461</v>
      </c>
      <c r="C606" s="15" t="s">
        <v>1307</v>
      </c>
      <c r="D606" s="15" t="s">
        <v>17</v>
      </c>
      <c r="E606" s="15" t="s">
        <v>18</v>
      </c>
      <c r="F606" s="15" t="s">
        <v>19</v>
      </c>
      <c r="G606" s="15" t="s">
        <v>30</v>
      </c>
      <c r="H606" s="16">
        <v>33983</v>
      </c>
      <c r="I606" s="16">
        <v>44060</v>
      </c>
      <c r="J606" s="16">
        <v>45583</v>
      </c>
      <c r="K606" s="15" t="s">
        <v>51</v>
      </c>
      <c r="L606" s="15" t="s">
        <v>233</v>
      </c>
      <c r="M606" s="15">
        <v>78013</v>
      </c>
      <c r="N606" s="15" t="s">
        <v>44</v>
      </c>
      <c r="O606" s="15">
        <v>0.49315068493150682</v>
      </c>
      <c r="P606" s="15" t="s">
        <v>1862</v>
      </c>
      <c r="Q606" s="15">
        <f t="shared" ca="1" si="18"/>
        <v>33</v>
      </c>
      <c r="R606" s="15" t="str">
        <f t="shared" si="19"/>
        <v>Medium</v>
      </c>
    </row>
    <row r="607" spans="1:18" s="15" customFormat="1" x14ac:dyDescent="0.3">
      <c r="A607" s="15" t="s">
        <v>1308</v>
      </c>
      <c r="B607" s="15" t="s">
        <v>1309</v>
      </c>
      <c r="C607" s="15" t="s">
        <v>341</v>
      </c>
      <c r="D607" s="15" t="s">
        <v>17</v>
      </c>
      <c r="E607" s="15" t="s">
        <v>18</v>
      </c>
      <c r="F607" s="15" t="s">
        <v>19</v>
      </c>
      <c r="G607" s="15" t="s">
        <v>20</v>
      </c>
      <c r="H607" s="16">
        <v>26977</v>
      </c>
      <c r="I607" s="16">
        <v>44817</v>
      </c>
      <c r="J607" s="16">
        <v>44997</v>
      </c>
      <c r="K607" s="15" t="s">
        <v>21</v>
      </c>
      <c r="L607" s="15" t="s">
        <v>108</v>
      </c>
      <c r="M607" s="15">
        <v>58190</v>
      </c>
      <c r="N607" s="15" t="s">
        <v>23</v>
      </c>
      <c r="O607" s="15">
        <v>5.7232876712328764</v>
      </c>
      <c r="P607" s="15" t="s">
        <v>1861</v>
      </c>
      <c r="Q607" s="15">
        <f t="shared" ca="1" si="18"/>
        <v>52</v>
      </c>
      <c r="R607" s="15" t="str">
        <f t="shared" si="19"/>
        <v>Low</v>
      </c>
    </row>
    <row r="608" spans="1:18" s="15" customFormat="1" x14ac:dyDescent="0.3">
      <c r="A608" s="15" t="s">
        <v>1310</v>
      </c>
      <c r="B608" s="15" t="s">
        <v>1311</v>
      </c>
      <c r="C608" s="15" t="s">
        <v>1312</v>
      </c>
      <c r="D608" s="15" t="s">
        <v>27</v>
      </c>
      <c r="E608" s="15" t="s">
        <v>18</v>
      </c>
      <c r="F608" s="15" t="s">
        <v>19</v>
      </c>
      <c r="G608" s="15" t="s">
        <v>30</v>
      </c>
      <c r="H608" s="16">
        <v>26961</v>
      </c>
      <c r="I608" s="16">
        <v>44693</v>
      </c>
      <c r="J608" s="16">
        <v>45563</v>
      </c>
      <c r="K608" s="15" t="s">
        <v>37</v>
      </c>
      <c r="L608" s="15" t="s">
        <v>43</v>
      </c>
      <c r="M608" s="15">
        <v>65703</v>
      </c>
      <c r="N608" s="15" t="s">
        <v>44</v>
      </c>
      <c r="O608" s="15">
        <v>0.49315068493150682</v>
      </c>
      <c r="P608" s="15" t="s">
        <v>1861</v>
      </c>
      <c r="Q608" s="15">
        <f t="shared" ca="1" si="18"/>
        <v>52</v>
      </c>
      <c r="R608" s="15" t="str">
        <f t="shared" si="19"/>
        <v>Medium</v>
      </c>
    </row>
    <row r="609" spans="1:18" s="15" customFormat="1" x14ac:dyDescent="0.3">
      <c r="A609" s="15" t="s">
        <v>1313</v>
      </c>
      <c r="B609" s="15" t="s">
        <v>1134</v>
      </c>
      <c r="C609" s="15" t="s">
        <v>1070</v>
      </c>
      <c r="D609" s="15" t="s">
        <v>27</v>
      </c>
      <c r="E609" s="15" t="s">
        <v>18</v>
      </c>
      <c r="F609" s="15" t="s">
        <v>19</v>
      </c>
      <c r="G609" s="15" t="s">
        <v>112</v>
      </c>
      <c r="H609" s="16">
        <v>26515</v>
      </c>
      <c r="I609" s="16">
        <v>43786</v>
      </c>
      <c r="J609" s="16">
        <v>43966</v>
      </c>
      <c r="K609" s="15" t="s">
        <v>31</v>
      </c>
      <c r="L609" s="15" t="s">
        <v>1237</v>
      </c>
      <c r="M609" s="15">
        <v>94413</v>
      </c>
      <c r="N609" s="15" t="s">
        <v>33</v>
      </c>
      <c r="O609" s="15">
        <v>0.49315068493150682</v>
      </c>
      <c r="P609" s="15" t="s">
        <v>1862</v>
      </c>
      <c r="Q609" s="15">
        <f t="shared" ca="1" si="18"/>
        <v>53</v>
      </c>
      <c r="R609" s="15" t="str">
        <f t="shared" si="19"/>
        <v>Medium</v>
      </c>
    </row>
    <row r="610" spans="1:18" s="15" customFormat="1" x14ac:dyDescent="0.3">
      <c r="A610" s="15" t="s">
        <v>1314</v>
      </c>
      <c r="B610" s="15" t="s">
        <v>260</v>
      </c>
      <c r="C610" s="15" t="s">
        <v>204</v>
      </c>
      <c r="D610" s="15" t="s">
        <v>17</v>
      </c>
      <c r="E610" s="15" t="s">
        <v>18</v>
      </c>
      <c r="F610" s="15" t="s">
        <v>19</v>
      </c>
      <c r="G610" s="15" t="s">
        <v>112</v>
      </c>
      <c r="H610" s="16">
        <v>37752</v>
      </c>
      <c r="I610" s="16">
        <v>44811</v>
      </c>
      <c r="J610" s="16">
        <v>44991</v>
      </c>
      <c r="K610" s="15" t="s">
        <v>37</v>
      </c>
      <c r="L610" s="15" t="s">
        <v>43</v>
      </c>
      <c r="M610" s="15">
        <v>87933</v>
      </c>
      <c r="N610" s="15" t="s">
        <v>96</v>
      </c>
      <c r="O610" s="15">
        <v>0.49315068493150682</v>
      </c>
      <c r="P610" s="15" t="s">
        <v>1861</v>
      </c>
      <c r="Q610" s="15">
        <f t="shared" ca="1" si="18"/>
        <v>22</v>
      </c>
      <c r="R610" s="15" t="str">
        <f t="shared" si="19"/>
        <v>Medium</v>
      </c>
    </row>
    <row r="611" spans="1:18" s="15" customFormat="1" x14ac:dyDescent="0.3">
      <c r="A611" s="15" t="s">
        <v>1315</v>
      </c>
      <c r="B611" s="15" t="s">
        <v>1316</v>
      </c>
      <c r="C611" s="15" t="s">
        <v>147</v>
      </c>
      <c r="D611" s="15" t="s">
        <v>17</v>
      </c>
      <c r="E611" s="15" t="s">
        <v>18</v>
      </c>
      <c r="F611" s="15" t="s">
        <v>19</v>
      </c>
      <c r="G611" s="15" t="s">
        <v>30</v>
      </c>
      <c r="H611" s="16">
        <v>35552</v>
      </c>
      <c r="I611" s="16">
        <v>44278</v>
      </c>
      <c r="J611" s="16">
        <v>44458</v>
      </c>
      <c r="K611" s="15" t="s">
        <v>65</v>
      </c>
      <c r="L611" s="15" t="s">
        <v>131</v>
      </c>
      <c r="M611" s="15">
        <v>61699</v>
      </c>
      <c r="N611" s="15" t="s">
        <v>33</v>
      </c>
      <c r="O611" s="15">
        <v>5.8109589041095893</v>
      </c>
      <c r="P611" s="15" t="s">
        <v>1862</v>
      </c>
      <c r="Q611" s="15">
        <f t="shared" ca="1" si="18"/>
        <v>28</v>
      </c>
      <c r="R611" s="15" t="str">
        <f t="shared" si="19"/>
        <v>Medium</v>
      </c>
    </row>
    <row r="612" spans="1:18" s="15" customFormat="1" x14ac:dyDescent="0.3">
      <c r="A612" s="15" t="s">
        <v>1317</v>
      </c>
      <c r="B612" s="15" t="s">
        <v>209</v>
      </c>
      <c r="C612" s="15" t="s">
        <v>1318</v>
      </c>
      <c r="D612" s="15" t="s">
        <v>27</v>
      </c>
      <c r="E612" s="15" t="s">
        <v>137</v>
      </c>
      <c r="F612" s="15" t="s">
        <v>275</v>
      </c>
      <c r="G612" s="15" t="s">
        <v>30</v>
      </c>
      <c r="H612" s="16">
        <v>28903</v>
      </c>
      <c r="I612" s="16">
        <v>42984</v>
      </c>
      <c r="J612" s="16">
        <v>43164</v>
      </c>
      <c r="K612" s="15" t="s">
        <v>21</v>
      </c>
      <c r="L612" s="15" t="s">
        <v>22</v>
      </c>
      <c r="M612" s="15">
        <v>83942</v>
      </c>
      <c r="N612" s="15" t="s">
        <v>44</v>
      </c>
      <c r="O612" s="15">
        <v>0.49315068493150682</v>
      </c>
      <c r="P612" s="15" t="s">
        <v>1861</v>
      </c>
      <c r="Q612" s="15">
        <f t="shared" ca="1" si="18"/>
        <v>46</v>
      </c>
      <c r="R612" s="15" t="str">
        <f t="shared" si="19"/>
        <v>Medium</v>
      </c>
    </row>
    <row r="613" spans="1:18" s="15" customFormat="1" x14ac:dyDescent="0.3">
      <c r="A613" s="15" t="s">
        <v>1319</v>
      </c>
      <c r="B613" s="15" t="s">
        <v>235</v>
      </c>
      <c r="C613" s="15" t="s">
        <v>1320</v>
      </c>
      <c r="D613" s="15" t="s">
        <v>27</v>
      </c>
      <c r="E613" s="15" t="s">
        <v>18</v>
      </c>
      <c r="F613" s="15" t="s">
        <v>19</v>
      </c>
      <c r="G613" s="15" t="s">
        <v>30</v>
      </c>
      <c r="H613" s="16">
        <v>35814</v>
      </c>
      <c r="I613" s="16">
        <v>43677</v>
      </c>
      <c r="J613" s="16">
        <v>44375</v>
      </c>
      <c r="K613" s="15" t="s">
        <v>37</v>
      </c>
      <c r="L613" s="15" t="s">
        <v>38</v>
      </c>
      <c r="M613" s="15">
        <v>68032</v>
      </c>
      <c r="N613" s="15" t="s">
        <v>44</v>
      </c>
      <c r="O613" s="15">
        <v>5.3643835616438356</v>
      </c>
      <c r="P613" s="15" t="s">
        <v>1862</v>
      </c>
      <c r="Q613" s="15">
        <f t="shared" ca="1" si="18"/>
        <v>27</v>
      </c>
      <c r="R613" s="15" t="str">
        <f t="shared" si="19"/>
        <v>Medium</v>
      </c>
    </row>
    <row r="614" spans="1:18" s="15" customFormat="1" x14ac:dyDescent="0.3">
      <c r="A614" s="15" t="s">
        <v>1321</v>
      </c>
      <c r="B614" s="15" t="s">
        <v>1322</v>
      </c>
      <c r="C614" s="15" t="s">
        <v>988</v>
      </c>
      <c r="D614" s="15" t="s">
        <v>27</v>
      </c>
      <c r="E614" s="15" t="s">
        <v>18</v>
      </c>
      <c r="F614" s="15" t="s">
        <v>19</v>
      </c>
      <c r="G614" s="15" t="s">
        <v>30</v>
      </c>
      <c r="H614" s="16">
        <v>31425</v>
      </c>
      <c r="I614" s="16">
        <v>42923</v>
      </c>
      <c r="J614" s="16">
        <v>43103</v>
      </c>
      <c r="K614" s="15" t="s">
        <v>37</v>
      </c>
      <c r="L614" s="15" t="s">
        <v>38</v>
      </c>
      <c r="M614" s="15">
        <v>63082</v>
      </c>
      <c r="N614" s="15" t="s">
        <v>44</v>
      </c>
      <c r="O614" s="15">
        <v>0.49315068493150682</v>
      </c>
      <c r="P614" s="15" t="s">
        <v>1861</v>
      </c>
      <c r="Q614" s="15">
        <f t="shared" ca="1" si="18"/>
        <v>40</v>
      </c>
      <c r="R614" s="15" t="str">
        <f t="shared" si="19"/>
        <v>Medium</v>
      </c>
    </row>
    <row r="615" spans="1:18" s="15" customFormat="1" x14ac:dyDescent="0.3">
      <c r="A615" s="15" t="s">
        <v>1323</v>
      </c>
      <c r="B615" s="15" t="s">
        <v>25</v>
      </c>
      <c r="C615" s="15" t="s">
        <v>1004</v>
      </c>
      <c r="D615" s="15" t="s">
        <v>17</v>
      </c>
      <c r="E615" s="15" t="s">
        <v>28</v>
      </c>
      <c r="F615" s="15" t="s">
        <v>282</v>
      </c>
      <c r="G615" s="15" t="s">
        <v>20</v>
      </c>
      <c r="H615" s="16">
        <v>28305</v>
      </c>
      <c r="I615" s="16">
        <v>44719</v>
      </c>
      <c r="J615" s="16">
        <v>45377</v>
      </c>
      <c r="K615" s="15" t="s">
        <v>37</v>
      </c>
      <c r="L615" s="15" t="s">
        <v>41</v>
      </c>
      <c r="M615" s="15">
        <v>58453</v>
      </c>
      <c r="N615" s="15" t="s">
        <v>96</v>
      </c>
      <c r="O615" s="15">
        <v>2.29041095890411</v>
      </c>
      <c r="P615" s="15" t="s">
        <v>1862</v>
      </c>
      <c r="Q615" s="15">
        <f t="shared" ca="1" si="18"/>
        <v>48</v>
      </c>
      <c r="R615" s="15" t="str">
        <f t="shared" si="19"/>
        <v>Low</v>
      </c>
    </row>
    <row r="616" spans="1:18" s="15" customFormat="1" x14ac:dyDescent="0.3">
      <c r="A616" s="15" t="s">
        <v>1324</v>
      </c>
      <c r="B616" s="15" t="s">
        <v>288</v>
      </c>
      <c r="C616" s="15" t="s">
        <v>301</v>
      </c>
      <c r="D616" s="15" t="s">
        <v>17</v>
      </c>
      <c r="E616" s="15" t="s">
        <v>81</v>
      </c>
      <c r="F616" s="15" t="s">
        <v>82</v>
      </c>
      <c r="G616" s="15" t="s">
        <v>30</v>
      </c>
      <c r="H616" s="16">
        <v>31728</v>
      </c>
      <c r="I616" s="16">
        <v>43854</v>
      </c>
      <c r="J616" s="16">
        <v>44034</v>
      </c>
      <c r="K616" s="15" t="s">
        <v>21</v>
      </c>
      <c r="L616" s="15" t="s">
        <v>108</v>
      </c>
      <c r="M616" s="15">
        <v>59488</v>
      </c>
      <c r="N616" s="15" t="s">
        <v>44</v>
      </c>
      <c r="O616" s="15">
        <v>0.49315068493150682</v>
      </c>
      <c r="P616" s="15" t="s">
        <v>1862</v>
      </c>
      <c r="Q616" s="15">
        <f t="shared" ca="1" si="18"/>
        <v>39</v>
      </c>
      <c r="R616" s="15" t="str">
        <f t="shared" si="19"/>
        <v>Low</v>
      </c>
    </row>
    <row r="617" spans="1:18" s="15" customFormat="1" x14ac:dyDescent="0.3">
      <c r="A617" s="15" t="s">
        <v>1325</v>
      </c>
      <c r="B617" s="15" t="s">
        <v>512</v>
      </c>
      <c r="C617" s="15" t="s">
        <v>780</v>
      </c>
      <c r="D617" s="15" t="s">
        <v>17</v>
      </c>
      <c r="E617" s="15" t="s">
        <v>18</v>
      </c>
      <c r="F617" s="15" t="s">
        <v>19</v>
      </c>
      <c r="G617" s="15" t="s">
        <v>20</v>
      </c>
      <c r="H617" s="16">
        <v>31983</v>
      </c>
      <c r="I617" s="16">
        <v>42550</v>
      </c>
      <c r="J617" s="16">
        <v>43160</v>
      </c>
      <c r="K617" s="15" t="s">
        <v>21</v>
      </c>
      <c r="L617" s="15" t="s">
        <v>100</v>
      </c>
      <c r="M617" s="15">
        <v>59823</v>
      </c>
      <c r="N617" s="15" t="s">
        <v>23</v>
      </c>
      <c r="O617" s="15">
        <v>3.2849315068493148</v>
      </c>
      <c r="P617" s="15" t="s">
        <v>1861</v>
      </c>
      <c r="Q617" s="15">
        <f t="shared" ca="1" si="18"/>
        <v>38</v>
      </c>
      <c r="R617" s="15" t="str">
        <f t="shared" si="19"/>
        <v>Low</v>
      </c>
    </row>
    <row r="618" spans="1:18" s="15" customFormat="1" x14ac:dyDescent="0.3">
      <c r="A618" s="15" t="s">
        <v>1326</v>
      </c>
      <c r="B618" s="15" t="s">
        <v>218</v>
      </c>
      <c r="C618" s="15" t="s">
        <v>450</v>
      </c>
      <c r="D618" s="15" t="s">
        <v>27</v>
      </c>
      <c r="E618" s="15" t="s">
        <v>18</v>
      </c>
      <c r="F618" s="15" t="s">
        <v>19</v>
      </c>
      <c r="G618" s="15" t="s">
        <v>30</v>
      </c>
      <c r="H618" s="16">
        <v>29404</v>
      </c>
      <c r="I618" s="16">
        <v>45048</v>
      </c>
      <c r="J618" s="16">
        <v>45228</v>
      </c>
      <c r="K618" s="15" t="s">
        <v>31</v>
      </c>
      <c r="L618" s="15" t="s">
        <v>83</v>
      </c>
      <c r="M618" s="15">
        <v>67031</v>
      </c>
      <c r="N618" s="15" t="s">
        <v>33</v>
      </c>
      <c r="O618" s="15">
        <v>0.49315068493150682</v>
      </c>
      <c r="P618" s="15" t="s">
        <v>1862</v>
      </c>
      <c r="Q618" s="15">
        <f t="shared" ca="1" si="18"/>
        <v>45</v>
      </c>
      <c r="R618" s="15" t="str">
        <f t="shared" si="19"/>
        <v>Medium</v>
      </c>
    </row>
    <row r="619" spans="1:18" s="15" customFormat="1" x14ac:dyDescent="0.3">
      <c r="A619" s="15" t="s">
        <v>1327</v>
      </c>
      <c r="B619" s="15" t="s">
        <v>260</v>
      </c>
      <c r="C619" s="15" t="s">
        <v>1328</v>
      </c>
      <c r="D619" s="15" t="s">
        <v>27</v>
      </c>
      <c r="E619" s="15" t="s">
        <v>28</v>
      </c>
      <c r="F619" s="15" t="s">
        <v>116</v>
      </c>
      <c r="G619" s="15" t="s">
        <v>20</v>
      </c>
      <c r="H619" s="16">
        <v>33937</v>
      </c>
      <c r="I619" s="16">
        <v>44165</v>
      </c>
      <c r="J619" s="16">
        <v>45030</v>
      </c>
      <c r="K619" s="15" t="s">
        <v>21</v>
      </c>
      <c r="L619" s="15" t="s">
        <v>108</v>
      </c>
      <c r="M619" s="15">
        <v>64904</v>
      </c>
      <c r="N619" s="15" t="s">
        <v>23</v>
      </c>
      <c r="O619" s="15">
        <v>0.49315068493150682</v>
      </c>
      <c r="P619" s="15" t="s">
        <v>1862</v>
      </c>
      <c r="Q619" s="15">
        <f t="shared" ca="1" si="18"/>
        <v>33</v>
      </c>
      <c r="R619" s="15" t="str">
        <f t="shared" si="19"/>
        <v>Medium</v>
      </c>
    </row>
    <row r="620" spans="1:18" s="15" customFormat="1" x14ac:dyDescent="0.3">
      <c r="A620" s="15" t="s">
        <v>1329</v>
      </c>
      <c r="B620" s="15" t="s">
        <v>68</v>
      </c>
      <c r="C620" s="15" t="s">
        <v>149</v>
      </c>
      <c r="D620" s="15" t="s">
        <v>17</v>
      </c>
      <c r="E620" s="15" t="s">
        <v>18</v>
      </c>
      <c r="F620" s="15" t="s">
        <v>19</v>
      </c>
      <c r="G620" s="15" t="s">
        <v>20</v>
      </c>
      <c r="H620" s="16">
        <v>28749</v>
      </c>
      <c r="I620" s="16">
        <v>43761</v>
      </c>
      <c r="J620" s="16">
        <v>45121</v>
      </c>
      <c r="K620" s="15" t="s">
        <v>21</v>
      </c>
      <c r="L620" s="15" t="s">
        <v>108</v>
      </c>
      <c r="M620" s="15">
        <v>63124</v>
      </c>
      <c r="N620" s="15" t="s">
        <v>23</v>
      </c>
      <c r="O620" s="15">
        <v>0.49315068493150682</v>
      </c>
      <c r="P620" s="15" t="s">
        <v>1862</v>
      </c>
      <c r="Q620" s="15">
        <f t="shared" ca="1" si="18"/>
        <v>47</v>
      </c>
      <c r="R620" s="15" t="str">
        <f t="shared" si="19"/>
        <v>Medium</v>
      </c>
    </row>
    <row r="621" spans="1:18" s="15" customFormat="1" x14ac:dyDescent="0.3">
      <c r="A621" s="15" t="s">
        <v>1330</v>
      </c>
      <c r="B621" s="15" t="s">
        <v>106</v>
      </c>
      <c r="C621" s="15" t="s">
        <v>906</v>
      </c>
      <c r="D621" s="15" t="s">
        <v>17</v>
      </c>
      <c r="E621" s="15" t="s">
        <v>656</v>
      </c>
      <c r="F621" s="15" t="s">
        <v>720</v>
      </c>
      <c r="G621" s="15" t="s">
        <v>112</v>
      </c>
      <c r="H621" s="16">
        <v>26504</v>
      </c>
      <c r="I621" s="16">
        <v>43589</v>
      </c>
      <c r="J621" s="16">
        <v>44560</v>
      </c>
      <c r="K621" s="15" t="s">
        <v>70</v>
      </c>
      <c r="L621" s="15" t="s">
        <v>298</v>
      </c>
      <c r="M621" s="15">
        <v>62596</v>
      </c>
      <c r="N621" s="15" t="s">
        <v>96</v>
      </c>
      <c r="O621" s="15">
        <v>0.49315068493150682</v>
      </c>
      <c r="P621" s="15" t="s">
        <v>1861</v>
      </c>
      <c r="Q621" s="15">
        <f t="shared" ca="1" si="18"/>
        <v>53</v>
      </c>
      <c r="R621" s="15" t="str">
        <f t="shared" si="19"/>
        <v>Medium</v>
      </c>
    </row>
    <row r="622" spans="1:18" s="15" customFormat="1" x14ac:dyDescent="0.3">
      <c r="A622" s="15" t="s">
        <v>1331</v>
      </c>
      <c r="B622" s="15" t="s">
        <v>25</v>
      </c>
      <c r="C622" s="15" t="s">
        <v>632</v>
      </c>
      <c r="D622" s="15" t="s">
        <v>17</v>
      </c>
      <c r="E622" s="15" t="s">
        <v>81</v>
      </c>
      <c r="F622" s="15" t="s">
        <v>166</v>
      </c>
      <c r="G622" s="15" t="s">
        <v>20</v>
      </c>
      <c r="H622" s="16">
        <v>34712</v>
      </c>
      <c r="I622" s="16">
        <v>43640</v>
      </c>
      <c r="J622" s="16">
        <v>44464</v>
      </c>
      <c r="K622" s="15" t="s">
        <v>21</v>
      </c>
      <c r="L622" s="15" t="s">
        <v>22</v>
      </c>
      <c r="M622" s="15">
        <v>84792</v>
      </c>
      <c r="N622" s="15" t="s">
        <v>96</v>
      </c>
      <c r="O622" s="15">
        <v>0.49315068493150682</v>
      </c>
      <c r="P622" s="15" t="s">
        <v>1862</v>
      </c>
      <c r="Q622" s="15">
        <f t="shared" ca="1" si="18"/>
        <v>31</v>
      </c>
      <c r="R622" s="15" t="str">
        <f t="shared" si="19"/>
        <v>Medium</v>
      </c>
    </row>
    <row r="623" spans="1:18" s="15" customFormat="1" x14ac:dyDescent="0.3">
      <c r="A623" s="15" t="s">
        <v>1332</v>
      </c>
      <c r="B623" s="15" t="s">
        <v>25</v>
      </c>
      <c r="C623" s="15" t="s">
        <v>64</v>
      </c>
      <c r="D623" s="15" t="s">
        <v>17</v>
      </c>
      <c r="E623" s="15" t="s">
        <v>18</v>
      </c>
      <c r="F623" s="15" t="s">
        <v>19</v>
      </c>
      <c r="G623" s="15" t="s">
        <v>30</v>
      </c>
      <c r="H623" s="16">
        <v>31975</v>
      </c>
      <c r="I623" s="16">
        <v>43943</v>
      </c>
      <c r="J623" s="16">
        <v>44501</v>
      </c>
      <c r="K623" s="15" t="s">
        <v>94</v>
      </c>
      <c r="L623" s="15" t="s">
        <v>122</v>
      </c>
      <c r="M623" s="15">
        <v>90504</v>
      </c>
      <c r="N623" s="15" t="s">
        <v>33</v>
      </c>
      <c r="O623" s="15">
        <v>0.49315068493150682</v>
      </c>
      <c r="P623" s="15" t="s">
        <v>1861</v>
      </c>
      <c r="Q623" s="15">
        <f t="shared" ca="1" si="18"/>
        <v>38</v>
      </c>
      <c r="R623" s="15" t="str">
        <f t="shared" si="19"/>
        <v>Medium</v>
      </c>
    </row>
    <row r="624" spans="1:18" s="15" customFormat="1" x14ac:dyDescent="0.3">
      <c r="A624" s="15" t="s">
        <v>1333</v>
      </c>
      <c r="B624" s="15" t="s">
        <v>1334</v>
      </c>
      <c r="C624" s="15" t="s">
        <v>1335</v>
      </c>
      <c r="D624" s="15" t="s">
        <v>17</v>
      </c>
      <c r="E624" s="15" t="s">
        <v>18</v>
      </c>
      <c r="F624" s="15" t="s">
        <v>19</v>
      </c>
      <c r="G624" s="15" t="s">
        <v>20</v>
      </c>
      <c r="H624" s="16">
        <v>30418</v>
      </c>
      <c r="I624" s="16">
        <v>44724</v>
      </c>
      <c r="J624" s="16">
        <v>44904</v>
      </c>
      <c r="K624" s="15" t="s">
        <v>21</v>
      </c>
      <c r="L624" s="15" t="s">
        <v>100</v>
      </c>
      <c r="M624" s="15">
        <v>54612</v>
      </c>
      <c r="N624" s="15" t="s">
        <v>23</v>
      </c>
      <c r="O624" s="15">
        <v>0.49315068493150682</v>
      </c>
      <c r="P624" s="15" t="s">
        <v>1862</v>
      </c>
      <c r="Q624" s="15">
        <f t="shared" ca="1" si="18"/>
        <v>42</v>
      </c>
      <c r="R624" s="15" t="str">
        <f t="shared" si="19"/>
        <v>Low</v>
      </c>
    </row>
    <row r="625" spans="1:18" s="15" customFormat="1" x14ac:dyDescent="0.3">
      <c r="A625" s="15" t="s">
        <v>1336</v>
      </c>
      <c r="B625" s="15" t="s">
        <v>25</v>
      </c>
      <c r="C625" s="15" t="s">
        <v>1337</v>
      </c>
      <c r="D625" s="15" t="s">
        <v>17</v>
      </c>
      <c r="E625" s="15" t="s">
        <v>169</v>
      </c>
      <c r="F625" s="15" t="s">
        <v>335</v>
      </c>
      <c r="G625" s="15" t="s">
        <v>30</v>
      </c>
      <c r="H625" s="16">
        <v>29781</v>
      </c>
      <c r="I625" s="16">
        <v>44624</v>
      </c>
      <c r="J625" s="16">
        <v>44804</v>
      </c>
      <c r="K625" s="15" t="s">
        <v>21</v>
      </c>
      <c r="L625" s="15" t="s">
        <v>22</v>
      </c>
      <c r="M625" s="15">
        <v>58407</v>
      </c>
      <c r="N625" s="15" t="s">
        <v>33</v>
      </c>
      <c r="O625" s="15">
        <v>0.78904109589041094</v>
      </c>
      <c r="P625" s="15" t="s">
        <v>1861</v>
      </c>
      <c r="Q625" s="15">
        <f t="shared" ca="1" si="18"/>
        <v>44</v>
      </c>
      <c r="R625" s="15" t="str">
        <f t="shared" si="19"/>
        <v>Low</v>
      </c>
    </row>
    <row r="626" spans="1:18" s="15" customFormat="1" x14ac:dyDescent="0.3">
      <c r="A626" s="15" t="s">
        <v>1338</v>
      </c>
      <c r="B626" s="15" t="s">
        <v>206</v>
      </c>
      <c r="C626" s="15" t="s">
        <v>1339</v>
      </c>
      <c r="D626" s="15" t="s">
        <v>17</v>
      </c>
      <c r="E626" s="15" t="s">
        <v>18</v>
      </c>
      <c r="F626" s="15" t="s">
        <v>19</v>
      </c>
      <c r="G626" s="15" t="s">
        <v>112</v>
      </c>
      <c r="H626" s="16">
        <v>28280</v>
      </c>
      <c r="I626" s="16">
        <v>43746</v>
      </c>
      <c r="J626" s="16">
        <v>44200</v>
      </c>
      <c r="K626" s="15" t="s">
        <v>31</v>
      </c>
      <c r="L626" s="15" t="s">
        <v>159</v>
      </c>
      <c r="M626" s="15">
        <v>113135</v>
      </c>
      <c r="N626" s="15" t="s">
        <v>33</v>
      </c>
      <c r="O626" s="15">
        <v>3.536986301369863</v>
      </c>
      <c r="P626" s="15" t="s">
        <v>1862</v>
      </c>
      <c r="Q626" s="15">
        <f t="shared" ca="1" si="18"/>
        <v>48</v>
      </c>
      <c r="R626" s="15" t="str">
        <f t="shared" si="19"/>
        <v>High</v>
      </c>
    </row>
    <row r="627" spans="1:18" s="15" customFormat="1" x14ac:dyDescent="0.3">
      <c r="A627" s="15" t="s">
        <v>1340</v>
      </c>
      <c r="B627" s="15" t="s">
        <v>1341</v>
      </c>
      <c r="C627" s="15" t="s">
        <v>719</v>
      </c>
      <c r="D627" s="15" t="s">
        <v>17</v>
      </c>
      <c r="E627" s="15" t="s">
        <v>18</v>
      </c>
      <c r="F627" s="15" t="s">
        <v>19</v>
      </c>
      <c r="G627" s="15" t="s">
        <v>30</v>
      </c>
      <c r="H627" s="16">
        <v>32770</v>
      </c>
      <c r="I627" s="16">
        <v>43293</v>
      </c>
      <c r="J627" s="16">
        <v>43473</v>
      </c>
      <c r="K627" s="15" t="s">
        <v>51</v>
      </c>
      <c r="L627" s="15" t="s">
        <v>52</v>
      </c>
      <c r="M627" s="15">
        <v>57963</v>
      </c>
      <c r="N627" s="15" t="s">
        <v>33</v>
      </c>
      <c r="O627" s="15">
        <v>4.4904109589041097</v>
      </c>
      <c r="P627" s="15" t="s">
        <v>1861</v>
      </c>
      <c r="Q627" s="15">
        <f t="shared" ca="1" si="18"/>
        <v>36</v>
      </c>
      <c r="R627" s="15" t="str">
        <f t="shared" si="19"/>
        <v>Low</v>
      </c>
    </row>
    <row r="628" spans="1:18" s="15" customFormat="1" x14ac:dyDescent="0.3">
      <c r="A628" s="15" t="s">
        <v>1342</v>
      </c>
      <c r="B628" s="15" t="s">
        <v>823</v>
      </c>
      <c r="C628" s="15" t="s">
        <v>1290</v>
      </c>
      <c r="D628" s="15" t="s">
        <v>27</v>
      </c>
      <c r="E628" s="15" t="s">
        <v>18</v>
      </c>
      <c r="F628" s="15" t="s">
        <v>19</v>
      </c>
      <c r="G628" s="15" t="s">
        <v>112</v>
      </c>
      <c r="H628" s="16">
        <v>35243</v>
      </c>
      <c r="I628" s="16">
        <v>43077</v>
      </c>
      <c r="J628" s="16">
        <v>43257</v>
      </c>
      <c r="K628" s="15" t="s">
        <v>31</v>
      </c>
      <c r="L628" s="15" t="s">
        <v>32</v>
      </c>
      <c r="M628" s="15">
        <v>70113</v>
      </c>
      <c r="N628" s="15" t="s">
        <v>96</v>
      </c>
      <c r="O628" s="15">
        <v>0.49315068493150682</v>
      </c>
      <c r="P628" s="15" t="s">
        <v>1861</v>
      </c>
      <c r="Q628" s="15">
        <f t="shared" ca="1" si="18"/>
        <v>29</v>
      </c>
      <c r="R628" s="15" t="str">
        <f t="shared" si="19"/>
        <v>Medium</v>
      </c>
    </row>
    <row r="629" spans="1:18" s="15" customFormat="1" x14ac:dyDescent="0.3">
      <c r="A629" s="15" t="s">
        <v>1343</v>
      </c>
      <c r="B629" s="15" t="s">
        <v>1116</v>
      </c>
      <c r="C629" s="15" t="s">
        <v>16</v>
      </c>
      <c r="D629" s="15" t="s">
        <v>17</v>
      </c>
      <c r="E629" s="15" t="s">
        <v>137</v>
      </c>
      <c r="F629" s="15" t="s">
        <v>138</v>
      </c>
      <c r="G629" s="15" t="s">
        <v>30</v>
      </c>
      <c r="H629" s="16">
        <v>33541</v>
      </c>
      <c r="I629" s="16">
        <v>44714</v>
      </c>
      <c r="J629" s="16">
        <v>45431</v>
      </c>
      <c r="K629" s="15" t="s">
        <v>37</v>
      </c>
      <c r="L629" s="15" t="s">
        <v>41</v>
      </c>
      <c r="M629" s="15">
        <v>56679</v>
      </c>
      <c r="N629" s="15" t="s">
        <v>33</v>
      </c>
      <c r="O629" s="15">
        <v>1.802739726027397</v>
      </c>
      <c r="P629" s="15" t="s">
        <v>1862</v>
      </c>
      <c r="Q629" s="15">
        <f t="shared" ca="1" si="18"/>
        <v>34</v>
      </c>
      <c r="R629" s="15" t="str">
        <f t="shared" si="19"/>
        <v>Low</v>
      </c>
    </row>
    <row r="630" spans="1:18" s="15" customFormat="1" x14ac:dyDescent="0.3">
      <c r="A630" s="15" t="s">
        <v>1344</v>
      </c>
      <c r="B630" s="15" t="s">
        <v>437</v>
      </c>
      <c r="C630" s="15" t="s">
        <v>889</v>
      </c>
      <c r="D630" s="15" t="s">
        <v>27</v>
      </c>
      <c r="E630" s="15" t="s">
        <v>18</v>
      </c>
      <c r="F630" s="15" t="s">
        <v>19</v>
      </c>
      <c r="G630" s="15" t="s">
        <v>30</v>
      </c>
      <c r="H630" s="16">
        <v>36120</v>
      </c>
      <c r="I630" s="16">
        <v>43184</v>
      </c>
      <c r="J630" s="16">
        <v>44431</v>
      </c>
      <c r="K630" s="15" t="s">
        <v>37</v>
      </c>
      <c r="L630" s="15" t="s">
        <v>41</v>
      </c>
      <c r="M630" s="15">
        <v>62547</v>
      </c>
      <c r="N630" s="15" t="s">
        <v>44</v>
      </c>
      <c r="O630" s="15">
        <v>0.49315068493150682</v>
      </c>
      <c r="P630" s="15" t="s">
        <v>1862</v>
      </c>
      <c r="Q630" s="15">
        <f t="shared" ca="1" si="18"/>
        <v>27</v>
      </c>
      <c r="R630" s="15" t="str">
        <f t="shared" si="19"/>
        <v>Medium</v>
      </c>
    </row>
    <row r="631" spans="1:18" s="15" customFormat="1" x14ac:dyDescent="0.3">
      <c r="A631" s="15" t="s">
        <v>1345</v>
      </c>
      <c r="B631" s="15" t="s">
        <v>840</v>
      </c>
      <c r="C631" s="15" t="s">
        <v>89</v>
      </c>
      <c r="D631" s="15" t="s">
        <v>27</v>
      </c>
      <c r="E631" s="15" t="s">
        <v>18</v>
      </c>
      <c r="F631" s="15" t="s">
        <v>19</v>
      </c>
      <c r="G631" s="15" t="s">
        <v>20</v>
      </c>
      <c r="H631" s="16">
        <v>34324</v>
      </c>
      <c r="I631" s="16">
        <v>43210</v>
      </c>
      <c r="J631" s="16">
        <v>45148</v>
      </c>
      <c r="K631" s="15" t="s">
        <v>21</v>
      </c>
      <c r="L631" s="15" t="s">
        <v>100</v>
      </c>
      <c r="M631" s="15">
        <v>65191</v>
      </c>
      <c r="N631" s="15" t="s">
        <v>23</v>
      </c>
      <c r="O631" s="15">
        <v>5.2849315068493148</v>
      </c>
      <c r="P631" s="15" t="s">
        <v>1861</v>
      </c>
      <c r="Q631" s="15">
        <f t="shared" ca="1" si="18"/>
        <v>32</v>
      </c>
      <c r="R631" s="15" t="str">
        <f t="shared" si="19"/>
        <v>Medium</v>
      </c>
    </row>
    <row r="632" spans="1:18" s="15" customFormat="1" x14ac:dyDescent="0.3">
      <c r="A632" s="15" t="s">
        <v>1346</v>
      </c>
      <c r="B632" s="15" t="s">
        <v>609</v>
      </c>
      <c r="C632" s="15" t="s">
        <v>1347</v>
      </c>
      <c r="D632" s="15" t="s">
        <v>17</v>
      </c>
      <c r="E632" s="15" t="s">
        <v>18</v>
      </c>
      <c r="F632" s="15" t="s">
        <v>19</v>
      </c>
      <c r="G632" s="15" t="s">
        <v>30</v>
      </c>
      <c r="H632" s="16">
        <v>37396</v>
      </c>
      <c r="I632" s="16">
        <v>42990</v>
      </c>
      <c r="J632" s="16">
        <v>44910</v>
      </c>
      <c r="K632" s="15" t="s">
        <v>37</v>
      </c>
      <c r="L632" s="15" t="s">
        <v>38</v>
      </c>
      <c r="M632" s="15">
        <v>57030</v>
      </c>
      <c r="N632" s="15" t="s">
        <v>96</v>
      </c>
      <c r="O632" s="15">
        <v>0.49315068493150682</v>
      </c>
      <c r="P632" s="15" t="s">
        <v>1861</v>
      </c>
      <c r="Q632" s="15">
        <f t="shared" ca="1" si="18"/>
        <v>23</v>
      </c>
      <c r="R632" s="15" t="str">
        <f t="shared" si="19"/>
        <v>Low</v>
      </c>
    </row>
    <row r="633" spans="1:18" s="15" customFormat="1" x14ac:dyDescent="0.3">
      <c r="A633" s="15" t="s">
        <v>1348</v>
      </c>
      <c r="B633" s="15" t="s">
        <v>254</v>
      </c>
      <c r="C633" s="15" t="s">
        <v>106</v>
      </c>
      <c r="D633" s="15" t="s">
        <v>17</v>
      </c>
      <c r="E633" s="15" t="s">
        <v>18</v>
      </c>
      <c r="F633" s="15" t="s">
        <v>19</v>
      </c>
      <c r="G633" s="15" t="s">
        <v>112</v>
      </c>
      <c r="H633" s="16">
        <v>31855</v>
      </c>
      <c r="I633" s="16">
        <v>45295</v>
      </c>
      <c r="J633" s="16">
        <v>45475</v>
      </c>
      <c r="K633" s="15" t="s">
        <v>37</v>
      </c>
      <c r="L633" s="15" t="s">
        <v>43</v>
      </c>
      <c r="M633" s="15">
        <v>87587</v>
      </c>
      <c r="N633" s="15" t="s">
        <v>96</v>
      </c>
      <c r="O633" s="15">
        <v>1.2027397260273971</v>
      </c>
      <c r="P633" s="15" t="s">
        <v>1862</v>
      </c>
      <c r="Q633" s="15">
        <f t="shared" ca="1" si="18"/>
        <v>38</v>
      </c>
      <c r="R633" s="15" t="str">
        <f t="shared" si="19"/>
        <v>Medium</v>
      </c>
    </row>
    <row r="634" spans="1:18" s="15" customFormat="1" x14ac:dyDescent="0.3">
      <c r="A634" s="15" t="s">
        <v>1349</v>
      </c>
      <c r="B634" s="15" t="s">
        <v>434</v>
      </c>
      <c r="C634" s="15" t="s">
        <v>249</v>
      </c>
      <c r="D634" s="15" t="s">
        <v>27</v>
      </c>
      <c r="E634" s="15" t="s">
        <v>18</v>
      </c>
      <c r="F634" s="15" t="s">
        <v>19</v>
      </c>
      <c r="G634" s="15" t="s">
        <v>30</v>
      </c>
      <c r="H634" s="16">
        <v>25781</v>
      </c>
      <c r="I634" s="16">
        <v>44904</v>
      </c>
      <c r="J634" s="16">
        <v>45084</v>
      </c>
      <c r="K634" s="15" t="s">
        <v>31</v>
      </c>
      <c r="L634" s="15" t="s">
        <v>159</v>
      </c>
      <c r="M634" s="15">
        <v>95371</v>
      </c>
      <c r="N634" s="15" t="s">
        <v>33</v>
      </c>
      <c r="O634" s="15">
        <v>4.1726027397260266</v>
      </c>
      <c r="P634" s="15" t="s">
        <v>1861</v>
      </c>
      <c r="Q634" s="15">
        <f t="shared" ca="1" si="18"/>
        <v>55</v>
      </c>
      <c r="R634" s="15" t="str">
        <f t="shared" si="19"/>
        <v>Medium</v>
      </c>
    </row>
    <row r="635" spans="1:18" s="15" customFormat="1" x14ac:dyDescent="0.3">
      <c r="A635" s="15" t="s">
        <v>1350</v>
      </c>
      <c r="B635" s="15" t="s">
        <v>316</v>
      </c>
      <c r="C635" s="15" t="s">
        <v>1351</v>
      </c>
      <c r="D635" s="15" t="s">
        <v>17</v>
      </c>
      <c r="E635" s="15" t="s">
        <v>81</v>
      </c>
      <c r="F635" s="15" t="s">
        <v>104</v>
      </c>
      <c r="G635" s="15" t="s">
        <v>30</v>
      </c>
      <c r="H635" s="16">
        <v>33369</v>
      </c>
      <c r="I635" s="16">
        <v>44718</v>
      </c>
      <c r="J635" s="16">
        <v>44898</v>
      </c>
      <c r="K635" s="15" t="s">
        <v>51</v>
      </c>
      <c r="L635" s="15" t="s">
        <v>52</v>
      </c>
      <c r="M635" s="15">
        <v>53179</v>
      </c>
      <c r="N635" s="15" t="s">
        <v>44</v>
      </c>
      <c r="O635" s="15">
        <v>0.49315068493150682</v>
      </c>
      <c r="P635" s="15" t="s">
        <v>1862</v>
      </c>
      <c r="Q635" s="15">
        <f t="shared" ca="1" si="18"/>
        <v>34</v>
      </c>
      <c r="R635" s="15" t="str">
        <f t="shared" si="19"/>
        <v>Low</v>
      </c>
    </row>
    <row r="636" spans="1:18" s="15" customFormat="1" x14ac:dyDescent="0.3">
      <c r="A636" s="15" t="s">
        <v>1352</v>
      </c>
      <c r="B636" s="15" t="s">
        <v>68</v>
      </c>
      <c r="C636" s="15" t="s">
        <v>133</v>
      </c>
      <c r="D636" s="15" t="s">
        <v>27</v>
      </c>
      <c r="E636" s="15" t="s">
        <v>81</v>
      </c>
      <c r="F636" s="15" t="s">
        <v>166</v>
      </c>
      <c r="G636" s="15" t="s">
        <v>30</v>
      </c>
      <c r="H636" s="16">
        <v>35986</v>
      </c>
      <c r="I636" s="16">
        <v>43687</v>
      </c>
      <c r="J636" s="16">
        <v>43867</v>
      </c>
      <c r="K636" s="15" t="s">
        <v>37</v>
      </c>
      <c r="L636" s="15" t="s">
        <v>38</v>
      </c>
      <c r="M636" s="15">
        <v>64190</v>
      </c>
      <c r="N636" s="15" t="s">
        <v>96</v>
      </c>
      <c r="O636" s="15">
        <v>2.3835616438356171</v>
      </c>
      <c r="P636" s="15" t="s">
        <v>1861</v>
      </c>
      <c r="Q636" s="15">
        <f t="shared" ca="1" si="18"/>
        <v>27</v>
      </c>
      <c r="R636" s="15" t="str">
        <f t="shared" si="19"/>
        <v>Medium</v>
      </c>
    </row>
    <row r="637" spans="1:18" s="15" customFormat="1" x14ac:dyDescent="0.3">
      <c r="A637" s="15" t="s">
        <v>1353</v>
      </c>
      <c r="B637" s="15" t="s">
        <v>46</v>
      </c>
      <c r="C637" s="15" t="s">
        <v>1103</v>
      </c>
      <c r="D637" s="15" t="s">
        <v>27</v>
      </c>
      <c r="E637" s="15" t="s">
        <v>120</v>
      </c>
      <c r="F637" s="15" t="s">
        <v>223</v>
      </c>
      <c r="G637" s="15" t="s">
        <v>20</v>
      </c>
      <c r="H637" s="16">
        <v>37905</v>
      </c>
      <c r="I637" s="16">
        <v>42848</v>
      </c>
      <c r="J637" s="16">
        <v>44522</v>
      </c>
      <c r="K637" s="15" t="s">
        <v>21</v>
      </c>
      <c r="L637" s="15" t="s">
        <v>108</v>
      </c>
      <c r="M637" s="15">
        <v>53419</v>
      </c>
      <c r="N637" s="15" t="s">
        <v>23</v>
      </c>
      <c r="O637" s="15">
        <v>0.49315068493150682</v>
      </c>
      <c r="P637" s="15" t="s">
        <v>1862</v>
      </c>
      <c r="Q637" s="15">
        <f t="shared" ca="1" si="18"/>
        <v>22</v>
      </c>
      <c r="R637" s="15" t="str">
        <f t="shared" si="19"/>
        <v>Low</v>
      </c>
    </row>
    <row r="638" spans="1:18" s="15" customFormat="1" x14ac:dyDescent="0.3">
      <c r="A638" s="15" t="s">
        <v>1354</v>
      </c>
      <c r="B638" s="15" t="s">
        <v>265</v>
      </c>
      <c r="C638" s="15" t="s">
        <v>1355</v>
      </c>
      <c r="D638" s="15" t="s">
        <v>27</v>
      </c>
      <c r="E638" s="15" t="s">
        <v>18</v>
      </c>
      <c r="F638" s="15" t="s">
        <v>19</v>
      </c>
      <c r="G638" s="15" t="s">
        <v>20</v>
      </c>
      <c r="H638" s="16">
        <v>23056</v>
      </c>
      <c r="I638" s="16">
        <v>43032</v>
      </c>
      <c r="J638" s="16">
        <v>45222</v>
      </c>
      <c r="K638" s="15" t="s">
        <v>37</v>
      </c>
      <c r="L638" s="15" t="s">
        <v>41</v>
      </c>
      <c r="M638" s="15">
        <v>54923</v>
      </c>
      <c r="N638" s="15" t="s">
        <v>96</v>
      </c>
      <c r="O638" s="15">
        <v>0.49315068493150682</v>
      </c>
      <c r="P638" s="15" t="s">
        <v>1862</v>
      </c>
      <c r="Q638" s="15">
        <f t="shared" ca="1" si="18"/>
        <v>62</v>
      </c>
      <c r="R638" s="15" t="str">
        <f t="shared" si="19"/>
        <v>Low</v>
      </c>
    </row>
    <row r="639" spans="1:18" s="15" customFormat="1" x14ac:dyDescent="0.3">
      <c r="A639" s="15" t="s">
        <v>1356</v>
      </c>
      <c r="B639" s="15" t="s">
        <v>161</v>
      </c>
      <c r="C639" s="15" t="s">
        <v>172</v>
      </c>
      <c r="D639" s="15" t="s">
        <v>17</v>
      </c>
      <c r="E639" s="15" t="s">
        <v>18</v>
      </c>
      <c r="F639" s="15" t="s">
        <v>19</v>
      </c>
      <c r="G639" s="15" t="s">
        <v>30</v>
      </c>
      <c r="H639" s="16">
        <v>29595</v>
      </c>
      <c r="I639" s="16">
        <v>44599</v>
      </c>
      <c r="J639" s="16">
        <v>44862</v>
      </c>
      <c r="K639" s="15" t="s">
        <v>37</v>
      </c>
      <c r="L639" s="15" t="s">
        <v>38</v>
      </c>
      <c r="M639" s="15">
        <v>57130</v>
      </c>
      <c r="N639" s="15" t="s">
        <v>33</v>
      </c>
      <c r="O639" s="15">
        <v>0.49315068493150682</v>
      </c>
      <c r="P639" s="15" t="s">
        <v>1861</v>
      </c>
      <c r="Q639" s="15">
        <f t="shared" ca="1" si="18"/>
        <v>45</v>
      </c>
      <c r="R639" s="15" t="str">
        <f t="shared" si="19"/>
        <v>Low</v>
      </c>
    </row>
    <row r="640" spans="1:18" s="15" customFormat="1" x14ac:dyDescent="0.3">
      <c r="A640" s="15" t="s">
        <v>1359</v>
      </c>
      <c r="B640" s="15" t="s">
        <v>617</v>
      </c>
      <c r="C640" s="15" t="s">
        <v>1351</v>
      </c>
      <c r="D640" s="15" t="s">
        <v>27</v>
      </c>
      <c r="E640" s="15" t="s">
        <v>18</v>
      </c>
      <c r="F640" s="15" t="s">
        <v>19</v>
      </c>
      <c r="G640" s="15" t="s">
        <v>30</v>
      </c>
      <c r="H640" s="16">
        <v>32637</v>
      </c>
      <c r="I640" s="16">
        <v>43887</v>
      </c>
      <c r="J640" s="16">
        <v>44313</v>
      </c>
      <c r="K640" s="15" t="s">
        <v>94</v>
      </c>
      <c r="L640" s="15" t="s">
        <v>182</v>
      </c>
      <c r="M640" s="15">
        <v>79304</v>
      </c>
      <c r="N640" s="15" t="s">
        <v>44</v>
      </c>
      <c r="O640" s="15">
        <v>0.49315068493150682</v>
      </c>
      <c r="P640" s="15" t="s">
        <v>1861</v>
      </c>
      <c r="Q640" s="15">
        <f t="shared" ca="1" si="18"/>
        <v>36</v>
      </c>
      <c r="R640" s="15" t="str">
        <f t="shared" si="19"/>
        <v>Medium</v>
      </c>
    </row>
    <row r="641" spans="1:18" s="15" customFormat="1" x14ac:dyDescent="0.3">
      <c r="A641" s="15" t="s">
        <v>1360</v>
      </c>
      <c r="B641" s="15" t="s">
        <v>218</v>
      </c>
      <c r="C641" s="15" t="s">
        <v>403</v>
      </c>
      <c r="D641" s="15" t="s">
        <v>17</v>
      </c>
      <c r="E641" s="15" t="s">
        <v>81</v>
      </c>
      <c r="F641" s="15" t="s">
        <v>82</v>
      </c>
      <c r="G641" s="15" t="s">
        <v>30</v>
      </c>
      <c r="H641" s="16">
        <v>26601</v>
      </c>
      <c r="I641" s="16">
        <v>42930</v>
      </c>
      <c r="J641" s="16">
        <v>43110</v>
      </c>
      <c r="K641" s="15" t="s">
        <v>65</v>
      </c>
      <c r="L641" s="15" t="s">
        <v>131</v>
      </c>
      <c r="M641" s="15">
        <v>58058</v>
      </c>
      <c r="N641" s="15" t="s">
        <v>33</v>
      </c>
      <c r="O641" s="15">
        <v>1.912328767123288</v>
      </c>
      <c r="P641" s="15" t="s">
        <v>1862</v>
      </c>
      <c r="Q641" s="15">
        <f t="shared" ca="1" si="18"/>
        <v>53</v>
      </c>
      <c r="R641" s="15" t="str">
        <f t="shared" si="19"/>
        <v>Low</v>
      </c>
    </row>
    <row r="642" spans="1:18" s="15" customFormat="1" x14ac:dyDescent="0.3">
      <c r="A642" s="15" t="s">
        <v>1361</v>
      </c>
      <c r="B642" s="15" t="s">
        <v>558</v>
      </c>
      <c r="C642" s="15" t="s">
        <v>89</v>
      </c>
      <c r="D642" s="15" t="s">
        <v>27</v>
      </c>
      <c r="E642" s="15" t="s">
        <v>18</v>
      </c>
      <c r="F642" s="15" t="s">
        <v>19</v>
      </c>
      <c r="G642" s="15" t="s">
        <v>30</v>
      </c>
      <c r="H642" s="16">
        <v>31705</v>
      </c>
      <c r="I642" s="16">
        <v>43013</v>
      </c>
      <c r="J642" s="16">
        <v>44182</v>
      </c>
      <c r="K642" s="15" t="s">
        <v>65</v>
      </c>
      <c r="L642" s="15" t="s">
        <v>131</v>
      </c>
      <c r="M642" s="15">
        <v>63949</v>
      </c>
      <c r="N642" s="15" t="s">
        <v>33</v>
      </c>
      <c r="O642" s="15">
        <v>0.49315068493150682</v>
      </c>
      <c r="P642" s="15" t="s">
        <v>1861</v>
      </c>
      <c r="Q642" s="15">
        <f t="shared" ref="Q642:Q705" ca="1" si="20">DATEDIF(H642, TODAY(), "Y")</f>
        <v>39</v>
      </c>
      <c r="R642" s="15" t="str">
        <f t="shared" si="19"/>
        <v>Medium</v>
      </c>
    </row>
    <row r="643" spans="1:18" s="15" customFormat="1" x14ac:dyDescent="0.3">
      <c r="A643" s="15" t="s">
        <v>1362</v>
      </c>
      <c r="B643" s="15" t="s">
        <v>1042</v>
      </c>
      <c r="C643" s="15" t="s">
        <v>561</v>
      </c>
      <c r="D643" s="15" t="s">
        <v>27</v>
      </c>
      <c r="E643" s="15" t="s">
        <v>18</v>
      </c>
      <c r="F643" s="15" t="s">
        <v>19</v>
      </c>
      <c r="G643" s="15" t="s">
        <v>20</v>
      </c>
      <c r="H643" s="16">
        <v>29234</v>
      </c>
      <c r="I643" s="16">
        <v>42913</v>
      </c>
      <c r="J643" s="16">
        <v>43354</v>
      </c>
      <c r="K643" s="15" t="s">
        <v>37</v>
      </c>
      <c r="L643" s="15" t="s">
        <v>41</v>
      </c>
      <c r="M643" s="15">
        <v>61782</v>
      </c>
      <c r="N643" s="15" t="s">
        <v>23</v>
      </c>
      <c r="O643" s="15">
        <v>1.802739726027397</v>
      </c>
      <c r="P643" s="15" t="s">
        <v>1862</v>
      </c>
      <c r="Q643" s="15">
        <f t="shared" ca="1" si="20"/>
        <v>46</v>
      </c>
      <c r="R643" s="15" t="str">
        <f t="shared" ref="R643:R706" si="21">IF(M643:M1608&gt;100000,"High",IF(M643:M1608&gt;60000,"Medium","Low"))</f>
        <v>Medium</v>
      </c>
    </row>
    <row r="644" spans="1:18" s="15" customFormat="1" x14ac:dyDescent="0.3">
      <c r="A644" s="15" t="s">
        <v>1363</v>
      </c>
      <c r="B644" s="15" t="s">
        <v>1364</v>
      </c>
      <c r="C644" s="15" t="s">
        <v>1365</v>
      </c>
      <c r="D644" s="15" t="s">
        <v>27</v>
      </c>
      <c r="E644" s="15" t="s">
        <v>81</v>
      </c>
      <c r="F644" s="15" t="s">
        <v>166</v>
      </c>
      <c r="G644" s="15" t="s">
        <v>30</v>
      </c>
      <c r="H644" s="16">
        <v>24698</v>
      </c>
      <c r="I644" s="16">
        <v>43155</v>
      </c>
      <c r="J644" s="16">
        <v>43335</v>
      </c>
      <c r="K644" s="15" t="s">
        <v>94</v>
      </c>
      <c r="L644" s="15" t="s">
        <v>117</v>
      </c>
      <c r="M644" s="15">
        <v>76023</v>
      </c>
      <c r="N644" s="15" t="s">
        <v>33</v>
      </c>
      <c r="O644" s="15">
        <v>0.49315068493150682</v>
      </c>
      <c r="P644" s="15" t="s">
        <v>1861</v>
      </c>
      <c r="Q644" s="15">
        <f t="shared" ca="1" si="20"/>
        <v>58</v>
      </c>
      <c r="R644" s="15" t="str">
        <f t="shared" si="21"/>
        <v>Medium</v>
      </c>
    </row>
    <row r="645" spans="1:18" s="15" customFormat="1" x14ac:dyDescent="0.3">
      <c r="A645" s="15" t="s">
        <v>1366</v>
      </c>
      <c r="B645" s="15" t="s">
        <v>990</v>
      </c>
      <c r="C645" s="15" t="s">
        <v>1367</v>
      </c>
      <c r="D645" s="15" t="s">
        <v>17</v>
      </c>
      <c r="E645" s="15" t="s">
        <v>18</v>
      </c>
      <c r="F645" s="15" t="s">
        <v>19</v>
      </c>
      <c r="G645" s="15" t="s">
        <v>112</v>
      </c>
      <c r="H645" s="16">
        <v>26993</v>
      </c>
      <c r="I645" s="16">
        <v>42799</v>
      </c>
      <c r="J645" s="16">
        <v>44396</v>
      </c>
      <c r="K645" s="15" t="s">
        <v>37</v>
      </c>
      <c r="L645" s="15" t="s">
        <v>43</v>
      </c>
      <c r="M645" s="15">
        <v>82239</v>
      </c>
      <c r="N645" s="15" t="s">
        <v>96</v>
      </c>
      <c r="O645" s="15">
        <v>1.671232876712329</v>
      </c>
      <c r="P645" s="15" t="s">
        <v>1862</v>
      </c>
      <c r="Q645" s="15">
        <f t="shared" ca="1" si="20"/>
        <v>52</v>
      </c>
      <c r="R645" s="15" t="str">
        <f t="shared" si="21"/>
        <v>Medium</v>
      </c>
    </row>
    <row r="646" spans="1:18" s="15" customFormat="1" x14ac:dyDescent="0.3">
      <c r="A646" s="15" t="s">
        <v>1368</v>
      </c>
      <c r="B646" s="15" t="s">
        <v>1357</v>
      </c>
      <c r="C646" s="15" t="s">
        <v>1369</v>
      </c>
      <c r="D646" s="15" t="s">
        <v>27</v>
      </c>
      <c r="E646" s="15" t="s">
        <v>18</v>
      </c>
      <c r="F646" s="15" t="s">
        <v>19</v>
      </c>
      <c r="G646" s="15" t="s">
        <v>30</v>
      </c>
      <c r="H646" s="16">
        <v>37369</v>
      </c>
      <c r="I646" s="16">
        <v>43063</v>
      </c>
      <c r="J646" s="16">
        <v>44251</v>
      </c>
      <c r="K646" s="15" t="s">
        <v>37</v>
      </c>
      <c r="L646" s="15" t="s">
        <v>38</v>
      </c>
      <c r="M646" s="15">
        <v>63634</v>
      </c>
      <c r="N646" s="15" t="s">
        <v>33</v>
      </c>
      <c r="O646" s="15">
        <v>0.49315068493150682</v>
      </c>
      <c r="P646" s="15" t="s">
        <v>1861</v>
      </c>
      <c r="Q646" s="15">
        <f t="shared" ca="1" si="20"/>
        <v>23</v>
      </c>
      <c r="R646" s="15" t="str">
        <f t="shared" si="21"/>
        <v>Medium</v>
      </c>
    </row>
    <row r="647" spans="1:18" s="15" customFormat="1" x14ac:dyDescent="0.3">
      <c r="A647" s="15" t="s">
        <v>1370</v>
      </c>
      <c r="B647" s="15" t="s">
        <v>318</v>
      </c>
      <c r="C647" s="15" t="s">
        <v>549</v>
      </c>
      <c r="D647" s="15" t="s">
        <v>27</v>
      </c>
      <c r="E647" s="15" t="s">
        <v>81</v>
      </c>
      <c r="F647" s="15" t="s">
        <v>166</v>
      </c>
      <c r="G647" s="15" t="s">
        <v>30</v>
      </c>
      <c r="H647" s="16">
        <v>22384</v>
      </c>
      <c r="I647" s="16">
        <v>44152</v>
      </c>
      <c r="J647" s="16">
        <v>44332</v>
      </c>
      <c r="K647" s="15" t="s">
        <v>94</v>
      </c>
      <c r="L647" s="15" t="s">
        <v>182</v>
      </c>
      <c r="M647" s="15">
        <v>79328</v>
      </c>
      <c r="N647" s="15" t="s">
        <v>44</v>
      </c>
      <c r="O647" s="15">
        <v>2.3698630136986298</v>
      </c>
      <c r="P647" s="15" t="s">
        <v>1862</v>
      </c>
      <c r="Q647" s="15">
        <f t="shared" ca="1" si="20"/>
        <v>64</v>
      </c>
      <c r="R647" s="15" t="str">
        <f t="shared" si="21"/>
        <v>Medium</v>
      </c>
    </row>
    <row r="648" spans="1:18" s="15" customFormat="1" x14ac:dyDescent="0.3">
      <c r="A648" s="15" t="s">
        <v>1371</v>
      </c>
      <c r="B648" s="15" t="s">
        <v>437</v>
      </c>
      <c r="C648" s="15" t="s">
        <v>1372</v>
      </c>
      <c r="D648" s="15" t="s">
        <v>27</v>
      </c>
      <c r="E648" s="15" t="s">
        <v>18</v>
      </c>
      <c r="F648" s="15" t="s">
        <v>19</v>
      </c>
      <c r="G648" s="15" t="s">
        <v>30</v>
      </c>
      <c r="H648" s="16">
        <v>25349</v>
      </c>
      <c r="I648" s="16">
        <v>44415</v>
      </c>
      <c r="J648" s="16">
        <v>45053</v>
      </c>
      <c r="K648" s="15" t="s">
        <v>37</v>
      </c>
      <c r="L648" s="15" t="s">
        <v>41</v>
      </c>
      <c r="M648" s="15">
        <v>70361</v>
      </c>
      <c r="N648" s="15" t="s">
        <v>44</v>
      </c>
      <c r="O648" s="15">
        <v>3.7260273972602742</v>
      </c>
      <c r="P648" s="15" t="s">
        <v>1861</v>
      </c>
      <c r="Q648" s="15">
        <f t="shared" ca="1" si="20"/>
        <v>56</v>
      </c>
      <c r="R648" s="15" t="str">
        <f t="shared" si="21"/>
        <v>Medium</v>
      </c>
    </row>
    <row r="649" spans="1:18" s="15" customFormat="1" x14ac:dyDescent="0.3">
      <c r="A649" s="15" t="s">
        <v>1373</v>
      </c>
      <c r="B649" s="15" t="s">
        <v>318</v>
      </c>
      <c r="C649" s="15" t="s">
        <v>1374</v>
      </c>
      <c r="D649" s="15" t="s">
        <v>17</v>
      </c>
      <c r="E649" s="15" t="s">
        <v>81</v>
      </c>
      <c r="F649" s="15" t="s">
        <v>166</v>
      </c>
      <c r="G649" s="15" t="s">
        <v>30</v>
      </c>
      <c r="H649" s="16">
        <v>32075</v>
      </c>
      <c r="I649" s="16">
        <v>42148</v>
      </c>
      <c r="J649" s="16">
        <v>45584</v>
      </c>
      <c r="K649" s="15" t="s">
        <v>31</v>
      </c>
      <c r="L649" s="15" t="s">
        <v>83</v>
      </c>
      <c r="M649" s="15">
        <v>61939</v>
      </c>
      <c r="N649" s="15" t="s">
        <v>44</v>
      </c>
      <c r="O649" s="15">
        <v>2.6602739726027398</v>
      </c>
      <c r="P649" s="15" t="s">
        <v>1861</v>
      </c>
      <c r="Q649" s="15">
        <f t="shared" ca="1" si="20"/>
        <v>38</v>
      </c>
      <c r="R649" s="15" t="str">
        <f t="shared" si="21"/>
        <v>Medium</v>
      </c>
    </row>
    <row r="650" spans="1:18" s="15" customFormat="1" x14ac:dyDescent="0.3">
      <c r="A650" s="15" t="s">
        <v>1375</v>
      </c>
      <c r="B650" s="15" t="s">
        <v>990</v>
      </c>
      <c r="C650" s="15" t="s">
        <v>196</v>
      </c>
      <c r="D650" s="15" t="s">
        <v>17</v>
      </c>
      <c r="E650" s="15" t="s">
        <v>18</v>
      </c>
      <c r="F650" s="15" t="s">
        <v>19</v>
      </c>
      <c r="G650" s="15" t="s">
        <v>93</v>
      </c>
      <c r="H650" s="16">
        <v>25798</v>
      </c>
      <c r="I650" s="16">
        <v>45088</v>
      </c>
      <c r="J650" s="16">
        <v>45268</v>
      </c>
      <c r="K650" s="15" t="s">
        <v>51</v>
      </c>
      <c r="L650" s="15" t="s">
        <v>233</v>
      </c>
      <c r="M650" s="15">
        <v>105567</v>
      </c>
      <c r="N650" s="15" t="s">
        <v>96</v>
      </c>
      <c r="O650" s="15">
        <v>2.257534246575343</v>
      </c>
      <c r="P650" s="15" t="s">
        <v>1862</v>
      </c>
      <c r="Q650" s="15">
        <f t="shared" ca="1" si="20"/>
        <v>55</v>
      </c>
      <c r="R650" s="15" t="str">
        <f t="shared" si="21"/>
        <v>High</v>
      </c>
    </row>
    <row r="651" spans="1:18" s="15" customFormat="1" x14ac:dyDescent="0.3">
      <c r="A651" s="15" t="s">
        <v>1376</v>
      </c>
      <c r="B651" s="15" t="s">
        <v>840</v>
      </c>
      <c r="C651" s="15" t="s">
        <v>1377</v>
      </c>
      <c r="D651" s="15" t="s">
        <v>17</v>
      </c>
      <c r="E651" s="15" t="s">
        <v>18</v>
      </c>
      <c r="F651" s="15" t="s">
        <v>19</v>
      </c>
      <c r="G651" s="15" t="s">
        <v>30</v>
      </c>
      <c r="H651" s="16">
        <v>34163</v>
      </c>
      <c r="I651" s="16">
        <v>43747</v>
      </c>
      <c r="J651" s="16">
        <v>44524</v>
      </c>
      <c r="K651" s="15" t="s">
        <v>94</v>
      </c>
      <c r="L651" s="15" t="s">
        <v>182</v>
      </c>
      <c r="M651" s="15">
        <v>56716</v>
      </c>
      <c r="N651" s="15" t="s">
        <v>33</v>
      </c>
      <c r="O651" s="15">
        <v>1.5287671232876709</v>
      </c>
      <c r="P651" s="15" t="s">
        <v>1861</v>
      </c>
      <c r="Q651" s="15">
        <f t="shared" ca="1" si="20"/>
        <v>32</v>
      </c>
      <c r="R651" s="15" t="str">
        <f t="shared" si="21"/>
        <v>Low</v>
      </c>
    </row>
    <row r="652" spans="1:18" s="15" customFormat="1" x14ac:dyDescent="0.3">
      <c r="A652" s="15" t="s">
        <v>1378</v>
      </c>
      <c r="B652" s="15" t="s">
        <v>1379</v>
      </c>
      <c r="C652" s="15" t="s">
        <v>469</v>
      </c>
      <c r="D652" s="15" t="s">
        <v>17</v>
      </c>
      <c r="E652" s="15" t="s">
        <v>18</v>
      </c>
      <c r="F652" s="15" t="s">
        <v>19</v>
      </c>
      <c r="G652" s="15" t="s">
        <v>112</v>
      </c>
      <c r="H652" s="16">
        <v>33336</v>
      </c>
      <c r="I652" s="16">
        <v>44793</v>
      </c>
      <c r="J652" s="16">
        <v>44973</v>
      </c>
      <c r="K652" s="15" t="s">
        <v>31</v>
      </c>
      <c r="L652" s="15" t="s">
        <v>159</v>
      </c>
      <c r="M652" s="15">
        <v>99379</v>
      </c>
      <c r="N652" s="15" t="s">
        <v>96</v>
      </c>
      <c r="O652" s="15">
        <v>0.49315068493150682</v>
      </c>
      <c r="P652" s="15" t="s">
        <v>1861</v>
      </c>
      <c r="Q652" s="15">
        <f t="shared" ca="1" si="20"/>
        <v>34</v>
      </c>
      <c r="R652" s="15" t="str">
        <f t="shared" si="21"/>
        <v>Medium</v>
      </c>
    </row>
    <row r="653" spans="1:18" s="15" customFormat="1" x14ac:dyDescent="0.3">
      <c r="A653" s="15" t="s">
        <v>1380</v>
      </c>
      <c r="B653" s="15" t="s">
        <v>245</v>
      </c>
      <c r="C653" s="15" t="s">
        <v>1381</v>
      </c>
      <c r="D653" s="15" t="s">
        <v>27</v>
      </c>
      <c r="E653" s="15" t="s">
        <v>18</v>
      </c>
      <c r="F653" s="15" t="s">
        <v>19</v>
      </c>
      <c r="G653" s="15" t="s">
        <v>30</v>
      </c>
      <c r="H653" s="16">
        <v>34981</v>
      </c>
      <c r="I653" s="16">
        <v>43405</v>
      </c>
      <c r="J653" s="16">
        <v>43585</v>
      </c>
      <c r="K653" s="15" t="s">
        <v>21</v>
      </c>
      <c r="L653" s="15" t="s">
        <v>108</v>
      </c>
      <c r="M653" s="15">
        <v>60496</v>
      </c>
      <c r="N653" s="15" t="s">
        <v>33</v>
      </c>
      <c r="O653" s="15">
        <v>0.49315068493150682</v>
      </c>
      <c r="P653" s="15" t="s">
        <v>1861</v>
      </c>
      <c r="Q653" s="15">
        <f t="shared" ca="1" si="20"/>
        <v>30</v>
      </c>
      <c r="R653" s="15" t="str">
        <f t="shared" si="21"/>
        <v>Medium</v>
      </c>
    </row>
    <row r="654" spans="1:18" s="15" customFormat="1" x14ac:dyDescent="0.3">
      <c r="A654" s="15" t="s">
        <v>1382</v>
      </c>
      <c r="B654" s="15" t="s">
        <v>1383</v>
      </c>
      <c r="C654" s="15" t="s">
        <v>1384</v>
      </c>
      <c r="D654" s="15" t="s">
        <v>27</v>
      </c>
      <c r="E654" s="15" t="s">
        <v>18</v>
      </c>
      <c r="F654" s="15" t="s">
        <v>19</v>
      </c>
      <c r="G654" s="15" t="s">
        <v>112</v>
      </c>
      <c r="H654" s="16">
        <v>25639</v>
      </c>
      <c r="I654" s="16">
        <v>45380</v>
      </c>
      <c r="J654" s="16">
        <v>45560</v>
      </c>
      <c r="K654" s="15" t="s">
        <v>31</v>
      </c>
      <c r="L654" s="15" t="s">
        <v>32</v>
      </c>
      <c r="M654" s="15">
        <v>87672</v>
      </c>
      <c r="N654" s="15" t="s">
        <v>96</v>
      </c>
      <c r="O654" s="15">
        <v>1.2438356164383559</v>
      </c>
      <c r="P654" s="15" t="s">
        <v>1862</v>
      </c>
      <c r="Q654" s="15">
        <f t="shared" ca="1" si="20"/>
        <v>55</v>
      </c>
      <c r="R654" s="15" t="str">
        <f t="shared" si="21"/>
        <v>Medium</v>
      </c>
    </row>
    <row r="655" spans="1:18" s="15" customFormat="1" x14ac:dyDescent="0.3">
      <c r="A655" s="15" t="s">
        <v>1385</v>
      </c>
      <c r="B655" s="15" t="s">
        <v>140</v>
      </c>
      <c r="C655" s="15" t="s">
        <v>150</v>
      </c>
      <c r="D655" s="15" t="s">
        <v>27</v>
      </c>
      <c r="E655" s="15" t="s">
        <v>18</v>
      </c>
      <c r="F655" s="15" t="s">
        <v>19</v>
      </c>
      <c r="G655" s="15" t="s">
        <v>30</v>
      </c>
      <c r="H655" s="16">
        <v>31204</v>
      </c>
      <c r="I655" s="16">
        <v>43897</v>
      </c>
      <c r="J655" s="16">
        <v>45356</v>
      </c>
      <c r="K655" s="15" t="s">
        <v>94</v>
      </c>
      <c r="L655" s="15" t="s">
        <v>182</v>
      </c>
      <c r="M655" s="15">
        <v>67869</v>
      </c>
      <c r="N655" s="15" t="s">
        <v>33</v>
      </c>
      <c r="O655" s="15">
        <v>0.49315068493150682</v>
      </c>
      <c r="P655" s="15" t="s">
        <v>1861</v>
      </c>
      <c r="Q655" s="15">
        <f t="shared" ca="1" si="20"/>
        <v>40</v>
      </c>
      <c r="R655" s="15" t="str">
        <f t="shared" si="21"/>
        <v>Medium</v>
      </c>
    </row>
    <row r="656" spans="1:18" s="15" customFormat="1" x14ac:dyDescent="0.3">
      <c r="A656" s="15" t="s">
        <v>1386</v>
      </c>
      <c r="B656" s="15" t="s">
        <v>1054</v>
      </c>
      <c r="C656" s="15" t="s">
        <v>995</v>
      </c>
      <c r="D656" s="15" t="s">
        <v>27</v>
      </c>
      <c r="E656" s="15" t="s">
        <v>18</v>
      </c>
      <c r="F656" s="15" t="s">
        <v>19</v>
      </c>
      <c r="G656" s="15" t="s">
        <v>30</v>
      </c>
      <c r="H656" s="16">
        <v>32371</v>
      </c>
      <c r="I656" s="16">
        <v>43036</v>
      </c>
      <c r="J656" s="16">
        <v>44069</v>
      </c>
      <c r="K656" s="15" t="s">
        <v>37</v>
      </c>
      <c r="L656" s="15" t="s">
        <v>38</v>
      </c>
      <c r="M656" s="15">
        <v>66072</v>
      </c>
      <c r="N656" s="15" t="s">
        <v>96</v>
      </c>
      <c r="O656" s="15">
        <v>0.49315068493150682</v>
      </c>
      <c r="P656" s="15" t="s">
        <v>1862</v>
      </c>
      <c r="Q656" s="15">
        <f t="shared" ca="1" si="20"/>
        <v>37</v>
      </c>
      <c r="R656" s="15" t="str">
        <f t="shared" si="21"/>
        <v>Medium</v>
      </c>
    </row>
    <row r="657" spans="1:18" s="15" customFormat="1" x14ac:dyDescent="0.3">
      <c r="A657" s="15" t="s">
        <v>1387</v>
      </c>
      <c r="B657" s="15" t="s">
        <v>1388</v>
      </c>
      <c r="C657" s="15" t="s">
        <v>187</v>
      </c>
      <c r="D657" s="15" t="s">
        <v>17</v>
      </c>
      <c r="E657" s="15" t="s">
        <v>18</v>
      </c>
      <c r="F657" s="15" t="s">
        <v>19</v>
      </c>
      <c r="G657" s="15" t="s">
        <v>20</v>
      </c>
      <c r="H657" s="16">
        <v>30143</v>
      </c>
      <c r="I657" s="16">
        <v>43364</v>
      </c>
      <c r="J657" s="16">
        <v>43544</v>
      </c>
      <c r="K657" s="15" t="s">
        <v>65</v>
      </c>
      <c r="L657" s="15" t="s">
        <v>66</v>
      </c>
      <c r="M657" s="15">
        <v>82068</v>
      </c>
      <c r="N657" s="15" t="s">
        <v>23</v>
      </c>
      <c r="O657" s="15">
        <v>1.9643835616438361</v>
      </c>
      <c r="P657" s="15" t="s">
        <v>1862</v>
      </c>
      <c r="Q657" s="15">
        <f t="shared" ca="1" si="20"/>
        <v>43</v>
      </c>
      <c r="R657" s="15" t="str">
        <f t="shared" si="21"/>
        <v>Medium</v>
      </c>
    </row>
    <row r="658" spans="1:18" s="15" customFormat="1" x14ac:dyDescent="0.3">
      <c r="A658" s="15" t="s">
        <v>1389</v>
      </c>
      <c r="B658" s="15" t="s">
        <v>25</v>
      </c>
      <c r="C658" s="15" t="s">
        <v>1281</v>
      </c>
      <c r="D658" s="15" t="s">
        <v>27</v>
      </c>
      <c r="E658" s="15" t="s">
        <v>18</v>
      </c>
      <c r="F658" s="15" t="s">
        <v>19</v>
      </c>
      <c r="G658" s="15" t="s">
        <v>112</v>
      </c>
      <c r="H658" s="16">
        <v>35900</v>
      </c>
      <c r="I658" s="16">
        <v>44834</v>
      </c>
      <c r="J658" s="16">
        <v>45014</v>
      </c>
      <c r="K658" s="15" t="s">
        <v>70</v>
      </c>
      <c r="L658" s="15" t="s">
        <v>298</v>
      </c>
      <c r="M658" s="15">
        <v>55146</v>
      </c>
      <c r="N658" s="15" t="s">
        <v>96</v>
      </c>
      <c r="O658" s="15">
        <v>3.4164383561643841</v>
      </c>
      <c r="P658" s="15" t="s">
        <v>1861</v>
      </c>
      <c r="Q658" s="15">
        <f t="shared" ca="1" si="20"/>
        <v>27</v>
      </c>
      <c r="R658" s="15" t="str">
        <f t="shared" si="21"/>
        <v>Low</v>
      </c>
    </row>
    <row r="659" spans="1:18" s="15" customFormat="1" x14ac:dyDescent="0.3">
      <c r="A659" s="15" t="s">
        <v>1390</v>
      </c>
      <c r="B659" s="15" t="s">
        <v>157</v>
      </c>
      <c r="C659" s="15" t="s">
        <v>193</v>
      </c>
      <c r="D659" s="15" t="s">
        <v>17</v>
      </c>
      <c r="E659" s="15" t="s">
        <v>18</v>
      </c>
      <c r="F659" s="15" t="s">
        <v>19</v>
      </c>
      <c r="G659" s="15" t="s">
        <v>30</v>
      </c>
      <c r="H659" s="16">
        <v>26533</v>
      </c>
      <c r="I659" s="16">
        <v>43222</v>
      </c>
      <c r="J659" s="16">
        <v>44730</v>
      </c>
      <c r="K659" s="15" t="s">
        <v>37</v>
      </c>
      <c r="L659" s="15" t="s">
        <v>38</v>
      </c>
      <c r="M659" s="15">
        <v>58529</v>
      </c>
      <c r="N659" s="15" t="s">
        <v>33</v>
      </c>
      <c r="O659" s="15">
        <v>5.3095890410958901</v>
      </c>
      <c r="P659" s="15" t="s">
        <v>1861</v>
      </c>
      <c r="Q659" s="15">
        <f t="shared" ca="1" si="20"/>
        <v>53</v>
      </c>
      <c r="R659" s="15" t="str">
        <f t="shared" si="21"/>
        <v>Low</v>
      </c>
    </row>
    <row r="660" spans="1:18" s="15" customFormat="1" x14ac:dyDescent="0.3">
      <c r="A660" s="15" t="s">
        <v>1391</v>
      </c>
      <c r="B660" s="15" t="s">
        <v>251</v>
      </c>
      <c r="C660" s="15" t="s">
        <v>383</v>
      </c>
      <c r="D660" s="15" t="s">
        <v>27</v>
      </c>
      <c r="E660" s="15" t="s">
        <v>18</v>
      </c>
      <c r="F660" s="15" t="s">
        <v>19</v>
      </c>
      <c r="G660" s="15" t="s">
        <v>20</v>
      </c>
      <c r="H660" s="16">
        <v>33245</v>
      </c>
      <c r="I660" s="16">
        <v>42815</v>
      </c>
      <c r="J660" s="16">
        <v>43456</v>
      </c>
      <c r="K660" s="15" t="s">
        <v>37</v>
      </c>
      <c r="L660" s="15" t="s">
        <v>41</v>
      </c>
      <c r="M660" s="15">
        <v>59202</v>
      </c>
      <c r="N660" s="15" t="s">
        <v>23</v>
      </c>
      <c r="O660" s="15">
        <v>5.2602739726027394</v>
      </c>
      <c r="P660" s="15" t="s">
        <v>1861</v>
      </c>
      <c r="Q660" s="15">
        <f t="shared" ca="1" si="20"/>
        <v>35</v>
      </c>
      <c r="R660" s="15" t="str">
        <f t="shared" si="21"/>
        <v>Low</v>
      </c>
    </row>
    <row r="661" spans="1:18" s="15" customFormat="1" x14ac:dyDescent="0.3">
      <c r="A661" s="15" t="s">
        <v>1392</v>
      </c>
      <c r="B661" s="15" t="s">
        <v>251</v>
      </c>
      <c r="C661" s="15" t="s">
        <v>1393</v>
      </c>
      <c r="D661" s="15" t="s">
        <v>27</v>
      </c>
      <c r="E661" s="15" t="s">
        <v>18</v>
      </c>
      <c r="F661" s="15" t="s">
        <v>19</v>
      </c>
      <c r="G661" s="15" t="s">
        <v>20</v>
      </c>
      <c r="H661" s="16">
        <v>32348</v>
      </c>
      <c r="I661" s="16">
        <v>44919</v>
      </c>
      <c r="J661" s="16">
        <v>45128</v>
      </c>
      <c r="K661" s="15" t="s">
        <v>21</v>
      </c>
      <c r="L661" s="15" t="s">
        <v>100</v>
      </c>
      <c r="M661" s="15">
        <v>59013</v>
      </c>
      <c r="N661" s="15" t="s">
        <v>23</v>
      </c>
      <c r="O661" s="15">
        <v>0.49315068493150682</v>
      </c>
      <c r="P661" s="15" t="s">
        <v>1862</v>
      </c>
      <c r="Q661" s="15">
        <f t="shared" ca="1" si="20"/>
        <v>37</v>
      </c>
      <c r="R661" s="15" t="str">
        <f t="shared" si="21"/>
        <v>Low</v>
      </c>
    </row>
    <row r="662" spans="1:18" s="15" customFormat="1" x14ac:dyDescent="0.3">
      <c r="A662" s="15" t="s">
        <v>1394</v>
      </c>
      <c r="B662" s="15" t="s">
        <v>245</v>
      </c>
      <c r="C662" s="15" t="s">
        <v>265</v>
      </c>
      <c r="D662" s="15" t="s">
        <v>17</v>
      </c>
      <c r="E662" s="15" t="s">
        <v>18</v>
      </c>
      <c r="F662" s="15" t="s">
        <v>19</v>
      </c>
      <c r="G662" s="15" t="s">
        <v>30</v>
      </c>
      <c r="H662" s="16">
        <v>26272</v>
      </c>
      <c r="I662" s="16">
        <v>43018</v>
      </c>
      <c r="J662" s="16">
        <v>45316</v>
      </c>
      <c r="K662" s="15" t="s">
        <v>21</v>
      </c>
      <c r="L662" s="15" t="s">
        <v>108</v>
      </c>
      <c r="M662" s="15">
        <v>63118</v>
      </c>
      <c r="N662" s="15" t="s">
        <v>33</v>
      </c>
      <c r="O662" s="15">
        <v>0.49315068493150682</v>
      </c>
      <c r="P662" s="15" t="s">
        <v>1861</v>
      </c>
      <c r="Q662" s="15">
        <f t="shared" ca="1" si="20"/>
        <v>54</v>
      </c>
      <c r="R662" s="15" t="str">
        <f t="shared" si="21"/>
        <v>Medium</v>
      </c>
    </row>
    <row r="663" spans="1:18" s="15" customFormat="1" x14ac:dyDescent="0.3">
      <c r="A663" s="15" t="s">
        <v>1395</v>
      </c>
      <c r="B663" s="15" t="s">
        <v>517</v>
      </c>
      <c r="C663" s="15" t="s">
        <v>26</v>
      </c>
      <c r="D663" s="15" t="s">
        <v>17</v>
      </c>
      <c r="E663" s="15" t="s">
        <v>18</v>
      </c>
      <c r="F663" s="15" t="s">
        <v>19</v>
      </c>
      <c r="G663" s="15" t="s">
        <v>30</v>
      </c>
      <c r="H663" s="16">
        <v>27556</v>
      </c>
      <c r="I663" s="16">
        <v>42816</v>
      </c>
      <c r="J663" s="16">
        <v>43578</v>
      </c>
      <c r="K663" s="15" t="s">
        <v>37</v>
      </c>
      <c r="L663" s="15" t="s">
        <v>38</v>
      </c>
      <c r="M663" s="15">
        <v>55963</v>
      </c>
      <c r="N663" s="15" t="s">
        <v>23</v>
      </c>
      <c r="O663" s="15">
        <v>0.49315068493150682</v>
      </c>
      <c r="P663" s="15" t="s">
        <v>1862</v>
      </c>
      <c r="Q663" s="15">
        <f t="shared" ca="1" si="20"/>
        <v>50</v>
      </c>
      <c r="R663" s="15" t="str">
        <f t="shared" si="21"/>
        <v>Low</v>
      </c>
    </row>
    <row r="664" spans="1:18" s="15" customFormat="1" x14ac:dyDescent="0.3">
      <c r="A664" s="15" t="s">
        <v>1396</v>
      </c>
      <c r="B664" s="15" t="s">
        <v>361</v>
      </c>
      <c r="C664" s="15" t="s">
        <v>1244</v>
      </c>
      <c r="D664" s="15" t="s">
        <v>17</v>
      </c>
      <c r="E664" s="15" t="s">
        <v>18</v>
      </c>
      <c r="F664" s="15" t="s">
        <v>19</v>
      </c>
      <c r="G664" s="15" t="s">
        <v>112</v>
      </c>
      <c r="H664" s="16">
        <v>37153</v>
      </c>
      <c r="I664" s="16">
        <v>44747</v>
      </c>
      <c r="J664" s="16">
        <v>44927</v>
      </c>
      <c r="K664" s="15" t="s">
        <v>94</v>
      </c>
      <c r="L664" s="15" t="s">
        <v>122</v>
      </c>
      <c r="M664" s="15">
        <v>96838</v>
      </c>
      <c r="N664" s="15" t="s">
        <v>96</v>
      </c>
      <c r="O664" s="15">
        <v>0.49315068493150682</v>
      </c>
      <c r="P664" s="15" t="s">
        <v>1862</v>
      </c>
      <c r="Q664" s="15">
        <f t="shared" ca="1" si="20"/>
        <v>24</v>
      </c>
      <c r="R664" s="15" t="str">
        <f t="shared" si="21"/>
        <v>Medium</v>
      </c>
    </row>
    <row r="665" spans="1:18" s="15" customFormat="1" x14ac:dyDescent="0.3">
      <c r="A665" s="15" t="s">
        <v>1397</v>
      </c>
      <c r="B665" s="15" t="s">
        <v>641</v>
      </c>
      <c r="C665" s="15" t="s">
        <v>1398</v>
      </c>
      <c r="D665" s="15" t="s">
        <v>27</v>
      </c>
      <c r="E665" s="15" t="s">
        <v>18</v>
      </c>
      <c r="F665" s="15" t="s">
        <v>19</v>
      </c>
      <c r="G665" s="15" t="s">
        <v>20</v>
      </c>
      <c r="H665" s="16">
        <v>29572</v>
      </c>
      <c r="I665" s="16">
        <v>44629</v>
      </c>
      <c r="J665" s="16">
        <v>44809</v>
      </c>
      <c r="K665" s="15" t="s">
        <v>21</v>
      </c>
      <c r="L665" s="15" t="s">
        <v>108</v>
      </c>
      <c r="M665" s="15">
        <v>58081</v>
      </c>
      <c r="N665" s="15" t="s">
        <v>23</v>
      </c>
      <c r="O665" s="15">
        <v>4.5863013698630137</v>
      </c>
      <c r="P665" s="15" t="s">
        <v>1862</v>
      </c>
      <c r="Q665" s="15">
        <f t="shared" ca="1" si="20"/>
        <v>45</v>
      </c>
      <c r="R665" s="15" t="str">
        <f t="shared" si="21"/>
        <v>Low</v>
      </c>
    </row>
    <row r="666" spans="1:18" s="15" customFormat="1" x14ac:dyDescent="0.3">
      <c r="A666" s="15" t="s">
        <v>1399</v>
      </c>
      <c r="B666" s="15" t="s">
        <v>594</v>
      </c>
      <c r="C666" s="15" t="s">
        <v>1400</v>
      </c>
      <c r="D666" s="15" t="s">
        <v>27</v>
      </c>
      <c r="E666" s="15" t="s">
        <v>81</v>
      </c>
      <c r="F666" s="15" t="s">
        <v>166</v>
      </c>
      <c r="G666" s="15" t="s">
        <v>20</v>
      </c>
      <c r="H666" s="16">
        <v>38069</v>
      </c>
      <c r="I666" s="16">
        <v>43313</v>
      </c>
      <c r="J666" s="16">
        <v>45273</v>
      </c>
      <c r="K666" s="15" t="s">
        <v>21</v>
      </c>
      <c r="L666" s="15" t="s">
        <v>100</v>
      </c>
      <c r="M666" s="15">
        <v>59674</v>
      </c>
      <c r="N666" s="15" t="s">
        <v>23</v>
      </c>
      <c r="O666" s="15">
        <v>6</v>
      </c>
      <c r="P666" s="15" t="s">
        <v>1862</v>
      </c>
      <c r="Q666" s="15">
        <f t="shared" ca="1" si="20"/>
        <v>21</v>
      </c>
      <c r="R666" s="15" t="str">
        <f t="shared" si="21"/>
        <v>Low</v>
      </c>
    </row>
    <row r="667" spans="1:18" s="15" customFormat="1" x14ac:dyDescent="0.3">
      <c r="A667" s="15" t="s">
        <v>1401</v>
      </c>
      <c r="B667" s="15" t="s">
        <v>68</v>
      </c>
      <c r="C667" s="15" t="s">
        <v>1206</v>
      </c>
      <c r="D667" s="15" t="s">
        <v>17</v>
      </c>
      <c r="E667" s="15" t="s">
        <v>18</v>
      </c>
      <c r="F667" s="15" t="s">
        <v>19</v>
      </c>
      <c r="G667" s="15" t="s">
        <v>93</v>
      </c>
      <c r="H667" s="16">
        <v>32652</v>
      </c>
      <c r="I667" s="16">
        <v>44110</v>
      </c>
      <c r="J667" s="16">
        <v>44445</v>
      </c>
      <c r="K667" s="15" t="s">
        <v>51</v>
      </c>
      <c r="L667" s="15" t="s">
        <v>233</v>
      </c>
      <c r="M667" s="15">
        <v>98661</v>
      </c>
      <c r="N667" s="15" t="s">
        <v>96</v>
      </c>
      <c r="O667" s="15">
        <v>9.6136986301369856</v>
      </c>
      <c r="P667" s="15" t="s">
        <v>1861</v>
      </c>
      <c r="Q667" s="15">
        <f t="shared" ca="1" si="20"/>
        <v>36</v>
      </c>
      <c r="R667" s="15" t="str">
        <f t="shared" si="21"/>
        <v>Medium</v>
      </c>
    </row>
    <row r="668" spans="1:18" s="15" customFormat="1" x14ac:dyDescent="0.3">
      <c r="A668" s="15" t="s">
        <v>1402</v>
      </c>
      <c r="B668" s="15" t="s">
        <v>161</v>
      </c>
      <c r="C668" s="15" t="s">
        <v>1403</v>
      </c>
      <c r="D668" s="15" t="s">
        <v>27</v>
      </c>
      <c r="E668" s="15" t="s">
        <v>18</v>
      </c>
      <c r="F668" s="15" t="s">
        <v>19</v>
      </c>
      <c r="G668" s="15" t="s">
        <v>30</v>
      </c>
      <c r="H668" s="16">
        <v>31510</v>
      </c>
      <c r="I668" s="16">
        <v>43203</v>
      </c>
      <c r="J668" s="16">
        <v>43742</v>
      </c>
      <c r="K668" s="15" t="s">
        <v>31</v>
      </c>
      <c r="L668" s="15" t="s">
        <v>83</v>
      </c>
      <c r="M668" s="15">
        <v>67673</v>
      </c>
      <c r="N668" s="15" t="s">
        <v>23</v>
      </c>
      <c r="O668" s="15">
        <v>0.72054794520547949</v>
      </c>
      <c r="P668" s="15" t="s">
        <v>1862</v>
      </c>
      <c r="Q668" s="15">
        <f t="shared" ca="1" si="20"/>
        <v>39</v>
      </c>
      <c r="R668" s="15" t="str">
        <f t="shared" si="21"/>
        <v>Medium</v>
      </c>
    </row>
    <row r="669" spans="1:18" s="15" customFormat="1" x14ac:dyDescent="0.3">
      <c r="A669" s="15" t="s">
        <v>1404</v>
      </c>
      <c r="B669" s="15" t="s">
        <v>114</v>
      </c>
      <c r="C669" s="15" t="s">
        <v>637</v>
      </c>
      <c r="D669" s="15" t="s">
        <v>27</v>
      </c>
      <c r="E669" s="15" t="s">
        <v>18</v>
      </c>
      <c r="F669" s="15" t="s">
        <v>19</v>
      </c>
      <c r="G669" s="15" t="s">
        <v>30</v>
      </c>
      <c r="H669" s="16">
        <v>37175</v>
      </c>
      <c r="I669" s="16">
        <v>45022</v>
      </c>
      <c r="J669" s="16">
        <v>45202</v>
      </c>
      <c r="K669" s="15" t="s">
        <v>31</v>
      </c>
      <c r="L669" s="15" t="s">
        <v>32</v>
      </c>
      <c r="M669" s="15">
        <v>93212</v>
      </c>
      <c r="N669" s="15" t="s">
        <v>23</v>
      </c>
      <c r="O669" s="15">
        <v>8.9178082191780828</v>
      </c>
      <c r="P669" s="15" t="s">
        <v>1861</v>
      </c>
      <c r="Q669" s="15">
        <f t="shared" ca="1" si="20"/>
        <v>24</v>
      </c>
      <c r="R669" s="15" t="str">
        <f t="shared" si="21"/>
        <v>Medium</v>
      </c>
    </row>
    <row r="670" spans="1:18" s="15" customFormat="1" x14ac:dyDescent="0.3">
      <c r="A670" s="15" t="s">
        <v>1405</v>
      </c>
      <c r="B670" s="15" t="s">
        <v>54</v>
      </c>
      <c r="C670" s="15" t="s">
        <v>784</v>
      </c>
      <c r="D670" s="15" t="s">
        <v>27</v>
      </c>
      <c r="E670" s="15" t="s">
        <v>18</v>
      </c>
      <c r="F670" s="15" t="s">
        <v>19</v>
      </c>
      <c r="G670" s="15" t="s">
        <v>30</v>
      </c>
      <c r="H670" s="16">
        <v>22063</v>
      </c>
      <c r="I670" s="16">
        <v>45407</v>
      </c>
      <c r="J670" s="16">
        <v>45587</v>
      </c>
      <c r="K670" s="15" t="s">
        <v>31</v>
      </c>
      <c r="L670" s="15" t="s">
        <v>159</v>
      </c>
      <c r="M670" s="15">
        <v>95680</v>
      </c>
      <c r="N670" s="15" t="s">
        <v>44</v>
      </c>
      <c r="O670" s="15">
        <v>1.167123287671233</v>
      </c>
      <c r="P670" s="15" t="s">
        <v>1862</v>
      </c>
      <c r="Q670" s="15">
        <f t="shared" ca="1" si="20"/>
        <v>65</v>
      </c>
      <c r="R670" s="15" t="str">
        <f t="shared" si="21"/>
        <v>Medium</v>
      </c>
    </row>
    <row r="671" spans="1:18" s="15" customFormat="1" x14ac:dyDescent="0.3">
      <c r="A671" s="15" t="s">
        <v>1406</v>
      </c>
      <c r="B671" s="15" t="s">
        <v>1407</v>
      </c>
      <c r="C671" s="15" t="s">
        <v>1408</v>
      </c>
      <c r="D671" s="15" t="s">
        <v>27</v>
      </c>
      <c r="E671" s="15" t="s">
        <v>18</v>
      </c>
      <c r="F671" s="15" t="s">
        <v>19</v>
      </c>
      <c r="G671" s="15" t="s">
        <v>30</v>
      </c>
      <c r="H671" s="16">
        <v>36742</v>
      </c>
      <c r="I671" s="16">
        <v>42273</v>
      </c>
      <c r="J671" s="16">
        <v>45472</v>
      </c>
      <c r="K671" s="15" t="s">
        <v>31</v>
      </c>
      <c r="L671" s="15" t="s">
        <v>32</v>
      </c>
      <c r="M671" s="15">
        <v>89228</v>
      </c>
      <c r="N671" s="15" t="s">
        <v>96</v>
      </c>
      <c r="O671" s="15">
        <v>0.49315068493150682</v>
      </c>
      <c r="P671" s="15" t="s">
        <v>1861</v>
      </c>
      <c r="Q671" s="15">
        <f t="shared" ca="1" si="20"/>
        <v>25</v>
      </c>
      <c r="R671" s="15" t="str">
        <f t="shared" si="21"/>
        <v>Medium</v>
      </c>
    </row>
    <row r="672" spans="1:18" s="15" customFormat="1" x14ac:dyDescent="0.3">
      <c r="A672" s="15" t="s">
        <v>1409</v>
      </c>
      <c r="B672" s="15" t="s">
        <v>88</v>
      </c>
      <c r="C672" s="15" t="s">
        <v>311</v>
      </c>
      <c r="D672" s="15" t="s">
        <v>27</v>
      </c>
      <c r="E672" s="15" t="s">
        <v>81</v>
      </c>
      <c r="F672" s="15" t="s">
        <v>82</v>
      </c>
      <c r="G672" s="15" t="s">
        <v>30</v>
      </c>
      <c r="H672" s="16">
        <v>35998</v>
      </c>
      <c r="I672" s="16">
        <v>42140</v>
      </c>
      <c r="J672" s="16">
        <v>43540</v>
      </c>
      <c r="K672" s="15" t="s">
        <v>37</v>
      </c>
      <c r="L672" s="15" t="s">
        <v>38</v>
      </c>
      <c r="M672" s="15">
        <v>63362</v>
      </c>
      <c r="N672" s="15" t="s">
        <v>33</v>
      </c>
      <c r="O672" s="15">
        <v>3.2027397260273971</v>
      </c>
      <c r="P672" s="15" t="s">
        <v>1862</v>
      </c>
      <c r="Q672" s="15">
        <f t="shared" ca="1" si="20"/>
        <v>27</v>
      </c>
      <c r="R672" s="15" t="str">
        <f t="shared" si="21"/>
        <v>Medium</v>
      </c>
    </row>
    <row r="673" spans="1:18" s="15" customFormat="1" x14ac:dyDescent="0.3">
      <c r="A673" s="15" t="s">
        <v>1410</v>
      </c>
      <c r="B673" s="15" t="s">
        <v>361</v>
      </c>
      <c r="C673" s="15" t="s">
        <v>68</v>
      </c>
      <c r="D673" s="15" t="s">
        <v>27</v>
      </c>
      <c r="E673" s="15" t="s">
        <v>18</v>
      </c>
      <c r="F673" s="15" t="s">
        <v>19</v>
      </c>
      <c r="G673" s="15" t="s">
        <v>93</v>
      </c>
      <c r="H673" s="16">
        <v>24634</v>
      </c>
      <c r="I673" s="16">
        <v>44842</v>
      </c>
      <c r="J673" s="16">
        <v>45022</v>
      </c>
      <c r="K673" s="15" t="s">
        <v>94</v>
      </c>
      <c r="L673" s="15" t="s">
        <v>122</v>
      </c>
      <c r="M673" s="15">
        <v>94222</v>
      </c>
      <c r="N673" s="15" t="s">
        <v>96</v>
      </c>
      <c r="O673" s="15">
        <v>1.208219178082192</v>
      </c>
      <c r="P673" s="15" t="s">
        <v>1861</v>
      </c>
      <c r="Q673" s="15">
        <f t="shared" ca="1" si="20"/>
        <v>58</v>
      </c>
      <c r="R673" s="15" t="str">
        <f t="shared" si="21"/>
        <v>Medium</v>
      </c>
    </row>
    <row r="674" spans="1:18" s="15" customFormat="1" x14ac:dyDescent="0.3">
      <c r="A674" s="15" t="s">
        <v>1411</v>
      </c>
      <c r="B674" s="15" t="s">
        <v>54</v>
      </c>
      <c r="C674" s="15" t="s">
        <v>632</v>
      </c>
      <c r="D674" s="15" t="s">
        <v>27</v>
      </c>
      <c r="E674" s="15" t="s">
        <v>169</v>
      </c>
      <c r="F674" s="15" t="s">
        <v>170</v>
      </c>
      <c r="G674" s="15" t="s">
        <v>20</v>
      </c>
      <c r="H674" s="16">
        <v>32450</v>
      </c>
      <c r="I674" s="16">
        <v>43363</v>
      </c>
      <c r="J674" s="16">
        <v>43543</v>
      </c>
      <c r="K674" s="15" t="s">
        <v>37</v>
      </c>
      <c r="L674" s="15" t="s">
        <v>41</v>
      </c>
      <c r="M674" s="15">
        <v>64384</v>
      </c>
      <c r="N674" s="15" t="s">
        <v>23</v>
      </c>
      <c r="O674" s="15">
        <v>0.49315068493150682</v>
      </c>
      <c r="P674" s="15" t="s">
        <v>1862</v>
      </c>
      <c r="Q674" s="15">
        <f t="shared" ca="1" si="20"/>
        <v>37</v>
      </c>
      <c r="R674" s="15" t="str">
        <f t="shared" si="21"/>
        <v>Medium</v>
      </c>
    </row>
    <row r="675" spans="1:18" s="15" customFormat="1" x14ac:dyDescent="0.3">
      <c r="A675" s="15" t="s">
        <v>1412</v>
      </c>
      <c r="B675" s="15" t="s">
        <v>49</v>
      </c>
      <c r="C675" s="15" t="s">
        <v>1413</v>
      </c>
      <c r="D675" s="15" t="s">
        <v>27</v>
      </c>
      <c r="E675" s="15" t="s">
        <v>81</v>
      </c>
      <c r="F675" s="15" t="s">
        <v>82</v>
      </c>
      <c r="G675" s="15" t="s">
        <v>30</v>
      </c>
      <c r="H675" s="16">
        <v>37072</v>
      </c>
      <c r="I675" s="16">
        <v>43984</v>
      </c>
      <c r="J675" s="16">
        <v>44164</v>
      </c>
      <c r="K675" s="15" t="s">
        <v>31</v>
      </c>
      <c r="L675" s="15" t="s">
        <v>159</v>
      </c>
      <c r="M675" s="15">
        <v>93626</v>
      </c>
      <c r="N675" s="15" t="s">
        <v>96</v>
      </c>
      <c r="O675" s="15">
        <v>4.375342465753425</v>
      </c>
      <c r="P675" s="15" t="s">
        <v>1861</v>
      </c>
      <c r="Q675" s="15">
        <f t="shared" ca="1" si="20"/>
        <v>24</v>
      </c>
      <c r="R675" s="15" t="str">
        <f t="shared" si="21"/>
        <v>Medium</v>
      </c>
    </row>
    <row r="676" spans="1:18" s="15" customFormat="1" x14ac:dyDescent="0.3">
      <c r="A676" s="15" t="s">
        <v>1414</v>
      </c>
      <c r="B676" s="15" t="s">
        <v>1415</v>
      </c>
      <c r="C676" s="15" t="s">
        <v>1416</v>
      </c>
      <c r="D676" s="15" t="s">
        <v>27</v>
      </c>
      <c r="E676" s="15" t="s">
        <v>18</v>
      </c>
      <c r="F676" s="15" t="s">
        <v>19</v>
      </c>
      <c r="G676" s="15" t="s">
        <v>30</v>
      </c>
      <c r="H676" s="16">
        <v>26704</v>
      </c>
      <c r="I676" s="16">
        <v>43048</v>
      </c>
      <c r="J676" s="16">
        <v>44484</v>
      </c>
      <c r="K676" s="15" t="s">
        <v>37</v>
      </c>
      <c r="L676" s="15" t="s">
        <v>38</v>
      </c>
      <c r="M676" s="15">
        <v>68912</v>
      </c>
      <c r="N676" s="15" t="s">
        <v>44</v>
      </c>
      <c r="O676" s="15">
        <v>3.2547945205479452</v>
      </c>
      <c r="P676" s="15" t="s">
        <v>1862</v>
      </c>
      <c r="Q676" s="15">
        <f t="shared" ca="1" si="20"/>
        <v>52</v>
      </c>
      <c r="R676" s="15" t="str">
        <f t="shared" si="21"/>
        <v>Medium</v>
      </c>
    </row>
    <row r="677" spans="1:18" s="15" customFormat="1" x14ac:dyDescent="0.3">
      <c r="A677" s="15" t="s">
        <v>1417</v>
      </c>
      <c r="B677" s="15" t="s">
        <v>1064</v>
      </c>
      <c r="C677" s="15" t="s">
        <v>89</v>
      </c>
      <c r="D677" s="15" t="s">
        <v>27</v>
      </c>
      <c r="E677" s="15" t="s">
        <v>18</v>
      </c>
      <c r="F677" s="15" t="s">
        <v>19</v>
      </c>
      <c r="G677" s="15" t="s">
        <v>20</v>
      </c>
      <c r="H677" s="16">
        <v>28497</v>
      </c>
      <c r="I677" s="16">
        <v>44839</v>
      </c>
      <c r="J677" s="16">
        <v>45019</v>
      </c>
      <c r="K677" s="15" t="s">
        <v>37</v>
      </c>
      <c r="L677" s="15" t="s">
        <v>41</v>
      </c>
      <c r="M677" s="15">
        <v>61186</v>
      </c>
      <c r="N677" s="15" t="s">
        <v>23</v>
      </c>
      <c r="O677" s="15">
        <v>0.49315068493150682</v>
      </c>
      <c r="P677" s="15" t="s">
        <v>1861</v>
      </c>
      <c r="Q677" s="15">
        <f t="shared" ca="1" si="20"/>
        <v>48</v>
      </c>
      <c r="R677" s="15" t="str">
        <f t="shared" si="21"/>
        <v>Medium</v>
      </c>
    </row>
    <row r="678" spans="1:18" s="15" customFormat="1" x14ac:dyDescent="0.3">
      <c r="A678" s="15" t="s">
        <v>1418</v>
      </c>
      <c r="B678" s="15" t="s">
        <v>1419</v>
      </c>
      <c r="C678" s="15" t="s">
        <v>1420</v>
      </c>
      <c r="D678" s="15" t="s">
        <v>27</v>
      </c>
      <c r="E678" s="15" t="s">
        <v>18</v>
      </c>
      <c r="F678" s="15" t="s">
        <v>19</v>
      </c>
      <c r="G678" s="15" t="s">
        <v>30</v>
      </c>
      <c r="H678" s="16">
        <v>29749</v>
      </c>
      <c r="I678" s="16">
        <v>42990</v>
      </c>
      <c r="J678" s="16">
        <v>44093</v>
      </c>
      <c r="K678" s="15" t="s">
        <v>94</v>
      </c>
      <c r="L678" s="15" t="s">
        <v>182</v>
      </c>
      <c r="M678" s="15">
        <v>75082</v>
      </c>
      <c r="N678" s="15" t="s">
        <v>33</v>
      </c>
      <c r="O678" s="15">
        <v>1.747945205479452</v>
      </c>
      <c r="P678" s="15" t="s">
        <v>1862</v>
      </c>
      <c r="Q678" s="15">
        <f t="shared" ca="1" si="20"/>
        <v>44</v>
      </c>
      <c r="R678" s="15" t="str">
        <f t="shared" si="21"/>
        <v>Medium</v>
      </c>
    </row>
    <row r="679" spans="1:18" s="15" customFormat="1" x14ac:dyDescent="0.3">
      <c r="A679" s="15" t="s">
        <v>1421</v>
      </c>
      <c r="B679" s="15" t="s">
        <v>422</v>
      </c>
      <c r="C679" s="15" t="s">
        <v>962</v>
      </c>
      <c r="D679" s="15" t="s">
        <v>27</v>
      </c>
      <c r="E679" s="15" t="s">
        <v>81</v>
      </c>
      <c r="F679" s="15" t="s">
        <v>104</v>
      </c>
      <c r="G679" s="15" t="s">
        <v>20</v>
      </c>
      <c r="H679" s="16">
        <v>32694</v>
      </c>
      <c r="I679" s="16">
        <v>42814</v>
      </c>
      <c r="J679" s="16">
        <v>43669</v>
      </c>
      <c r="K679" s="15" t="s">
        <v>37</v>
      </c>
      <c r="L679" s="15" t="s">
        <v>41</v>
      </c>
      <c r="M679" s="15">
        <v>57702</v>
      </c>
      <c r="N679" s="15" t="s">
        <v>23</v>
      </c>
      <c r="O679" s="15">
        <v>9.4136986301369863</v>
      </c>
      <c r="P679" s="15" t="s">
        <v>1861</v>
      </c>
      <c r="Q679" s="15">
        <f t="shared" ca="1" si="20"/>
        <v>36</v>
      </c>
      <c r="R679" s="15" t="str">
        <f t="shared" si="21"/>
        <v>Low</v>
      </c>
    </row>
    <row r="680" spans="1:18" s="15" customFormat="1" x14ac:dyDescent="0.3">
      <c r="A680" s="15" t="s">
        <v>1422</v>
      </c>
      <c r="B680" s="15" t="s">
        <v>977</v>
      </c>
      <c r="C680" s="15" t="s">
        <v>707</v>
      </c>
      <c r="D680" s="15" t="s">
        <v>17</v>
      </c>
      <c r="E680" s="15" t="s">
        <v>18</v>
      </c>
      <c r="F680" s="15" t="s">
        <v>19</v>
      </c>
      <c r="G680" s="15" t="s">
        <v>30</v>
      </c>
      <c r="H680" s="16">
        <v>30684</v>
      </c>
      <c r="I680" s="16">
        <v>44049</v>
      </c>
      <c r="J680" s="16">
        <v>44229</v>
      </c>
      <c r="K680" s="15" t="s">
        <v>37</v>
      </c>
      <c r="L680" s="15" t="s">
        <v>38</v>
      </c>
      <c r="M680" s="15">
        <v>56487</v>
      </c>
      <c r="N680" s="15" t="s">
        <v>33</v>
      </c>
      <c r="O680" s="15">
        <v>0.49315068493150682</v>
      </c>
      <c r="P680" s="15" t="s">
        <v>1861</v>
      </c>
      <c r="Q680" s="15">
        <f t="shared" ca="1" si="20"/>
        <v>42</v>
      </c>
      <c r="R680" s="15" t="str">
        <f t="shared" si="21"/>
        <v>Low</v>
      </c>
    </row>
    <row r="681" spans="1:18" s="15" customFormat="1" x14ac:dyDescent="0.3">
      <c r="A681" s="15" t="s">
        <v>1423</v>
      </c>
      <c r="B681" s="15" t="s">
        <v>623</v>
      </c>
      <c r="C681" s="15" t="s">
        <v>26</v>
      </c>
      <c r="D681" s="15" t="s">
        <v>17</v>
      </c>
      <c r="E681" s="15" t="s">
        <v>18</v>
      </c>
      <c r="F681" s="15" t="s">
        <v>19</v>
      </c>
      <c r="G681" s="15" t="s">
        <v>30</v>
      </c>
      <c r="H681" s="16">
        <v>27631</v>
      </c>
      <c r="I681" s="16">
        <v>42244</v>
      </c>
      <c r="J681" s="16">
        <v>44530</v>
      </c>
      <c r="K681" s="15" t="s">
        <v>65</v>
      </c>
      <c r="L681" s="15" t="s">
        <v>314</v>
      </c>
      <c r="M681" s="15">
        <v>74502</v>
      </c>
      <c r="N681" s="15" t="s">
        <v>33</v>
      </c>
      <c r="O681" s="15">
        <v>2.128767123287671</v>
      </c>
      <c r="P681" s="15" t="s">
        <v>1862</v>
      </c>
      <c r="Q681" s="15">
        <f t="shared" ca="1" si="20"/>
        <v>50</v>
      </c>
      <c r="R681" s="15" t="str">
        <f t="shared" si="21"/>
        <v>Medium</v>
      </c>
    </row>
    <row r="682" spans="1:18" s="15" customFormat="1" x14ac:dyDescent="0.3">
      <c r="A682" s="15" t="s">
        <v>1424</v>
      </c>
      <c r="B682" s="15" t="s">
        <v>255</v>
      </c>
      <c r="C682" s="15" t="s">
        <v>201</v>
      </c>
      <c r="D682" s="15" t="s">
        <v>17</v>
      </c>
      <c r="E682" s="15" t="s">
        <v>18</v>
      </c>
      <c r="F682" s="15" t="s">
        <v>19</v>
      </c>
      <c r="G682" s="15" t="s">
        <v>112</v>
      </c>
      <c r="H682" s="16">
        <v>27058</v>
      </c>
      <c r="I682" s="16">
        <v>44946</v>
      </c>
      <c r="J682" s="16">
        <v>45126</v>
      </c>
      <c r="K682" s="15" t="s">
        <v>31</v>
      </c>
      <c r="L682" s="15" t="s">
        <v>159</v>
      </c>
      <c r="M682" s="15">
        <v>100558</v>
      </c>
      <c r="N682" s="15" t="s">
        <v>96</v>
      </c>
      <c r="O682" s="15">
        <v>0.49315068493150682</v>
      </c>
      <c r="P682" s="15" t="s">
        <v>1861</v>
      </c>
      <c r="Q682" s="15">
        <f t="shared" ca="1" si="20"/>
        <v>51</v>
      </c>
      <c r="R682" s="15" t="str">
        <f t="shared" si="21"/>
        <v>High</v>
      </c>
    </row>
    <row r="683" spans="1:18" s="15" customFormat="1" x14ac:dyDescent="0.3">
      <c r="A683" s="15" t="s">
        <v>1425</v>
      </c>
      <c r="B683" s="15" t="s">
        <v>484</v>
      </c>
      <c r="C683" s="15" t="s">
        <v>296</v>
      </c>
      <c r="D683" s="15" t="s">
        <v>17</v>
      </c>
      <c r="E683" s="15" t="s">
        <v>18</v>
      </c>
      <c r="F683" s="15" t="s">
        <v>19</v>
      </c>
      <c r="G683" s="15" t="s">
        <v>30</v>
      </c>
      <c r="H683" s="16">
        <v>30921</v>
      </c>
      <c r="I683" s="16">
        <v>42252</v>
      </c>
      <c r="J683" s="16">
        <v>43380</v>
      </c>
      <c r="K683" s="15" t="s">
        <v>31</v>
      </c>
      <c r="L683" s="15" t="s">
        <v>159</v>
      </c>
      <c r="M683" s="15">
        <v>85918</v>
      </c>
      <c r="N683" s="15" t="s">
        <v>33</v>
      </c>
      <c r="O683" s="15">
        <v>0.49315068493150682</v>
      </c>
      <c r="P683" s="15" t="s">
        <v>1862</v>
      </c>
      <c r="Q683" s="15">
        <f t="shared" ca="1" si="20"/>
        <v>41</v>
      </c>
      <c r="R683" s="15" t="str">
        <f t="shared" si="21"/>
        <v>Medium</v>
      </c>
    </row>
    <row r="684" spans="1:18" s="15" customFormat="1" x14ac:dyDescent="0.3">
      <c r="A684" s="15" t="s">
        <v>1426</v>
      </c>
      <c r="B684" s="15" t="s">
        <v>98</v>
      </c>
      <c r="C684" s="15" t="s">
        <v>99</v>
      </c>
      <c r="D684" s="15" t="s">
        <v>17</v>
      </c>
      <c r="E684" s="15" t="s">
        <v>18</v>
      </c>
      <c r="F684" s="15" t="s">
        <v>19</v>
      </c>
      <c r="G684" s="15" t="s">
        <v>30</v>
      </c>
      <c r="H684" s="16">
        <v>25795</v>
      </c>
      <c r="I684" s="16">
        <v>42498</v>
      </c>
      <c r="J684" s="16">
        <v>43598</v>
      </c>
      <c r="K684" s="15" t="s">
        <v>21</v>
      </c>
      <c r="L684" s="15" t="s">
        <v>22</v>
      </c>
      <c r="M684" s="15">
        <v>88835</v>
      </c>
      <c r="N684" s="15" t="s">
        <v>33</v>
      </c>
      <c r="O684" s="15">
        <v>0.49315068493150682</v>
      </c>
      <c r="P684" s="15" t="s">
        <v>1861</v>
      </c>
      <c r="Q684" s="15">
        <f t="shared" ca="1" si="20"/>
        <v>55</v>
      </c>
      <c r="R684" s="15" t="str">
        <f t="shared" si="21"/>
        <v>Medium</v>
      </c>
    </row>
    <row r="685" spans="1:18" s="15" customFormat="1" x14ac:dyDescent="0.3">
      <c r="A685" s="15" t="s">
        <v>1427</v>
      </c>
      <c r="B685" s="15" t="s">
        <v>140</v>
      </c>
      <c r="C685" s="15" t="s">
        <v>99</v>
      </c>
      <c r="D685" s="15" t="s">
        <v>17</v>
      </c>
      <c r="E685" s="15" t="s">
        <v>18</v>
      </c>
      <c r="F685" s="15" t="s">
        <v>19</v>
      </c>
      <c r="G685" s="15" t="s">
        <v>30</v>
      </c>
      <c r="H685" s="16">
        <v>32067</v>
      </c>
      <c r="I685" s="16">
        <v>43399</v>
      </c>
      <c r="J685" s="16">
        <v>43579</v>
      </c>
      <c r="K685" s="15" t="s">
        <v>94</v>
      </c>
      <c r="L685" s="15" t="s">
        <v>117</v>
      </c>
      <c r="M685" s="15">
        <v>62944</v>
      </c>
      <c r="N685" s="15" t="s">
        <v>33</v>
      </c>
      <c r="O685" s="15">
        <v>3.9972602739726031</v>
      </c>
      <c r="P685" s="15" t="s">
        <v>1862</v>
      </c>
      <c r="Q685" s="15">
        <f t="shared" ca="1" si="20"/>
        <v>38</v>
      </c>
      <c r="R685" s="15" t="str">
        <f t="shared" si="21"/>
        <v>Medium</v>
      </c>
    </row>
    <row r="686" spans="1:18" s="15" customFormat="1" x14ac:dyDescent="0.3">
      <c r="A686" s="15" t="s">
        <v>1428</v>
      </c>
      <c r="B686" s="15" t="s">
        <v>1429</v>
      </c>
      <c r="C686" s="15" t="s">
        <v>1430</v>
      </c>
      <c r="D686" s="15" t="s">
        <v>27</v>
      </c>
      <c r="E686" s="15" t="s">
        <v>18</v>
      </c>
      <c r="F686" s="15" t="s">
        <v>19</v>
      </c>
      <c r="G686" s="15" t="s">
        <v>30</v>
      </c>
      <c r="H686" s="16">
        <v>23396</v>
      </c>
      <c r="I686" s="16">
        <v>42365</v>
      </c>
      <c r="J686" s="16">
        <v>44856</v>
      </c>
      <c r="K686" s="15" t="s">
        <v>37</v>
      </c>
      <c r="L686" s="15" t="s">
        <v>43</v>
      </c>
      <c r="M686" s="15">
        <v>91666</v>
      </c>
      <c r="N686" s="15" t="s">
        <v>44</v>
      </c>
      <c r="O686" s="15">
        <v>2.8301369863013699</v>
      </c>
      <c r="P686" s="15" t="s">
        <v>1862</v>
      </c>
      <c r="Q686" s="15">
        <f t="shared" ca="1" si="20"/>
        <v>61</v>
      </c>
      <c r="R686" s="15" t="str">
        <f t="shared" si="21"/>
        <v>Medium</v>
      </c>
    </row>
    <row r="687" spans="1:18" s="15" customFormat="1" x14ac:dyDescent="0.3">
      <c r="A687" s="15" t="s">
        <v>1431</v>
      </c>
      <c r="B687" s="15" t="s">
        <v>512</v>
      </c>
      <c r="C687" s="15" t="s">
        <v>1432</v>
      </c>
      <c r="D687" s="15" t="s">
        <v>17</v>
      </c>
      <c r="E687" s="15" t="s">
        <v>18</v>
      </c>
      <c r="F687" s="15" t="s">
        <v>19</v>
      </c>
      <c r="G687" s="15" t="s">
        <v>30</v>
      </c>
      <c r="H687" s="16">
        <v>31644</v>
      </c>
      <c r="I687" s="16">
        <v>42347</v>
      </c>
      <c r="J687" s="16">
        <v>43705</v>
      </c>
      <c r="K687" s="15" t="s">
        <v>94</v>
      </c>
      <c r="L687" s="15" t="s">
        <v>182</v>
      </c>
      <c r="M687" s="15">
        <v>61011</v>
      </c>
      <c r="N687" s="15" t="s">
        <v>44</v>
      </c>
      <c r="O687" s="15">
        <v>0.49315068493150682</v>
      </c>
      <c r="P687" s="15" t="s">
        <v>1861</v>
      </c>
      <c r="Q687" s="15">
        <f t="shared" ca="1" si="20"/>
        <v>39</v>
      </c>
      <c r="R687" s="15" t="str">
        <f t="shared" si="21"/>
        <v>Medium</v>
      </c>
    </row>
    <row r="688" spans="1:18" s="15" customFormat="1" x14ac:dyDescent="0.3">
      <c r="A688" s="15" t="s">
        <v>1433</v>
      </c>
      <c r="B688" s="15" t="s">
        <v>1434</v>
      </c>
      <c r="C688" s="15" t="s">
        <v>1435</v>
      </c>
      <c r="D688" s="15" t="s">
        <v>17</v>
      </c>
      <c r="E688" s="15" t="s">
        <v>18</v>
      </c>
      <c r="F688" s="15" t="s">
        <v>19</v>
      </c>
      <c r="G688" s="15" t="s">
        <v>112</v>
      </c>
      <c r="H688" s="16">
        <v>27729</v>
      </c>
      <c r="I688" s="16">
        <v>45369</v>
      </c>
      <c r="J688" s="16">
        <v>45549</v>
      </c>
      <c r="K688" s="15" t="s">
        <v>31</v>
      </c>
      <c r="L688" s="15" t="s">
        <v>159</v>
      </c>
      <c r="M688" s="15">
        <v>109779</v>
      </c>
      <c r="N688" s="15" t="s">
        <v>33</v>
      </c>
      <c r="O688" s="15">
        <v>0.49315068493150682</v>
      </c>
      <c r="P688" s="15" t="s">
        <v>1862</v>
      </c>
      <c r="Q688" s="15">
        <f t="shared" ca="1" si="20"/>
        <v>50</v>
      </c>
      <c r="R688" s="15" t="str">
        <f t="shared" si="21"/>
        <v>High</v>
      </c>
    </row>
    <row r="689" spans="1:18" s="15" customFormat="1" x14ac:dyDescent="0.3">
      <c r="A689" s="15" t="s">
        <v>1436</v>
      </c>
      <c r="B689" s="15" t="s">
        <v>1437</v>
      </c>
      <c r="C689" s="15" t="s">
        <v>106</v>
      </c>
      <c r="D689" s="15" t="s">
        <v>17</v>
      </c>
      <c r="E689" s="15" t="s">
        <v>169</v>
      </c>
      <c r="F689" s="15" t="s">
        <v>652</v>
      </c>
      <c r="G689" s="15" t="s">
        <v>20</v>
      </c>
      <c r="H689" s="16">
        <v>31061</v>
      </c>
      <c r="I689" s="16">
        <v>45037</v>
      </c>
      <c r="J689" s="16">
        <v>45217</v>
      </c>
      <c r="K689" s="15" t="s">
        <v>21</v>
      </c>
      <c r="L689" s="15" t="s">
        <v>108</v>
      </c>
      <c r="M689" s="15">
        <v>54788</v>
      </c>
      <c r="N689" s="15" t="s">
        <v>23</v>
      </c>
      <c r="O689" s="15">
        <v>4.1315068493150688</v>
      </c>
      <c r="P689" s="15" t="s">
        <v>1861</v>
      </c>
      <c r="Q689" s="15">
        <f t="shared" ca="1" si="20"/>
        <v>41</v>
      </c>
      <c r="R689" s="15" t="str">
        <f t="shared" si="21"/>
        <v>Low</v>
      </c>
    </row>
    <row r="690" spans="1:18" s="15" customFormat="1" x14ac:dyDescent="0.3">
      <c r="A690" s="15" t="s">
        <v>1438</v>
      </c>
      <c r="B690" s="15" t="s">
        <v>619</v>
      </c>
      <c r="C690" s="15" t="s">
        <v>1439</v>
      </c>
      <c r="D690" s="15" t="s">
        <v>17</v>
      </c>
      <c r="E690" s="15" t="s">
        <v>18</v>
      </c>
      <c r="F690" s="15" t="s">
        <v>19</v>
      </c>
      <c r="G690" s="15" t="s">
        <v>30</v>
      </c>
      <c r="H690" s="16">
        <v>29555</v>
      </c>
      <c r="I690" s="16">
        <v>43865</v>
      </c>
      <c r="J690" s="16">
        <v>44045</v>
      </c>
      <c r="K690" s="15" t="s">
        <v>21</v>
      </c>
      <c r="L690" s="15" t="s">
        <v>108</v>
      </c>
      <c r="M690" s="15">
        <v>58562</v>
      </c>
      <c r="N690" s="15" t="s">
        <v>33</v>
      </c>
      <c r="O690" s="15">
        <v>1.7561643835616441</v>
      </c>
      <c r="P690" s="15" t="s">
        <v>1861</v>
      </c>
      <c r="Q690" s="15">
        <f t="shared" ca="1" si="20"/>
        <v>45</v>
      </c>
      <c r="R690" s="15" t="str">
        <f t="shared" si="21"/>
        <v>Low</v>
      </c>
    </row>
    <row r="691" spans="1:18" s="15" customFormat="1" x14ac:dyDescent="0.3">
      <c r="A691" s="15" t="s">
        <v>1440</v>
      </c>
      <c r="B691" s="15" t="s">
        <v>1441</v>
      </c>
      <c r="C691" s="15" t="s">
        <v>510</v>
      </c>
      <c r="D691" s="15" t="s">
        <v>17</v>
      </c>
      <c r="E691" s="15" t="s">
        <v>81</v>
      </c>
      <c r="F691" s="15" t="s">
        <v>82</v>
      </c>
      <c r="G691" s="15" t="s">
        <v>112</v>
      </c>
      <c r="H691" s="16">
        <v>37433</v>
      </c>
      <c r="I691" s="16">
        <v>44117</v>
      </c>
      <c r="J691" s="16">
        <v>44297</v>
      </c>
      <c r="K691" s="15" t="s">
        <v>37</v>
      </c>
      <c r="L691" s="15" t="s">
        <v>43</v>
      </c>
      <c r="M691" s="15">
        <v>88719</v>
      </c>
      <c r="N691" s="15" t="s">
        <v>96</v>
      </c>
      <c r="O691" s="15">
        <v>0.57260273972602738</v>
      </c>
      <c r="P691" s="15" t="s">
        <v>1862</v>
      </c>
      <c r="Q691" s="15">
        <f t="shared" ca="1" si="20"/>
        <v>23</v>
      </c>
      <c r="R691" s="15" t="str">
        <f t="shared" si="21"/>
        <v>Medium</v>
      </c>
    </row>
    <row r="692" spans="1:18" s="15" customFormat="1" x14ac:dyDescent="0.3">
      <c r="A692" s="15" t="s">
        <v>1442</v>
      </c>
      <c r="B692" s="15" t="s">
        <v>140</v>
      </c>
      <c r="C692" s="15" t="s">
        <v>1443</v>
      </c>
      <c r="D692" s="15" t="s">
        <v>27</v>
      </c>
      <c r="E692" s="15" t="s">
        <v>18</v>
      </c>
      <c r="F692" s="15" t="s">
        <v>19</v>
      </c>
      <c r="G692" s="15" t="s">
        <v>30</v>
      </c>
      <c r="H692" s="16">
        <v>34713</v>
      </c>
      <c r="I692" s="16">
        <v>42724</v>
      </c>
      <c r="J692" s="16">
        <v>44561</v>
      </c>
      <c r="K692" s="15" t="s">
        <v>21</v>
      </c>
      <c r="L692" s="15" t="s">
        <v>22</v>
      </c>
      <c r="M692" s="15">
        <v>70388</v>
      </c>
      <c r="N692" s="15" t="s">
        <v>33</v>
      </c>
      <c r="O692" s="15">
        <v>6.2958904109589042</v>
      </c>
      <c r="P692" s="15" t="s">
        <v>1861</v>
      </c>
      <c r="Q692" s="15">
        <f t="shared" ca="1" si="20"/>
        <v>31</v>
      </c>
      <c r="R692" s="15" t="str">
        <f t="shared" si="21"/>
        <v>Medium</v>
      </c>
    </row>
    <row r="693" spans="1:18" s="15" customFormat="1" x14ac:dyDescent="0.3">
      <c r="A693" s="15" t="s">
        <v>1444</v>
      </c>
      <c r="B693" s="15" t="s">
        <v>774</v>
      </c>
      <c r="C693" s="15" t="s">
        <v>1318</v>
      </c>
      <c r="D693" s="15" t="s">
        <v>27</v>
      </c>
      <c r="E693" s="15" t="s">
        <v>18</v>
      </c>
      <c r="F693" s="15" t="s">
        <v>19</v>
      </c>
      <c r="G693" s="15" t="s">
        <v>20</v>
      </c>
      <c r="H693" s="16">
        <v>34137</v>
      </c>
      <c r="I693" s="16">
        <v>43061</v>
      </c>
      <c r="J693" s="16">
        <v>45583</v>
      </c>
      <c r="K693" s="15" t="s">
        <v>31</v>
      </c>
      <c r="L693" s="15" t="s">
        <v>83</v>
      </c>
      <c r="M693" s="15">
        <v>63808</v>
      </c>
      <c r="N693" s="15" t="s">
        <v>23</v>
      </c>
      <c r="O693" s="15">
        <v>2.087671232876712</v>
      </c>
      <c r="P693" s="15" t="s">
        <v>1862</v>
      </c>
      <c r="Q693" s="15">
        <f t="shared" ca="1" si="20"/>
        <v>32</v>
      </c>
      <c r="R693" s="15" t="str">
        <f t="shared" si="21"/>
        <v>Medium</v>
      </c>
    </row>
    <row r="694" spans="1:18" s="15" customFormat="1" x14ac:dyDescent="0.3">
      <c r="A694" s="15" t="s">
        <v>1445</v>
      </c>
      <c r="B694" s="15" t="s">
        <v>382</v>
      </c>
      <c r="C694" s="15" t="s">
        <v>598</v>
      </c>
      <c r="D694" s="15" t="s">
        <v>17</v>
      </c>
      <c r="E694" s="15" t="s">
        <v>18</v>
      </c>
      <c r="F694" s="15" t="s">
        <v>19</v>
      </c>
      <c r="G694" s="15" t="s">
        <v>30</v>
      </c>
      <c r="H694" s="16">
        <v>31558</v>
      </c>
      <c r="I694" s="16">
        <v>44886</v>
      </c>
      <c r="J694" s="16">
        <v>45066</v>
      </c>
      <c r="K694" s="15" t="s">
        <v>37</v>
      </c>
      <c r="L694" s="15" t="s">
        <v>43</v>
      </c>
      <c r="M694" s="15">
        <v>57527</v>
      </c>
      <c r="N694" s="15" t="s">
        <v>23</v>
      </c>
      <c r="O694" s="15">
        <v>0.49315068493150682</v>
      </c>
      <c r="P694" s="15" t="s">
        <v>1861</v>
      </c>
      <c r="Q694" s="15">
        <f t="shared" ca="1" si="20"/>
        <v>39</v>
      </c>
      <c r="R694" s="15" t="str">
        <f t="shared" si="21"/>
        <v>Low</v>
      </c>
    </row>
    <row r="695" spans="1:18" s="15" customFormat="1" x14ac:dyDescent="0.3">
      <c r="A695" s="15" t="s">
        <v>1446</v>
      </c>
      <c r="B695" s="15" t="s">
        <v>573</v>
      </c>
      <c r="C695" s="15" t="s">
        <v>735</v>
      </c>
      <c r="D695" s="15" t="s">
        <v>17</v>
      </c>
      <c r="E695" s="15" t="s">
        <v>18</v>
      </c>
      <c r="F695" s="15" t="s">
        <v>19</v>
      </c>
      <c r="G695" s="15" t="s">
        <v>112</v>
      </c>
      <c r="H695" s="16">
        <v>26466</v>
      </c>
      <c r="I695" s="16">
        <v>44925</v>
      </c>
      <c r="J695" s="16">
        <v>45105</v>
      </c>
      <c r="K695" s="15" t="s">
        <v>94</v>
      </c>
      <c r="L695" s="15" t="s">
        <v>117</v>
      </c>
      <c r="M695" s="15">
        <v>89227</v>
      </c>
      <c r="N695" s="15" t="s">
        <v>33</v>
      </c>
      <c r="O695" s="15">
        <v>0.49315068493150682</v>
      </c>
      <c r="P695" s="15" t="s">
        <v>1862</v>
      </c>
      <c r="Q695" s="15">
        <f t="shared" ca="1" si="20"/>
        <v>53</v>
      </c>
      <c r="R695" s="15" t="str">
        <f t="shared" si="21"/>
        <v>Medium</v>
      </c>
    </row>
    <row r="696" spans="1:18" s="15" customFormat="1" x14ac:dyDescent="0.3">
      <c r="A696" s="15" t="s">
        <v>1447</v>
      </c>
      <c r="B696" s="15" t="s">
        <v>899</v>
      </c>
      <c r="C696" s="15" t="s">
        <v>1448</v>
      </c>
      <c r="D696" s="15" t="s">
        <v>27</v>
      </c>
      <c r="E696" s="15" t="s">
        <v>18</v>
      </c>
      <c r="F696" s="15" t="s">
        <v>19</v>
      </c>
      <c r="G696" s="15" t="s">
        <v>30</v>
      </c>
      <c r="H696" s="16">
        <v>32538</v>
      </c>
      <c r="I696" s="16">
        <v>43213</v>
      </c>
      <c r="J696" s="16">
        <v>44199</v>
      </c>
      <c r="K696" s="15" t="s">
        <v>21</v>
      </c>
      <c r="L696" s="15" t="s">
        <v>22</v>
      </c>
      <c r="M696" s="15">
        <v>77002</v>
      </c>
      <c r="N696" s="15" t="s">
        <v>33</v>
      </c>
      <c r="O696" s="15">
        <v>5.3698630136986303</v>
      </c>
      <c r="P696" s="15" t="s">
        <v>1861</v>
      </c>
      <c r="Q696" s="15">
        <f t="shared" ca="1" si="20"/>
        <v>36</v>
      </c>
      <c r="R696" s="15" t="str">
        <f t="shared" si="21"/>
        <v>Medium</v>
      </c>
    </row>
    <row r="697" spans="1:18" s="15" customFormat="1" x14ac:dyDescent="0.3">
      <c r="A697" s="15" t="s">
        <v>1449</v>
      </c>
      <c r="B697" s="15" t="s">
        <v>1450</v>
      </c>
      <c r="C697" s="15" t="s">
        <v>193</v>
      </c>
      <c r="D697" s="15" t="s">
        <v>27</v>
      </c>
      <c r="E697" s="15" t="s">
        <v>18</v>
      </c>
      <c r="F697" s="15" t="s">
        <v>19</v>
      </c>
      <c r="G697" s="15" t="s">
        <v>112</v>
      </c>
      <c r="H697" s="16">
        <v>35948</v>
      </c>
      <c r="I697" s="16">
        <v>42225</v>
      </c>
      <c r="J697" s="16">
        <v>45532</v>
      </c>
      <c r="K697" s="15" t="s">
        <v>94</v>
      </c>
      <c r="L697" s="15" t="s">
        <v>95</v>
      </c>
      <c r="M697" s="15">
        <v>105185</v>
      </c>
      <c r="N697" s="15" t="s">
        <v>96</v>
      </c>
      <c r="O697" s="15">
        <v>0.9178082191780822</v>
      </c>
      <c r="P697" s="15" t="s">
        <v>1862</v>
      </c>
      <c r="Q697" s="15">
        <f t="shared" ca="1" si="20"/>
        <v>27</v>
      </c>
      <c r="R697" s="15" t="str">
        <f t="shared" si="21"/>
        <v>High</v>
      </c>
    </row>
    <row r="698" spans="1:18" s="15" customFormat="1" x14ac:dyDescent="0.3">
      <c r="A698" s="15" t="s">
        <v>1451</v>
      </c>
      <c r="B698" s="15" t="s">
        <v>1112</v>
      </c>
      <c r="C698" s="15" t="s">
        <v>1452</v>
      </c>
      <c r="D698" s="15" t="s">
        <v>27</v>
      </c>
      <c r="E698" s="15" t="s">
        <v>137</v>
      </c>
      <c r="F698" s="15" t="s">
        <v>595</v>
      </c>
      <c r="G698" s="15" t="s">
        <v>30</v>
      </c>
      <c r="H698" s="16">
        <v>34185</v>
      </c>
      <c r="I698" s="16">
        <v>45057</v>
      </c>
      <c r="J698" s="16">
        <v>45237</v>
      </c>
      <c r="K698" s="15" t="s">
        <v>31</v>
      </c>
      <c r="L698" s="15" t="s">
        <v>159</v>
      </c>
      <c r="M698" s="15">
        <v>109997</v>
      </c>
      <c r="N698" s="15" t="s">
        <v>23</v>
      </c>
      <c r="O698" s="15">
        <v>1.4767123287671231</v>
      </c>
      <c r="P698" s="15" t="s">
        <v>1861</v>
      </c>
      <c r="Q698" s="15">
        <f t="shared" ca="1" si="20"/>
        <v>32</v>
      </c>
      <c r="R698" s="15" t="str">
        <f t="shared" si="21"/>
        <v>High</v>
      </c>
    </row>
    <row r="699" spans="1:18" s="15" customFormat="1" x14ac:dyDescent="0.3">
      <c r="A699" s="15" t="s">
        <v>1453</v>
      </c>
      <c r="B699" s="15" t="s">
        <v>783</v>
      </c>
      <c r="C699" s="15" t="s">
        <v>1454</v>
      </c>
      <c r="D699" s="15" t="s">
        <v>17</v>
      </c>
      <c r="E699" s="15" t="s">
        <v>18</v>
      </c>
      <c r="F699" s="15" t="s">
        <v>19</v>
      </c>
      <c r="G699" s="15" t="s">
        <v>30</v>
      </c>
      <c r="H699" s="16">
        <v>33658</v>
      </c>
      <c r="I699" s="16">
        <v>44041</v>
      </c>
      <c r="J699" s="16">
        <v>44221</v>
      </c>
      <c r="K699" s="15" t="s">
        <v>51</v>
      </c>
      <c r="L699" s="15" t="s">
        <v>52</v>
      </c>
      <c r="M699" s="15">
        <v>68701</v>
      </c>
      <c r="N699" s="15" t="s">
        <v>96</v>
      </c>
      <c r="O699" s="15">
        <v>0.49315068493150682</v>
      </c>
      <c r="P699" s="15" t="s">
        <v>1862</v>
      </c>
      <c r="Q699" s="15">
        <f t="shared" ca="1" si="20"/>
        <v>33</v>
      </c>
      <c r="R699" s="15" t="str">
        <f t="shared" si="21"/>
        <v>Medium</v>
      </c>
    </row>
    <row r="700" spans="1:18" s="15" customFormat="1" x14ac:dyDescent="0.3">
      <c r="A700" s="15" t="s">
        <v>1455</v>
      </c>
      <c r="B700" s="15" t="s">
        <v>1456</v>
      </c>
      <c r="C700" s="15" t="s">
        <v>1320</v>
      </c>
      <c r="D700" s="15" t="s">
        <v>27</v>
      </c>
      <c r="E700" s="15" t="s">
        <v>81</v>
      </c>
      <c r="F700" s="15" t="s">
        <v>104</v>
      </c>
      <c r="G700" s="15" t="s">
        <v>93</v>
      </c>
      <c r="H700" s="16">
        <v>30686</v>
      </c>
      <c r="I700" s="16">
        <v>42788</v>
      </c>
      <c r="J700" s="16">
        <v>44497</v>
      </c>
      <c r="K700" s="15" t="s">
        <v>94</v>
      </c>
      <c r="L700" s="15" t="s">
        <v>122</v>
      </c>
      <c r="M700" s="15">
        <v>76460</v>
      </c>
      <c r="N700" s="15" t="s">
        <v>96</v>
      </c>
      <c r="O700" s="15">
        <v>0.49315068493150682</v>
      </c>
      <c r="P700" s="15" t="s">
        <v>1862</v>
      </c>
      <c r="Q700" s="15">
        <f t="shared" ca="1" si="20"/>
        <v>42</v>
      </c>
      <c r="R700" s="15" t="str">
        <f t="shared" si="21"/>
        <v>Medium</v>
      </c>
    </row>
    <row r="701" spans="1:18" s="15" customFormat="1" x14ac:dyDescent="0.3">
      <c r="A701" s="15" t="s">
        <v>1457</v>
      </c>
      <c r="B701" s="15" t="s">
        <v>851</v>
      </c>
      <c r="C701" s="15" t="s">
        <v>1458</v>
      </c>
      <c r="D701" s="15" t="s">
        <v>27</v>
      </c>
      <c r="E701" s="15" t="s">
        <v>18</v>
      </c>
      <c r="F701" s="15" t="s">
        <v>19</v>
      </c>
      <c r="G701" s="15" t="s">
        <v>30</v>
      </c>
      <c r="H701" s="16">
        <v>29251</v>
      </c>
      <c r="I701" s="16">
        <v>42810</v>
      </c>
      <c r="J701" s="16">
        <v>43246</v>
      </c>
      <c r="K701" s="15" t="s">
        <v>21</v>
      </c>
      <c r="L701" s="15" t="s">
        <v>100</v>
      </c>
      <c r="M701" s="15">
        <v>74179</v>
      </c>
      <c r="N701" s="15" t="s">
        <v>33</v>
      </c>
      <c r="O701" s="15">
        <v>8.7643835616438359</v>
      </c>
      <c r="P701" s="15" t="s">
        <v>1861</v>
      </c>
      <c r="Q701" s="15">
        <f t="shared" ca="1" si="20"/>
        <v>45</v>
      </c>
      <c r="R701" s="15" t="str">
        <f t="shared" si="21"/>
        <v>Medium</v>
      </c>
    </row>
    <row r="702" spans="1:18" s="15" customFormat="1" x14ac:dyDescent="0.3">
      <c r="A702" s="15" t="s">
        <v>1459</v>
      </c>
      <c r="B702" s="15" t="s">
        <v>206</v>
      </c>
      <c r="C702" s="15" t="s">
        <v>236</v>
      </c>
      <c r="D702" s="15" t="s">
        <v>27</v>
      </c>
      <c r="E702" s="15" t="s">
        <v>18</v>
      </c>
      <c r="F702" s="15" t="s">
        <v>19</v>
      </c>
      <c r="G702" s="15" t="s">
        <v>30</v>
      </c>
      <c r="H702" s="16">
        <v>29132</v>
      </c>
      <c r="I702" s="16">
        <v>43019</v>
      </c>
      <c r="J702" s="16">
        <v>43415</v>
      </c>
      <c r="K702" s="15" t="s">
        <v>94</v>
      </c>
      <c r="L702" s="15" t="s">
        <v>182</v>
      </c>
      <c r="M702" s="15">
        <v>69336</v>
      </c>
      <c r="N702" s="15" t="s">
        <v>23</v>
      </c>
      <c r="O702" s="15">
        <v>3.8356164383561642</v>
      </c>
      <c r="P702" s="15" t="s">
        <v>1862</v>
      </c>
      <c r="Q702" s="15">
        <f t="shared" ca="1" si="20"/>
        <v>46</v>
      </c>
      <c r="R702" s="15" t="str">
        <f t="shared" si="21"/>
        <v>Medium</v>
      </c>
    </row>
    <row r="703" spans="1:18" s="15" customFormat="1" x14ac:dyDescent="0.3">
      <c r="A703" s="15" t="s">
        <v>1460</v>
      </c>
      <c r="B703" s="15" t="s">
        <v>772</v>
      </c>
      <c r="C703" s="15" t="s">
        <v>842</v>
      </c>
      <c r="D703" s="15" t="s">
        <v>27</v>
      </c>
      <c r="E703" s="15" t="s">
        <v>120</v>
      </c>
      <c r="F703" s="15" t="s">
        <v>904</v>
      </c>
      <c r="G703" s="15" t="s">
        <v>112</v>
      </c>
      <c r="H703" s="16">
        <v>30628</v>
      </c>
      <c r="I703" s="16">
        <v>42808</v>
      </c>
      <c r="J703" s="16">
        <v>45225</v>
      </c>
      <c r="K703" s="15" t="s">
        <v>94</v>
      </c>
      <c r="L703" s="15" t="s">
        <v>117</v>
      </c>
      <c r="M703" s="15">
        <v>55995</v>
      </c>
      <c r="N703" s="15" t="s">
        <v>96</v>
      </c>
      <c r="O703" s="15">
        <v>0.49315068493150682</v>
      </c>
      <c r="P703" s="15" t="s">
        <v>1861</v>
      </c>
      <c r="Q703" s="15">
        <f t="shared" ca="1" si="20"/>
        <v>42</v>
      </c>
      <c r="R703" s="15" t="str">
        <f t="shared" si="21"/>
        <v>Low</v>
      </c>
    </row>
    <row r="704" spans="1:18" s="15" customFormat="1" x14ac:dyDescent="0.3">
      <c r="A704" s="15" t="s">
        <v>1461</v>
      </c>
      <c r="B704" s="15" t="s">
        <v>1462</v>
      </c>
      <c r="C704" s="15" t="s">
        <v>549</v>
      </c>
      <c r="D704" s="15" t="s">
        <v>27</v>
      </c>
      <c r="E704" s="15" t="s">
        <v>18</v>
      </c>
      <c r="F704" s="15" t="s">
        <v>19</v>
      </c>
      <c r="G704" s="15" t="s">
        <v>20</v>
      </c>
      <c r="H704" s="16">
        <v>37804</v>
      </c>
      <c r="I704" s="16">
        <v>43945</v>
      </c>
      <c r="J704" s="16">
        <v>44125</v>
      </c>
      <c r="K704" s="15" t="s">
        <v>37</v>
      </c>
      <c r="L704" s="15" t="s">
        <v>41</v>
      </c>
      <c r="M704" s="15">
        <v>55990</v>
      </c>
      <c r="N704" s="15" t="s">
        <v>23</v>
      </c>
      <c r="O704" s="15">
        <v>0.49315068493150682</v>
      </c>
      <c r="P704" s="15" t="s">
        <v>1861</v>
      </c>
      <c r="Q704" s="15">
        <f t="shared" ca="1" si="20"/>
        <v>22</v>
      </c>
      <c r="R704" s="15" t="str">
        <f t="shared" si="21"/>
        <v>Low</v>
      </c>
    </row>
    <row r="705" spans="1:18" s="15" customFormat="1" x14ac:dyDescent="0.3">
      <c r="A705" s="15" t="s">
        <v>1463</v>
      </c>
      <c r="B705" s="15" t="s">
        <v>190</v>
      </c>
      <c r="C705" s="15" t="s">
        <v>274</v>
      </c>
      <c r="D705" s="15" t="s">
        <v>27</v>
      </c>
      <c r="E705" s="15" t="s">
        <v>18</v>
      </c>
      <c r="F705" s="15" t="s">
        <v>19</v>
      </c>
      <c r="G705" s="15" t="s">
        <v>20</v>
      </c>
      <c r="H705" s="16">
        <v>25494</v>
      </c>
      <c r="I705" s="16">
        <v>45360</v>
      </c>
      <c r="J705" s="16">
        <v>45540</v>
      </c>
      <c r="K705" s="15" t="s">
        <v>21</v>
      </c>
      <c r="L705" s="15" t="s">
        <v>22</v>
      </c>
      <c r="M705" s="15">
        <v>65427</v>
      </c>
      <c r="N705" s="15" t="s">
        <v>23</v>
      </c>
      <c r="O705" s="15">
        <v>0.49315068493150682</v>
      </c>
      <c r="P705" s="15" t="s">
        <v>1861</v>
      </c>
      <c r="Q705" s="15">
        <f t="shared" ca="1" si="20"/>
        <v>56</v>
      </c>
      <c r="R705" s="15" t="str">
        <f t="shared" si="21"/>
        <v>Medium</v>
      </c>
    </row>
    <row r="706" spans="1:18" s="15" customFormat="1" x14ac:dyDescent="0.3">
      <c r="A706" s="15" t="s">
        <v>1464</v>
      </c>
      <c r="B706" s="15" t="s">
        <v>466</v>
      </c>
      <c r="C706" s="15" t="s">
        <v>1465</v>
      </c>
      <c r="D706" s="15" t="s">
        <v>27</v>
      </c>
      <c r="E706" s="15" t="s">
        <v>81</v>
      </c>
      <c r="F706" s="15" t="s">
        <v>104</v>
      </c>
      <c r="G706" s="15" t="s">
        <v>30</v>
      </c>
      <c r="H706" s="16">
        <v>37822</v>
      </c>
      <c r="I706" s="16">
        <v>42893</v>
      </c>
      <c r="J706" s="16">
        <v>45444</v>
      </c>
      <c r="K706" s="15" t="s">
        <v>31</v>
      </c>
      <c r="L706" s="15" t="s">
        <v>159</v>
      </c>
      <c r="M706" s="15">
        <v>100742</v>
      </c>
      <c r="N706" s="15" t="s">
        <v>33</v>
      </c>
      <c r="O706" s="15">
        <v>3.934246575342466</v>
      </c>
      <c r="P706" s="15" t="s">
        <v>1861</v>
      </c>
      <c r="Q706" s="15">
        <f t="shared" ref="Q706:Q769" ca="1" si="22">DATEDIF(H706, TODAY(), "Y")</f>
        <v>22</v>
      </c>
      <c r="R706" s="15" t="str">
        <f t="shared" si="21"/>
        <v>High</v>
      </c>
    </row>
    <row r="707" spans="1:18" s="15" customFormat="1" x14ac:dyDescent="0.3">
      <c r="A707" s="15" t="s">
        <v>1466</v>
      </c>
      <c r="B707" s="15" t="s">
        <v>1467</v>
      </c>
      <c r="C707" s="15" t="s">
        <v>1189</v>
      </c>
      <c r="D707" s="15" t="s">
        <v>17</v>
      </c>
      <c r="E707" s="15" t="s">
        <v>18</v>
      </c>
      <c r="F707" s="15" t="s">
        <v>19</v>
      </c>
      <c r="G707" s="15" t="s">
        <v>30</v>
      </c>
      <c r="H707" s="16">
        <v>28341</v>
      </c>
      <c r="I707" s="16">
        <v>43134</v>
      </c>
      <c r="J707" s="16">
        <v>45068</v>
      </c>
      <c r="K707" s="15" t="s">
        <v>65</v>
      </c>
      <c r="L707" s="15" t="s">
        <v>314</v>
      </c>
      <c r="M707" s="15">
        <v>78014</v>
      </c>
      <c r="N707" s="15" t="s">
        <v>96</v>
      </c>
      <c r="O707" s="15">
        <v>0.49315068493150682</v>
      </c>
      <c r="P707" s="15" t="s">
        <v>1861</v>
      </c>
      <c r="Q707" s="15">
        <f t="shared" ca="1" si="22"/>
        <v>48</v>
      </c>
      <c r="R707" s="15" t="str">
        <f t="shared" ref="R707:R770" si="23">IF(M707:M1672&gt;100000,"High",IF(M707:M1672&gt;60000,"Medium","Low"))</f>
        <v>Medium</v>
      </c>
    </row>
    <row r="708" spans="1:18" s="15" customFormat="1" x14ac:dyDescent="0.3">
      <c r="A708" s="15" t="s">
        <v>1468</v>
      </c>
      <c r="B708" s="15" t="s">
        <v>439</v>
      </c>
      <c r="C708" s="15" t="s">
        <v>64</v>
      </c>
      <c r="D708" s="15" t="s">
        <v>17</v>
      </c>
      <c r="E708" s="15" t="s">
        <v>18</v>
      </c>
      <c r="F708" s="15" t="s">
        <v>19</v>
      </c>
      <c r="G708" s="15" t="s">
        <v>30</v>
      </c>
      <c r="H708" s="16">
        <v>31153</v>
      </c>
      <c r="I708" s="16">
        <v>43885</v>
      </c>
      <c r="J708" s="16">
        <v>44065</v>
      </c>
      <c r="K708" s="15" t="s">
        <v>21</v>
      </c>
      <c r="L708" s="15" t="s">
        <v>108</v>
      </c>
      <c r="M708" s="15">
        <v>56682</v>
      </c>
      <c r="N708" s="15" t="s">
        <v>44</v>
      </c>
      <c r="O708" s="15">
        <v>3.021917808219178</v>
      </c>
      <c r="P708" s="15" t="s">
        <v>1861</v>
      </c>
      <c r="Q708" s="15">
        <f t="shared" ca="1" si="22"/>
        <v>40</v>
      </c>
      <c r="R708" s="15" t="str">
        <f t="shared" si="23"/>
        <v>Low</v>
      </c>
    </row>
    <row r="709" spans="1:18" s="15" customFormat="1" x14ac:dyDescent="0.3">
      <c r="A709" s="15" t="s">
        <v>1469</v>
      </c>
      <c r="B709" s="15" t="s">
        <v>245</v>
      </c>
      <c r="C709" s="15" t="s">
        <v>1470</v>
      </c>
      <c r="D709" s="15" t="s">
        <v>17</v>
      </c>
      <c r="E709" s="15" t="s">
        <v>18</v>
      </c>
      <c r="F709" s="15" t="s">
        <v>19</v>
      </c>
      <c r="G709" s="15" t="s">
        <v>30</v>
      </c>
      <c r="H709" s="16">
        <v>26941</v>
      </c>
      <c r="I709" s="16">
        <v>43468</v>
      </c>
      <c r="J709" s="16">
        <v>43648</v>
      </c>
      <c r="K709" s="15" t="s">
        <v>21</v>
      </c>
      <c r="L709" s="15" t="s">
        <v>108</v>
      </c>
      <c r="M709" s="15">
        <v>58722</v>
      </c>
      <c r="N709" s="15" t="s">
        <v>44</v>
      </c>
      <c r="O709" s="15">
        <v>2.342465753424658</v>
      </c>
      <c r="P709" s="15" t="s">
        <v>1861</v>
      </c>
      <c r="Q709" s="15">
        <f t="shared" ca="1" si="22"/>
        <v>52</v>
      </c>
      <c r="R709" s="15" t="str">
        <f t="shared" si="23"/>
        <v>Low</v>
      </c>
    </row>
    <row r="710" spans="1:18" s="15" customFormat="1" x14ac:dyDescent="0.3">
      <c r="A710" s="15" t="s">
        <v>1471</v>
      </c>
      <c r="B710" s="15" t="s">
        <v>1472</v>
      </c>
      <c r="C710" s="15" t="s">
        <v>272</v>
      </c>
      <c r="D710" s="15" t="s">
        <v>27</v>
      </c>
      <c r="E710" s="15" t="s">
        <v>18</v>
      </c>
      <c r="F710" s="15" t="s">
        <v>19</v>
      </c>
      <c r="G710" s="15" t="s">
        <v>30</v>
      </c>
      <c r="H710" s="16">
        <v>27685</v>
      </c>
      <c r="I710" s="16">
        <v>44854</v>
      </c>
      <c r="J710" s="16">
        <v>45277</v>
      </c>
      <c r="K710" s="15" t="s">
        <v>37</v>
      </c>
      <c r="L710" s="15" t="s">
        <v>41</v>
      </c>
      <c r="M710" s="15">
        <v>63989</v>
      </c>
      <c r="N710" s="15" t="s">
        <v>44</v>
      </c>
      <c r="O710" s="15">
        <v>0.49315068493150682</v>
      </c>
      <c r="P710" s="15" t="s">
        <v>1861</v>
      </c>
      <c r="Q710" s="15">
        <f t="shared" ca="1" si="22"/>
        <v>50</v>
      </c>
      <c r="R710" s="15" t="str">
        <f t="shared" si="23"/>
        <v>Medium</v>
      </c>
    </row>
    <row r="711" spans="1:18" s="15" customFormat="1" x14ac:dyDescent="0.3">
      <c r="A711" s="15" t="s">
        <v>1473</v>
      </c>
      <c r="B711" s="15" t="s">
        <v>316</v>
      </c>
      <c r="C711" s="15" t="s">
        <v>236</v>
      </c>
      <c r="D711" s="15" t="s">
        <v>27</v>
      </c>
      <c r="E711" s="15" t="s">
        <v>18</v>
      </c>
      <c r="F711" s="15" t="s">
        <v>19</v>
      </c>
      <c r="G711" s="15" t="s">
        <v>20</v>
      </c>
      <c r="H711" s="16">
        <v>31469</v>
      </c>
      <c r="I711" s="16">
        <v>42231</v>
      </c>
      <c r="J711" s="16">
        <v>42411</v>
      </c>
      <c r="K711" s="15" t="s">
        <v>65</v>
      </c>
      <c r="L711" s="15" t="s">
        <v>131</v>
      </c>
      <c r="M711" s="15">
        <v>67403</v>
      </c>
      <c r="N711" s="15" t="s">
        <v>23</v>
      </c>
      <c r="O711" s="15">
        <v>6.2630136986301368</v>
      </c>
      <c r="P711" s="15" t="s">
        <v>1861</v>
      </c>
      <c r="Q711" s="15">
        <f t="shared" ca="1" si="22"/>
        <v>39</v>
      </c>
      <c r="R711" s="15" t="str">
        <f t="shared" si="23"/>
        <v>Medium</v>
      </c>
    </row>
    <row r="712" spans="1:18" s="15" customFormat="1" x14ac:dyDescent="0.3">
      <c r="A712" s="15" t="s">
        <v>1474</v>
      </c>
      <c r="B712" s="15" t="s">
        <v>140</v>
      </c>
      <c r="C712" s="15" t="s">
        <v>193</v>
      </c>
      <c r="D712" s="15" t="s">
        <v>27</v>
      </c>
      <c r="E712" s="15" t="s">
        <v>18</v>
      </c>
      <c r="F712" s="15" t="s">
        <v>19</v>
      </c>
      <c r="G712" s="15" t="s">
        <v>93</v>
      </c>
      <c r="H712" s="16">
        <v>23800</v>
      </c>
      <c r="I712" s="16">
        <v>44084</v>
      </c>
      <c r="J712" s="16">
        <v>44264</v>
      </c>
      <c r="K712" s="15" t="s">
        <v>51</v>
      </c>
      <c r="L712" s="15" t="s">
        <v>233</v>
      </c>
      <c r="M712" s="15">
        <v>80730</v>
      </c>
      <c r="N712" s="15" t="s">
        <v>96</v>
      </c>
      <c r="O712" s="15">
        <v>0.49315068493150682</v>
      </c>
      <c r="P712" s="15" t="s">
        <v>1861</v>
      </c>
      <c r="Q712" s="15">
        <f t="shared" ca="1" si="22"/>
        <v>60</v>
      </c>
      <c r="R712" s="15" t="str">
        <f t="shared" si="23"/>
        <v>Medium</v>
      </c>
    </row>
    <row r="713" spans="1:18" s="15" customFormat="1" x14ac:dyDescent="0.3">
      <c r="A713" s="15" t="s">
        <v>1475</v>
      </c>
      <c r="B713" s="15" t="s">
        <v>68</v>
      </c>
      <c r="C713" s="15" t="s">
        <v>272</v>
      </c>
      <c r="D713" s="15" t="s">
        <v>27</v>
      </c>
      <c r="E713" s="15" t="s">
        <v>18</v>
      </c>
      <c r="F713" s="15" t="s">
        <v>19</v>
      </c>
      <c r="G713" s="15" t="s">
        <v>112</v>
      </c>
      <c r="H713" s="16">
        <v>30358</v>
      </c>
      <c r="I713" s="16">
        <v>43725</v>
      </c>
      <c r="J713" s="16">
        <v>43905</v>
      </c>
      <c r="K713" s="15" t="s">
        <v>65</v>
      </c>
      <c r="L713" s="15" t="s">
        <v>728</v>
      </c>
      <c r="M713" s="15">
        <v>101400</v>
      </c>
      <c r="N713" s="15" t="s">
        <v>96</v>
      </c>
      <c r="O713" s="15">
        <v>3.0904109589041102</v>
      </c>
      <c r="P713" s="15" t="s">
        <v>1862</v>
      </c>
      <c r="Q713" s="15">
        <f t="shared" ca="1" si="22"/>
        <v>42</v>
      </c>
      <c r="R713" s="15" t="str">
        <f t="shared" si="23"/>
        <v>High</v>
      </c>
    </row>
    <row r="714" spans="1:18" s="15" customFormat="1" x14ac:dyDescent="0.3">
      <c r="A714" s="15" t="s">
        <v>1476</v>
      </c>
      <c r="B714" s="15" t="s">
        <v>76</v>
      </c>
      <c r="C714" s="15" t="s">
        <v>700</v>
      </c>
      <c r="D714" s="15" t="s">
        <v>17</v>
      </c>
      <c r="E714" s="15" t="s">
        <v>354</v>
      </c>
      <c r="F714" s="15" t="s">
        <v>404</v>
      </c>
      <c r="G714" s="15" t="s">
        <v>30</v>
      </c>
      <c r="H714" s="16">
        <v>31666</v>
      </c>
      <c r="I714" s="16">
        <v>43258</v>
      </c>
      <c r="J714" s="16">
        <v>43989</v>
      </c>
      <c r="K714" s="15" t="s">
        <v>31</v>
      </c>
      <c r="L714" s="15" t="s">
        <v>32</v>
      </c>
      <c r="M714" s="15">
        <v>65937</v>
      </c>
      <c r="N714" s="15" t="s">
        <v>33</v>
      </c>
      <c r="O714" s="15">
        <v>3.0136986301369859</v>
      </c>
      <c r="P714" s="15" t="s">
        <v>1861</v>
      </c>
      <c r="Q714" s="15">
        <f t="shared" ca="1" si="22"/>
        <v>39</v>
      </c>
      <c r="R714" s="15" t="str">
        <f t="shared" si="23"/>
        <v>Medium</v>
      </c>
    </row>
    <row r="715" spans="1:18" s="15" customFormat="1" x14ac:dyDescent="0.3">
      <c r="A715" s="15" t="s">
        <v>1477</v>
      </c>
      <c r="B715" s="15" t="s">
        <v>856</v>
      </c>
      <c r="C715" s="15" t="s">
        <v>1478</v>
      </c>
      <c r="D715" s="15" t="s">
        <v>17</v>
      </c>
      <c r="E715" s="15" t="s">
        <v>18</v>
      </c>
      <c r="F715" s="15" t="s">
        <v>19</v>
      </c>
      <c r="G715" s="15" t="s">
        <v>30</v>
      </c>
      <c r="H715" s="16">
        <v>34020</v>
      </c>
      <c r="I715" s="16">
        <v>44906</v>
      </c>
      <c r="J715" s="16">
        <v>45086</v>
      </c>
      <c r="K715" s="15" t="s">
        <v>65</v>
      </c>
      <c r="L715" s="15" t="s">
        <v>728</v>
      </c>
      <c r="M715" s="15">
        <v>88250</v>
      </c>
      <c r="N715" s="15" t="s">
        <v>33</v>
      </c>
      <c r="O715" s="15">
        <v>0.49315068493150682</v>
      </c>
      <c r="P715" s="15" t="s">
        <v>1862</v>
      </c>
      <c r="Q715" s="15">
        <f t="shared" ca="1" si="22"/>
        <v>32</v>
      </c>
      <c r="R715" s="15" t="str">
        <f t="shared" si="23"/>
        <v>Medium</v>
      </c>
    </row>
    <row r="716" spans="1:18" s="15" customFormat="1" x14ac:dyDescent="0.3">
      <c r="A716" s="15" t="s">
        <v>1479</v>
      </c>
      <c r="B716" s="15" t="s">
        <v>1480</v>
      </c>
      <c r="C716" s="15" t="s">
        <v>219</v>
      </c>
      <c r="D716" s="15" t="s">
        <v>27</v>
      </c>
      <c r="E716" s="15" t="s">
        <v>18</v>
      </c>
      <c r="F716" s="15" t="s">
        <v>19</v>
      </c>
      <c r="G716" s="15" t="s">
        <v>30</v>
      </c>
      <c r="H716" s="16">
        <v>26269</v>
      </c>
      <c r="I716" s="16">
        <v>43146</v>
      </c>
      <c r="J716" s="16">
        <v>43326</v>
      </c>
      <c r="K716" s="15" t="s">
        <v>37</v>
      </c>
      <c r="L716" s="15" t="s">
        <v>38</v>
      </c>
      <c r="M716" s="15">
        <v>73636</v>
      </c>
      <c r="N716" s="15" t="s">
        <v>44</v>
      </c>
      <c r="O716" s="15">
        <v>6.8246575342465752</v>
      </c>
      <c r="P716" s="15" t="s">
        <v>1862</v>
      </c>
      <c r="Q716" s="15">
        <f t="shared" ca="1" si="22"/>
        <v>54</v>
      </c>
      <c r="R716" s="15" t="str">
        <f t="shared" si="23"/>
        <v>Medium</v>
      </c>
    </row>
    <row r="717" spans="1:18" s="15" customFormat="1" x14ac:dyDescent="0.3">
      <c r="A717" s="15" t="s">
        <v>1481</v>
      </c>
      <c r="B717" s="15" t="s">
        <v>15</v>
      </c>
      <c r="C717" s="15" t="s">
        <v>1482</v>
      </c>
      <c r="D717" s="15" t="s">
        <v>27</v>
      </c>
      <c r="E717" s="15" t="s">
        <v>81</v>
      </c>
      <c r="F717" s="15" t="s">
        <v>82</v>
      </c>
      <c r="G717" s="15" t="s">
        <v>30</v>
      </c>
      <c r="H717" s="16">
        <v>31581</v>
      </c>
      <c r="I717" s="16">
        <v>43243</v>
      </c>
      <c r="J717" s="16">
        <v>44219</v>
      </c>
      <c r="K717" s="15" t="s">
        <v>94</v>
      </c>
      <c r="L717" s="15" t="s">
        <v>182</v>
      </c>
      <c r="M717" s="15">
        <v>81468</v>
      </c>
      <c r="N717" s="15" t="s">
        <v>33</v>
      </c>
      <c r="O717" s="15">
        <v>3.720547945205479</v>
      </c>
      <c r="P717" s="15" t="s">
        <v>1862</v>
      </c>
      <c r="Q717" s="15">
        <f t="shared" ca="1" si="22"/>
        <v>39</v>
      </c>
      <c r="R717" s="15" t="str">
        <f t="shared" si="23"/>
        <v>Medium</v>
      </c>
    </row>
    <row r="718" spans="1:18" s="15" customFormat="1" x14ac:dyDescent="0.3">
      <c r="A718" s="15" t="s">
        <v>1483</v>
      </c>
      <c r="B718" s="15" t="s">
        <v>597</v>
      </c>
      <c r="C718" s="15" t="s">
        <v>50</v>
      </c>
      <c r="D718" s="15" t="s">
        <v>17</v>
      </c>
      <c r="E718" s="15" t="s">
        <v>120</v>
      </c>
      <c r="F718" s="15" t="s">
        <v>904</v>
      </c>
      <c r="G718" s="15" t="s">
        <v>30</v>
      </c>
      <c r="H718" s="16">
        <v>29199</v>
      </c>
      <c r="I718" s="16">
        <v>45343</v>
      </c>
      <c r="J718" s="16">
        <v>45523</v>
      </c>
      <c r="K718" s="15" t="s">
        <v>21</v>
      </c>
      <c r="L718" s="15" t="s">
        <v>100</v>
      </c>
      <c r="M718" s="15">
        <v>55001</v>
      </c>
      <c r="N718" s="15" t="s">
        <v>33</v>
      </c>
      <c r="O718" s="15">
        <v>0.49315068493150682</v>
      </c>
      <c r="P718" s="15" t="s">
        <v>1861</v>
      </c>
      <c r="Q718" s="15">
        <f t="shared" ca="1" si="22"/>
        <v>46</v>
      </c>
      <c r="R718" s="15" t="str">
        <f t="shared" si="23"/>
        <v>Low</v>
      </c>
    </row>
    <row r="719" spans="1:18" s="15" customFormat="1" x14ac:dyDescent="0.3">
      <c r="A719" s="15" t="s">
        <v>1484</v>
      </c>
      <c r="B719" s="15" t="s">
        <v>600</v>
      </c>
      <c r="C719" s="15" t="s">
        <v>897</v>
      </c>
      <c r="D719" s="15" t="s">
        <v>17</v>
      </c>
      <c r="E719" s="15" t="s">
        <v>18</v>
      </c>
      <c r="F719" s="15" t="s">
        <v>19</v>
      </c>
      <c r="G719" s="15" t="s">
        <v>30</v>
      </c>
      <c r="H719" s="16">
        <v>32209</v>
      </c>
      <c r="I719" s="16">
        <v>42605</v>
      </c>
      <c r="J719" s="16">
        <v>45498</v>
      </c>
      <c r="K719" s="15" t="s">
        <v>65</v>
      </c>
      <c r="L719" s="15" t="s">
        <v>314</v>
      </c>
      <c r="M719" s="15">
        <v>75502</v>
      </c>
      <c r="N719" s="15" t="s">
        <v>33</v>
      </c>
      <c r="O719" s="15">
        <v>0.49315068493150682</v>
      </c>
      <c r="P719" s="15" t="s">
        <v>1862</v>
      </c>
      <c r="Q719" s="15">
        <f t="shared" ca="1" si="22"/>
        <v>37</v>
      </c>
      <c r="R719" s="15" t="str">
        <f t="shared" si="23"/>
        <v>Medium</v>
      </c>
    </row>
    <row r="720" spans="1:18" s="15" customFormat="1" x14ac:dyDescent="0.3">
      <c r="A720" s="15" t="s">
        <v>1485</v>
      </c>
      <c r="B720" s="15" t="s">
        <v>1169</v>
      </c>
      <c r="C720" s="15" t="s">
        <v>1486</v>
      </c>
      <c r="D720" s="15" t="s">
        <v>17</v>
      </c>
      <c r="E720" s="15" t="s">
        <v>18</v>
      </c>
      <c r="F720" s="15" t="s">
        <v>19</v>
      </c>
      <c r="G720" s="15" t="s">
        <v>20</v>
      </c>
      <c r="H720" s="16">
        <v>33526</v>
      </c>
      <c r="I720" s="16">
        <v>43820</v>
      </c>
      <c r="J720" s="16">
        <v>44000</v>
      </c>
      <c r="K720" s="15" t="s">
        <v>70</v>
      </c>
      <c r="L720" s="15" t="s">
        <v>71</v>
      </c>
      <c r="M720" s="15">
        <v>59234</v>
      </c>
      <c r="N720" s="15" t="s">
        <v>23</v>
      </c>
      <c r="O720" s="15">
        <v>0.49315068493150682</v>
      </c>
      <c r="P720" s="15" t="s">
        <v>1861</v>
      </c>
      <c r="Q720" s="15">
        <f t="shared" ca="1" si="22"/>
        <v>34</v>
      </c>
      <c r="R720" s="15" t="str">
        <f t="shared" si="23"/>
        <v>Low</v>
      </c>
    </row>
    <row r="721" spans="1:18" s="15" customFormat="1" x14ac:dyDescent="0.3">
      <c r="A721" s="15" t="s">
        <v>1487</v>
      </c>
      <c r="B721" s="15" t="s">
        <v>245</v>
      </c>
      <c r="C721" s="15" t="s">
        <v>1488</v>
      </c>
      <c r="D721" s="15" t="s">
        <v>27</v>
      </c>
      <c r="E721" s="15" t="s">
        <v>18</v>
      </c>
      <c r="F721" s="15" t="s">
        <v>19</v>
      </c>
      <c r="G721" s="15" t="s">
        <v>30</v>
      </c>
      <c r="H721" s="16">
        <v>26946</v>
      </c>
      <c r="I721" s="16">
        <v>42627</v>
      </c>
      <c r="J721" s="16">
        <v>43918</v>
      </c>
      <c r="K721" s="15" t="s">
        <v>65</v>
      </c>
      <c r="L721" s="15" t="s">
        <v>314</v>
      </c>
      <c r="M721" s="15">
        <v>69113</v>
      </c>
      <c r="N721" s="15" t="s">
        <v>33</v>
      </c>
      <c r="O721" s="15">
        <v>0.49315068493150682</v>
      </c>
      <c r="P721" s="15" t="s">
        <v>1862</v>
      </c>
      <c r="Q721" s="15">
        <f t="shared" ca="1" si="22"/>
        <v>52</v>
      </c>
      <c r="R721" s="15" t="str">
        <f t="shared" si="23"/>
        <v>Medium</v>
      </c>
    </row>
    <row r="722" spans="1:18" s="15" customFormat="1" x14ac:dyDescent="0.3">
      <c r="A722" s="15" t="s">
        <v>1489</v>
      </c>
      <c r="B722" s="15" t="s">
        <v>1467</v>
      </c>
      <c r="C722" s="15" t="s">
        <v>1490</v>
      </c>
      <c r="D722" s="15" t="s">
        <v>17</v>
      </c>
      <c r="E722" s="15" t="s">
        <v>120</v>
      </c>
      <c r="F722" s="15" t="s">
        <v>121</v>
      </c>
      <c r="G722" s="15" t="s">
        <v>112</v>
      </c>
      <c r="H722" s="16">
        <v>35076</v>
      </c>
      <c r="I722" s="16">
        <v>42634</v>
      </c>
      <c r="J722" s="16">
        <v>44049</v>
      </c>
      <c r="K722" s="15" t="s">
        <v>94</v>
      </c>
      <c r="L722" s="15" t="s">
        <v>95</v>
      </c>
      <c r="M722" s="15">
        <v>124824</v>
      </c>
      <c r="N722" s="15" t="s">
        <v>33</v>
      </c>
      <c r="O722" s="15">
        <v>5.0328767123287674</v>
      </c>
      <c r="P722" s="15" t="s">
        <v>1861</v>
      </c>
      <c r="Q722" s="15">
        <f t="shared" ca="1" si="22"/>
        <v>30</v>
      </c>
      <c r="R722" s="15" t="str">
        <f t="shared" si="23"/>
        <v>High</v>
      </c>
    </row>
    <row r="723" spans="1:18" s="15" customFormat="1" x14ac:dyDescent="0.3">
      <c r="A723" s="15" t="s">
        <v>1491</v>
      </c>
      <c r="B723" s="15" t="s">
        <v>271</v>
      </c>
      <c r="C723" s="15" t="s">
        <v>1492</v>
      </c>
      <c r="D723" s="15" t="s">
        <v>17</v>
      </c>
      <c r="E723" s="15" t="s">
        <v>18</v>
      </c>
      <c r="F723" s="15" t="s">
        <v>19</v>
      </c>
      <c r="G723" s="15" t="s">
        <v>30</v>
      </c>
      <c r="H723" s="16">
        <v>34964</v>
      </c>
      <c r="I723" s="16">
        <v>44958</v>
      </c>
      <c r="J723" s="16">
        <v>45138</v>
      </c>
      <c r="K723" s="15" t="s">
        <v>37</v>
      </c>
      <c r="L723" s="15" t="s">
        <v>38</v>
      </c>
      <c r="M723" s="15">
        <v>55550</v>
      </c>
      <c r="N723" s="15" t="s">
        <v>96</v>
      </c>
      <c r="O723" s="15">
        <v>6.9095890410958907</v>
      </c>
      <c r="P723" s="15" t="s">
        <v>1862</v>
      </c>
      <c r="Q723" s="15">
        <f t="shared" ca="1" si="22"/>
        <v>30</v>
      </c>
      <c r="R723" s="15" t="str">
        <f t="shared" si="23"/>
        <v>Low</v>
      </c>
    </row>
    <row r="724" spans="1:18" s="15" customFormat="1" x14ac:dyDescent="0.3">
      <c r="A724" s="15" t="s">
        <v>1493</v>
      </c>
      <c r="B724" s="15" t="s">
        <v>641</v>
      </c>
      <c r="C724" s="15" t="s">
        <v>1494</v>
      </c>
      <c r="D724" s="15" t="s">
        <v>27</v>
      </c>
      <c r="E724" s="15" t="s">
        <v>18</v>
      </c>
      <c r="F724" s="15" t="s">
        <v>19</v>
      </c>
      <c r="G724" s="15" t="s">
        <v>30</v>
      </c>
      <c r="H724" s="16">
        <v>27540</v>
      </c>
      <c r="I724" s="16">
        <v>43241</v>
      </c>
      <c r="J724" s="16">
        <v>44028</v>
      </c>
      <c r="K724" s="15" t="s">
        <v>51</v>
      </c>
      <c r="L724" s="15" t="s">
        <v>56</v>
      </c>
      <c r="M724" s="15">
        <v>69230</v>
      </c>
      <c r="N724" s="15" t="s">
        <v>33</v>
      </c>
      <c r="O724" s="15">
        <v>0.49315068493150682</v>
      </c>
      <c r="P724" s="15" t="s">
        <v>1861</v>
      </c>
      <c r="Q724" s="15">
        <f t="shared" ca="1" si="22"/>
        <v>50</v>
      </c>
      <c r="R724" s="15" t="str">
        <f t="shared" si="23"/>
        <v>Medium</v>
      </c>
    </row>
    <row r="725" spans="1:18" s="15" customFormat="1" x14ac:dyDescent="0.3">
      <c r="A725" s="15" t="s">
        <v>1495</v>
      </c>
      <c r="B725" s="15" t="s">
        <v>1419</v>
      </c>
      <c r="C725" s="15" t="s">
        <v>1070</v>
      </c>
      <c r="D725" s="15" t="s">
        <v>17</v>
      </c>
      <c r="E725" s="15" t="s">
        <v>18</v>
      </c>
      <c r="F725" s="15" t="s">
        <v>19</v>
      </c>
      <c r="G725" s="15" t="s">
        <v>30</v>
      </c>
      <c r="H725" s="16">
        <v>36222</v>
      </c>
      <c r="I725" s="16">
        <v>44950</v>
      </c>
      <c r="J725" s="16">
        <v>45130</v>
      </c>
      <c r="K725" s="15" t="s">
        <v>51</v>
      </c>
      <c r="L725" s="15" t="s">
        <v>52</v>
      </c>
      <c r="M725" s="15">
        <v>79248</v>
      </c>
      <c r="N725" s="15" t="s">
        <v>23</v>
      </c>
      <c r="O725" s="15">
        <v>0.49315068493150682</v>
      </c>
      <c r="P725" s="15" t="s">
        <v>1862</v>
      </c>
      <c r="Q725" s="15">
        <f t="shared" ca="1" si="22"/>
        <v>26</v>
      </c>
      <c r="R725" s="15" t="str">
        <f t="shared" si="23"/>
        <v>Medium</v>
      </c>
    </row>
    <row r="726" spans="1:18" s="15" customFormat="1" x14ac:dyDescent="0.3">
      <c r="A726" s="15" t="s">
        <v>1496</v>
      </c>
      <c r="B726" s="15" t="s">
        <v>977</v>
      </c>
      <c r="C726" s="15" t="s">
        <v>1497</v>
      </c>
      <c r="D726" s="15" t="s">
        <v>27</v>
      </c>
      <c r="E726" s="15" t="s">
        <v>18</v>
      </c>
      <c r="F726" s="15" t="s">
        <v>19</v>
      </c>
      <c r="G726" s="15" t="s">
        <v>112</v>
      </c>
      <c r="H726" s="16">
        <v>30270</v>
      </c>
      <c r="I726" s="16">
        <v>42814</v>
      </c>
      <c r="J726" s="16">
        <v>44372</v>
      </c>
      <c r="K726" s="15" t="s">
        <v>31</v>
      </c>
      <c r="L726" s="15" t="s">
        <v>159</v>
      </c>
      <c r="M726" s="15">
        <v>78924</v>
      </c>
      <c r="N726" s="15" t="s">
        <v>33</v>
      </c>
      <c r="O726" s="15">
        <v>2.701369863013698</v>
      </c>
      <c r="P726" s="15" t="s">
        <v>1862</v>
      </c>
      <c r="Q726" s="15">
        <f t="shared" ca="1" si="22"/>
        <v>43</v>
      </c>
      <c r="R726" s="15" t="str">
        <f t="shared" si="23"/>
        <v>Medium</v>
      </c>
    </row>
    <row r="727" spans="1:18" s="15" customFormat="1" x14ac:dyDescent="0.3">
      <c r="A727" s="15" t="s">
        <v>1498</v>
      </c>
      <c r="B727" s="15" t="s">
        <v>190</v>
      </c>
      <c r="C727" s="15" t="s">
        <v>187</v>
      </c>
      <c r="D727" s="15" t="s">
        <v>17</v>
      </c>
      <c r="E727" s="15" t="s">
        <v>120</v>
      </c>
      <c r="F727" s="15" t="s">
        <v>904</v>
      </c>
      <c r="G727" s="15" t="s">
        <v>20</v>
      </c>
      <c r="H727" s="16">
        <v>36165</v>
      </c>
      <c r="I727" s="16">
        <v>42863</v>
      </c>
      <c r="J727" s="16">
        <v>43611</v>
      </c>
      <c r="K727" s="15" t="s">
        <v>37</v>
      </c>
      <c r="L727" s="15" t="s">
        <v>41</v>
      </c>
      <c r="M727" s="15">
        <v>58307</v>
      </c>
      <c r="N727" s="15" t="s">
        <v>23</v>
      </c>
      <c r="O727" s="15">
        <v>9.0602739726027401</v>
      </c>
      <c r="P727" s="15" t="s">
        <v>1861</v>
      </c>
      <c r="Q727" s="15">
        <f t="shared" ca="1" si="22"/>
        <v>27</v>
      </c>
      <c r="R727" s="15" t="str">
        <f t="shared" si="23"/>
        <v>Low</v>
      </c>
    </row>
    <row r="728" spans="1:18" s="15" customFormat="1" x14ac:dyDescent="0.3">
      <c r="A728" s="15" t="s">
        <v>1499</v>
      </c>
      <c r="B728" s="15" t="s">
        <v>851</v>
      </c>
      <c r="C728" s="15" t="s">
        <v>453</v>
      </c>
      <c r="D728" s="15" t="s">
        <v>27</v>
      </c>
      <c r="E728" s="15" t="s">
        <v>18</v>
      </c>
      <c r="F728" s="15" t="s">
        <v>19</v>
      </c>
      <c r="G728" s="15" t="s">
        <v>30</v>
      </c>
      <c r="H728" s="16">
        <v>27415</v>
      </c>
      <c r="I728" s="16">
        <v>42634</v>
      </c>
      <c r="J728" s="16">
        <v>44165</v>
      </c>
      <c r="K728" s="15" t="s">
        <v>31</v>
      </c>
      <c r="L728" s="15" t="s">
        <v>83</v>
      </c>
      <c r="M728" s="15">
        <v>64357</v>
      </c>
      <c r="N728" s="15" t="s">
        <v>33</v>
      </c>
      <c r="O728" s="15">
        <v>0.49315068493150682</v>
      </c>
      <c r="P728" s="15" t="s">
        <v>1861</v>
      </c>
      <c r="Q728" s="15">
        <f t="shared" ca="1" si="22"/>
        <v>50</v>
      </c>
      <c r="R728" s="15" t="str">
        <f t="shared" si="23"/>
        <v>Medium</v>
      </c>
    </row>
    <row r="729" spans="1:18" s="15" customFormat="1" x14ac:dyDescent="0.3">
      <c r="A729" s="15" t="s">
        <v>1500</v>
      </c>
      <c r="B729" s="15" t="s">
        <v>935</v>
      </c>
      <c r="C729" s="15" t="s">
        <v>365</v>
      </c>
      <c r="D729" s="15" t="s">
        <v>17</v>
      </c>
      <c r="E729" s="15" t="s">
        <v>28</v>
      </c>
      <c r="F729" s="15" t="s">
        <v>116</v>
      </c>
      <c r="G729" s="15" t="s">
        <v>30</v>
      </c>
      <c r="H729" s="16">
        <v>34064</v>
      </c>
      <c r="I729" s="16">
        <v>42771</v>
      </c>
      <c r="J729" s="16">
        <v>43584</v>
      </c>
      <c r="K729" s="15" t="s">
        <v>51</v>
      </c>
      <c r="L729" s="15" t="s">
        <v>52</v>
      </c>
      <c r="M729" s="15">
        <v>74163</v>
      </c>
      <c r="N729" s="15" t="s">
        <v>44</v>
      </c>
      <c r="O729" s="15">
        <v>0.49315068493150682</v>
      </c>
      <c r="P729" s="15" t="s">
        <v>1862</v>
      </c>
      <c r="Q729" s="15">
        <f t="shared" ca="1" si="22"/>
        <v>32</v>
      </c>
      <c r="R729" s="15" t="str">
        <f t="shared" si="23"/>
        <v>Medium</v>
      </c>
    </row>
    <row r="730" spans="1:18" s="15" customFormat="1" x14ac:dyDescent="0.3">
      <c r="A730" s="15" t="s">
        <v>1501</v>
      </c>
      <c r="B730" s="15" t="s">
        <v>277</v>
      </c>
      <c r="C730" s="15" t="s">
        <v>1236</v>
      </c>
      <c r="D730" s="15" t="s">
        <v>17</v>
      </c>
      <c r="E730" s="15" t="s">
        <v>18</v>
      </c>
      <c r="F730" s="15" t="s">
        <v>19</v>
      </c>
      <c r="G730" s="15" t="s">
        <v>30</v>
      </c>
      <c r="H730" s="16">
        <v>29348</v>
      </c>
      <c r="I730" s="16">
        <v>45313</v>
      </c>
      <c r="J730" s="16">
        <v>45493</v>
      </c>
      <c r="K730" s="15" t="s">
        <v>21</v>
      </c>
      <c r="L730" s="15" t="s">
        <v>108</v>
      </c>
      <c r="M730" s="15">
        <v>62598</v>
      </c>
      <c r="N730" s="15" t="s">
        <v>44</v>
      </c>
      <c r="O730" s="15">
        <v>4.6821917808219178</v>
      </c>
      <c r="P730" s="15" t="s">
        <v>1861</v>
      </c>
      <c r="Q730" s="15">
        <f t="shared" ca="1" si="22"/>
        <v>45</v>
      </c>
      <c r="R730" s="15" t="str">
        <f t="shared" si="23"/>
        <v>Medium</v>
      </c>
    </row>
    <row r="731" spans="1:18" s="15" customFormat="1" x14ac:dyDescent="0.3">
      <c r="A731" s="15" t="s">
        <v>1502</v>
      </c>
      <c r="B731" s="15" t="s">
        <v>102</v>
      </c>
      <c r="C731" s="15" t="s">
        <v>1161</v>
      </c>
      <c r="D731" s="15" t="s">
        <v>27</v>
      </c>
      <c r="E731" s="15" t="s">
        <v>18</v>
      </c>
      <c r="F731" s="15" t="s">
        <v>19</v>
      </c>
      <c r="G731" s="15" t="s">
        <v>30</v>
      </c>
      <c r="H731" s="16">
        <v>22846</v>
      </c>
      <c r="I731" s="16">
        <v>44008</v>
      </c>
      <c r="J731" s="16">
        <v>44428</v>
      </c>
      <c r="K731" s="15" t="s">
        <v>70</v>
      </c>
      <c r="L731" s="15" t="s">
        <v>298</v>
      </c>
      <c r="M731" s="15">
        <v>72109</v>
      </c>
      <c r="N731" s="15" t="s">
        <v>33</v>
      </c>
      <c r="O731" s="15">
        <v>1.194520547945205</v>
      </c>
      <c r="P731" s="15" t="s">
        <v>1861</v>
      </c>
      <c r="Q731" s="15">
        <f t="shared" ca="1" si="22"/>
        <v>63</v>
      </c>
      <c r="R731" s="15" t="str">
        <f t="shared" si="23"/>
        <v>Medium</v>
      </c>
    </row>
    <row r="732" spans="1:18" s="15" customFormat="1" x14ac:dyDescent="0.3">
      <c r="A732" s="15" t="s">
        <v>1503</v>
      </c>
      <c r="B732" s="15" t="s">
        <v>542</v>
      </c>
      <c r="C732" s="15" t="s">
        <v>1504</v>
      </c>
      <c r="D732" s="15" t="s">
        <v>27</v>
      </c>
      <c r="E732" s="15" t="s">
        <v>18</v>
      </c>
      <c r="F732" s="15" t="s">
        <v>19</v>
      </c>
      <c r="G732" s="15" t="s">
        <v>30</v>
      </c>
      <c r="H732" s="16">
        <v>29088</v>
      </c>
      <c r="I732" s="16">
        <v>42997</v>
      </c>
      <c r="J732" s="16">
        <v>44378</v>
      </c>
      <c r="K732" s="15" t="s">
        <v>21</v>
      </c>
      <c r="L732" s="15" t="s">
        <v>22</v>
      </c>
      <c r="M732" s="15">
        <v>94356</v>
      </c>
      <c r="N732" s="15" t="s">
        <v>33</v>
      </c>
      <c r="O732" s="15">
        <v>1.0849315068493151</v>
      </c>
      <c r="P732" s="15" t="s">
        <v>1861</v>
      </c>
      <c r="Q732" s="15">
        <f t="shared" ca="1" si="22"/>
        <v>46</v>
      </c>
      <c r="R732" s="15" t="str">
        <f t="shared" si="23"/>
        <v>Medium</v>
      </c>
    </row>
    <row r="733" spans="1:18" s="15" customFormat="1" x14ac:dyDescent="0.3">
      <c r="A733" s="15" t="s">
        <v>1505</v>
      </c>
      <c r="B733" s="15" t="s">
        <v>73</v>
      </c>
      <c r="C733" s="15" t="s">
        <v>241</v>
      </c>
      <c r="D733" s="15" t="s">
        <v>17</v>
      </c>
      <c r="E733" s="15" t="s">
        <v>18</v>
      </c>
      <c r="F733" s="15" t="s">
        <v>19</v>
      </c>
      <c r="G733" s="15" t="s">
        <v>20</v>
      </c>
      <c r="H733" s="16">
        <v>31558</v>
      </c>
      <c r="I733" s="16">
        <v>45080</v>
      </c>
      <c r="J733" s="16">
        <v>45260</v>
      </c>
      <c r="K733" s="15" t="s">
        <v>21</v>
      </c>
      <c r="L733" s="15" t="s">
        <v>108</v>
      </c>
      <c r="M733" s="15">
        <v>53603</v>
      </c>
      <c r="N733" s="15" t="s">
        <v>23</v>
      </c>
      <c r="O733" s="15">
        <v>6.6219178082191794</v>
      </c>
      <c r="P733" s="15" t="s">
        <v>1861</v>
      </c>
      <c r="Q733" s="15">
        <f t="shared" ca="1" si="22"/>
        <v>39</v>
      </c>
      <c r="R733" s="15" t="str">
        <f t="shared" si="23"/>
        <v>Low</v>
      </c>
    </row>
    <row r="734" spans="1:18" s="15" customFormat="1" x14ac:dyDescent="0.3">
      <c r="A734" s="15" t="s">
        <v>1506</v>
      </c>
      <c r="B734" s="15" t="s">
        <v>422</v>
      </c>
      <c r="C734" s="15" t="s">
        <v>193</v>
      </c>
      <c r="D734" s="15" t="s">
        <v>27</v>
      </c>
      <c r="E734" s="15" t="s">
        <v>18</v>
      </c>
      <c r="F734" s="15" t="s">
        <v>19</v>
      </c>
      <c r="G734" s="15" t="s">
        <v>30</v>
      </c>
      <c r="H734" s="16">
        <v>28380</v>
      </c>
      <c r="I734" s="16">
        <v>43550</v>
      </c>
      <c r="J734" s="16">
        <v>44982</v>
      </c>
      <c r="K734" s="15" t="s">
        <v>31</v>
      </c>
      <c r="L734" s="15" t="s">
        <v>159</v>
      </c>
      <c r="M734" s="15">
        <v>104238</v>
      </c>
      <c r="N734" s="15" t="s">
        <v>96</v>
      </c>
      <c r="O734" s="15">
        <v>0.49315068493150682</v>
      </c>
      <c r="P734" s="15" t="s">
        <v>1861</v>
      </c>
      <c r="Q734" s="15">
        <f t="shared" ca="1" si="22"/>
        <v>48</v>
      </c>
      <c r="R734" s="15" t="str">
        <f t="shared" si="23"/>
        <v>High</v>
      </c>
    </row>
    <row r="735" spans="1:18" s="15" customFormat="1" x14ac:dyDescent="0.3">
      <c r="A735" s="15" t="s">
        <v>1507</v>
      </c>
      <c r="B735" s="15" t="s">
        <v>1508</v>
      </c>
      <c r="C735" s="15" t="s">
        <v>89</v>
      </c>
      <c r="D735" s="15" t="s">
        <v>17</v>
      </c>
      <c r="E735" s="15" t="s">
        <v>18</v>
      </c>
      <c r="F735" s="15" t="s">
        <v>19</v>
      </c>
      <c r="G735" s="15" t="s">
        <v>30</v>
      </c>
      <c r="H735" s="16">
        <v>37709</v>
      </c>
      <c r="I735" s="16">
        <v>45425</v>
      </c>
      <c r="J735" s="16">
        <v>45605</v>
      </c>
      <c r="K735" s="15" t="s">
        <v>21</v>
      </c>
      <c r="L735" s="15" t="s">
        <v>482</v>
      </c>
      <c r="M735" s="15">
        <v>79326</v>
      </c>
      <c r="N735" s="15" t="s">
        <v>44</v>
      </c>
      <c r="O735" s="15">
        <v>0.49315068493150682</v>
      </c>
      <c r="P735" s="15" t="s">
        <v>1861</v>
      </c>
      <c r="Q735" s="15">
        <f t="shared" ca="1" si="22"/>
        <v>22</v>
      </c>
      <c r="R735" s="15" t="str">
        <f t="shared" si="23"/>
        <v>Medium</v>
      </c>
    </row>
    <row r="736" spans="1:18" s="15" customFormat="1" x14ac:dyDescent="0.3">
      <c r="A736" s="15" t="s">
        <v>1509</v>
      </c>
      <c r="B736" s="15" t="s">
        <v>1510</v>
      </c>
      <c r="C736" s="15" t="s">
        <v>1511</v>
      </c>
      <c r="D736" s="15" t="s">
        <v>27</v>
      </c>
      <c r="E736" s="15" t="s">
        <v>120</v>
      </c>
      <c r="F736" s="15" t="s">
        <v>904</v>
      </c>
      <c r="G736" s="15" t="s">
        <v>30</v>
      </c>
      <c r="H736" s="16">
        <v>34416</v>
      </c>
      <c r="I736" s="16">
        <v>44220</v>
      </c>
      <c r="J736" s="16">
        <v>44400</v>
      </c>
      <c r="K736" s="15" t="s">
        <v>21</v>
      </c>
      <c r="L736" s="15" t="s">
        <v>100</v>
      </c>
      <c r="M736" s="15">
        <v>66937</v>
      </c>
      <c r="N736" s="15" t="s">
        <v>33</v>
      </c>
      <c r="O736" s="15">
        <v>6.9890410958904106</v>
      </c>
      <c r="P736" s="15" t="s">
        <v>1861</v>
      </c>
      <c r="Q736" s="15">
        <f t="shared" ca="1" si="22"/>
        <v>31</v>
      </c>
      <c r="R736" s="15" t="str">
        <f t="shared" si="23"/>
        <v>Medium</v>
      </c>
    </row>
    <row r="737" spans="1:18" s="15" customFormat="1" x14ac:dyDescent="0.3">
      <c r="A737" s="15" t="s">
        <v>1512</v>
      </c>
      <c r="B737" s="15" t="s">
        <v>216</v>
      </c>
      <c r="C737" s="15" t="s">
        <v>301</v>
      </c>
      <c r="D737" s="15" t="s">
        <v>17</v>
      </c>
      <c r="E737" s="15" t="s">
        <v>18</v>
      </c>
      <c r="F737" s="15" t="s">
        <v>19</v>
      </c>
      <c r="G737" s="15" t="s">
        <v>112</v>
      </c>
      <c r="H737" s="16">
        <v>35708</v>
      </c>
      <c r="I737" s="16">
        <v>43463</v>
      </c>
      <c r="J737" s="16">
        <v>43643</v>
      </c>
      <c r="K737" s="15" t="s">
        <v>65</v>
      </c>
      <c r="L737" s="15" t="s">
        <v>728</v>
      </c>
      <c r="M737" s="15">
        <v>91548</v>
      </c>
      <c r="N737" s="15" t="s">
        <v>96</v>
      </c>
      <c r="O737" s="15">
        <v>5.2986301369863016</v>
      </c>
      <c r="P737" s="15" t="s">
        <v>1861</v>
      </c>
      <c r="Q737" s="15">
        <f t="shared" ca="1" si="22"/>
        <v>28</v>
      </c>
      <c r="R737" s="15" t="str">
        <f t="shared" si="23"/>
        <v>Medium</v>
      </c>
    </row>
    <row r="738" spans="1:18" s="15" customFormat="1" x14ac:dyDescent="0.3">
      <c r="A738" s="15" t="s">
        <v>1513</v>
      </c>
      <c r="B738" s="15" t="s">
        <v>245</v>
      </c>
      <c r="C738" s="15" t="s">
        <v>106</v>
      </c>
      <c r="D738" s="15" t="s">
        <v>27</v>
      </c>
      <c r="E738" s="15" t="s">
        <v>169</v>
      </c>
      <c r="F738" s="15" t="s">
        <v>170</v>
      </c>
      <c r="G738" s="15" t="s">
        <v>30</v>
      </c>
      <c r="H738" s="16">
        <v>32935</v>
      </c>
      <c r="I738" s="16">
        <v>44631</v>
      </c>
      <c r="J738" s="16">
        <v>44811</v>
      </c>
      <c r="K738" s="15" t="s">
        <v>21</v>
      </c>
      <c r="L738" s="15" t="s">
        <v>108</v>
      </c>
      <c r="M738" s="15">
        <v>64799</v>
      </c>
      <c r="N738" s="15" t="s">
        <v>44</v>
      </c>
      <c r="O738" s="15">
        <v>0.49315068493150682</v>
      </c>
      <c r="P738" s="15" t="s">
        <v>1861</v>
      </c>
      <c r="Q738" s="15">
        <f t="shared" ca="1" si="22"/>
        <v>35</v>
      </c>
      <c r="R738" s="15" t="str">
        <f t="shared" si="23"/>
        <v>Medium</v>
      </c>
    </row>
    <row r="739" spans="1:18" s="15" customFormat="1" x14ac:dyDescent="0.3">
      <c r="A739" s="15" t="s">
        <v>1514</v>
      </c>
      <c r="B739" s="15" t="s">
        <v>1515</v>
      </c>
      <c r="C739" s="15" t="s">
        <v>502</v>
      </c>
      <c r="D739" s="15" t="s">
        <v>27</v>
      </c>
      <c r="E739" s="15" t="s">
        <v>18</v>
      </c>
      <c r="F739" s="15" t="s">
        <v>19</v>
      </c>
      <c r="G739" s="15" t="s">
        <v>20</v>
      </c>
      <c r="H739" s="16">
        <v>24199</v>
      </c>
      <c r="I739" s="16">
        <v>43019</v>
      </c>
      <c r="J739" s="16">
        <v>43227</v>
      </c>
      <c r="K739" s="15" t="s">
        <v>21</v>
      </c>
      <c r="L739" s="15" t="s">
        <v>108</v>
      </c>
      <c r="M739" s="15">
        <v>64678</v>
      </c>
      <c r="N739" s="15" t="s">
        <v>23</v>
      </c>
      <c r="O739" s="15">
        <v>0.49315068493150682</v>
      </c>
      <c r="P739" s="15" t="s">
        <v>1861</v>
      </c>
      <c r="Q739" s="15">
        <f t="shared" ca="1" si="22"/>
        <v>59</v>
      </c>
      <c r="R739" s="15" t="str">
        <f t="shared" si="23"/>
        <v>Medium</v>
      </c>
    </row>
    <row r="740" spans="1:18" s="15" customFormat="1" x14ac:dyDescent="0.3">
      <c r="A740" s="15" t="s">
        <v>1516</v>
      </c>
      <c r="B740" s="15" t="s">
        <v>619</v>
      </c>
      <c r="C740" s="15" t="s">
        <v>1517</v>
      </c>
      <c r="D740" s="15" t="s">
        <v>27</v>
      </c>
      <c r="E740" s="15" t="s">
        <v>18</v>
      </c>
      <c r="F740" s="15" t="s">
        <v>19</v>
      </c>
      <c r="G740" s="15" t="s">
        <v>30</v>
      </c>
      <c r="H740" s="16">
        <v>25432</v>
      </c>
      <c r="I740" s="16">
        <v>43082</v>
      </c>
      <c r="J740" s="16">
        <v>43261</v>
      </c>
      <c r="K740" s="15" t="s">
        <v>37</v>
      </c>
      <c r="L740" s="15" t="s">
        <v>41</v>
      </c>
      <c r="M740" s="15">
        <v>67180</v>
      </c>
      <c r="N740" s="15" t="s">
        <v>33</v>
      </c>
      <c r="O740" s="15">
        <v>1.1589041095890411</v>
      </c>
      <c r="P740" s="15" t="s">
        <v>1861</v>
      </c>
      <c r="Q740" s="15">
        <f t="shared" ca="1" si="22"/>
        <v>56</v>
      </c>
      <c r="R740" s="15" t="str">
        <f t="shared" si="23"/>
        <v>Medium</v>
      </c>
    </row>
    <row r="741" spans="1:18" s="15" customFormat="1" x14ac:dyDescent="0.3">
      <c r="A741" s="15" t="s">
        <v>1518</v>
      </c>
      <c r="B741" s="15" t="s">
        <v>164</v>
      </c>
      <c r="C741" s="15" t="s">
        <v>1017</v>
      </c>
      <c r="D741" s="15" t="s">
        <v>27</v>
      </c>
      <c r="E741" s="15" t="s">
        <v>81</v>
      </c>
      <c r="F741" s="15" t="s">
        <v>104</v>
      </c>
      <c r="G741" s="15" t="s">
        <v>30</v>
      </c>
      <c r="H741" s="16">
        <v>31245</v>
      </c>
      <c r="I741" s="16">
        <v>43452</v>
      </c>
      <c r="J741" s="16">
        <v>43632</v>
      </c>
      <c r="K741" s="15" t="s">
        <v>65</v>
      </c>
      <c r="L741" s="15" t="s">
        <v>314</v>
      </c>
      <c r="M741" s="15">
        <v>72036</v>
      </c>
      <c r="N741" s="15" t="s">
        <v>33</v>
      </c>
      <c r="O741" s="15">
        <v>0.49315068493150682</v>
      </c>
      <c r="P741" s="15" t="s">
        <v>1861</v>
      </c>
      <c r="Q741" s="15">
        <f t="shared" ca="1" si="22"/>
        <v>40</v>
      </c>
      <c r="R741" s="15" t="str">
        <f t="shared" si="23"/>
        <v>Medium</v>
      </c>
    </row>
    <row r="742" spans="1:18" s="15" customFormat="1" x14ac:dyDescent="0.3">
      <c r="A742" s="15" t="s">
        <v>1519</v>
      </c>
      <c r="B742" s="15" t="s">
        <v>551</v>
      </c>
      <c r="C742" s="15" t="s">
        <v>204</v>
      </c>
      <c r="D742" s="15" t="s">
        <v>27</v>
      </c>
      <c r="E742" s="15" t="s">
        <v>18</v>
      </c>
      <c r="F742" s="15" t="s">
        <v>19</v>
      </c>
      <c r="G742" s="15" t="s">
        <v>30</v>
      </c>
      <c r="H742" s="16">
        <v>28193</v>
      </c>
      <c r="I742" s="16">
        <v>42993</v>
      </c>
      <c r="J742" s="16">
        <v>43173</v>
      </c>
      <c r="K742" s="15" t="s">
        <v>37</v>
      </c>
      <c r="L742" s="15" t="s">
        <v>38</v>
      </c>
      <c r="M742" s="15">
        <v>65261</v>
      </c>
      <c r="N742" s="15" t="s">
        <v>44</v>
      </c>
      <c r="O742" s="15">
        <v>0.49315068493150682</v>
      </c>
      <c r="P742" s="15" t="s">
        <v>1861</v>
      </c>
      <c r="Q742" s="15">
        <f t="shared" ca="1" si="22"/>
        <v>48</v>
      </c>
      <c r="R742" s="15" t="str">
        <f t="shared" si="23"/>
        <v>Medium</v>
      </c>
    </row>
    <row r="743" spans="1:18" s="15" customFormat="1" x14ac:dyDescent="0.3">
      <c r="A743" s="15" t="s">
        <v>1520</v>
      </c>
      <c r="B743" s="15" t="s">
        <v>1450</v>
      </c>
      <c r="C743" s="15" t="s">
        <v>210</v>
      </c>
      <c r="D743" s="15" t="s">
        <v>27</v>
      </c>
      <c r="E743" s="15" t="s">
        <v>169</v>
      </c>
      <c r="F743" s="15" t="s">
        <v>652</v>
      </c>
      <c r="G743" s="15" t="s">
        <v>30</v>
      </c>
      <c r="H743" s="16">
        <v>30552</v>
      </c>
      <c r="I743" s="16">
        <v>43434</v>
      </c>
      <c r="J743" s="16">
        <v>43614</v>
      </c>
      <c r="K743" s="15" t="s">
        <v>94</v>
      </c>
      <c r="L743" s="15" t="s">
        <v>117</v>
      </c>
      <c r="M743" s="15">
        <v>79202</v>
      </c>
      <c r="N743" s="15" t="s">
        <v>23</v>
      </c>
      <c r="O743" s="15">
        <v>0.49315068493150682</v>
      </c>
      <c r="P743" s="15" t="s">
        <v>1861</v>
      </c>
      <c r="Q743" s="15">
        <f t="shared" ca="1" si="22"/>
        <v>42</v>
      </c>
      <c r="R743" s="15" t="str">
        <f t="shared" si="23"/>
        <v>Medium</v>
      </c>
    </row>
    <row r="744" spans="1:18" s="15" customFormat="1" x14ac:dyDescent="0.3">
      <c r="A744" s="15" t="s">
        <v>1521</v>
      </c>
      <c r="B744" s="15" t="s">
        <v>68</v>
      </c>
      <c r="C744" s="15" t="s">
        <v>1011</v>
      </c>
      <c r="D744" s="15" t="s">
        <v>17</v>
      </c>
      <c r="E744" s="15" t="s">
        <v>18</v>
      </c>
      <c r="F744" s="15" t="s">
        <v>19</v>
      </c>
      <c r="G744" s="15" t="s">
        <v>20</v>
      </c>
      <c r="H744" s="16">
        <v>29763</v>
      </c>
      <c r="I744" s="16">
        <v>42944</v>
      </c>
      <c r="J744" s="16">
        <v>43124</v>
      </c>
      <c r="K744" s="15" t="s">
        <v>37</v>
      </c>
      <c r="L744" s="15" t="s">
        <v>41</v>
      </c>
      <c r="M744" s="15">
        <v>59575</v>
      </c>
      <c r="N744" s="15" t="s">
        <v>96</v>
      </c>
      <c r="O744" s="15">
        <v>2.0027397260273969</v>
      </c>
      <c r="P744" s="15" t="s">
        <v>1861</v>
      </c>
      <c r="Q744" s="15">
        <f t="shared" ca="1" si="22"/>
        <v>44</v>
      </c>
      <c r="R744" s="15" t="str">
        <f t="shared" si="23"/>
        <v>Low</v>
      </c>
    </row>
    <row r="745" spans="1:18" s="15" customFormat="1" x14ac:dyDescent="0.3">
      <c r="A745" s="15" t="s">
        <v>1522</v>
      </c>
      <c r="B745" s="15" t="s">
        <v>1357</v>
      </c>
      <c r="C745" s="15" t="s">
        <v>210</v>
      </c>
      <c r="D745" s="15" t="s">
        <v>27</v>
      </c>
      <c r="E745" s="15" t="s">
        <v>18</v>
      </c>
      <c r="F745" s="15" t="s">
        <v>19</v>
      </c>
      <c r="G745" s="15" t="s">
        <v>20</v>
      </c>
      <c r="H745" s="16">
        <v>29149</v>
      </c>
      <c r="I745" s="16">
        <v>44648</v>
      </c>
      <c r="J745" s="16">
        <v>44828</v>
      </c>
      <c r="K745" s="15" t="s">
        <v>21</v>
      </c>
      <c r="L745" s="15" t="s">
        <v>108</v>
      </c>
      <c r="M745" s="15">
        <v>65819</v>
      </c>
      <c r="N745" s="15" t="s">
        <v>23</v>
      </c>
      <c r="O745" s="15">
        <v>0.49315068493150682</v>
      </c>
      <c r="P745" s="15" t="s">
        <v>1861</v>
      </c>
      <c r="Q745" s="15">
        <f t="shared" ca="1" si="22"/>
        <v>46</v>
      </c>
      <c r="R745" s="15" t="str">
        <f t="shared" si="23"/>
        <v>Medium</v>
      </c>
    </row>
    <row r="746" spans="1:18" s="15" customFormat="1" x14ac:dyDescent="0.3">
      <c r="A746" s="15" t="s">
        <v>1523</v>
      </c>
      <c r="B746" s="15" t="s">
        <v>268</v>
      </c>
      <c r="C746" s="15" t="s">
        <v>1524</v>
      </c>
      <c r="D746" s="15" t="s">
        <v>17</v>
      </c>
      <c r="E746" s="15" t="s">
        <v>18</v>
      </c>
      <c r="F746" s="15" t="s">
        <v>19</v>
      </c>
      <c r="G746" s="15" t="s">
        <v>30</v>
      </c>
      <c r="H746" s="16">
        <v>30348</v>
      </c>
      <c r="I746" s="16">
        <v>42851</v>
      </c>
      <c r="J746" s="16">
        <v>43365</v>
      </c>
      <c r="K746" s="15" t="s">
        <v>31</v>
      </c>
      <c r="L746" s="15" t="s">
        <v>159</v>
      </c>
      <c r="M746" s="15">
        <v>76103</v>
      </c>
      <c r="N746" s="15" t="s">
        <v>44</v>
      </c>
      <c r="O746" s="15">
        <v>0.49315068493150682</v>
      </c>
      <c r="P746" s="15" t="s">
        <v>1861</v>
      </c>
      <c r="Q746" s="15">
        <f t="shared" ca="1" si="22"/>
        <v>42</v>
      </c>
      <c r="R746" s="15" t="str">
        <f t="shared" si="23"/>
        <v>Medium</v>
      </c>
    </row>
    <row r="747" spans="1:18" s="15" customFormat="1" x14ac:dyDescent="0.3">
      <c r="A747" s="15" t="s">
        <v>1525</v>
      </c>
      <c r="B747" s="15" t="s">
        <v>452</v>
      </c>
      <c r="C747" s="15" t="s">
        <v>491</v>
      </c>
      <c r="D747" s="15" t="s">
        <v>27</v>
      </c>
      <c r="E747" s="15" t="s">
        <v>81</v>
      </c>
      <c r="F747" s="15" t="s">
        <v>104</v>
      </c>
      <c r="G747" s="15" t="s">
        <v>30</v>
      </c>
      <c r="H747" s="16">
        <v>31435</v>
      </c>
      <c r="I747" s="16">
        <v>45091</v>
      </c>
      <c r="J747" s="16">
        <v>45271</v>
      </c>
      <c r="K747" s="15" t="s">
        <v>31</v>
      </c>
      <c r="L747" s="15" t="s">
        <v>32</v>
      </c>
      <c r="M747" s="15">
        <v>101429</v>
      </c>
      <c r="N747" s="15" t="s">
        <v>33</v>
      </c>
      <c r="O747" s="15">
        <v>2.6739726027397261</v>
      </c>
      <c r="P747" s="15" t="s">
        <v>1861</v>
      </c>
      <c r="Q747" s="15">
        <f t="shared" ca="1" si="22"/>
        <v>39</v>
      </c>
      <c r="R747" s="15" t="str">
        <f t="shared" si="23"/>
        <v>High</v>
      </c>
    </row>
    <row r="748" spans="1:18" s="15" customFormat="1" x14ac:dyDescent="0.3">
      <c r="A748" s="15" t="s">
        <v>1526</v>
      </c>
      <c r="B748" s="15" t="s">
        <v>174</v>
      </c>
      <c r="C748" s="15" t="s">
        <v>1527</v>
      </c>
      <c r="D748" s="15" t="s">
        <v>17</v>
      </c>
      <c r="E748" s="15" t="s">
        <v>18</v>
      </c>
      <c r="F748" s="15" t="s">
        <v>19</v>
      </c>
      <c r="G748" s="15" t="s">
        <v>20</v>
      </c>
      <c r="H748" s="16">
        <v>29913</v>
      </c>
      <c r="I748" s="16">
        <v>43562</v>
      </c>
      <c r="J748" s="16">
        <v>44882</v>
      </c>
      <c r="K748" s="15" t="s">
        <v>21</v>
      </c>
      <c r="L748" s="15" t="s">
        <v>100</v>
      </c>
      <c r="M748" s="15">
        <v>66508</v>
      </c>
      <c r="N748" s="15" t="s">
        <v>23</v>
      </c>
      <c r="O748" s="15">
        <v>0.49315068493150682</v>
      </c>
      <c r="P748" s="15" t="s">
        <v>1861</v>
      </c>
      <c r="Q748" s="15">
        <f t="shared" ca="1" si="22"/>
        <v>44</v>
      </c>
      <c r="R748" s="15" t="str">
        <f t="shared" si="23"/>
        <v>Medium</v>
      </c>
    </row>
    <row r="749" spans="1:18" s="15" customFormat="1" x14ac:dyDescent="0.3">
      <c r="A749" s="15" t="s">
        <v>1528</v>
      </c>
      <c r="B749" s="15" t="s">
        <v>452</v>
      </c>
      <c r="C749" s="15" t="s">
        <v>341</v>
      </c>
      <c r="D749" s="15" t="s">
        <v>17</v>
      </c>
      <c r="E749" s="15" t="s">
        <v>18</v>
      </c>
      <c r="F749" s="15" t="s">
        <v>19</v>
      </c>
      <c r="G749" s="15" t="s">
        <v>30</v>
      </c>
      <c r="H749" s="16">
        <v>37581</v>
      </c>
      <c r="I749" s="16">
        <v>45365</v>
      </c>
      <c r="J749" s="16">
        <v>45545</v>
      </c>
      <c r="K749" s="15" t="s">
        <v>37</v>
      </c>
      <c r="L749" s="15" t="s">
        <v>38</v>
      </c>
      <c r="M749" s="15">
        <v>58903</v>
      </c>
      <c r="N749" s="15" t="s">
        <v>44</v>
      </c>
      <c r="O749" s="15">
        <v>7.9260273972602739</v>
      </c>
      <c r="P749" s="15" t="s">
        <v>1861</v>
      </c>
      <c r="Q749" s="15">
        <f t="shared" ca="1" si="22"/>
        <v>23</v>
      </c>
      <c r="R749" s="15" t="str">
        <f t="shared" si="23"/>
        <v>Low</v>
      </c>
    </row>
    <row r="750" spans="1:18" s="15" customFormat="1" x14ac:dyDescent="0.3">
      <c r="A750" s="15" t="s">
        <v>1529</v>
      </c>
      <c r="B750" s="15" t="s">
        <v>1530</v>
      </c>
      <c r="C750" s="15" t="s">
        <v>639</v>
      </c>
      <c r="D750" s="15" t="s">
        <v>17</v>
      </c>
      <c r="E750" s="15" t="s">
        <v>18</v>
      </c>
      <c r="F750" s="15" t="s">
        <v>19</v>
      </c>
      <c r="G750" s="15" t="s">
        <v>112</v>
      </c>
      <c r="H750" s="16">
        <v>32277</v>
      </c>
      <c r="I750" s="16">
        <v>42048</v>
      </c>
      <c r="J750" s="16">
        <v>44560</v>
      </c>
      <c r="K750" s="15" t="s">
        <v>70</v>
      </c>
      <c r="L750" s="15" t="s">
        <v>298</v>
      </c>
      <c r="M750" s="15">
        <v>61697</v>
      </c>
      <c r="N750" s="15" t="s">
        <v>96</v>
      </c>
      <c r="O750" s="15">
        <v>0.49315068493150682</v>
      </c>
      <c r="P750" s="15" t="s">
        <v>1861</v>
      </c>
      <c r="Q750" s="15">
        <f t="shared" ca="1" si="22"/>
        <v>37</v>
      </c>
      <c r="R750" s="15" t="str">
        <f t="shared" si="23"/>
        <v>Medium</v>
      </c>
    </row>
    <row r="751" spans="1:18" s="15" customFormat="1" x14ac:dyDescent="0.3">
      <c r="A751" s="15" t="s">
        <v>1531</v>
      </c>
      <c r="B751" s="15" t="s">
        <v>919</v>
      </c>
      <c r="C751" s="15" t="s">
        <v>787</v>
      </c>
      <c r="D751" s="15" t="s">
        <v>17</v>
      </c>
      <c r="E751" s="15" t="s">
        <v>18</v>
      </c>
      <c r="F751" s="15" t="s">
        <v>19</v>
      </c>
      <c r="G751" s="15" t="s">
        <v>30</v>
      </c>
      <c r="H751" s="16">
        <v>34782</v>
      </c>
      <c r="I751" s="16">
        <v>44069</v>
      </c>
      <c r="J751" s="16">
        <v>44487</v>
      </c>
      <c r="K751" s="15" t="s">
        <v>94</v>
      </c>
      <c r="L751" s="15" t="s">
        <v>182</v>
      </c>
      <c r="M751" s="15">
        <v>63501</v>
      </c>
      <c r="N751" s="15" t="s">
        <v>33</v>
      </c>
      <c r="O751" s="15">
        <v>3.536986301369863</v>
      </c>
      <c r="P751" s="15" t="s">
        <v>1861</v>
      </c>
      <c r="Q751" s="15">
        <f t="shared" ca="1" si="22"/>
        <v>30</v>
      </c>
      <c r="R751" s="15" t="str">
        <f t="shared" si="23"/>
        <v>Medium</v>
      </c>
    </row>
    <row r="752" spans="1:18" s="15" customFormat="1" x14ac:dyDescent="0.3">
      <c r="A752" s="15" t="s">
        <v>1532</v>
      </c>
      <c r="B752" s="15" t="s">
        <v>209</v>
      </c>
      <c r="C752" s="15" t="s">
        <v>1533</v>
      </c>
      <c r="D752" s="15" t="s">
        <v>27</v>
      </c>
      <c r="E752" s="15" t="s">
        <v>169</v>
      </c>
      <c r="F752" s="15" t="s">
        <v>335</v>
      </c>
      <c r="G752" s="15" t="s">
        <v>30</v>
      </c>
      <c r="H752" s="16">
        <v>30303</v>
      </c>
      <c r="I752" s="16">
        <v>44568</v>
      </c>
      <c r="J752" s="16">
        <v>44748</v>
      </c>
      <c r="K752" s="15" t="s">
        <v>21</v>
      </c>
      <c r="L752" s="15" t="s">
        <v>108</v>
      </c>
      <c r="M752" s="15">
        <v>69977</v>
      </c>
      <c r="N752" s="15" t="s">
        <v>33</v>
      </c>
      <c r="O752" s="15">
        <v>3.8767123287671228</v>
      </c>
      <c r="P752" s="15" t="s">
        <v>1861</v>
      </c>
      <c r="Q752" s="15">
        <f t="shared" ca="1" si="22"/>
        <v>43</v>
      </c>
      <c r="R752" s="15" t="str">
        <f t="shared" si="23"/>
        <v>Medium</v>
      </c>
    </row>
    <row r="753" spans="1:18" s="15" customFormat="1" x14ac:dyDescent="0.3">
      <c r="A753" s="15" t="s">
        <v>1534</v>
      </c>
      <c r="B753" s="15" t="s">
        <v>25</v>
      </c>
      <c r="C753" s="15" t="s">
        <v>301</v>
      </c>
      <c r="D753" s="15" t="s">
        <v>27</v>
      </c>
      <c r="E753" s="15" t="s">
        <v>18</v>
      </c>
      <c r="F753" s="15" t="s">
        <v>19</v>
      </c>
      <c r="G753" s="15" t="s">
        <v>30</v>
      </c>
      <c r="H753" s="16">
        <v>35508</v>
      </c>
      <c r="I753" s="16">
        <v>44427</v>
      </c>
      <c r="J753" s="16">
        <v>45528</v>
      </c>
      <c r="K753" s="15" t="s">
        <v>65</v>
      </c>
      <c r="L753" s="15" t="s">
        <v>314</v>
      </c>
      <c r="M753" s="15">
        <v>77675</v>
      </c>
      <c r="N753" s="15" t="s">
        <v>96</v>
      </c>
      <c r="O753" s="15">
        <v>0.49315068493150682</v>
      </c>
      <c r="P753" s="15" t="s">
        <v>1861</v>
      </c>
      <c r="Q753" s="15">
        <f t="shared" ca="1" si="22"/>
        <v>28</v>
      </c>
      <c r="R753" s="15" t="str">
        <f t="shared" si="23"/>
        <v>Medium</v>
      </c>
    </row>
    <row r="754" spans="1:18" s="15" customFormat="1" x14ac:dyDescent="0.3">
      <c r="A754" s="15" t="s">
        <v>1535</v>
      </c>
      <c r="B754" s="15" t="s">
        <v>1536</v>
      </c>
      <c r="C754" s="15" t="s">
        <v>1138</v>
      </c>
      <c r="D754" s="15" t="s">
        <v>17</v>
      </c>
      <c r="E754" s="15" t="s">
        <v>18</v>
      </c>
      <c r="F754" s="15" t="s">
        <v>19</v>
      </c>
      <c r="G754" s="15" t="s">
        <v>30</v>
      </c>
      <c r="H754" s="16">
        <v>31221</v>
      </c>
      <c r="I754" s="16">
        <v>43739</v>
      </c>
      <c r="J754" s="16">
        <v>43919</v>
      </c>
      <c r="K754" s="15" t="s">
        <v>21</v>
      </c>
      <c r="L754" s="15" t="s">
        <v>108</v>
      </c>
      <c r="M754" s="15">
        <v>62225</v>
      </c>
      <c r="N754" s="15" t="s">
        <v>44</v>
      </c>
      <c r="O754" s="15">
        <v>2.1561643835616442</v>
      </c>
      <c r="P754" s="15" t="s">
        <v>1861</v>
      </c>
      <c r="Q754" s="15">
        <f t="shared" ca="1" si="22"/>
        <v>40</v>
      </c>
      <c r="R754" s="15" t="str">
        <f t="shared" si="23"/>
        <v>Medium</v>
      </c>
    </row>
    <row r="755" spans="1:18" s="15" customFormat="1" x14ac:dyDescent="0.3">
      <c r="A755" s="15" t="s">
        <v>1537</v>
      </c>
      <c r="B755" s="15" t="s">
        <v>439</v>
      </c>
      <c r="C755" s="15" t="s">
        <v>272</v>
      </c>
      <c r="D755" s="15" t="s">
        <v>27</v>
      </c>
      <c r="E755" s="15" t="s">
        <v>18</v>
      </c>
      <c r="F755" s="15" t="s">
        <v>19</v>
      </c>
      <c r="G755" s="15" t="s">
        <v>30</v>
      </c>
      <c r="H755" s="16">
        <v>36433</v>
      </c>
      <c r="I755" s="16">
        <v>43915</v>
      </c>
      <c r="J755" s="16">
        <v>44095</v>
      </c>
      <c r="K755" s="15" t="s">
        <v>31</v>
      </c>
      <c r="L755" s="15" t="s">
        <v>32</v>
      </c>
      <c r="M755" s="15">
        <v>94657</v>
      </c>
      <c r="N755" s="15" t="s">
        <v>96</v>
      </c>
      <c r="O755" s="15">
        <v>0.49315068493150682</v>
      </c>
      <c r="P755" s="15" t="s">
        <v>1861</v>
      </c>
      <c r="Q755" s="15">
        <f t="shared" ca="1" si="22"/>
        <v>26</v>
      </c>
      <c r="R755" s="15" t="str">
        <f t="shared" si="23"/>
        <v>Medium</v>
      </c>
    </row>
    <row r="756" spans="1:18" s="15" customFormat="1" x14ac:dyDescent="0.3">
      <c r="A756" s="15" t="s">
        <v>1538</v>
      </c>
      <c r="B756" s="15" t="s">
        <v>271</v>
      </c>
      <c r="C756" s="15" t="s">
        <v>1213</v>
      </c>
      <c r="D756" s="15" t="s">
        <v>17</v>
      </c>
      <c r="E756" s="15" t="s">
        <v>354</v>
      </c>
      <c r="F756" s="15" t="s">
        <v>355</v>
      </c>
      <c r="G756" s="15" t="s">
        <v>30</v>
      </c>
      <c r="H756" s="16">
        <v>33895</v>
      </c>
      <c r="I756" s="16">
        <v>44616</v>
      </c>
      <c r="J756" s="16">
        <v>44796</v>
      </c>
      <c r="K756" s="15" t="s">
        <v>21</v>
      </c>
      <c r="L756" s="15" t="s">
        <v>108</v>
      </c>
      <c r="M756" s="15">
        <v>63449</v>
      </c>
      <c r="N756" s="15" t="s">
        <v>23</v>
      </c>
      <c r="O756" s="15">
        <v>4.2684931506849324</v>
      </c>
      <c r="P756" s="15" t="s">
        <v>1861</v>
      </c>
      <c r="Q756" s="15">
        <f t="shared" ca="1" si="22"/>
        <v>33</v>
      </c>
      <c r="R756" s="15" t="str">
        <f t="shared" si="23"/>
        <v>Medium</v>
      </c>
    </row>
    <row r="757" spans="1:18" s="15" customFormat="1" x14ac:dyDescent="0.3">
      <c r="A757" s="15" t="s">
        <v>1539</v>
      </c>
      <c r="B757" s="15" t="s">
        <v>437</v>
      </c>
      <c r="C757" s="15" t="s">
        <v>1050</v>
      </c>
      <c r="D757" s="15" t="s">
        <v>27</v>
      </c>
      <c r="E757" s="15" t="s">
        <v>18</v>
      </c>
      <c r="F757" s="15" t="s">
        <v>19</v>
      </c>
      <c r="G757" s="15" t="s">
        <v>112</v>
      </c>
      <c r="H757" s="16">
        <v>33495</v>
      </c>
      <c r="I757" s="16">
        <v>43782</v>
      </c>
      <c r="J757" s="16">
        <v>43962</v>
      </c>
      <c r="K757" s="15" t="s">
        <v>31</v>
      </c>
      <c r="L757" s="15" t="s">
        <v>159</v>
      </c>
      <c r="M757" s="15">
        <v>84331</v>
      </c>
      <c r="N757" s="15" t="s">
        <v>96</v>
      </c>
      <c r="O757" s="15">
        <v>2.0493150684931511</v>
      </c>
      <c r="P757" s="15" t="s">
        <v>1862</v>
      </c>
      <c r="Q757" s="15">
        <f t="shared" ca="1" si="22"/>
        <v>34</v>
      </c>
      <c r="R757" s="15" t="str">
        <f t="shared" si="23"/>
        <v>Medium</v>
      </c>
    </row>
    <row r="758" spans="1:18" s="15" customFormat="1" x14ac:dyDescent="0.3">
      <c r="A758" s="15" t="s">
        <v>1540</v>
      </c>
      <c r="B758" s="15" t="s">
        <v>1541</v>
      </c>
      <c r="C758" s="15" t="s">
        <v>714</v>
      </c>
      <c r="D758" s="15" t="s">
        <v>27</v>
      </c>
      <c r="E758" s="15" t="s">
        <v>18</v>
      </c>
      <c r="F758" s="15" t="s">
        <v>19</v>
      </c>
      <c r="G758" s="15" t="s">
        <v>20</v>
      </c>
      <c r="H758" s="16">
        <v>33554</v>
      </c>
      <c r="I758" s="16">
        <v>42960</v>
      </c>
      <c r="J758" s="16">
        <v>44090</v>
      </c>
      <c r="K758" s="15" t="s">
        <v>37</v>
      </c>
      <c r="L758" s="15" t="s">
        <v>41</v>
      </c>
      <c r="M758" s="15">
        <v>66482</v>
      </c>
      <c r="N758" s="15" t="s">
        <v>23</v>
      </c>
      <c r="O758" s="15">
        <v>4.1945205479452046</v>
      </c>
      <c r="P758" s="15" t="s">
        <v>1862</v>
      </c>
      <c r="Q758" s="15">
        <f t="shared" ca="1" si="22"/>
        <v>34</v>
      </c>
      <c r="R758" s="15" t="str">
        <f t="shared" si="23"/>
        <v>Medium</v>
      </c>
    </row>
    <row r="759" spans="1:18" s="15" customFormat="1" x14ac:dyDescent="0.3">
      <c r="A759" s="15" t="s">
        <v>1542</v>
      </c>
      <c r="B759" s="15" t="s">
        <v>1543</v>
      </c>
      <c r="C759" s="15" t="s">
        <v>879</v>
      </c>
      <c r="D759" s="15" t="s">
        <v>27</v>
      </c>
      <c r="E759" s="15" t="s">
        <v>18</v>
      </c>
      <c r="F759" s="15" t="s">
        <v>19</v>
      </c>
      <c r="G759" s="15" t="s">
        <v>30</v>
      </c>
      <c r="H759" s="16">
        <v>32033</v>
      </c>
      <c r="I759" s="16">
        <v>43357</v>
      </c>
      <c r="J759" s="16">
        <v>43537</v>
      </c>
      <c r="K759" s="15" t="s">
        <v>21</v>
      </c>
      <c r="L759" s="15" t="s">
        <v>22</v>
      </c>
      <c r="M759" s="15">
        <v>72620</v>
      </c>
      <c r="N759" s="15" t="s">
        <v>33</v>
      </c>
      <c r="O759" s="15">
        <v>2.227397260273972</v>
      </c>
      <c r="P759" s="15" t="s">
        <v>1861</v>
      </c>
      <c r="Q759" s="15">
        <f t="shared" ca="1" si="22"/>
        <v>38</v>
      </c>
      <c r="R759" s="15" t="str">
        <f t="shared" si="23"/>
        <v>Medium</v>
      </c>
    </row>
    <row r="760" spans="1:18" s="15" customFormat="1" x14ac:dyDescent="0.3">
      <c r="A760" s="15" t="s">
        <v>1544</v>
      </c>
      <c r="B760" s="15" t="s">
        <v>1545</v>
      </c>
      <c r="C760" s="15" t="s">
        <v>383</v>
      </c>
      <c r="D760" s="15" t="s">
        <v>17</v>
      </c>
      <c r="E760" s="15" t="s">
        <v>18</v>
      </c>
      <c r="F760" s="15" t="s">
        <v>19</v>
      </c>
      <c r="G760" s="15" t="s">
        <v>30</v>
      </c>
      <c r="H760" s="16">
        <v>30421</v>
      </c>
      <c r="I760" s="16">
        <v>43937</v>
      </c>
      <c r="J760" s="16">
        <v>44117</v>
      </c>
      <c r="K760" s="15" t="s">
        <v>37</v>
      </c>
      <c r="L760" s="15" t="s">
        <v>38</v>
      </c>
      <c r="M760" s="15">
        <v>56196</v>
      </c>
      <c r="N760" s="15" t="s">
        <v>33</v>
      </c>
      <c r="O760" s="15">
        <v>0.49315068493150682</v>
      </c>
      <c r="P760" s="15" t="s">
        <v>1862</v>
      </c>
      <c r="Q760" s="15">
        <f t="shared" ca="1" si="22"/>
        <v>42</v>
      </c>
      <c r="R760" s="15" t="str">
        <f t="shared" si="23"/>
        <v>Low</v>
      </c>
    </row>
    <row r="761" spans="1:18" s="15" customFormat="1" x14ac:dyDescent="0.3">
      <c r="A761" s="15" t="s">
        <v>1546</v>
      </c>
      <c r="B761" s="15" t="s">
        <v>257</v>
      </c>
      <c r="C761" s="15" t="s">
        <v>1547</v>
      </c>
      <c r="D761" s="15" t="s">
        <v>17</v>
      </c>
      <c r="E761" s="15" t="s">
        <v>18</v>
      </c>
      <c r="F761" s="15" t="s">
        <v>19</v>
      </c>
      <c r="G761" s="15" t="s">
        <v>30</v>
      </c>
      <c r="H761" s="16">
        <v>22156</v>
      </c>
      <c r="I761" s="16">
        <v>43807</v>
      </c>
      <c r="J761" s="16">
        <v>43987</v>
      </c>
      <c r="K761" s="15" t="s">
        <v>94</v>
      </c>
      <c r="L761" s="15" t="s">
        <v>182</v>
      </c>
      <c r="M761" s="15">
        <v>64099</v>
      </c>
      <c r="N761" s="15" t="s">
        <v>44</v>
      </c>
      <c r="O761" s="15">
        <v>1.150684931506849</v>
      </c>
      <c r="P761" s="15" t="s">
        <v>1861</v>
      </c>
      <c r="Q761" s="15">
        <f t="shared" ca="1" si="22"/>
        <v>65</v>
      </c>
      <c r="R761" s="15" t="str">
        <f t="shared" si="23"/>
        <v>Medium</v>
      </c>
    </row>
    <row r="762" spans="1:18" s="15" customFormat="1" x14ac:dyDescent="0.3">
      <c r="A762" s="15" t="s">
        <v>1548</v>
      </c>
      <c r="B762" s="15" t="s">
        <v>290</v>
      </c>
      <c r="C762" s="15" t="s">
        <v>877</v>
      </c>
      <c r="D762" s="15" t="s">
        <v>27</v>
      </c>
      <c r="E762" s="15" t="s">
        <v>18</v>
      </c>
      <c r="F762" s="15" t="s">
        <v>19</v>
      </c>
      <c r="G762" s="15" t="s">
        <v>30</v>
      </c>
      <c r="H762" s="16">
        <v>36477</v>
      </c>
      <c r="I762" s="16">
        <v>42633</v>
      </c>
      <c r="J762" s="16">
        <v>45271</v>
      </c>
      <c r="K762" s="15" t="s">
        <v>31</v>
      </c>
      <c r="L762" s="15" t="s">
        <v>159</v>
      </c>
      <c r="M762" s="15">
        <v>96108</v>
      </c>
      <c r="N762" s="15" t="s">
        <v>33</v>
      </c>
      <c r="O762" s="15">
        <v>3.783561643835617</v>
      </c>
      <c r="P762" s="15" t="s">
        <v>1862</v>
      </c>
      <c r="Q762" s="15">
        <f t="shared" ca="1" si="22"/>
        <v>26</v>
      </c>
      <c r="R762" s="15" t="str">
        <f t="shared" si="23"/>
        <v>Medium</v>
      </c>
    </row>
    <row r="763" spans="1:18" s="15" customFormat="1" x14ac:dyDescent="0.3">
      <c r="A763" s="15" t="s">
        <v>1549</v>
      </c>
      <c r="B763" s="15" t="s">
        <v>493</v>
      </c>
      <c r="C763" s="15" t="s">
        <v>735</v>
      </c>
      <c r="D763" s="15" t="s">
        <v>17</v>
      </c>
      <c r="E763" s="15" t="s">
        <v>18</v>
      </c>
      <c r="F763" s="15" t="s">
        <v>19</v>
      </c>
      <c r="G763" s="15" t="s">
        <v>30</v>
      </c>
      <c r="H763" s="16">
        <v>35214</v>
      </c>
      <c r="I763" s="16">
        <v>42138</v>
      </c>
      <c r="J763" s="16">
        <v>44451</v>
      </c>
      <c r="K763" s="15" t="s">
        <v>37</v>
      </c>
      <c r="L763" s="15" t="s">
        <v>41</v>
      </c>
      <c r="M763" s="15">
        <v>54990</v>
      </c>
      <c r="N763" s="15" t="s">
        <v>33</v>
      </c>
      <c r="O763" s="15">
        <v>0.49315068493150682</v>
      </c>
      <c r="P763" s="15" t="s">
        <v>1861</v>
      </c>
      <c r="Q763" s="15">
        <f t="shared" ca="1" si="22"/>
        <v>29</v>
      </c>
      <c r="R763" s="15" t="str">
        <f t="shared" si="23"/>
        <v>Low</v>
      </c>
    </row>
    <row r="764" spans="1:18" s="15" customFormat="1" x14ac:dyDescent="0.3">
      <c r="A764" s="15" t="s">
        <v>1550</v>
      </c>
      <c r="B764" s="15" t="s">
        <v>1309</v>
      </c>
      <c r="C764" s="15" t="s">
        <v>1551</v>
      </c>
      <c r="D764" s="15" t="s">
        <v>27</v>
      </c>
      <c r="E764" s="15" t="s">
        <v>18</v>
      </c>
      <c r="F764" s="15" t="s">
        <v>19</v>
      </c>
      <c r="G764" s="15" t="s">
        <v>30</v>
      </c>
      <c r="H764" s="16">
        <v>38069</v>
      </c>
      <c r="I764" s="16">
        <v>44867</v>
      </c>
      <c r="J764" s="16">
        <v>45047</v>
      </c>
      <c r="K764" s="15" t="s">
        <v>37</v>
      </c>
      <c r="L764" s="15" t="s">
        <v>41</v>
      </c>
      <c r="M764" s="15">
        <v>61461</v>
      </c>
      <c r="N764" s="15" t="s">
        <v>33</v>
      </c>
      <c r="O764" s="15">
        <v>3.923287671232877</v>
      </c>
      <c r="P764" s="15" t="s">
        <v>1861</v>
      </c>
      <c r="Q764" s="15">
        <f t="shared" ca="1" si="22"/>
        <v>21</v>
      </c>
      <c r="R764" s="15" t="str">
        <f t="shared" si="23"/>
        <v>Medium</v>
      </c>
    </row>
    <row r="765" spans="1:18" s="15" customFormat="1" x14ac:dyDescent="0.3">
      <c r="A765" s="15" t="s">
        <v>1552</v>
      </c>
      <c r="B765" s="15" t="s">
        <v>1456</v>
      </c>
      <c r="C765" s="15" t="s">
        <v>916</v>
      </c>
      <c r="D765" s="15" t="s">
        <v>27</v>
      </c>
      <c r="E765" s="15" t="s">
        <v>18</v>
      </c>
      <c r="F765" s="15" t="s">
        <v>19</v>
      </c>
      <c r="G765" s="15" t="s">
        <v>30</v>
      </c>
      <c r="H765" s="16">
        <v>36227</v>
      </c>
      <c r="I765" s="16">
        <v>43989</v>
      </c>
      <c r="J765" s="16">
        <v>44169</v>
      </c>
      <c r="K765" s="15" t="s">
        <v>37</v>
      </c>
      <c r="L765" s="15" t="s">
        <v>41</v>
      </c>
      <c r="M765" s="15">
        <v>60507</v>
      </c>
      <c r="N765" s="15" t="s">
        <v>33</v>
      </c>
      <c r="O765" s="15">
        <v>0.49315068493150682</v>
      </c>
      <c r="P765" s="15" t="s">
        <v>1861</v>
      </c>
      <c r="Q765" s="15">
        <f t="shared" ca="1" si="22"/>
        <v>26</v>
      </c>
      <c r="R765" s="15" t="str">
        <f t="shared" si="23"/>
        <v>Medium</v>
      </c>
    </row>
    <row r="766" spans="1:18" s="15" customFormat="1" x14ac:dyDescent="0.3">
      <c r="A766" s="15" t="s">
        <v>1553</v>
      </c>
      <c r="B766" s="15" t="s">
        <v>666</v>
      </c>
      <c r="C766" s="15" t="s">
        <v>1021</v>
      </c>
      <c r="D766" s="15" t="s">
        <v>17</v>
      </c>
      <c r="E766" s="15" t="s">
        <v>18</v>
      </c>
      <c r="F766" s="15" t="s">
        <v>19</v>
      </c>
      <c r="G766" s="15" t="s">
        <v>30</v>
      </c>
      <c r="H766" s="16">
        <v>33428</v>
      </c>
      <c r="I766" s="16">
        <v>44123</v>
      </c>
      <c r="J766" s="16">
        <v>44303</v>
      </c>
      <c r="K766" s="15" t="s">
        <v>94</v>
      </c>
      <c r="L766" s="15" t="s">
        <v>182</v>
      </c>
      <c r="M766" s="15">
        <v>57557</v>
      </c>
      <c r="N766" s="15" t="s">
        <v>33</v>
      </c>
      <c r="O766" s="15">
        <v>0.49315068493150682</v>
      </c>
      <c r="P766" s="15" t="s">
        <v>1861</v>
      </c>
      <c r="Q766" s="15">
        <f t="shared" ca="1" si="22"/>
        <v>34</v>
      </c>
      <c r="R766" s="15" t="str">
        <f t="shared" si="23"/>
        <v>Low</v>
      </c>
    </row>
    <row r="767" spans="1:18" s="15" customFormat="1" x14ac:dyDescent="0.3">
      <c r="A767" s="15" t="s">
        <v>1554</v>
      </c>
      <c r="B767" s="15" t="s">
        <v>174</v>
      </c>
      <c r="C767" s="15" t="s">
        <v>201</v>
      </c>
      <c r="D767" s="15" t="s">
        <v>17</v>
      </c>
      <c r="E767" s="15" t="s">
        <v>18</v>
      </c>
      <c r="F767" s="15" t="s">
        <v>19</v>
      </c>
      <c r="G767" s="15" t="s">
        <v>30</v>
      </c>
      <c r="H767" s="16">
        <v>34717</v>
      </c>
      <c r="I767" s="16">
        <v>44284</v>
      </c>
      <c r="J767" s="16">
        <v>45574</v>
      </c>
      <c r="K767" s="15" t="s">
        <v>37</v>
      </c>
      <c r="L767" s="15" t="s">
        <v>38</v>
      </c>
      <c r="M767" s="15">
        <v>57996</v>
      </c>
      <c r="N767" s="15" t="s">
        <v>33</v>
      </c>
      <c r="O767" s="15">
        <v>0.49315068493150682</v>
      </c>
      <c r="P767" s="15" t="s">
        <v>1861</v>
      </c>
      <c r="Q767" s="15">
        <f t="shared" ca="1" si="22"/>
        <v>30</v>
      </c>
      <c r="R767" s="15" t="str">
        <f t="shared" si="23"/>
        <v>Low</v>
      </c>
    </row>
    <row r="768" spans="1:18" s="15" customFormat="1" x14ac:dyDescent="0.3">
      <c r="A768" s="15" t="s">
        <v>1555</v>
      </c>
      <c r="B768" s="15" t="s">
        <v>318</v>
      </c>
      <c r="C768" s="15" t="s">
        <v>1556</v>
      </c>
      <c r="D768" s="15" t="s">
        <v>27</v>
      </c>
      <c r="E768" s="15" t="s">
        <v>18</v>
      </c>
      <c r="F768" s="15" t="s">
        <v>19</v>
      </c>
      <c r="G768" s="15" t="s">
        <v>93</v>
      </c>
      <c r="H768" s="16">
        <v>25827</v>
      </c>
      <c r="I768" s="16">
        <v>43778</v>
      </c>
      <c r="J768" s="16">
        <v>43958</v>
      </c>
      <c r="K768" s="15" t="s">
        <v>94</v>
      </c>
      <c r="L768" s="15" t="s">
        <v>122</v>
      </c>
      <c r="M768" s="15">
        <v>83008</v>
      </c>
      <c r="N768" s="15" t="s">
        <v>96</v>
      </c>
      <c r="O768" s="15">
        <v>0.49315068493150682</v>
      </c>
      <c r="P768" s="15" t="s">
        <v>1861</v>
      </c>
      <c r="Q768" s="15">
        <f t="shared" ca="1" si="22"/>
        <v>55</v>
      </c>
      <c r="R768" s="15" t="str">
        <f t="shared" si="23"/>
        <v>Medium</v>
      </c>
    </row>
    <row r="769" spans="1:18" s="15" customFormat="1" x14ac:dyDescent="0.3">
      <c r="A769" s="15" t="s">
        <v>1557</v>
      </c>
      <c r="B769" s="15" t="s">
        <v>452</v>
      </c>
      <c r="C769" s="15" t="s">
        <v>291</v>
      </c>
      <c r="D769" s="15" t="s">
        <v>17</v>
      </c>
      <c r="E769" s="15" t="s">
        <v>120</v>
      </c>
      <c r="F769" s="15" t="s">
        <v>121</v>
      </c>
      <c r="G769" s="15" t="s">
        <v>112</v>
      </c>
      <c r="H769" s="16">
        <v>29293</v>
      </c>
      <c r="I769" s="16">
        <v>45087</v>
      </c>
      <c r="J769" s="16">
        <v>45267</v>
      </c>
      <c r="K769" s="15" t="s">
        <v>31</v>
      </c>
      <c r="L769" s="15" t="s">
        <v>32</v>
      </c>
      <c r="M769" s="15">
        <v>94473</v>
      </c>
      <c r="N769" s="15" t="s">
        <v>33</v>
      </c>
      <c r="O769" s="15">
        <v>0.56986301369863013</v>
      </c>
      <c r="P769" s="15" t="s">
        <v>1861</v>
      </c>
      <c r="Q769" s="15">
        <f t="shared" ca="1" si="22"/>
        <v>45</v>
      </c>
      <c r="R769" s="15" t="str">
        <f t="shared" si="23"/>
        <v>Medium</v>
      </c>
    </row>
    <row r="770" spans="1:18" s="15" customFormat="1" x14ac:dyDescent="0.3">
      <c r="A770" s="15" t="s">
        <v>1558</v>
      </c>
      <c r="B770" s="15" t="s">
        <v>801</v>
      </c>
      <c r="C770" s="15" t="s">
        <v>1559</v>
      </c>
      <c r="D770" s="15" t="s">
        <v>17</v>
      </c>
      <c r="E770" s="15" t="s">
        <v>81</v>
      </c>
      <c r="F770" s="15" t="s">
        <v>82</v>
      </c>
      <c r="G770" s="15" t="s">
        <v>20</v>
      </c>
      <c r="H770" s="16">
        <v>33154</v>
      </c>
      <c r="I770" s="16">
        <v>43153</v>
      </c>
      <c r="J770" s="16">
        <v>43333</v>
      </c>
      <c r="K770" s="15" t="s">
        <v>21</v>
      </c>
      <c r="L770" s="15" t="s">
        <v>100</v>
      </c>
      <c r="M770" s="15">
        <v>65399</v>
      </c>
      <c r="N770" s="15" t="s">
        <v>23</v>
      </c>
      <c r="O770" s="15">
        <v>0.49041095890410957</v>
      </c>
      <c r="P770" s="15" t="s">
        <v>1861</v>
      </c>
      <c r="Q770" s="15">
        <f t="shared" ref="Q770:Q833" ca="1" si="24">DATEDIF(H770, TODAY(), "Y")</f>
        <v>35</v>
      </c>
      <c r="R770" s="15" t="str">
        <f t="shared" si="23"/>
        <v>Medium</v>
      </c>
    </row>
    <row r="771" spans="1:18" s="15" customFormat="1" x14ac:dyDescent="0.3">
      <c r="A771" s="15" t="s">
        <v>1560</v>
      </c>
      <c r="B771" s="15" t="s">
        <v>1226</v>
      </c>
      <c r="C771" s="15" t="s">
        <v>842</v>
      </c>
      <c r="D771" s="15" t="s">
        <v>17</v>
      </c>
      <c r="E771" s="15" t="s">
        <v>18</v>
      </c>
      <c r="F771" s="15" t="s">
        <v>19</v>
      </c>
      <c r="G771" s="15" t="s">
        <v>30</v>
      </c>
      <c r="H771" s="16">
        <v>37112</v>
      </c>
      <c r="I771" s="16">
        <v>42864</v>
      </c>
      <c r="J771" s="16">
        <v>44100</v>
      </c>
      <c r="K771" s="15" t="s">
        <v>94</v>
      </c>
      <c r="L771" s="15" t="s">
        <v>182</v>
      </c>
      <c r="M771" s="15">
        <v>65945</v>
      </c>
      <c r="N771" s="15" t="s">
        <v>33</v>
      </c>
      <c r="O771" s="15">
        <v>0.49315068493150682</v>
      </c>
      <c r="P771" s="15" t="s">
        <v>1861</v>
      </c>
      <c r="Q771" s="15">
        <f t="shared" ca="1" si="24"/>
        <v>24</v>
      </c>
      <c r="R771" s="15" t="str">
        <f t="shared" ref="R771:R834" si="25">IF(M771:M1736&gt;100000,"High",IF(M771:M1736&gt;60000,"Medium","Low"))</f>
        <v>Medium</v>
      </c>
    </row>
    <row r="772" spans="1:18" s="15" customFormat="1" x14ac:dyDescent="0.3">
      <c r="A772" s="15" t="s">
        <v>1561</v>
      </c>
      <c r="B772" s="15" t="s">
        <v>1108</v>
      </c>
      <c r="C772" s="15" t="s">
        <v>77</v>
      </c>
      <c r="D772" s="15" t="s">
        <v>27</v>
      </c>
      <c r="E772" s="15" t="s">
        <v>18</v>
      </c>
      <c r="F772" s="15" t="s">
        <v>19</v>
      </c>
      <c r="G772" s="15" t="s">
        <v>112</v>
      </c>
      <c r="H772" s="16">
        <v>29263</v>
      </c>
      <c r="I772" s="16">
        <v>44159</v>
      </c>
      <c r="J772" s="16">
        <v>44339</v>
      </c>
      <c r="K772" s="15" t="s">
        <v>31</v>
      </c>
      <c r="L772" s="15" t="s">
        <v>159</v>
      </c>
      <c r="M772" s="15">
        <v>86973</v>
      </c>
      <c r="N772" s="15" t="s">
        <v>33</v>
      </c>
      <c r="O772" s="15">
        <v>0.49315068493150682</v>
      </c>
      <c r="P772" s="15" t="s">
        <v>1861</v>
      </c>
      <c r="Q772" s="15">
        <f t="shared" ca="1" si="24"/>
        <v>45</v>
      </c>
      <c r="R772" s="15" t="str">
        <f t="shared" si="25"/>
        <v>Medium</v>
      </c>
    </row>
    <row r="773" spans="1:18" s="15" customFormat="1" x14ac:dyDescent="0.3">
      <c r="A773" s="15" t="s">
        <v>1562</v>
      </c>
      <c r="B773" s="15" t="s">
        <v>1259</v>
      </c>
      <c r="C773" s="15" t="s">
        <v>1563</v>
      </c>
      <c r="D773" s="15" t="s">
        <v>27</v>
      </c>
      <c r="E773" s="15" t="s">
        <v>354</v>
      </c>
      <c r="F773" s="15" t="s">
        <v>355</v>
      </c>
      <c r="G773" s="15" t="s">
        <v>93</v>
      </c>
      <c r="H773" s="16">
        <v>22299</v>
      </c>
      <c r="I773" s="16">
        <v>43423</v>
      </c>
      <c r="J773" s="16">
        <v>43603</v>
      </c>
      <c r="K773" s="15" t="s">
        <v>94</v>
      </c>
      <c r="L773" s="15" t="s">
        <v>117</v>
      </c>
      <c r="M773" s="15">
        <v>83005</v>
      </c>
      <c r="N773" s="15" t="s">
        <v>96</v>
      </c>
      <c r="O773" s="15">
        <v>0.49315068493150682</v>
      </c>
      <c r="P773" s="15" t="s">
        <v>1862</v>
      </c>
      <c r="Q773" s="15">
        <f t="shared" ca="1" si="24"/>
        <v>64</v>
      </c>
      <c r="R773" s="15" t="str">
        <f t="shared" si="25"/>
        <v>Medium</v>
      </c>
    </row>
    <row r="774" spans="1:18" s="15" customFormat="1" x14ac:dyDescent="0.3">
      <c r="A774" s="15" t="s">
        <v>1564</v>
      </c>
      <c r="B774" s="15" t="s">
        <v>218</v>
      </c>
      <c r="C774" s="15" t="s">
        <v>175</v>
      </c>
      <c r="D774" s="15" t="s">
        <v>27</v>
      </c>
      <c r="E774" s="15" t="s">
        <v>18</v>
      </c>
      <c r="F774" s="15" t="s">
        <v>19</v>
      </c>
      <c r="G774" s="15" t="s">
        <v>30</v>
      </c>
      <c r="H774" s="16">
        <v>36576</v>
      </c>
      <c r="I774" s="16">
        <v>44823</v>
      </c>
      <c r="J774" s="16">
        <v>45003</v>
      </c>
      <c r="K774" s="15" t="s">
        <v>31</v>
      </c>
      <c r="L774" s="15" t="s">
        <v>159</v>
      </c>
      <c r="M774" s="15">
        <v>108825</v>
      </c>
      <c r="N774" s="15" t="s">
        <v>33</v>
      </c>
      <c r="O774" s="15">
        <v>0.49315068493150682</v>
      </c>
      <c r="P774" s="15" t="s">
        <v>1861</v>
      </c>
      <c r="Q774" s="15">
        <f t="shared" ca="1" si="24"/>
        <v>25</v>
      </c>
      <c r="R774" s="15" t="str">
        <f t="shared" si="25"/>
        <v>High</v>
      </c>
    </row>
    <row r="775" spans="1:18" s="15" customFormat="1" x14ac:dyDescent="0.3">
      <c r="A775" s="15" t="s">
        <v>1565</v>
      </c>
      <c r="B775" s="15" t="s">
        <v>1093</v>
      </c>
      <c r="C775" s="15" t="s">
        <v>89</v>
      </c>
      <c r="D775" s="15" t="s">
        <v>17</v>
      </c>
      <c r="E775" s="15" t="s">
        <v>18</v>
      </c>
      <c r="F775" s="15" t="s">
        <v>19</v>
      </c>
      <c r="G775" s="15" t="s">
        <v>30</v>
      </c>
      <c r="H775" s="16">
        <v>33372</v>
      </c>
      <c r="I775" s="16">
        <v>43129</v>
      </c>
      <c r="J775" s="16">
        <v>44177</v>
      </c>
      <c r="K775" s="15" t="s">
        <v>94</v>
      </c>
      <c r="L775" s="15" t="s">
        <v>182</v>
      </c>
      <c r="M775" s="15">
        <v>66164</v>
      </c>
      <c r="N775" s="15" t="s">
        <v>33</v>
      </c>
      <c r="O775" s="15">
        <v>0.49315068493150682</v>
      </c>
      <c r="P775" s="15" t="s">
        <v>1861</v>
      </c>
      <c r="Q775" s="15">
        <f t="shared" ca="1" si="24"/>
        <v>34</v>
      </c>
      <c r="R775" s="15" t="str">
        <f t="shared" si="25"/>
        <v>Medium</v>
      </c>
    </row>
    <row r="776" spans="1:18" s="15" customFormat="1" x14ac:dyDescent="0.3">
      <c r="A776" s="15" t="s">
        <v>1566</v>
      </c>
      <c r="B776" s="15" t="s">
        <v>1193</v>
      </c>
      <c r="C776" s="15" t="s">
        <v>1490</v>
      </c>
      <c r="D776" s="15" t="s">
        <v>27</v>
      </c>
      <c r="E776" s="15" t="s">
        <v>18</v>
      </c>
      <c r="F776" s="15" t="s">
        <v>19</v>
      </c>
      <c r="G776" s="15" t="s">
        <v>20</v>
      </c>
      <c r="H776" s="16">
        <v>25388</v>
      </c>
      <c r="I776" s="16">
        <v>44112</v>
      </c>
      <c r="J776" s="16">
        <v>44292</v>
      </c>
      <c r="K776" s="15" t="s">
        <v>21</v>
      </c>
      <c r="L776" s="15" t="s">
        <v>100</v>
      </c>
      <c r="M776" s="15">
        <v>63385</v>
      </c>
      <c r="N776" s="15" t="s">
        <v>23</v>
      </c>
      <c r="O776" s="15">
        <v>1.408219178082192</v>
      </c>
      <c r="P776" s="15" t="s">
        <v>1862</v>
      </c>
      <c r="Q776" s="15">
        <f t="shared" ca="1" si="24"/>
        <v>56</v>
      </c>
      <c r="R776" s="15" t="str">
        <f t="shared" si="25"/>
        <v>Medium</v>
      </c>
    </row>
    <row r="777" spans="1:18" s="15" customFormat="1" x14ac:dyDescent="0.3">
      <c r="A777" s="15" t="s">
        <v>1567</v>
      </c>
      <c r="B777" s="15" t="s">
        <v>254</v>
      </c>
      <c r="C777" s="15" t="s">
        <v>50</v>
      </c>
      <c r="D777" s="15" t="s">
        <v>17</v>
      </c>
      <c r="E777" s="15" t="s">
        <v>169</v>
      </c>
      <c r="F777" s="15" t="s">
        <v>170</v>
      </c>
      <c r="G777" s="15" t="s">
        <v>20</v>
      </c>
      <c r="H777" s="16">
        <v>26070</v>
      </c>
      <c r="I777" s="16">
        <v>44278</v>
      </c>
      <c r="J777" s="16">
        <v>44458</v>
      </c>
      <c r="K777" s="15" t="s">
        <v>37</v>
      </c>
      <c r="L777" s="15" t="s">
        <v>41</v>
      </c>
      <c r="M777" s="15">
        <v>59746</v>
      </c>
      <c r="N777" s="15" t="s">
        <v>23</v>
      </c>
      <c r="O777" s="15">
        <v>0.49315068493150682</v>
      </c>
      <c r="P777" s="15" t="s">
        <v>1861</v>
      </c>
      <c r="Q777" s="15">
        <f t="shared" ca="1" si="24"/>
        <v>54</v>
      </c>
      <c r="R777" s="15" t="str">
        <f t="shared" si="25"/>
        <v>Low</v>
      </c>
    </row>
    <row r="778" spans="1:18" s="15" customFormat="1" x14ac:dyDescent="0.3">
      <c r="A778" s="15" t="s">
        <v>1568</v>
      </c>
      <c r="B778" s="15" t="s">
        <v>1569</v>
      </c>
      <c r="C778" s="15" t="s">
        <v>385</v>
      </c>
      <c r="D778" s="15" t="s">
        <v>27</v>
      </c>
      <c r="E778" s="15" t="s">
        <v>18</v>
      </c>
      <c r="F778" s="15" t="s">
        <v>19</v>
      </c>
      <c r="G778" s="15" t="s">
        <v>20</v>
      </c>
      <c r="H778" s="16">
        <v>21726</v>
      </c>
      <c r="I778" s="16">
        <v>43453</v>
      </c>
      <c r="J778" s="16">
        <v>43633</v>
      </c>
      <c r="K778" s="15" t="s">
        <v>21</v>
      </c>
      <c r="L778" s="15" t="s">
        <v>100</v>
      </c>
      <c r="M778" s="15">
        <v>62527</v>
      </c>
      <c r="N778" s="15" t="s">
        <v>23</v>
      </c>
      <c r="O778" s="15">
        <v>3.6164383561643829</v>
      </c>
      <c r="P778" s="15" t="s">
        <v>1862</v>
      </c>
      <c r="Q778" s="15">
        <f t="shared" ca="1" si="24"/>
        <v>66</v>
      </c>
      <c r="R778" s="15" t="str">
        <f t="shared" si="25"/>
        <v>Medium</v>
      </c>
    </row>
    <row r="779" spans="1:18" s="15" customFormat="1" x14ac:dyDescent="0.3">
      <c r="A779" s="15" t="s">
        <v>1570</v>
      </c>
      <c r="B779" s="15" t="s">
        <v>1462</v>
      </c>
      <c r="C779" s="15" t="s">
        <v>1571</v>
      </c>
      <c r="D779" s="15" t="s">
        <v>27</v>
      </c>
      <c r="E779" s="15" t="s">
        <v>18</v>
      </c>
      <c r="F779" s="15" t="s">
        <v>19</v>
      </c>
      <c r="G779" s="15" t="s">
        <v>30</v>
      </c>
      <c r="H779" s="16">
        <v>38026</v>
      </c>
      <c r="I779" s="16">
        <v>43388</v>
      </c>
      <c r="J779" s="16">
        <v>43938</v>
      </c>
      <c r="K779" s="15" t="s">
        <v>94</v>
      </c>
      <c r="L779" s="15" t="s">
        <v>117</v>
      </c>
      <c r="M779" s="15">
        <v>61237</v>
      </c>
      <c r="N779" s="15" t="s">
        <v>33</v>
      </c>
      <c r="O779" s="15">
        <v>0.49315068493150682</v>
      </c>
      <c r="P779" s="15" t="s">
        <v>1862</v>
      </c>
      <c r="Q779" s="15">
        <f t="shared" ca="1" si="24"/>
        <v>21</v>
      </c>
      <c r="R779" s="15" t="str">
        <f t="shared" si="25"/>
        <v>Medium</v>
      </c>
    </row>
    <row r="780" spans="1:18" s="15" customFormat="1" x14ac:dyDescent="0.3">
      <c r="A780" s="15" t="s">
        <v>1572</v>
      </c>
      <c r="B780" s="15" t="s">
        <v>76</v>
      </c>
      <c r="C780" s="15" t="s">
        <v>1573</v>
      </c>
      <c r="D780" s="15" t="s">
        <v>17</v>
      </c>
      <c r="E780" s="15" t="s">
        <v>18</v>
      </c>
      <c r="F780" s="15" t="s">
        <v>19</v>
      </c>
      <c r="G780" s="15" t="s">
        <v>112</v>
      </c>
      <c r="H780" s="16">
        <v>31732</v>
      </c>
      <c r="I780" s="16">
        <v>42921</v>
      </c>
      <c r="J780" s="16">
        <v>44591</v>
      </c>
      <c r="K780" s="15" t="s">
        <v>51</v>
      </c>
      <c r="L780" s="15" t="s">
        <v>233</v>
      </c>
      <c r="M780" s="15">
        <v>91996</v>
      </c>
      <c r="N780" s="15" t="s">
        <v>96</v>
      </c>
      <c r="O780" s="15">
        <v>6.882191780821918</v>
      </c>
      <c r="P780" s="15" t="s">
        <v>1861</v>
      </c>
      <c r="Q780" s="15">
        <f t="shared" ca="1" si="24"/>
        <v>39</v>
      </c>
      <c r="R780" s="15" t="str">
        <f t="shared" si="25"/>
        <v>Medium</v>
      </c>
    </row>
    <row r="781" spans="1:18" s="15" customFormat="1" x14ac:dyDescent="0.3">
      <c r="A781" s="15" t="s">
        <v>1574</v>
      </c>
      <c r="B781" s="15" t="s">
        <v>1575</v>
      </c>
      <c r="C781" s="15" t="s">
        <v>479</v>
      </c>
      <c r="D781" s="15" t="s">
        <v>17</v>
      </c>
      <c r="E781" s="15" t="s">
        <v>18</v>
      </c>
      <c r="F781" s="15" t="s">
        <v>19</v>
      </c>
      <c r="G781" s="15" t="s">
        <v>30</v>
      </c>
      <c r="H781" s="16">
        <v>29559</v>
      </c>
      <c r="I781" s="16">
        <v>43374</v>
      </c>
      <c r="J781" s="16">
        <v>44423</v>
      </c>
      <c r="K781" s="15" t="s">
        <v>21</v>
      </c>
      <c r="L781" s="15" t="s">
        <v>108</v>
      </c>
      <c r="M781" s="15">
        <v>64142</v>
      </c>
      <c r="N781" s="15" t="s">
        <v>33</v>
      </c>
      <c r="O781" s="15">
        <v>1.145205479452055</v>
      </c>
      <c r="P781" s="15" t="s">
        <v>1861</v>
      </c>
      <c r="Q781" s="15">
        <f t="shared" ca="1" si="24"/>
        <v>45</v>
      </c>
      <c r="R781" s="15" t="str">
        <f t="shared" si="25"/>
        <v>Medium</v>
      </c>
    </row>
    <row r="782" spans="1:18" s="15" customFormat="1" x14ac:dyDescent="0.3">
      <c r="A782" s="15" t="s">
        <v>1576</v>
      </c>
      <c r="B782" s="15" t="s">
        <v>218</v>
      </c>
      <c r="C782" s="15" t="s">
        <v>1577</v>
      </c>
      <c r="D782" s="15" t="s">
        <v>27</v>
      </c>
      <c r="E782" s="15" t="s">
        <v>18</v>
      </c>
      <c r="F782" s="15" t="s">
        <v>19</v>
      </c>
      <c r="G782" s="15" t="s">
        <v>30</v>
      </c>
      <c r="H782" s="16">
        <v>28436</v>
      </c>
      <c r="I782" s="16">
        <v>43315</v>
      </c>
      <c r="J782" s="16">
        <v>43495</v>
      </c>
      <c r="K782" s="15" t="s">
        <v>94</v>
      </c>
      <c r="L782" s="15" t="s">
        <v>182</v>
      </c>
      <c r="M782" s="15">
        <v>68752</v>
      </c>
      <c r="N782" s="15" t="s">
        <v>33</v>
      </c>
      <c r="O782" s="15">
        <v>0.49315068493150682</v>
      </c>
      <c r="P782" s="15" t="s">
        <v>1861</v>
      </c>
      <c r="Q782" s="15">
        <f t="shared" ca="1" si="24"/>
        <v>48</v>
      </c>
      <c r="R782" s="15" t="str">
        <f t="shared" si="25"/>
        <v>Medium</v>
      </c>
    </row>
    <row r="783" spans="1:18" s="15" customFormat="1" x14ac:dyDescent="0.3">
      <c r="A783" s="15" t="s">
        <v>1578</v>
      </c>
      <c r="B783" s="15" t="s">
        <v>966</v>
      </c>
      <c r="C783" s="15" t="s">
        <v>642</v>
      </c>
      <c r="D783" s="15" t="s">
        <v>17</v>
      </c>
      <c r="E783" s="15" t="s">
        <v>18</v>
      </c>
      <c r="F783" s="15" t="s">
        <v>19</v>
      </c>
      <c r="G783" s="15" t="s">
        <v>112</v>
      </c>
      <c r="H783" s="16">
        <v>32451</v>
      </c>
      <c r="I783" s="16">
        <v>44012</v>
      </c>
      <c r="J783" s="16">
        <v>44905</v>
      </c>
      <c r="K783" s="15" t="s">
        <v>94</v>
      </c>
      <c r="L783" s="15" t="s">
        <v>117</v>
      </c>
      <c r="M783" s="15">
        <v>71298</v>
      </c>
      <c r="N783" s="15" t="s">
        <v>96</v>
      </c>
      <c r="O783" s="15">
        <v>3.0164383561643842</v>
      </c>
      <c r="P783" s="15" t="s">
        <v>1861</v>
      </c>
      <c r="Q783" s="15">
        <f t="shared" ca="1" si="24"/>
        <v>37</v>
      </c>
      <c r="R783" s="15" t="str">
        <f t="shared" si="25"/>
        <v>Medium</v>
      </c>
    </row>
    <row r="784" spans="1:18" s="15" customFormat="1" x14ac:dyDescent="0.3">
      <c r="A784" s="15" t="s">
        <v>1579</v>
      </c>
      <c r="B784" s="15" t="s">
        <v>174</v>
      </c>
      <c r="C784" s="15" t="s">
        <v>371</v>
      </c>
      <c r="D784" s="15" t="s">
        <v>27</v>
      </c>
      <c r="E784" s="15" t="s">
        <v>28</v>
      </c>
      <c r="F784" s="15" t="s">
        <v>29</v>
      </c>
      <c r="G784" s="15" t="s">
        <v>20</v>
      </c>
      <c r="H784" s="16">
        <v>34755</v>
      </c>
      <c r="I784" s="16">
        <v>42837</v>
      </c>
      <c r="J784" s="16">
        <v>43151</v>
      </c>
      <c r="K784" s="15" t="s">
        <v>21</v>
      </c>
      <c r="L784" s="15" t="s">
        <v>22</v>
      </c>
      <c r="M784" s="15">
        <v>58313</v>
      </c>
      <c r="N784" s="15" t="s">
        <v>23</v>
      </c>
      <c r="O784" s="15">
        <v>0.49315068493150682</v>
      </c>
      <c r="P784" s="15" t="s">
        <v>1862</v>
      </c>
      <c r="Q784" s="15">
        <f t="shared" ca="1" si="24"/>
        <v>30</v>
      </c>
      <c r="R784" s="15" t="str">
        <f t="shared" si="25"/>
        <v>Low</v>
      </c>
    </row>
    <row r="785" spans="1:18" s="15" customFormat="1" x14ac:dyDescent="0.3">
      <c r="A785" s="15" t="s">
        <v>1580</v>
      </c>
      <c r="B785" s="15" t="s">
        <v>68</v>
      </c>
      <c r="C785" s="15" t="s">
        <v>1581</v>
      </c>
      <c r="D785" s="15" t="s">
        <v>27</v>
      </c>
      <c r="E785" s="15" t="s">
        <v>120</v>
      </c>
      <c r="F785" s="15" t="s">
        <v>223</v>
      </c>
      <c r="G785" s="15" t="s">
        <v>20</v>
      </c>
      <c r="H785" s="16">
        <v>37202</v>
      </c>
      <c r="I785" s="16">
        <v>43281</v>
      </c>
      <c r="J785" s="16">
        <v>44548</v>
      </c>
      <c r="K785" s="15" t="s">
        <v>21</v>
      </c>
      <c r="L785" s="15" t="s">
        <v>22</v>
      </c>
      <c r="M785" s="15">
        <v>73163</v>
      </c>
      <c r="N785" s="15" t="s">
        <v>23</v>
      </c>
      <c r="O785" s="15">
        <v>9.2301369863013694</v>
      </c>
      <c r="P785" s="15" t="s">
        <v>1861</v>
      </c>
      <c r="Q785" s="15">
        <f t="shared" ca="1" si="24"/>
        <v>24</v>
      </c>
      <c r="R785" s="15" t="str">
        <f t="shared" si="25"/>
        <v>Medium</v>
      </c>
    </row>
    <row r="786" spans="1:18" s="15" customFormat="1" x14ac:dyDescent="0.3">
      <c r="A786" s="15" t="s">
        <v>1582</v>
      </c>
      <c r="B786" s="15" t="s">
        <v>1583</v>
      </c>
      <c r="C786" s="15" t="s">
        <v>1584</v>
      </c>
      <c r="D786" s="15" t="s">
        <v>17</v>
      </c>
      <c r="E786" s="15" t="s">
        <v>354</v>
      </c>
      <c r="F786" s="15" t="s">
        <v>519</v>
      </c>
      <c r="G786" s="15" t="s">
        <v>30</v>
      </c>
      <c r="H786" s="16">
        <v>32785</v>
      </c>
      <c r="I786" s="16">
        <v>45109</v>
      </c>
      <c r="J786" s="16">
        <v>45530</v>
      </c>
      <c r="K786" s="15" t="s">
        <v>94</v>
      </c>
      <c r="L786" s="15" t="s">
        <v>182</v>
      </c>
      <c r="M786" s="15">
        <v>74548</v>
      </c>
      <c r="N786" s="15" t="s">
        <v>44</v>
      </c>
      <c r="O786" s="15">
        <v>0.49315068493150682</v>
      </c>
      <c r="P786" s="15" t="s">
        <v>1862</v>
      </c>
      <c r="Q786" s="15">
        <f t="shared" ca="1" si="24"/>
        <v>36</v>
      </c>
      <c r="R786" s="15" t="str">
        <f t="shared" si="25"/>
        <v>Medium</v>
      </c>
    </row>
    <row r="787" spans="1:18" s="15" customFormat="1" x14ac:dyDescent="0.3">
      <c r="A787" s="15" t="s">
        <v>1585</v>
      </c>
      <c r="B787" s="15" t="s">
        <v>1586</v>
      </c>
      <c r="C787" s="15" t="s">
        <v>1328</v>
      </c>
      <c r="D787" s="15" t="s">
        <v>27</v>
      </c>
      <c r="E787" s="15" t="s">
        <v>18</v>
      </c>
      <c r="F787" s="15" t="s">
        <v>19</v>
      </c>
      <c r="G787" s="15" t="s">
        <v>30</v>
      </c>
      <c r="H787" s="16">
        <v>34136</v>
      </c>
      <c r="I787" s="16">
        <v>42814</v>
      </c>
      <c r="J787" s="16">
        <v>45530</v>
      </c>
      <c r="K787" s="15" t="s">
        <v>94</v>
      </c>
      <c r="L787" s="15" t="s">
        <v>182</v>
      </c>
      <c r="M787" s="15">
        <v>80099</v>
      </c>
      <c r="N787" s="15" t="s">
        <v>33</v>
      </c>
      <c r="O787" s="15">
        <v>0.49315068493150682</v>
      </c>
      <c r="P787" s="15" t="s">
        <v>1862</v>
      </c>
      <c r="Q787" s="15">
        <f t="shared" ca="1" si="24"/>
        <v>32</v>
      </c>
      <c r="R787" s="15" t="str">
        <f t="shared" si="25"/>
        <v>Medium</v>
      </c>
    </row>
    <row r="788" spans="1:18" s="15" customFormat="1" x14ac:dyDescent="0.3">
      <c r="A788" s="15" t="s">
        <v>1587</v>
      </c>
      <c r="B788" s="15" t="s">
        <v>1259</v>
      </c>
      <c r="C788" s="15" t="s">
        <v>383</v>
      </c>
      <c r="D788" s="15" t="s">
        <v>27</v>
      </c>
      <c r="E788" s="15" t="s">
        <v>18</v>
      </c>
      <c r="F788" s="15" t="s">
        <v>19</v>
      </c>
      <c r="G788" s="15" t="s">
        <v>20</v>
      </c>
      <c r="H788" s="16">
        <v>25481</v>
      </c>
      <c r="I788" s="16">
        <v>44780</v>
      </c>
      <c r="J788" s="16">
        <v>44960</v>
      </c>
      <c r="K788" s="15" t="s">
        <v>21</v>
      </c>
      <c r="L788" s="15" t="s">
        <v>22</v>
      </c>
      <c r="M788" s="15">
        <v>90756</v>
      </c>
      <c r="N788" s="15" t="s">
        <v>23</v>
      </c>
      <c r="O788" s="15">
        <v>0.49315068493150682</v>
      </c>
      <c r="P788" s="15" t="s">
        <v>1861</v>
      </c>
      <c r="Q788" s="15">
        <f t="shared" ca="1" si="24"/>
        <v>56</v>
      </c>
      <c r="R788" s="15" t="str">
        <f t="shared" si="25"/>
        <v>Medium</v>
      </c>
    </row>
    <row r="789" spans="1:18" s="15" customFormat="1" x14ac:dyDescent="0.3">
      <c r="A789" s="15" t="s">
        <v>1588</v>
      </c>
      <c r="B789" s="15" t="s">
        <v>260</v>
      </c>
      <c r="C789" s="15" t="s">
        <v>1589</v>
      </c>
      <c r="D789" s="15" t="s">
        <v>27</v>
      </c>
      <c r="E789" s="15" t="s">
        <v>18</v>
      </c>
      <c r="F789" s="15" t="s">
        <v>19</v>
      </c>
      <c r="G789" s="15" t="s">
        <v>20</v>
      </c>
      <c r="H789" s="16">
        <v>27973</v>
      </c>
      <c r="I789" s="16">
        <v>43472</v>
      </c>
      <c r="J789" s="16">
        <v>43652</v>
      </c>
      <c r="K789" s="15" t="s">
        <v>31</v>
      </c>
      <c r="L789" s="15" t="s">
        <v>83</v>
      </c>
      <c r="M789" s="15">
        <v>58080</v>
      </c>
      <c r="N789" s="15" t="s">
        <v>23</v>
      </c>
      <c r="O789" s="15">
        <v>3.095890410958904</v>
      </c>
      <c r="P789" s="15" t="s">
        <v>1861</v>
      </c>
      <c r="Q789" s="15">
        <f t="shared" ca="1" si="24"/>
        <v>49</v>
      </c>
      <c r="R789" s="15" t="str">
        <f t="shared" si="25"/>
        <v>Low</v>
      </c>
    </row>
    <row r="790" spans="1:18" s="15" customFormat="1" x14ac:dyDescent="0.3">
      <c r="A790" s="15" t="s">
        <v>1590</v>
      </c>
      <c r="B790" s="15" t="s">
        <v>1472</v>
      </c>
      <c r="C790" s="15" t="s">
        <v>1591</v>
      </c>
      <c r="D790" s="15" t="s">
        <v>27</v>
      </c>
      <c r="E790" s="15" t="s">
        <v>18</v>
      </c>
      <c r="F790" s="15" t="s">
        <v>19</v>
      </c>
      <c r="G790" s="15" t="s">
        <v>20</v>
      </c>
      <c r="H790" s="16">
        <v>38021</v>
      </c>
      <c r="I790" s="16">
        <v>42594</v>
      </c>
      <c r="J790" s="16">
        <v>44913</v>
      </c>
      <c r="K790" s="15" t="s">
        <v>37</v>
      </c>
      <c r="L790" s="15" t="s">
        <v>41</v>
      </c>
      <c r="M790" s="15">
        <v>60965</v>
      </c>
      <c r="N790" s="15" t="s">
        <v>23</v>
      </c>
      <c r="O790" s="15">
        <v>7.934246575342466</v>
      </c>
      <c r="P790" s="15" t="s">
        <v>1861</v>
      </c>
      <c r="Q790" s="15">
        <f t="shared" ca="1" si="24"/>
        <v>21</v>
      </c>
      <c r="R790" s="15" t="str">
        <f t="shared" si="25"/>
        <v>Medium</v>
      </c>
    </row>
    <row r="791" spans="1:18" s="15" customFormat="1" x14ac:dyDescent="0.3">
      <c r="A791" s="15" t="s">
        <v>1592</v>
      </c>
      <c r="B791" s="15" t="s">
        <v>140</v>
      </c>
      <c r="C791" s="15" t="s">
        <v>440</v>
      </c>
      <c r="D791" s="15" t="s">
        <v>17</v>
      </c>
      <c r="E791" s="15" t="s">
        <v>18</v>
      </c>
      <c r="F791" s="15" t="s">
        <v>19</v>
      </c>
      <c r="G791" s="15" t="s">
        <v>30</v>
      </c>
      <c r="H791" s="16">
        <v>33565</v>
      </c>
      <c r="I791" s="16">
        <v>42812</v>
      </c>
      <c r="J791" s="16">
        <v>44888</v>
      </c>
      <c r="K791" s="15" t="s">
        <v>70</v>
      </c>
      <c r="L791" s="15" t="s">
        <v>1166</v>
      </c>
      <c r="M791" s="15">
        <v>54114</v>
      </c>
      <c r="N791" s="15" t="s">
        <v>44</v>
      </c>
      <c r="O791" s="15">
        <v>0.49315068493150682</v>
      </c>
      <c r="P791" s="15" t="s">
        <v>1862</v>
      </c>
      <c r="Q791" s="15">
        <f t="shared" ca="1" si="24"/>
        <v>34</v>
      </c>
      <c r="R791" s="15" t="str">
        <f t="shared" si="25"/>
        <v>Low</v>
      </c>
    </row>
    <row r="792" spans="1:18" s="15" customFormat="1" x14ac:dyDescent="0.3">
      <c r="A792" s="15" t="s">
        <v>1593</v>
      </c>
      <c r="B792" s="15" t="s">
        <v>990</v>
      </c>
      <c r="C792" s="15" t="s">
        <v>218</v>
      </c>
      <c r="D792" s="15" t="s">
        <v>27</v>
      </c>
      <c r="E792" s="15" t="s">
        <v>18</v>
      </c>
      <c r="F792" s="15" t="s">
        <v>19</v>
      </c>
      <c r="G792" s="15" t="s">
        <v>30</v>
      </c>
      <c r="H792" s="16">
        <v>33634</v>
      </c>
      <c r="I792" s="16">
        <v>43059</v>
      </c>
      <c r="J792" s="16">
        <v>43564</v>
      </c>
      <c r="K792" s="15" t="s">
        <v>21</v>
      </c>
      <c r="L792" s="15" t="s">
        <v>108</v>
      </c>
      <c r="M792" s="15">
        <v>61368</v>
      </c>
      <c r="N792" s="15" t="s">
        <v>23</v>
      </c>
      <c r="O792" s="15">
        <v>0.49315068493150682</v>
      </c>
      <c r="P792" s="15" t="s">
        <v>1861</v>
      </c>
      <c r="Q792" s="15">
        <f t="shared" ca="1" si="24"/>
        <v>33</v>
      </c>
      <c r="R792" s="15" t="str">
        <f t="shared" si="25"/>
        <v>Medium</v>
      </c>
    </row>
    <row r="793" spans="1:18" s="15" customFormat="1" x14ac:dyDescent="0.3">
      <c r="A793" s="15" t="s">
        <v>1594</v>
      </c>
      <c r="B793" s="15" t="s">
        <v>25</v>
      </c>
      <c r="C793" s="15" t="s">
        <v>1595</v>
      </c>
      <c r="D793" s="15" t="s">
        <v>27</v>
      </c>
      <c r="E793" s="15" t="s">
        <v>18</v>
      </c>
      <c r="F793" s="15" t="s">
        <v>19</v>
      </c>
      <c r="G793" s="15" t="s">
        <v>30</v>
      </c>
      <c r="H793" s="16">
        <v>38114</v>
      </c>
      <c r="I793" s="16">
        <v>44096</v>
      </c>
      <c r="J793" s="16">
        <v>44276</v>
      </c>
      <c r="K793" s="15" t="s">
        <v>94</v>
      </c>
      <c r="L793" s="15" t="s">
        <v>182</v>
      </c>
      <c r="M793" s="15">
        <v>67970</v>
      </c>
      <c r="N793" s="15" t="s">
        <v>23</v>
      </c>
      <c r="O793" s="15">
        <v>0.49315068493150682</v>
      </c>
      <c r="P793" s="15" t="s">
        <v>1861</v>
      </c>
      <c r="Q793" s="15">
        <f t="shared" ca="1" si="24"/>
        <v>21</v>
      </c>
      <c r="R793" s="15" t="str">
        <f t="shared" si="25"/>
        <v>Medium</v>
      </c>
    </row>
    <row r="794" spans="1:18" s="15" customFormat="1" x14ac:dyDescent="0.3">
      <c r="A794" s="15" t="s">
        <v>1596</v>
      </c>
      <c r="B794" s="15" t="s">
        <v>63</v>
      </c>
      <c r="C794" s="15" t="s">
        <v>719</v>
      </c>
      <c r="D794" s="15" t="s">
        <v>27</v>
      </c>
      <c r="E794" s="15" t="s">
        <v>137</v>
      </c>
      <c r="F794" s="15" t="s">
        <v>595</v>
      </c>
      <c r="G794" s="15" t="s">
        <v>112</v>
      </c>
      <c r="H794" s="16">
        <v>27469</v>
      </c>
      <c r="I794" s="16">
        <v>42925</v>
      </c>
      <c r="J794" s="16">
        <v>43802</v>
      </c>
      <c r="K794" s="15" t="s">
        <v>94</v>
      </c>
      <c r="L794" s="15" t="s">
        <v>122</v>
      </c>
      <c r="M794" s="15">
        <v>92906</v>
      </c>
      <c r="N794" s="15" t="s">
        <v>96</v>
      </c>
      <c r="O794" s="15">
        <v>7.2273972602739729</v>
      </c>
      <c r="P794" s="15" t="s">
        <v>1861</v>
      </c>
      <c r="Q794" s="15">
        <f t="shared" ca="1" si="24"/>
        <v>50</v>
      </c>
      <c r="R794" s="15" t="str">
        <f t="shared" si="25"/>
        <v>Medium</v>
      </c>
    </row>
    <row r="795" spans="1:18" s="15" customFormat="1" x14ac:dyDescent="0.3">
      <c r="A795" s="15" t="s">
        <v>1597</v>
      </c>
      <c r="B795" s="15" t="s">
        <v>801</v>
      </c>
      <c r="C795" s="15" t="s">
        <v>930</v>
      </c>
      <c r="D795" s="15" t="s">
        <v>17</v>
      </c>
      <c r="E795" s="15" t="s">
        <v>81</v>
      </c>
      <c r="F795" s="15" t="s">
        <v>82</v>
      </c>
      <c r="G795" s="15" t="s">
        <v>93</v>
      </c>
      <c r="H795" s="16">
        <v>22953</v>
      </c>
      <c r="I795" s="16">
        <v>44021</v>
      </c>
      <c r="J795" s="16">
        <v>44575</v>
      </c>
      <c r="K795" s="15" t="s">
        <v>94</v>
      </c>
      <c r="L795" s="15" t="s">
        <v>122</v>
      </c>
      <c r="M795" s="15">
        <v>112880</v>
      </c>
      <c r="N795" s="15" t="s">
        <v>96</v>
      </c>
      <c r="O795" s="15">
        <v>6.3369863013698629</v>
      </c>
      <c r="P795" s="15" t="s">
        <v>1861</v>
      </c>
      <c r="Q795" s="15">
        <f t="shared" ca="1" si="24"/>
        <v>63</v>
      </c>
      <c r="R795" s="15" t="str">
        <f t="shared" si="25"/>
        <v>High</v>
      </c>
    </row>
    <row r="796" spans="1:18" s="15" customFormat="1" x14ac:dyDescent="0.3">
      <c r="A796" s="15" t="s">
        <v>1598</v>
      </c>
      <c r="B796" s="15" t="s">
        <v>452</v>
      </c>
      <c r="C796" s="15" t="s">
        <v>1599</v>
      </c>
      <c r="D796" s="15" t="s">
        <v>27</v>
      </c>
      <c r="E796" s="15" t="s">
        <v>354</v>
      </c>
      <c r="F796" s="15" t="s">
        <v>404</v>
      </c>
      <c r="G796" s="15" t="s">
        <v>30</v>
      </c>
      <c r="H796" s="16">
        <v>26469</v>
      </c>
      <c r="I796" s="16">
        <v>43967</v>
      </c>
      <c r="J796" s="16">
        <v>45620</v>
      </c>
      <c r="K796" s="15" t="s">
        <v>94</v>
      </c>
      <c r="L796" s="15" t="s">
        <v>117</v>
      </c>
      <c r="M796" s="15">
        <v>92805</v>
      </c>
      <c r="N796" s="15" t="s">
        <v>96</v>
      </c>
      <c r="O796" s="15">
        <v>0.49315068493150682</v>
      </c>
      <c r="P796" s="15" t="s">
        <v>1861</v>
      </c>
      <c r="Q796" s="15">
        <f t="shared" ca="1" si="24"/>
        <v>53</v>
      </c>
      <c r="R796" s="15" t="str">
        <f t="shared" si="25"/>
        <v>Medium</v>
      </c>
    </row>
    <row r="797" spans="1:18" s="15" customFormat="1" x14ac:dyDescent="0.3">
      <c r="A797" s="15" t="s">
        <v>1600</v>
      </c>
      <c r="B797" s="15" t="s">
        <v>1057</v>
      </c>
      <c r="C797" s="15" t="s">
        <v>435</v>
      </c>
      <c r="D797" s="15" t="s">
        <v>27</v>
      </c>
      <c r="E797" s="15" t="s">
        <v>18</v>
      </c>
      <c r="F797" s="15" t="s">
        <v>19</v>
      </c>
      <c r="G797" s="15" t="s">
        <v>30</v>
      </c>
      <c r="H797" s="16">
        <v>29048</v>
      </c>
      <c r="I797" s="16">
        <v>44751</v>
      </c>
      <c r="J797" s="16">
        <v>44931</v>
      </c>
      <c r="K797" s="15" t="s">
        <v>31</v>
      </c>
      <c r="L797" s="15" t="s">
        <v>159</v>
      </c>
      <c r="M797" s="15">
        <v>97728</v>
      </c>
      <c r="N797" s="15" t="s">
        <v>33</v>
      </c>
      <c r="O797" s="15">
        <v>0.49315068493150682</v>
      </c>
      <c r="P797" s="15" t="s">
        <v>1861</v>
      </c>
      <c r="Q797" s="15">
        <f t="shared" ca="1" si="24"/>
        <v>46</v>
      </c>
      <c r="R797" s="15" t="str">
        <f t="shared" si="25"/>
        <v>Medium</v>
      </c>
    </row>
    <row r="798" spans="1:18" s="15" customFormat="1" x14ac:dyDescent="0.3">
      <c r="A798" s="15" t="s">
        <v>1601</v>
      </c>
      <c r="B798" s="15" t="s">
        <v>1602</v>
      </c>
      <c r="C798" s="15" t="s">
        <v>1603</v>
      </c>
      <c r="D798" s="15" t="s">
        <v>27</v>
      </c>
      <c r="E798" s="15" t="s">
        <v>18</v>
      </c>
      <c r="F798" s="15" t="s">
        <v>19</v>
      </c>
      <c r="G798" s="15" t="s">
        <v>30</v>
      </c>
      <c r="H798" s="16">
        <v>27184</v>
      </c>
      <c r="I798" s="16">
        <v>43715</v>
      </c>
      <c r="J798" s="16">
        <v>44198</v>
      </c>
      <c r="K798" s="15" t="s">
        <v>94</v>
      </c>
      <c r="L798" s="15" t="s">
        <v>182</v>
      </c>
      <c r="M798" s="15">
        <v>78078</v>
      </c>
      <c r="N798" s="15" t="s">
        <v>33</v>
      </c>
      <c r="O798" s="15">
        <v>0.49315068493150682</v>
      </c>
      <c r="P798" s="15" t="s">
        <v>1861</v>
      </c>
      <c r="Q798" s="15">
        <f t="shared" ca="1" si="24"/>
        <v>51</v>
      </c>
      <c r="R798" s="15" t="str">
        <f t="shared" si="25"/>
        <v>Medium</v>
      </c>
    </row>
    <row r="799" spans="1:18" s="15" customFormat="1" x14ac:dyDescent="0.3">
      <c r="A799" s="15" t="s">
        <v>1604</v>
      </c>
      <c r="B799" s="15" t="s">
        <v>283</v>
      </c>
      <c r="C799" s="15" t="s">
        <v>104</v>
      </c>
      <c r="D799" s="15" t="s">
        <v>17</v>
      </c>
      <c r="E799" s="15" t="s">
        <v>18</v>
      </c>
      <c r="F799" s="15" t="s">
        <v>19</v>
      </c>
      <c r="G799" s="15" t="s">
        <v>30</v>
      </c>
      <c r="H799" s="16">
        <v>23460</v>
      </c>
      <c r="I799" s="16">
        <v>43791</v>
      </c>
      <c r="J799" s="16">
        <v>43971</v>
      </c>
      <c r="K799" s="15" t="s">
        <v>37</v>
      </c>
      <c r="L799" s="15" t="s">
        <v>41</v>
      </c>
      <c r="M799" s="15">
        <v>64103</v>
      </c>
      <c r="N799" s="15" t="s">
        <v>33</v>
      </c>
      <c r="O799" s="15">
        <v>3.5342465753424661</v>
      </c>
      <c r="P799" s="15" t="s">
        <v>1861</v>
      </c>
      <c r="Q799" s="15">
        <f t="shared" ca="1" si="24"/>
        <v>61</v>
      </c>
      <c r="R799" s="15" t="str">
        <f t="shared" si="25"/>
        <v>Medium</v>
      </c>
    </row>
    <row r="800" spans="1:18" s="15" customFormat="1" x14ac:dyDescent="0.3">
      <c r="A800" s="15" t="s">
        <v>1605</v>
      </c>
      <c r="B800" s="15" t="s">
        <v>434</v>
      </c>
      <c r="C800" s="15" t="s">
        <v>1606</v>
      </c>
      <c r="D800" s="15" t="s">
        <v>17</v>
      </c>
      <c r="E800" s="15" t="s">
        <v>18</v>
      </c>
      <c r="F800" s="15" t="s">
        <v>19</v>
      </c>
      <c r="G800" s="15" t="s">
        <v>30</v>
      </c>
      <c r="H800" s="16">
        <v>35798</v>
      </c>
      <c r="I800" s="16">
        <v>42995</v>
      </c>
      <c r="J800" s="16">
        <v>44091</v>
      </c>
      <c r="K800" s="15" t="s">
        <v>31</v>
      </c>
      <c r="L800" s="15" t="s">
        <v>83</v>
      </c>
      <c r="M800" s="15">
        <v>59095</v>
      </c>
      <c r="N800" s="15" t="s">
        <v>33</v>
      </c>
      <c r="O800" s="15">
        <v>0.49315068493150682</v>
      </c>
      <c r="P800" s="15" t="s">
        <v>1861</v>
      </c>
      <c r="Q800" s="15">
        <f t="shared" ca="1" si="24"/>
        <v>28</v>
      </c>
      <c r="R800" s="15" t="str">
        <f t="shared" si="25"/>
        <v>Low</v>
      </c>
    </row>
    <row r="801" spans="1:18" s="15" customFormat="1" x14ac:dyDescent="0.3">
      <c r="A801" s="15" t="s">
        <v>1607</v>
      </c>
      <c r="B801" s="15" t="s">
        <v>1608</v>
      </c>
      <c r="C801" s="15" t="s">
        <v>193</v>
      </c>
      <c r="D801" s="15" t="s">
        <v>17</v>
      </c>
      <c r="E801" s="15" t="s">
        <v>28</v>
      </c>
      <c r="F801" s="15" t="s">
        <v>282</v>
      </c>
      <c r="G801" s="15" t="s">
        <v>112</v>
      </c>
      <c r="H801" s="16">
        <v>26871</v>
      </c>
      <c r="I801" s="16">
        <v>44980</v>
      </c>
      <c r="J801" s="16">
        <v>45160</v>
      </c>
      <c r="K801" s="15" t="s">
        <v>94</v>
      </c>
      <c r="L801" s="15" t="s">
        <v>122</v>
      </c>
      <c r="M801" s="15">
        <v>100507</v>
      </c>
      <c r="N801" s="15" t="s">
        <v>96</v>
      </c>
      <c r="O801" s="15">
        <v>0.49315068493150682</v>
      </c>
      <c r="P801" s="15" t="s">
        <v>1861</v>
      </c>
      <c r="Q801" s="15">
        <f t="shared" ca="1" si="24"/>
        <v>52</v>
      </c>
      <c r="R801" s="15" t="str">
        <f t="shared" si="25"/>
        <v>High</v>
      </c>
    </row>
    <row r="802" spans="1:18" s="15" customFormat="1" x14ac:dyDescent="0.3">
      <c r="A802" s="15" t="s">
        <v>1609</v>
      </c>
      <c r="B802" s="15" t="s">
        <v>1134</v>
      </c>
      <c r="C802" s="15" t="s">
        <v>510</v>
      </c>
      <c r="D802" s="15" t="s">
        <v>27</v>
      </c>
      <c r="E802" s="15" t="s">
        <v>18</v>
      </c>
      <c r="F802" s="15" t="s">
        <v>19</v>
      </c>
      <c r="G802" s="15" t="s">
        <v>30</v>
      </c>
      <c r="H802" s="16">
        <v>34694</v>
      </c>
      <c r="I802" s="16">
        <v>43010</v>
      </c>
      <c r="J802" s="16">
        <v>43942</v>
      </c>
      <c r="K802" s="15" t="s">
        <v>94</v>
      </c>
      <c r="L802" s="15" t="s">
        <v>182</v>
      </c>
      <c r="M802" s="15">
        <v>59038</v>
      </c>
      <c r="N802" s="15" t="s">
        <v>44</v>
      </c>
      <c r="O802" s="15">
        <v>0.49315068493150682</v>
      </c>
      <c r="P802" s="15" t="s">
        <v>1861</v>
      </c>
      <c r="Q802" s="15">
        <f t="shared" ca="1" si="24"/>
        <v>31</v>
      </c>
      <c r="R802" s="15" t="str">
        <f t="shared" si="25"/>
        <v>Low</v>
      </c>
    </row>
    <row r="803" spans="1:18" s="15" customFormat="1" x14ac:dyDescent="0.3">
      <c r="A803" s="15" t="s">
        <v>1610</v>
      </c>
      <c r="B803" s="15" t="s">
        <v>666</v>
      </c>
      <c r="C803" s="15" t="s">
        <v>50</v>
      </c>
      <c r="D803" s="15" t="s">
        <v>17</v>
      </c>
      <c r="E803" s="15" t="s">
        <v>18</v>
      </c>
      <c r="F803" s="15" t="s">
        <v>19</v>
      </c>
      <c r="G803" s="15" t="s">
        <v>30</v>
      </c>
      <c r="H803" s="16">
        <v>32321</v>
      </c>
      <c r="I803" s="16">
        <v>45104</v>
      </c>
      <c r="J803" s="16">
        <v>45284</v>
      </c>
      <c r="K803" s="15" t="s">
        <v>21</v>
      </c>
      <c r="L803" s="15" t="s">
        <v>108</v>
      </c>
      <c r="M803" s="15">
        <v>57504</v>
      </c>
      <c r="N803" s="15" t="s">
        <v>44</v>
      </c>
      <c r="O803" s="15">
        <v>3.386301369863014</v>
      </c>
      <c r="P803" s="15" t="s">
        <v>1861</v>
      </c>
      <c r="Q803" s="15">
        <f t="shared" ca="1" si="24"/>
        <v>37</v>
      </c>
      <c r="R803" s="15" t="str">
        <f t="shared" si="25"/>
        <v>Low</v>
      </c>
    </row>
    <row r="804" spans="1:18" s="15" customFormat="1" x14ac:dyDescent="0.3">
      <c r="A804" s="15" t="s">
        <v>1611</v>
      </c>
      <c r="B804" s="15" t="s">
        <v>1169</v>
      </c>
      <c r="C804" s="15" t="s">
        <v>1612</v>
      </c>
      <c r="D804" s="15" t="s">
        <v>27</v>
      </c>
      <c r="E804" s="15" t="s">
        <v>18</v>
      </c>
      <c r="F804" s="15" t="s">
        <v>19</v>
      </c>
      <c r="G804" s="15" t="s">
        <v>30</v>
      </c>
      <c r="H804" s="16">
        <v>32240</v>
      </c>
      <c r="I804" s="16">
        <v>44089</v>
      </c>
      <c r="J804" s="16">
        <v>45225</v>
      </c>
      <c r="K804" s="15" t="s">
        <v>37</v>
      </c>
      <c r="L804" s="15" t="s">
        <v>38</v>
      </c>
      <c r="M804" s="15">
        <v>64145</v>
      </c>
      <c r="N804" s="15" t="s">
        <v>44</v>
      </c>
      <c r="O804" s="15">
        <v>0.49315068493150682</v>
      </c>
      <c r="P804" s="15" t="s">
        <v>1861</v>
      </c>
      <c r="Q804" s="15">
        <f t="shared" ca="1" si="24"/>
        <v>37</v>
      </c>
      <c r="R804" s="15" t="str">
        <f t="shared" si="25"/>
        <v>Medium</v>
      </c>
    </row>
    <row r="805" spans="1:18" s="15" customFormat="1" x14ac:dyDescent="0.3">
      <c r="A805" s="15" t="s">
        <v>1613</v>
      </c>
      <c r="B805" s="15" t="s">
        <v>216</v>
      </c>
      <c r="C805" s="15" t="s">
        <v>1614</v>
      </c>
      <c r="D805" s="15" t="s">
        <v>17</v>
      </c>
      <c r="E805" s="15" t="s">
        <v>81</v>
      </c>
      <c r="F805" s="15" t="s">
        <v>166</v>
      </c>
      <c r="G805" s="15" t="s">
        <v>112</v>
      </c>
      <c r="H805" s="16">
        <v>30367</v>
      </c>
      <c r="I805" s="16">
        <v>43357</v>
      </c>
      <c r="J805" s="16">
        <v>44642</v>
      </c>
      <c r="K805" s="15" t="s">
        <v>94</v>
      </c>
      <c r="L805" s="15" t="s">
        <v>117</v>
      </c>
      <c r="M805" s="15">
        <v>77284</v>
      </c>
      <c r="N805" s="15" t="s">
        <v>96</v>
      </c>
      <c r="O805" s="15">
        <v>0.49315068493150682</v>
      </c>
      <c r="P805" s="15" t="s">
        <v>1861</v>
      </c>
      <c r="Q805" s="15">
        <f t="shared" ca="1" si="24"/>
        <v>42</v>
      </c>
      <c r="R805" s="15" t="str">
        <f t="shared" si="25"/>
        <v>Medium</v>
      </c>
    </row>
    <row r="806" spans="1:18" s="15" customFormat="1" x14ac:dyDescent="0.3">
      <c r="A806" s="15" t="s">
        <v>1615</v>
      </c>
      <c r="B806" s="15" t="s">
        <v>1616</v>
      </c>
      <c r="C806" s="15" t="s">
        <v>193</v>
      </c>
      <c r="D806" s="15" t="s">
        <v>27</v>
      </c>
      <c r="E806" s="15" t="s">
        <v>18</v>
      </c>
      <c r="F806" s="15" t="s">
        <v>19</v>
      </c>
      <c r="G806" s="15" t="s">
        <v>30</v>
      </c>
      <c r="H806" s="16">
        <v>34730</v>
      </c>
      <c r="I806" s="16">
        <v>44045</v>
      </c>
      <c r="J806" s="16">
        <v>44225</v>
      </c>
      <c r="K806" s="15" t="s">
        <v>37</v>
      </c>
      <c r="L806" s="15" t="s">
        <v>38</v>
      </c>
      <c r="M806" s="15">
        <v>62526</v>
      </c>
      <c r="N806" s="15" t="s">
        <v>33</v>
      </c>
      <c r="O806" s="15">
        <v>0.49315068493150682</v>
      </c>
      <c r="P806" s="15" t="s">
        <v>1861</v>
      </c>
      <c r="Q806" s="15">
        <f t="shared" ca="1" si="24"/>
        <v>30</v>
      </c>
      <c r="R806" s="15" t="str">
        <f t="shared" si="25"/>
        <v>Medium</v>
      </c>
    </row>
    <row r="807" spans="1:18" s="15" customFormat="1" x14ac:dyDescent="0.3">
      <c r="A807" s="15" t="s">
        <v>1617</v>
      </c>
      <c r="B807" s="15" t="s">
        <v>251</v>
      </c>
      <c r="C807" s="15" t="s">
        <v>193</v>
      </c>
      <c r="D807" s="15" t="s">
        <v>17</v>
      </c>
      <c r="E807" s="15" t="s">
        <v>18</v>
      </c>
      <c r="F807" s="15" t="s">
        <v>19</v>
      </c>
      <c r="G807" s="15" t="s">
        <v>30</v>
      </c>
      <c r="H807" s="16">
        <v>26568</v>
      </c>
      <c r="I807" s="16">
        <v>43016</v>
      </c>
      <c r="J807" s="16">
        <v>45389</v>
      </c>
      <c r="K807" s="15" t="s">
        <v>37</v>
      </c>
      <c r="L807" s="15" t="s">
        <v>41</v>
      </c>
      <c r="M807" s="15">
        <v>53687</v>
      </c>
      <c r="N807" s="15" t="s">
        <v>33</v>
      </c>
      <c r="O807" s="15">
        <v>2.871232876712329</v>
      </c>
      <c r="P807" s="15" t="s">
        <v>1861</v>
      </c>
      <c r="Q807" s="15">
        <f t="shared" ca="1" si="24"/>
        <v>53</v>
      </c>
      <c r="R807" s="15" t="str">
        <f t="shared" si="25"/>
        <v>Low</v>
      </c>
    </row>
    <row r="808" spans="1:18" s="15" customFormat="1" x14ac:dyDescent="0.3">
      <c r="A808" s="15" t="s">
        <v>1618</v>
      </c>
      <c r="B808" s="15" t="s">
        <v>54</v>
      </c>
      <c r="C808" s="15" t="s">
        <v>1619</v>
      </c>
      <c r="D808" s="15" t="s">
        <v>27</v>
      </c>
      <c r="E808" s="15" t="s">
        <v>28</v>
      </c>
      <c r="F808" s="15" t="s">
        <v>29</v>
      </c>
      <c r="G808" s="15" t="s">
        <v>30</v>
      </c>
      <c r="H808" s="16">
        <v>24072</v>
      </c>
      <c r="I808" s="16">
        <v>44933</v>
      </c>
      <c r="J808" s="16">
        <v>45113</v>
      </c>
      <c r="K808" s="15" t="s">
        <v>37</v>
      </c>
      <c r="L808" s="15" t="s">
        <v>41</v>
      </c>
      <c r="M808" s="15">
        <v>64605</v>
      </c>
      <c r="N808" s="15" t="s">
        <v>96</v>
      </c>
      <c r="O808" s="15">
        <v>0.49315068493150682</v>
      </c>
      <c r="P808" s="15" t="s">
        <v>1862</v>
      </c>
      <c r="Q808" s="15">
        <f t="shared" ca="1" si="24"/>
        <v>60</v>
      </c>
      <c r="R808" s="15" t="str">
        <f t="shared" si="25"/>
        <v>Medium</v>
      </c>
    </row>
    <row r="809" spans="1:18" s="15" customFormat="1" x14ac:dyDescent="0.3">
      <c r="A809" s="15" t="s">
        <v>1620</v>
      </c>
      <c r="B809" s="15" t="s">
        <v>58</v>
      </c>
      <c r="C809" s="15" t="s">
        <v>874</v>
      </c>
      <c r="D809" s="15" t="s">
        <v>27</v>
      </c>
      <c r="E809" s="15" t="s">
        <v>18</v>
      </c>
      <c r="F809" s="15" t="s">
        <v>19</v>
      </c>
      <c r="G809" s="15" t="s">
        <v>30</v>
      </c>
      <c r="H809" s="16">
        <v>32309</v>
      </c>
      <c r="I809" s="16">
        <v>44603</v>
      </c>
      <c r="J809" s="16">
        <v>44783</v>
      </c>
      <c r="K809" s="15" t="s">
        <v>37</v>
      </c>
      <c r="L809" s="15" t="s">
        <v>38</v>
      </c>
      <c r="M809" s="15">
        <v>64169</v>
      </c>
      <c r="N809" s="15" t="s">
        <v>33</v>
      </c>
      <c r="O809" s="15">
        <v>0.49315068493150682</v>
      </c>
      <c r="P809" s="15" t="s">
        <v>1861</v>
      </c>
      <c r="Q809" s="15">
        <f t="shared" ca="1" si="24"/>
        <v>37</v>
      </c>
      <c r="R809" s="15" t="str">
        <f t="shared" si="25"/>
        <v>Medium</v>
      </c>
    </row>
    <row r="810" spans="1:18" s="15" customFormat="1" x14ac:dyDescent="0.3">
      <c r="A810" s="15" t="s">
        <v>1621</v>
      </c>
      <c r="B810" s="15" t="s">
        <v>295</v>
      </c>
      <c r="C810" s="15" t="s">
        <v>104</v>
      </c>
      <c r="D810" s="15" t="s">
        <v>27</v>
      </c>
      <c r="E810" s="15" t="s">
        <v>18</v>
      </c>
      <c r="F810" s="15" t="s">
        <v>19</v>
      </c>
      <c r="G810" s="15" t="s">
        <v>112</v>
      </c>
      <c r="H810" s="16">
        <v>25505</v>
      </c>
      <c r="I810" s="16">
        <v>42829</v>
      </c>
      <c r="J810" s="16">
        <v>43630</v>
      </c>
      <c r="K810" s="15" t="s">
        <v>37</v>
      </c>
      <c r="L810" s="15" t="s">
        <v>43</v>
      </c>
      <c r="M810" s="15">
        <v>70469</v>
      </c>
      <c r="N810" s="15" t="s">
        <v>96</v>
      </c>
      <c r="O810" s="15">
        <v>0.49315068493150682</v>
      </c>
      <c r="P810" s="15" t="s">
        <v>1861</v>
      </c>
      <c r="Q810" s="15">
        <f t="shared" ca="1" si="24"/>
        <v>56</v>
      </c>
      <c r="R810" s="15" t="str">
        <f t="shared" si="25"/>
        <v>Medium</v>
      </c>
    </row>
    <row r="811" spans="1:18" s="15" customFormat="1" x14ac:dyDescent="0.3">
      <c r="A811" s="15" t="s">
        <v>1622</v>
      </c>
      <c r="B811" s="15" t="s">
        <v>218</v>
      </c>
      <c r="C811" s="15" t="s">
        <v>950</v>
      </c>
      <c r="D811" s="15" t="s">
        <v>27</v>
      </c>
      <c r="E811" s="15" t="s">
        <v>18</v>
      </c>
      <c r="F811" s="15" t="s">
        <v>19</v>
      </c>
      <c r="G811" s="15" t="s">
        <v>112</v>
      </c>
      <c r="H811" s="16">
        <v>36197</v>
      </c>
      <c r="I811" s="16">
        <v>43782</v>
      </c>
      <c r="J811" s="16">
        <v>45071</v>
      </c>
      <c r="K811" s="15" t="s">
        <v>37</v>
      </c>
      <c r="L811" s="15" t="s">
        <v>43</v>
      </c>
      <c r="M811" s="15">
        <v>56781</v>
      </c>
      <c r="N811" s="15" t="s">
        <v>96</v>
      </c>
      <c r="O811" s="15">
        <v>1.506849315068493</v>
      </c>
      <c r="P811" s="15" t="s">
        <v>1861</v>
      </c>
      <c r="Q811" s="15">
        <f t="shared" ca="1" si="24"/>
        <v>26</v>
      </c>
      <c r="R811" s="15" t="str">
        <f t="shared" si="25"/>
        <v>Low</v>
      </c>
    </row>
    <row r="812" spans="1:18" s="15" customFormat="1" x14ac:dyDescent="0.3">
      <c r="A812" s="15" t="s">
        <v>1623</v>
      </c>
      <c r="B812" s="15" t="s">
        <v>68</v>
      </c>
      <c r="C812" s="15" t="s">
        <v>1358</v>
      </c>
      <c r="D812" s="15" t="s">
        <v>27</v>
      </c>
      <c r="E812" s="15" t="s">
        <v>18</v>
      </c>
      <c r="F812" s="15" t="s">
        <v>19</v>
      </c>
      <c r="G812" s="15" t="s">
        <v>30</v>
      </c>
      <c r="H812" s="16">
        <v>31220</v>
      </c>
      <c r="I812" s="16">
        <v>44957</v>
      </c>
      <c r="J812" s="16">
        <v>45137</v>
      </c>
      <c r="K812" s="15" t="s">
        <v>37</v>
      </c>
      <c r="L812" s="15" t="s">
        <v>38</v>
      </c>
      <c r="M812" s="15">
        <v>63688</v>
      </c>
      <c r="N812" s="15" t="s">
        <v>33</v>
      </c>
      <c r="O812" s="15">
        <v>4.5753424657534243</v>
      </c>
      <c r="P812" s="15" t="s">
        <v>1861</v>
      </c>
      <c r="Q812" s="15">
        <f t="shared" ca="1" si="24"/>
        <v>40</v>
      </c>
      <c r="R812" s="15" t="str">
        <f t="shared" si="25"/>
        <v>Medium</v>
      </c>
    </row>
    <row r="813" spans="1:18" s="15" customFormat="1" x14ac:dyDescent="0.3">
      <c r="A813" s="15" t="s">
        <v>1624</v>
      </c>
      <c r="B813" s="15" t="s">
        <v>1259</v>
      </c>
      <c r="C813" s="15" t="s">
        <v>446</v>
      </c>
      <c r="D813" s="15" t="s">
        <v>27</v>
      </c>
      <c r="E813" s="15" t="s">
        <v>18</v>
      </c>
      <c r="F813" s="15" t="s">
        <v>19</v>
      </c>
      <c r="G813" s="15" t="s">
        <v>30</v>
      </c>
      <c r="H813" s="16">
        <v>30040</v>
      </c>
      <c r="I813" s="16">
        <v>44781</v>
      </c>
      <c r="J813" s="16">
        <v>44961</v>
      </c>
      <c r="K813" s="15" t="s">
        <v>94</v>
      </c>
      <c r="L813" s="15" t="s">
        <v>122</v>
      </c>
      <c r="M813" s="15">
        <v>83782</v>
      </c>
      <c r="N813" s="15" t="s">
        <v>33</v>
      </c>
      <c r="O813" s="15">
        <v>2.8739726027397259</v>
      </c>
      <c r="P813" s="15" t="s">
        <v>1861</v>
      </c>
      <c r="Q813" s="15">
        <f t="shared" ca="1" si="24"/>
        <v>43</v>
      </c>
      <c r="R813" s="15" t="str">
        <f t="shared" si="25"/>
        <v>Medium</v>
      </c>
    </row>
    <row r="814" spans="1:18" s="15" customFormat="1" x14ac:dyDescent="0.3">
      <c r="A814" s="15" t="s">
        <v>1625</v>
      </c>
      <c r="B814" s="15" t="s">
        <v>25</v>
      </c>
      <c r="C814" s="15" t="s">
        <v>649</v>
      </c>
      <c r="D814" s="15" t="s">
        <v>17</v>
      </c>
      <c r="E814" s="15" t="s">
        <v>137</v>
      </c>
      <c r="F814" s="15" t="s">
        <v>275</v>
      </c>
      <c r="G814" s="15" t="s">
        <v>20</v>
      </c>
      <c r="H814" s="16">
        <v>27819</v>
      </c>
      <c r="I814" s="16">
        <v>45408</v>
      </c>
      <c r="J814" s="16">
        <v>45588</v>
      </c>
      <c r="K814" s="15" t="s">
        <v>37</v>
      </c>
      <c r="L814" s="15" t="s">
        <v>41</v>
      </c>
      <c r="M814" s="15">
        <v>63561</v>
      </c>
      <c r="N814" s="15" t="s">
        <v>23</v>
      </c>
      <c r="O814" s="15">
        <v>0.49315068493150682</v>
      </c>
      <c r="P814" s="15" t="s">
        <v>1861</v>
      </c>
      <c r="Q814" s="15">
        <f t="shared" ca="1" si="24"/>
        <v>49</v>
      </c>
      <c r="R814" s="15" t="str">
        <f t="shared" si="25"/>
        <v>Medium</v>
      </c>
    </row>
    <row r="815" spans="1:18" s="15" customFormat="1" x14ac:dyDescent="0.3">
      <c r="A815" s="15" t="s">
        <v>1626</v>
      </c>
      <c r="B815" s="15" t="s">
        <v>1627</v>
      </c>
      <c r="C815" s="15" t="s">
        <v>1628</v>
      </c>
      <c r="D815" s="15" t="s">
        <v>27</v>
      </c>
      <c r="E815" s="15" t="s">
        <v>18</v>
      </c>
      <c r="F815" s="15" t="s">
        <v>19</v>
      </c>
      <c r="G815" s="15" t="s">
        <v>93</v>
      </c>
      <c r="H815" s="16">
        <v>32530</v>
      </c>
      <c r="I815" s="16">
        <v>42989</v>
      </c>
      <c r="J815" s="16">
        <v>43168</v>
      </c>
      <c r="K815" s="15" t="s">
        <v>94</v>
      </c>
      <c r="L815" s="15" t="s">
        <v>117</v>
      </c>
      <c r="M815" s="15">
        <v>78790</v>
      </c>
      <c r="N815" s="15" t="s">
        <v>96</v>
      </c>
      <c r="O815" s="15">
        <v>2.4465753424657528</v>
      </c>
      <c r="P815" s="15" t="s">
        <v>1861</v>
      </c>
      <c r="Q815" s="15">
        <f t="shared" ca="1" si="24"/>
        <v>36</v>
      </c>
      <c r="R815" s="15" t="str">
        <f t="shared" si="25"/>
        <v>Medium</v>
      </c>
    </row>
    <row r="816" spans="1:18" s="15" customFormat="1" x14ac:dyDescent="0.3">
      <c r="A816" s="15" t="s">
        <v>1629</v>
      </c>
      <c r="B816" s="15" t="s">
        <v>1630</v>
      </c>
      <c r="C816" s="15" t="s">
        <v>1631</v>
      </c>
      <c r="D816" s="15" t="s">
        <v>27</v>
      </c>
      <c r="E816" s="15" t="s">
        <v>18</v>
      </c>
      <c r="F816" s="15" t="s">
        <v>19</v>
      </c>
      <c r="G816" s="15" t="s">
        <v>30</v>
      </c>
      <c r="H816" s="16">
        <v>37789</v>
      </c>
      <c r="I816" s="16">
        <v>44209</v>
      </c>
      <c r="J816" s="16">
        <v>44389</v>
      </c>
      <c r="K816" s="15" t="s">
        <v>94</v>
      </c>
      <c r="L816" s="15" t="s">
        <v>117</v>
      </c>
      <c r="M816" s="15">
        <v>67947</v>
      </c>
      <c r="N816" s="15" t="s">
        <v>23</v>
      </c>
      <c r="O816" s="15">
        <v>0.86027397260273974</v>
      </c>
      <c r="P816" s="15" t="s">
        <v>1862</v>
      </c>
      <c r="Q816" s="15">
        <f t="shared" ca="1" si="24"/>
        <v>22</v>
      </c>
      <c r="R816" s="15" t="str">
        <f t="shared" si="25"/>
        <v>Medium</v>
      </c>
    </row>
    <row r="817" spans="1:18" s="15" customFormat="1" x14ac:dyDescent="0.3">
      <c r="A817" s="15" t="s">
        <v>1632</v>
      </c>
      <c r="B817" s="15" t="s">
        <v>1633</v>
      </c>
      <c r="C817" s="15" t="s">
        <v>547</v>
      </c>
      <c r="D817" s="15" t="s">
        <v>17</v>
      </c>
      <c r="E817" s="15" t="s">
        <v>18</v>
      </c>
      <c r="F817" s="15" t="s">
        <v>19</v>
      </c>
      <c r="G817" s="15" t="s">
        <v>30</v>
      </c>
      <c r="H817" s="16">
        <v>32713</v>
      </c>
      <c r="I817" s="16">
        <v>42950</v>
      </c>
      <c r="J817" s="16">
        <v>43130</v>
      </c>
      <c r="K817" s="15" t="s">
        <v>94</v>
      </c>
      <c r="L817" s="15" t="s">
        <v>122</v>
      </c>
      <c r="M817" s="15">
        <v>74475</v>
      </c>
      <c r="N817" s="15" t="s">
        <v>33</v>
      </c>
      <c r="O817" s="15">
        <v>3.4712328767123291</v>
      </c>
      <c r="P817" s="15" t="s">
        <v>1862</v>
      </c>
      <c r="Q817" s="15">
        <f t="shared" ca="1" si="24"/>
        <v>36</v>
      </c>
      <c r="R817" s="15" t="str">
        <f t="shared" si="25"/>
        <v>Medium</v>
      </c>
    </row>
    <row r="818" spans="1:18" s="15" customFormat="1" x14ac:dyDescent="0.3">
      <c r="A818" s="15" t="s">
        <v>1634</v>
      </c>
      <c r="B818" s="15" t="s">
        <v>245</v>
      </c>
      <c r="C818" s="15" t="s">
        <v>1248</v>
      </c>
      <c r="D818" s="15" t="s">
        <v>27</v>
      </c>
      <c r="E818" s="15" t="s">
        <v>18</v>
      </c>
      <c r="F818" s="15" t="s">
        <v>19</v>
      </c>
      <c r="G818" s="15" t="s">
        <v>30</v>
      </c>
      <c r="H818" s="16">
        <v>29417</v>
      </c>
      <c r="I818" s="16">
        <v>43008</v>
      </c>
      <c r="J818" s="16">
        <v>43187</v>
      </c>
      <c r="K818" s="15" t="s">
        <v>21</v>
      </c>
      <c r="L818" s="15" t="s">
        <v>108</v>
      </c>
      <c r="M818" s="15">
        <v>63322</v>
      </c>
      <c r="N818" s="15" t="s">
        <v>33</v>
      </c>
      <c r="O818" s="15">
        <v>1.1534246575342471</v>
      </c>
      <c r="P818" s="15" t="s">
        <v>1861</v>
      </c>
      <c r="Q818" s="15">
        <f t="shared" ca="1" si="24"/>
        <v>45</v>
      </c>
      <c r="R818" s="15" t="str">
        <f t="shared" si="25"/>
        <v>Medium</v>
      </c>
    </row>
    <row r="819" spans="1:18" s="15" customFormat="1" x14ac:dyDescent="0.3">
      <c r="A819" s="15" t="s">
        <v>1635</v>
      </c>
      <c r="B819" s="15" t="s">
        <v>1636</v>
      </c>
      <c r="C819" s="15" t="s">
        <v>1187</v>
      </c>
      <c r="D819" s="15" t="s">
        <v>27</v>
      </c>
      <c r="E819" s="15" t="s">
        <v>18</v>
      </c>
      <c r="F819" s="15" t="s">
        <v>19</v>
      </c>
      <c r="G819" s="15" t="s">
        <v>93</v>
      </c>
      <c r="H819" s="16">
        <v>32383</v>
      </c>
      <c r="I819" s="16">
        <v>45095</v>
      </c>
      <c r="J819" s="16">
        <v>45275</v>
      </c>
      <c r="K819" s="15" t="s">
        <v>94</v>
      </c>
      <c r="L819" s="15" t="s">
        <v>117</v>
      </c>
      <c r="M819" s="15">
        <v>65014</v>
      </c>
      <c r="N819" s="15" t="s">
        <v>96</v>
      </c>
      <c r="O819" s="15">
        <v>7.441095890410959</v>
      </c>
      <c r="P819" s="15" t="s">
        <v>1861</v>
      </c>
      <c r="Q819" s="15">
        <f t="shared" ca="1" si="24"/>
        <v>37</v>
      </c>
      <c r="R819" s="15" t="str">
        <f t="shared" si="25"/>
        <v>Medium</v>
      </c>
    </row>
    <row r="820" spans="1:18" s="15" customFormat="1" x14ac:dyDescent="0.3">
      <c r="A820" s="15" t="s">
        <v>1637</v>
      </c>
      <c r="B820" s="15" t="s">
        <v>1638</v>
      </c>
      <c r="C820" s="15" t="s">
        <v>236</v>
      </c>
      <c r="D820" s="15" t="s">
        <v>27</v>
      </c>
      <c r="E820" s="15" t="s">
        <v>28</v>
      </c>
      <c r="F820" s="15" t="s">
        <v>282</v>
      </c>
      <c r="G820" s="15" t="s">
        <v>93</v>
      </c>
      <c r="H820" s="16">
        <v>24278</v>
      </c>
      <c r="I820" s="16">
        <v>43069</v>
      </c>
      <c r="J820" s="16">
        <v>43532</v>
      </c>
      <c r="K820" s="15" t="s">
        <v>21</v>
      </c>
      <c r="L820" s="15" t="s">
        <v>482</v>
      </c>
      <c r="M820" s="15">
        <v>67049</v>
      </c>
      <c r="N820" s="15" t="s">
        <v>96</v>
      </c>
      <c r="O820" s="15">
        <v>0.49315068493150682</v>
      </c>
      <c r="P820" s="15" t="s">
        <v>1862</v>
      </c>
      <c r="Q820" s="15">
        <f t="shared" ca="1" si="24"/>
        <v>59</v>
      </c>
      <c r="R820" s="15" t="str">
        <f t="shared" si="25"/>
        <v>Medium</v>
      </c>
    </row>
    <row r="821" spans="1:18" s="15" customFormat="1" x14ac:dyDescent="0.3">
      <c r="A821" s="15" t="s">
        <v>1639</v>
      </c>
      <c r="B821" s="15" t="s">
        <v>1640</v>
      </c>
      <c r="C821" s="15" t="s">
        <v>1641</v>
      </c>
      <c r="D821" s="15" t="s">
        <v>17</v>
      </c>
      <c r="E821" s="15" t="s">
        <v>354</v>
      </c>
      <c r="F821" s="15" t="s">
        <v>404</v>
      </c>
      <c r="G821" s="15" t="s">
        <v>30</v>
      </c>
      <c r="H821" s="16">
        <v>27436</v>
      </c>
      <c r="I821" s="16">
        <v>45283</v>
      </c>
      <c r="J821" s="16">
        <v>45463</v>
      </c>
      <c r="K821" s="15" t="s">
        <v>37</v>
      </c>
      <c r="L821" s="15" t="s">
        <v>38</v>
      </c>
      <c r="M821" s="15">
        <v>65761</v>
      </c>
      <c r="N821" s="15" t="s">
        <v>44</v>
      </c>
      <c r="O821" s="15">
        <v>0.49315068493150682</v>
      </c>
      <c r="P821" s="15" t="s">
        <v>1862</v>
      </c>
      <c r="Q821" s="15">
        <f t="shared" ca="1" si="24"/>
        <v>50</v>
      </c>
      <c r="R821" s="15" t="str">
        <f t="shared" si="25"/>
        <v>Medium</v>
      </c>
    </row>
    <row r="822" spans="1:18" s="15" customFormat="1" x14ac:dyDescent="0.3">
      <c r="A822" s="15" t="s">
        <v>1642</v>
      </c>
      <c r="B822" s="15" t="s">
        <v>1643</v>
      </c>
      <c r="C822" s="15" t="s">
        <v>61</v>
      </c>
      <c r="D822" s="15" t="s">
        <v>27</v>
      </c>
      <c r="E822" s="15" t="s">
        <v>18</v>
      </c>
      <c r="F822" s="15" t="s">
        <v>19</v>
      </c>
      <c r="G822" s="15" t="s">
        <v>30</v>
      </c>
      <c r="H822" s="16">
        <v>28314</v>
      </c>
      <c r="I822" s="16">
        <v>44534</v>
      </c>
      <c r="J822" s="16">
        <v>44714</v>
      </c>
      <c r="K822" s="15" t="s">
        <v>21</v>
      </c>
      <c r="L822" s="15" t="s">
        <v>100</v>
      </c>
      <c r="M822" s="15">
        <v>68751</v>
      </c>
      <c r="N822" s="15" t="s">
        <v>33</v>
      </c>
      <c r="O822" s="15">
        <v>6.353424657534247</v>
      </c>
      <c r="P822" s="15" t="s">
        <v>1861</v>
      </c>
      <c r="Q822" s="15">
        <f t="shared" ca="1" si="24"/>
        <v>48</v>
      </c>
      <c r="R822" s="15" t="str">
        <f t="shared" si="25"/>
        <v>Medium</v>
      </c>
    </row>
    <row r="823" spans="1:18" s="15" customFormat="1" x14ac:dyDescent="0.3">
      <c r="A823" s="15" t="s">
        <v>1644</v>
      </c>
      <c r="B823" s="15" t="s">
        <v>623</v>
      </c>
      <c r="C823" s="15" t="s">
        <v>1645</v>
      </c>
      <c r="D823" s="15" t="s">
        <v>27</v>
      </c>
      <c r="E823" s="15" t="s">
        <v>120</v>
      </c>
      <c r="F823" s="15" t="s">
        <v>904</v>
      </c>
      <c r="G823" s="15" t="s">
        <v>30</v>
      </c>
      <c r="H823" s="16">
        <v>27690</v>
      </c>
      <c r="I823" s="16">
        <v>45397</v>
      </c>
      <c r="J823" s="16">
        <v>45577</v>
      </c>
      <c r="K823" s="15" t="s">
        <v>37</v>
      </c>
      <c r="L823" s="15" t="s">
        <v>41</v>
      </c>
      <c r="M823" s="15">
        <v>62465</v>
      </c>
      <c r="N823" s="15" t="s">
        <v>44</v>
      </c>
      <c r="O823" s="15">
        <v>5.6876712328767134</v>
      </c>
      <c r="P823" s="15" t="s">
        <v>1862</v>
      </c>
      <c r="Q823" s="15">
        <f t="shared" ca="1" si="24"/>
        <v>50</v>
      </c>
      <c r="R823" s="15" t="str">
        <f t="shared" si="25"/>
        <v>Medium</v>
      </c>
    </row>
    <row r="824" spans="1:18" s="15" customFormat="1" x14ac:dyDescent="0.3">
      <c r="A824" s="15" t="s">
        <v>1646</v>
      </c>
      <c r="B824" s="15" t="s">
        <v>1608</v>
      </c>
      <c r="C824" s="15" t="s">
        <v>301</v>
      </c>
      <c r="D824" s="15" t="s">
        <v>27</v>
      </c>
      <c r="E824" s="15" t="s">
        <v>18</v>
      </c>
      <c r="F824" s="15" t="s">
        <v>19</v>
      </c>
      <c r="G824" s="15" t="s">
        <v>112</v>
      </c>
      <c r="H824" s="16">
        <v>37951</v>
      </c>
      <c r="I824" s="16">
        <v>42364</v>
      </c>
      <c r="J824" s="16">
        <v>44949</v>
      </c>
      <c r="K824" s="15" t="s">
        <v>94</v>
      </c>
      <c r="L824" s="15" t="s">
        <v>117</v>
      </c>
      <c r="M824" s="15">
        <v>58102</v>
      </c>
      <c r="N824" s="15" t="s">
        <v>96</v>
      </c>
      <c r="O824" s="15">
        <v>1.383561643835616</v>
      </c>
      <c r="P824" s="15" t="s">
        <v>1861</v>
      </c>
      <c r="Q824" s="15">
        <f t="shared" ca="1" si="24"/>
        <v>22</v>
      </c>
      <c r="R824" s="15" t="str">
        <f t="shared" si="25"/>
        <v>Low</v>
      </c>
    </row>
    <row r="825" spans="1:18" s="15" customFormat="1" x14ac:dyDescent="0.3">
      <c r="A825" s="15" t="s">
        <v>1647</v>
      </c>
      <c r="B825" s="15" t="s">
        <v>1648</v>
      </c>
      <c r="C825" s="15" t="s">
        <v>515</v>
      </c>
      <c r="D825" s="15" t="s">
        <v>17</v>
      </c>
      <c r="E825" s="15" t="s">
        <v>18</v>
      </c>
      <c r="F825" s="15" t="s">
        <v>19</v>
      </c>
      <c r="G825" s="15" t="s">
        <v>30</v>
      </c>
      <c r="H825" s="16">
        <v>38009</v>
      </c>
      <c r="I825" s="16">
        <v>42991</v>
      </c>
      <c r="J825" s="16">
        <v>43170</v>
      </c>
      <c r="K825" s="15" t="s">
        <v>37</v>
      </c>
      <c r="L825" s="15" t="s">
        <v>38</v>
      </c>
      <c r="M825" s="15">
        <v>57789</v>
      </c>
      <c r="N825" s="15" t="s">
        <v>23</v>
      </c>
      <c r="O825" s="15">
        <v>0.49315068493150682</v>
      </c>
      <c r="P825" s="15" t="s">
        <v>1862</v>
      </c>
      <c r="Q825" s="15">
        <f t="shared" ca="1" si="24"/>
        <v>21</v>
      </c>
      <c r="R825" s="15" t="str">
        <f t="shared" si="25"/>
        <v>Low</v>
      </c>
    </row>
    <row r="826" spans="1:18" s="15" customFormat="1" x14ac:dyDescent="0.3">
      <c r="A826" s="15" t="s">
        <v>1649</v>
      </c>
      <c r="B826" s="15" t="s">
        <v>919</v>
      </c>
      <c r="C826" s="15" t="s">
        <v>1650</v>
      </c>
      <c r="D826" s="15" t="s">
        <v>17</v>
      </c>
      <c r="E826" s="15" t="s">
        <v>18</v>
      </c>
      <c r="F826" s="15" t="s">
        <v>19</v>
      </c>
      <c r="G826" s="15" t="s">
        <v>30</v>
      </c>
      <c r="H826" s="16">
        <v>28847</v>
      </c>
      <c r="I826" s="16">
        <v>42492</v>
      </c>
      <c r="J826" s="16">
        <v>45406</v>
      </c>
      <c r="K826" s="15" t="s">
        <v>31</v>
      </c>
      <c r="L826" s="15" t="s">
        <v>83</v>
      </c>
      <c r="M826" s="15">
        <v>62995</v>
      </c>
      <c r="N826" s="15" t="s">
        <v>44</v>
      </c>
      <c r="O826" s="15">
        <v>2.4027397260273968</v>
      </c>
      <c r="P826" s="15" t="s">
        <v>1861</v>
      </c>
      <c r="Q826" s="15">
        <f t="shared" ca="1" si="24"/>
        <v>47</v>
      </c>
      <c r="R826" s="15" t="str">
        <f t="shared" si="25"/>
        <v>Medium</v>
      </c>
    </row>
    <row r="827" spans="1:18" s="15" customFormat="1" x14ac:dyDescent="0.3">
      <c r="A827" s="15" t="s">
        <v>1651</v>
      </c>
      <c r="B827" s="15" t="s">
        <v>1462</v>
      </c>
      <c r="C827" s="15" t="s">
        <v>107</v>
      </c>
      <c r="D827" s="15" t="s">
        <v>27</v>
      </c>
      <c r="E827" s="15" t="s">
        <v>18</v>
      </c>
      <c r="F827" s="15" t="s">
        <v>19</v>
      </c>
      <c r="G827" s="15" t="s">
        <v>30</v>
      </c>
      <c r="H827" s="16">
        <v>36568</v>
      </c>
      <c r="I827" s="16">
        <v>43156</v>
      </c>
      <c r="J827" s="16">
        <v>43336</v>
      </c>
      <c r="K827" s="15" t="s">
        <v>65</v>
      </c>
      <c r="L827" s="15" t="s">
        <v>314</v>
      </c>
      <c r="M827" s="15">
        <v>74615</v>
      </c>
      <c r="N827" s="15" t="s">
        <v>33</v>
      </c>
      <c r="O827" s="15">
        <v>1.517808219178082</v>
      </c>
      <c r="P827" s="15" t="s">
        <v>1862</v>
      </c>
      <c r="Q827" s="15">
        <f t="shared" ca="1" si="24"/>
        <v>25</v>
      </c>
      <c r="R827" s="15" t="str">
        <f t="shared" si="25"/>
        <v>Medium</v>
      </c>
    </row>
    <row r="828" spans="1:18" s="15" customFormat="1" x14ac:dyDescent="0.3">
      <c r="A828" s="15" t="s">
        <v>1652</v>
      </c>
      <c r="B828" s="15" t="s">
        <v>271</v>
      </c>
      <c r="C828" s="15" t="s">
        <v>1653</v>
      </c>
      <c r="D828" s="15" t="s">
        <v>17</v>
      </c>
      <c r="E828" s="15" t="s">
        <v>18</v>
      </c>
      <c r="F828" s="15" t="s">
        <v>19</v>
      </c>
      <c r="G828" s="15" t="s">
        <v>112</v>
      </c>
      <c r="H828" s="16">
        <v>36665</v>
      </c>
      <c r="I828" s="16">
        <v>43620</v>
      </c>
      <c r="J828" s="16">
        <v>43800</v>
      </c>
      <c r="K828" s="15" t="s">
        <v>94</v>
      </c>
      <c r="L828" s="15" t="s">
        <v>117</v>
      </c>
      <c r="M828" s="15">
        <v>83426</v>
      </c>
      <c r="N828" s="15" t="s">
        <v>33</v>
      </c>
      <c r="O828" s="15">
        <v>4.5287671232876709</v>
      </c>
      <c r="P828" s="15" t="s">
        <v>1862</v>
      </c>
      <c r="Q828" s="15">
        <f t="shared" ca="1" si="24"/>
        <v>25</v>
      </c>
      <c r="R828" s="15" t="str">
        <f t="shared" si="25"/>
        <v>Medium</v>
      </c>
    </row>
    <row r="829" spans="1:18" s="15" customFormat="1" x14ac:dyDescent="0.3">
      <c r="A829" s="15" t="s">
        <v>1654</v>
      </c>
      <c r="B829" s="15" t="s">
        <v>216</v>
      </c>
      <c r="C829" s="15" t="s">
        <v>784</v>
      </c>
      <c r="D829" s="15" t="s">
        <v>17</v>
      </c>
      <c r="E829" s="15" t="s">
        <v>18</v>
      </c>
      <c r="F829" s="15" t="s">
        <v>19</v>
      </c>
      <c r="G829" s="15" t="s">
        <v>30</v>
      </c>
      <c r="H829" s="16">
        <v>35381</v>
      </c>
      <c r="I829" s="16">
        <v>43685</v>
      </c>
      <c r="J829" s="16">
        <v>45641</v>
      </c>
      <c r="K829" s="15" t="s">
        <v>37</v>
      </c>
      <c r="L829" s="15" t="s">
        <v>43</v>
      </c>
      <c r="M829" s="15">
        <v>83222</v>
      </c>
      <c r="N829" s="15" t="s">
        <v>33</v>
      </c>
      <c r="O829" s="15">
        <v>0.49315068493150682</v>
      </c>
      <c r="P829" s="15" t="s">
        <v>1861</v>
      </c>
      <c r="Q829" s="15">
        <f t="shared" ca="1" si="24"/>
        <v>29</v>
      </c>
      <c r="R829" s="15" t="str">
        <f t="shared" si="25"/>
        <v>Medium</v>
      </c>
    </row>
    <row r="830" spans="1:18" s="15" customFormat="1" x14ac:dyDescent="0.3">
      <c r="A830" s="15" t="s">
        <v>1655</v>
      </c>
      <c r="B830" s="15" t="s">
        <v>25</v>
      </c>
      <c r="C830" s="15" t="s">
        <v>1656</v>
      </c>
      <c r="D830" s="15" t="s">
        <v>17</v>
      </c>
      <c r="E830" s="15" t="s">
        <v>120</v>
      </c>
      <c r="F830" s="15" t="s">
        <v>223</v>
      </c>
      <c r="G830" s="15" t="s">
        <v>30</v>
      </c>
      <c r="H830" s="16">
        <v>29740</v>
      </c>
      <c r="I830" s="16">
        <v>42156</v>
      </c>
      <c r="J830" s="16">
        <v>44398</v>
      </c>
      <c r="K830" s="15" t="s">
        <v>37</v>
      </c>
      <c r="L830" s="15" t="s">
        <v>38</v>
      </c>
      <c r="M830" s="15">
        <v>57215</v>
      </c>
      <c r="N830" s="15" t="s">
        <v>33</v>
      </c>
      <c r="O830" s="15">
        <v>1.3232876712328769</v>
      </c>
      <c r="P830" s="15" t="s">
        <v>1861</v>
      </c>
      <c r="Q830" s="15">
        <f t="shared" ca="1" si="24"/>
        <v>44</v>
      </c>
      <c r="R830" s="15" t="str">
        <f t="shared" si="25"/>
        <v>Low</v>
      </c>
    </row>
    <row r="831" spans="1:18" s="15" customFormat="1" x14ac:dyDescent="0.3">
      <c r="A831" s="15" t="s">
        <v>1657</v>
      </c>
      <c r="B831" s="15" t="s">
        <v>35</v>
      </c>
      <c r="C831" s="15" t="s">
        <v>1658</v>
      </c>
      <c r="D831" s="15" t="s">
        <v>27</v>
      </c>
      <c r="E831" s="15" t="s">
        <v>18</v>
      </c>
      <c r="F831" s="15" t="s">
        <v>19</v>
      </c>
      <c r="G831" s="15" t="s">
        <v>30</v>
      </c>
      <c r="H831" s="16">
        <v>37916</v>
      </c>
      <c r="I831" s="16">
        <v>43980</v>
      </c>
      <c r="J831" s="16">
        <v>44358</v>
      </c>
      <c r="K831" s="15" t="s">
        <v>37</v>
      </c>
      <c r="L831" s="15" t="s">
        <v>41</v>
      </c>
      <c r="M831" s="15">
        <v>59469</v>
      </c>
      <c r="N831" s="15" t="s">
        <v>33</v>
      </c>
      <c r="O831" s="15">
        <v>0.49315068493150682</v>
      </c>
      <c r="P831" s="15" t="s">
        <v>1861</v>
      </c>
      <c r="Q831" s="15">
        <f t="shared" ca="1" si="24"/>
        <v>22</v>
      </c>
      <c r="R831" s="15" t="str">
        <f t="shared" si="25"/>
        <v>Low</v>
      </c>
    </row>
    <row r="832" spans="1:18" s="15" customFormat="1" x14ac:dyDescent="0.3">
      <c r="A832" s="15" t="s">
        <v>1659</v>
      </c>
      <c r="B832" s="15" t="s">
        <v>867</v>
      </c>
      <c r="C832" s="15" t="s">
        <v>26</v>
      </c>
      <c r="D832" s="15" t="s">
        <v>17</v>
      </c>
      <c r="E832" s="15" t="s">
        <v>18</v>
      </c>
      <c r="F832" s="15" t="s">
        <v>19</v>
      </c>
      <c r="G832" s="15" t="s">
        <v>20</v>
      </c>
      <c r="H832" s="16">
        <v>32532</v>
      </c>
      <c r="I832" s="16">
        <v>42272</v>
      </c>
      <c r="J832" s="16">
        <v>43201</v>
      </c>
      <c r="K832" s="15" t="s">
        <v>70</v>
      </c>
      <c r="L832" s="15" t="s">
        <v>71</v>
      </c>
      <c r="M832" s="15">
        <v>73592</v>
      </c>
      <c r="N832" s="15" t="s">
        <v>23</v>
      </c>
      <c r="O832" s="15">
        <v>3.0027397260273969</v>
      </c>
      <c r="P832" s="15" t="s">
        <v>1861</v>
      </c>
      <c r="Q832" s="15">
        <f t="shared" ca="1" si="24"/>
        <v>36</v>
      </c>
      <c r="R832" s="15" t="str">
        <f t="shared" si="25"/>
        <v>Medium</v>
      </c>
    </row>
    <row r="833" spans="1:18" s="15" customFormat="1" x14ac:dyDescent="0.3">
      <c r="A833" s="15" t="s">
        <v>1660</v>
      </c>
      <c r="B833" s="15" t="s">
        <v>140</v>
      </c>
      <c r="C833" s="15" t="s">
        <v>1042</v>
      </c>
      <c r="D833" s="15" t="s">
        <v>27</v>
      </c>
      <c r="E833" s="15" t="s">
        <v>81</v>
      </c>
      <c r="F833" s="15" t="s">
        <v>104</v>
      </c>
      <c r="G833" s="15" t="s">
        <v>112</v>
      </c>
      <c r="H833" s="16">
        <v>31512</v>
      </c>
      <c r="I833" s="16">
        <v>45426</v>
      </c>
      <c r="J833" s="16">
        <v>45606</v>
      </c>
      <c r="K833" s="15" t="s">
        <v>94</v>
      </c>
      <c r="L833" s="15" t="s">
        <v>117</v>
      </c>
      <c r="M833" s="15">
        <v>68928</v>
      </c>
      <c r="N833" s="15" t="s">
        <v>96</v>
      </c>
      <c r="O833" s="15">
        <v>0.49315068493150682</v>
      </c>
      <c r="P833" s="15" t="s">
        <v>1861</v>
      </c>
      <c r="Q833" s="15">
        <f t="shared" ca="1" si="24"/>
        <v>39</v>
      </c>
      <c r="R833" s="15" t="str">
        <f t="shared" si="25"/>
        <v>Medium</v>
      </c>
    </row>
    <row r="834" spans="1:18" s="15" customFormat="1" x14ac:dyDescent="0.3">
      <c r="A834" s="15" t="s">
        <v>1661</v>
      </c>
      <c r="B834" s="15" t="s">
        <v>293</v>
      </c>
      <c r="C834" s="15" t="s">
        <v>222</v>
      </c>
      <c r="D834" s="15" t="s">
        <v>17</v>
      </c>
      <c r="E834" s="15" t="s">
        <v>120</v>
      </c>
      <c r="F834" s="15" t="s">
        <v>904</v>
      </c>
      <c r="G834" s="15" t="s">
        <v>30</v>
      </c>
      <c r="H834" s="16">
        <v>29551</v>
      </c>
      <c r="I834" s="16">
        <v>43791</v>
      </c>
      <c r="J834" s="16">
        <v>44796</v>
      </c>
      <c r="K834" s="15" t="s">
        <v>21</v>
      </c>
      <c r="L834" s="15" t="s">
        <v>22</v>
      </c>
      <c r="M834" s="15">
        <v>76265</v>
      </c>
      <c r="N834" s="15" t="s">
        <v>33</v>
      </c>
      <c r="O834" s="15">
        <v>2.5534246575342472</v>
      </c>
      <c r="P834" s="15" t="s">
        <v>1861</v>
      </c>
      <c r="Q834" s="15">
        <f t="shared" ref="Q834:Q897" ca="1" si="26">DATEDIF(H834, TODAY(), "Y")</f>
        <v>45</v>
      </c>
      <c r="R834" s="15" t="str">
        <f t="shared" si="25"/>
        <v>Medium</v>
      </c>
    </row>
    <row r="835" spans="1:18" s="15" customFormat="1" x14ac:dyDescent="0.3">
      <c r="A835" s="15" t="s">
        <v>1662</v>
      </c>
      <c r="B835" s="15" t="s">
        <v>265</v>
      </c>
      <c r="C835" s="15" t="s">
        <v>1663</v>
      </c>
      <c r="D835" s="15" t="s">
        <v>27</v>
      </c>
      <c r="E835" s="15" t="s">
        <v>18</v>
      </c>
      <c r="F835" s="15" t="s">
        <v>19</v>
      </c>
      <c r="G835" s="15" t="s">
        <v>30</v>
      </c>
      <c r="H835" s="16">
        <v>30341</v>
      </c>
      <c r="I835" s="16">
        <v>44800</v>
      </c>
      <c r="J835" s="16">
        <v>44980</v>
      </c>
      <c r="K835" s="15" t="s">
        <v>21</v>
      </c>
      <c r="L835" s="15" t="s">
        <v>108</v>
      </c>
      <c r="M835" s="15">
        <v>62667</v>
      </c>
      <c r="N835" s="15" t="s">
        <v>44</v>
      </c>
      <c r="O835" s="15">
        <v>0.49315068493150682</v>
      </c>
      <c r="P835" s="15" t="s">
        <v>1861</v>
      </c>
      <c r="Q835" s="15">
        <f t="shared" ca="1" si="26"/>
        <v>42</v>
      </c>
      <c r="R835" s="15" t="str">
        <f t="shared" ref="R835:R898" si="27">IF(M835:M1800&gt;100000,"High",IF(M835:M1800&gt;60000,"Medium","Low"))</f>
        <v>Medium</v>
      </c>
    </row>
    <row r="836" spans="1:18" s="15" customFormat="1" x14ac:dyDescent="0.3">
      <c r="A836" s="15" t="s">
        <v>1664</v>
      </c>
      <c r="B836" s="15" t="s">
        <v>530</v>
      </c>
      <c r="C836" s="15" t="s">
        <v>1218</v>
      </c>
      <c r="D836" s="15" t="s">
        <v>27</v>
      </c>
      <c r="E836" s="15" t="s">
        <v>81</v>
      </c>
      <c r="F836" s="15" t="s">
        <v>82</v>
      </c>
      <c r="G836" s="15" t="s">
        <v>30</v>
      </c>
      <c r="H836" s="16">
        <v>30627</v>
      </c>
      <c r="I836" s="16">
        <v>43401</v>
      </c>
      <c r="J836" s="16">
        <v>43991</v>
      </c>
      <c r="K836" s="15" t="s">
        <v>94</v>
      </c>
      <c r="L836" s="15" t="s">
        <v>117</v>
      </c>
      <c r="M836" s="15">
        <v>76384</v>
      </c>
      <c r="N836" s="15" t="s">
        <v>33</v>
      </c>
      <c r="O836" s="15">
        <v>3.1123287671232882</v>
      </c>
      <c r="P836" s="15" t="s">
        <v>1862</v>
      </c>
      <c r="Q836" s="15">
        <f t="shared" ca="1" si="26"/>
        <v>42</v>
      </c>
      <c r="R836" s="15" t="str">
        <f t="shared" si="27"/>
        <v>Medium</v>
      </c>
    </row>
    <row r="837" spans="1:18" s="15" customFormat="1" x14ac:dyDescent="0.3">
      <c r="A837" s="15" t="s">
        <v>1665</v>
      </c>
      <c r="B837" s="15" t="s">
        <v>990</v>
      </c>
      <c r="C837" s="15" t="s">
        <v>352</v>
      </c>
      <c r="D837" s="15" t="s">
        <v>17</v>
      </c>
      <c r="E837" s="15" t="s">
        <v>81</v>
      </c>
      <c r="F837" s="15" t="s">
        <v>166</v>
      </c>
      <c r="G837" s="15" t="s">
        <v>30</v>
      </c>
      <c r="H837" s="16">
        <v>27984</v>
      </c>
      <c r="I837" s="16">
        <v>45231</v>
      </c>
      <c r="J837" s="16">
        <v>45411</v>
      </c>
      <c r="K837" s="15" t="s">
        <v>37</v>
      </c>
      <c r="L837" s="15" t="s">
        <v>38</v>
      </c>
      <c r="M837" s="15">
        <v>55791</v>
      </c>
      <c r="N837" s="15" t="s">
        <v>44</v>
      </c>
      <c r="O837" s="15">
        <v>3.5205479452054789</v>
      </c>
      <c r="P837" s="15" t="s">
        <v>1861</v>
      </c>
      <c r="Q837" s="15">
        <f t="shared" ca="1" si="26"/>
        <v>49</v>
      </c>
      <c r="R837" s="15" t="str">
        <f t="shared" si="27"/>
        <v>Low</v>
      </c>
    </row>
    <row r="838" spans="1:18" s="15" customFormat="1" x14ac:dyDescent="0.3">
      <c r="A838" s="15" t="s">
        <v>1666</v>
      </c>
      <c r="B838" s="15" t="s">
        <v>1630</v>
      </c>
      <c r="C838" s="15" t="s">
        <v>590</v>
      </c>
      <c r="D838" s="15" t="s">
        <v>17</v>
      </c>
      <c r="E838" s="15" t="s">
        <v>81</v>
      </c>
      <c r="F838" s="15" t="s">
        <v>104</v>
      </c>
      <c r="G838" s="15" t="s">
        <v>112</v>
      </c>
      <c r="H838" s="16">
        <v>37531</v>
      </c>
      <c r="I838" s="16">
        <v>42508</v>
      </c>
      <c r="J838" s="16">
        <v>45635</v>
      </c>
      <c r="K838" s="15" t="s">
        <v>31</v>
      </c>
      <c r="L838" s="15" t="s">
        <v>159</v>
      </c>
      <c r="M838" s="15">
        <v>94458</v>
      </c>
      <c r="N838" s="15" t="s">
        <v>96</v>
      </c>
      <c r="O838" s="15">
        <v>0.49315068493150682</v>
      </c>
      <c r="P838" s="15" t="s">
        <v>1861</v>
      </c>
      <c r="Q838" s="15">
        <f t="shared" ca="1" si="26"/>
        <v>23</v>
      </c>
      <c r="R838" s="15" t="str">
        <f t="shared" si="27"/>
        <v>Medium</v>
      </c>
    </row>
    <row r="839" spans="1:18" s="15" customFormat="1" x14ac:dyDescent="0.3">
      <c r="A839" s="15" t="s">
        <v>1667</v>
      </c>
      <c r="B839" s="15" t="s">
        <v>617</v>
      </c>
      <c r="C839" s="15" t="s">
        <v>1021</v>
      </c>
      <c r="D839" s="15" t="s">
        <v>27</v>
      </c>
      <c r="E839" s="15" t="s">
        <v>18</v>
      </c>
      <c r="F839" s="15" t="s">
        <v>19</v>
      </c>
      <c r="G839" s="15" t="s">
        <v>20</v>
      </c>
      <c r="H839" s="16">
        <v>30556</v>
      </c>
      <c r="I839" s="16">
        <v>44634</v>
      </c>
      <c r="J839" s="16">
        <v>44814</v>
      </c>
      <c r="K839" s="15" t="s">
        <v>37</v>
      </c>
      <c r="L839" s="15" t="s">
        <v>41</v>
      </c>
      <c r="M839" s="15">
        <v>59258</v>
      </c>
      <c r="N839" s="15" t="s">
        <v>23</v>
      </c>
      <c r="O839" s="15">
        <v>6.5013698630136982</v>
      </c>
      <c r="P839" s="15" t="s">
        <v>1861</v>
      </c>
      <c r="Q839" s="15">
        <f t="shared" ca="1" si="26"/>
        <v>42</v>
      </c>
      <c r="R839" s="15" t="str">
        <f t="shared" si="27"/>
        <v>Low</v>
      </c>
    </row>
    <row r="840" spans="1:18" s="15" customFormat="1" x14ac:dyDescent="0.3">
      <c r="A840" s="15" t="s">
        <v>1668</v>
      </c>
      <c r="B840" s="15" t="s">
        <v>161</v>
      </c>
      <c r="C840" s="15" t="s">
        <v>683</v>
      </c>
      <c r="D840" s="15" t="s">
        <v>17</v>
      </c>
      <c r="E840" s="15" t="s">
        <v>28</v>
      </c>
      <c r="F840" s="15" t="s">
        <v>116</v>
      </c>
      <c r="G840" s="15" t="s">
        <v>30</v>
      </c>
      <c r="H840" s="16">
        <v>24669</v>
      </c>
      <c r="I840" s="16">
        <v>44230</v>
      </c>
      <c r="J840" s="16">
        <v>44410</v>
      </c>
      <c r="K840" s="15" t="s">
        <v>37</v>
      </c>
      <c r="L840" s="15" t="s">
        <v>43</v>
      </c>
      <c r="M840" s="15">
        <v>58109</v>
      </c>
      <c r="N840" s="15" t="s">
        <v>44</v>
      </c>
      <c r="O840" s="15">
        <v>0.49315068493150682</v>
      </c>
      <c r="P840" s="15" t="s">
        <v>1862</v>
      </c>
      <c r="Q840" s="15">
        <f t="shared" ca="1" si="26"/>
        <v>58</v>
      </c>
      <c r="R840" s="15" t="str">
        <f t="shared" si="27"/>
        <v>Low</v>
      </c>
    </row>
    <row r="841" spans="1:18" s="15" customFormat="1" x14ac:dyDescent="0.3">
      <c r="A841" s="15" t="s">
        <v>1669</v>
      </c>
      <c r="B841" s="15" t="s">
        <v>1670</v>
      </c>
      <c r="C841" s="15" t="s">
        <v>440</v>
      </c>
      <c r="D841" s="15" t="s">
        <v>27</v>
      </c>
      <c r="E841" s="15" t="s">
        <v>18</v>
      </c>
      <c r="F841" s="15" t="s">
        <v>19</v>
      </c>
      <c r="G841" s="15" t="s">
        <v>30</v>
      </c>
      <c r="H841" s="16">
        <v>25406</v>
      </c>
      <c r="I841" s="16">
        <v>44657</v>
      </c>
      <c r="J841" s="16">
        <v>44837</v>
      </c>
      <c r="K841" s="15" t="s">
        <v>31</v>
      </c>
      <c r="L841" s="15" t="s">
        <v>83</v>
      </c>
      <c r="M841" s="15">
        <v>59579</v>
      </c>
      <c r="N841" s="15" t="s">
        <v>44</v>
      </c>
      <c r="O841" s="15">
        <v>7.816438356164384</v>
      </c>
      <c r="P841" s="15" t="s">
        <v>1861</v>
      </c>
      <c r="Q841" s="15">
        <f t="shared" ca="1" si="26"/>
        <v>56</v>
      </c>
      <c r="R841" s="15" t="str">
        <f t="shared" si="27"/>
        <v>Low</v>
      </c>
    </row>
    <row r="842" spans="1:18" s="15" customFormat="1" x14ac:dyDescent="0.3">
      <c r="A842" s="15" t="s">
        <v>1671</v>
      </c>
      <c r="B842" s="15" t="s">
        <v>140</v>
      </c>
      <c r="C842" s="15" t="s">
        <v>204</v>
      </c>
      <c r="D842" s="15" t="s">
        <v>27</v>
      </c>
      <c r="E842" s="15" t="s">
        <v>137</v>
      </c>
      <c r="F842" s="15" t="s">
        <v>275</v>
      </c>
      <c r="G842" s="15" t="s">
        <v>30</v>
      </c>
      <c r="H842" s="16">
        <v>26155</v>
      </c>
      <c r="I842" s="16">
        <v>42795</v>
      </c>
      <c r="J842" s="16">
        <v>44342</v>
      </c>
      <c r="K842" s="15" t="s">
        <v>94</v>
      </c>
      <c r="L842" s="15" t="s">
        <v>182</v>
      </c>
      <c r="M842" s="15">
        <v>76734</v>
      </c>
      <c r="N842" s="15" t="s">
        <v>44</v>
      </c>
      <c r="O842" s="15">
        <v>0.49315068493150682</v>
      </c>
      <c r="P842" s="15" t="s">
        <v>1862</v>
      </c>
      <c r="Q842" s="15">
        <f t="shared" ca="1" si="26"/>
        <v>54</v>
      </c>
      <c r="R842" s="15" t="str">
        <f t="shared" si="27"/>
        <v>Medium</v>
      </c>
    </row>
    <row r="843" spans="1:18" s="15" customFormat="1" x14ac:dyDescent="0.3">
      <c r="A843" s="15" t="s">
        <v>1672</v>
      </c>
      <c r="B843" s="15" t="s">
        <v>1673</v>
      </c>
      <c r="C843" s="15" t="s">
        <v>1674</v>
      </c>
      <c r="D843" s="15" t="s">
        <v>27</v>
      </c>
      <c r="E843" s="15" t="s">
        <v>18</v>
      </c>
      <c r="F843" s="15" t="s">
        <v>19</v>
      </c>
      <c r="G843" s="15" t="s">
        <v>30</v>
      </c>
      <c r="H843" s="16">
        <v>29631</v>
      </c>
      <c r="I843" s="16">
        <v>43160</v>
      </c>
      <c r="J843" s="16">
        <v>44150</v>
      </c>
      <c r="K843" s="15" t="s">
        <v>94</v>
      </c>
      <c r="L843" s="15" t="s">
        <v>117</v>
      </c>
      <c r="M843" s="15">
        <v>77985</v>
      </c>
      <c r="N843" s="15" t="s">
        <v>33</v>
      </c>
      <c r="O843" s="15">
        <v>2.194520547945205</v>
      </c>
      <c r="P843" s="15" t="s">
        <v>1861</v>
      </c>
      <c r="Q843" s="15">
        <f t="shared" ca="1" si="26"/>
        <v>44</v>
      </c>
      <c r="R843" s="15" t="str">
        <f t="shared" si="27"/>
        <v>Medium</v>
      </c>
    </row>
    <row r="844" spans="1:18" s="15" customFormat="1" x14ac:dyDescent="0.3">
      <c r="A844" s="15" t="s">
        <v>1675</v>
      </c>
      <c r="B844" s="15" t="s">
        <v>615</v>
      </c>
      <c r="C844" s="15" t="s">
        <v>136</v>
      </c>
      <c r="D844" s="15" t="s">
        <v>27</v>
      </c>
      <c r="E844" s="15" t="s">
        <v>81</v>
      </c>
      <c r="F844" s="15" t="s">
        <v>104</v>
      </c>
      <c r="G844" s="15" t="s">
        <v>20</v>
      </c>
      <c r="H844" s="16">
        <v>32335</v>
      </c>
      <c r="I844" s="16">
        <v>44003</v>
      </c>
      <c r="J844" s="16">
        <v>45006</v>
      </c>
      <c r="K844" s="15" t="s">
        <v>21</v>
      </c>
      <c r="L844" s="15" t="s">
        <v>100</v>
      </c>
      <c r="M844" s="15">
        <v>66529</v>
      </c>
      <c r="N844" s="15" t="s">
        <v>23</v>
      </c>
      <c r="O844" s="15">
        <v>3.5315068493150679</v>
      </c>
      <c r="P844" s="15" t="s">
        <v>1861</v>
      </c>
      <c r="Q844" s="15">
        <f t="shared" ca="1" si="26"/>
        <v>37</v>
      </c>
      <c r="R844" s="15" t="str">
        <f t="shared" si="27"/>
        <v>Medium</v>
      </c>
    </row>
    <row r="845" spans="1:18" s="15" customFormat="1" x14ac:dyDescent="0.3">
      <c r="A845" s="15" t="s">
        <v>1676</v>
      </c>
      <c r="B845" s="15" t="s">
        <v>68</v>
      </c>
      <c r="C845" s="15" t="s">
        <v>707</v>
      </c>
      <c r="D845" s="15" t="s">
        <v>27</v>
      </c>
      <c r="E845" s="15" t="s">
        <v>18</v>
      </c>
      <c r="F845" s="15" t="s">
        <v>19</v>
      </c>
      <c r="G845" s="15" t="s">
        <v>30</v>
      </c>
      <c r="H845" s="16">
        <v>29940</v>
      </c>
      <c r="I845" s="16">
        <v>42787</v>
      </c>
      <c r="J845" s="16">
        <v>42967</v>
      </c>
      <c r="K845" s="15" t="s">
        <v>94</v>
      </c>
      <c r="L845" s="15" t="s">
        <v>182</v>
      </c>
      <c r="M845" s="15">
        <v>67819</v>
      </c>
      <c r="N845" s="15" t="s">
        <v>33</v>
      </c>
      <c r="O845" s="15">
        <v>0.49315068493150682</v>
      </c>
      <c r="P845" s="15" t="s">
        <v>1861</v>
      </c>
      <c r="Q845" s="15">
        <f t="shared" ca="1" si="26"/>
        <v>44</v>
      </c>
      <c r="R845" s="15" t="str">
        <f t="shared" si="27"/>
        <v>Medium</v>
      </c>
    </row>
    <row r="846" spans="1:18" s="15" customFormat="1" x14ac:dyDescent="0.3">
      <c r="A846" s="15" t="s">
        <v>1677</v>
      </c>
      <c r="B846" s="15" t="s">
        <v>615</v>
      </c>
      <c r="C846" s="15" t="s">
        <v>249</v>
      </c>
      <c r="D846" s="15" t="s">
        <v>17</v>
      </c>
      <c r="E846" s="15" t="s">
        <v>18</v>
      </c>
      <c r="F846" s="15" t="s">
        <v>19</v>
      </c>
      <c r="G846" s="15" t="s">
        <v>30</v>
      </c>
      <c r="H846" s="16">
        <v>24390</v>
      </c>
      <c r="I846" s="16">
        <v>42952</v>
      </c>
      <c r="J846" s="16">
        <v>43132</v>
      </c>
      <c r="K846" s="15" t="s">
        <v>51</v>
      </c>
      <c r="L846" s="15" t="s">
        <v>52</v>
      </c>
      <c r="M846" s="15">
        <v>59461</v>
      </c>
      <c r="N846" s="15" t="s">
        <v>96</v>
      </c>
      <c r="O846" s="15">
        <v>0.49315068493150682</v>
      </c>
      <c r="P846" s="15" t="s">
        <v>1861</v>
      </c>
      <c r="Q846" s="15">
        <f t="shared" ca="1" si="26"/>
        <v>59</v>
      </c>
      <c r="R846" s="15" t="str">
        <f t="shared" si="27"/>
        <v>Low</v>
      </c>
    </row>
    <row r="847" spans="1:18" s="15" customFormat="1" x14ac:dyDescent="0.3">
      <c r="A847" s="15" t="s">
        <v>1678</v>
      </c>
      <c r="B847" s="15" t="s">
        <v>617</v>
      </c>
      <c r="C847" s="15" t="s">
        <v>246</v>
      </c>
      <c r="D847" s="15" t="s">
        <v>17</v>
      </c>
      <c r="E847" s="15" t="s">
        <v>18</v>
      </c>
      <c r="F847" s="15" t="s">
        <v>19</v>
      </c>
      <c r="G847" s="15" t="s">
        <v>20</v>
      </c>
      <c r="H847" s="16">
        <v>23383</v>
      </c>
      <c r="I847" s="16">
        <v>43841</v>
      </c>
      <c r="J847" s="16">
        <v>44021</v>
      </c>
      <c r="K847" s="15" t="s">
        <v>31</v>
      </c>
      <c r="L847" s="15" t="s">
        <v>83</v>
      </c>
      <c r="M847" s="15">
        <v>60402</v>
      </c>
      <c r="N847" s="15" t="s">
        <v>96</v>
      </c>
      <c r="O847" s="15">
        <v>0.49315068493150682</v>
      </c>
      <c r="P847" s="15" t="s">
        <v>1861</v>
      </c>
      <c r="Q847" s="15">
        <f t="shared" ca="1" si="26"/>
        <v>62</v>
      </c>
      <c r="R847" s="15" t="str">
        <f t="shared" si="27"/>
        <v>Medium</v>
      </c>
    </row>
    <row r="848" spans="1:18" s="15" customFormat="1" x14ac:dyDescent="0.3">
      <c r="A848" s="15" t="s">
        <v>1679</v>
      </c>
      <c r="B848" s="15" t="s">
        <v>615</v>
      </c>
      <c r="C848" s="15" t="s">
        <v>1089</v>
      </c>
      <c r="D848" s="15" t="s">
        <v>17</v>
      </c>
      <c r="E848" s="15" t="s">
        <v>169</v>
      </c>
      <c r="F848" s="15" t="s">
        <v>652</v>
      </c>
      <c r="G848" s="15" t="s">
        <v>30</v>
      </c>
      <c r="H848" s="16">
        <v>27599</v>
      </c>
      <c r="I848" s="16">
        <v>44428</v>
      </c>
      <c r="J848" s="16">
        <v>44954</v>
      </c>
      <c r="K848" s="15" t="s">
        <v>31</v>
      </c>
      <c r="L848" s="15" t="s">
        <v>83</v>
      </c>
      <c r="M848" s="15">
        <v>55994</v>
      </c>
      <c r="N848" s="15" t="s">
        <v>96</v>
      </c>
      <c r="O848" s="15">
        <v>0.49041095890410957</v>
      </c>
      <c r="P848" s="15" t="s">
        <v>1861</v>
      </c>
      <c r="Q848" s="15">
        <f t="shared" ca="1" si="26"/>
        <v>50</v>
      </c>
      <c r="R848" s="15" t="str">
        <f t="shared" si="27"/>
        <v>Low</v>
      </c>
    </row>
    <row r="849" spans="1:18" s="15" customFormat="1" x14ac:dyDescent="0.3">
      <c r="A849" s="15" t="s">
        <v>1680</v>
      </c>
      <c r="B849" s="15" t="s">
        <v>1681</v>
      </c>
      <c r="C849" s="15" t="s">
        <v>128</v>
      </c>
      <c r="D849" s="15" t="s">
        <v>17</v>
      </c>
      <c r="E849" s="15" t="s">
        <v>81</v>
      </c>
      <c r="F849" s="15" t="s">
        <v>166</v>
      </c>
      <c r="G849" s="15" t="s">
        <v>30</v>
      </c>
      <c r="H849" s="16">
        <v>27932</v>
      </c>
      <c r="I849" s="16">
        <v>42519</v>
      </c>
      <c r="J849" s="16">
        <v>45388</v>
      </c>
      <c r="K849" s="15" t="s">
        <v>51</v>
      </c>
      <c r="L849" s="15" t="s">
        <v>56</v>
      </c>
      <c r="M849" s="15">
        <v>54791</v>
      </c>
      <c r="N849" s="15" t="s">
        <v>33</v>
      </c>
      <c r="O849" s="15">
        <v>0.49315068493150682</v>
      </c>
      <c r="P849" s="15" t="s">
        <v>1861</v>
      </c>
      <c r="Q849" s="15">
        <f t="shared" ca="1" si="26"/>
        <v>49</v>
      </c>
      <c r="R849" s="15" t="str">
        <f t="shared" si="27"/>
        <v>Low</v>
      </c>
    </row>
    <row r="850" spans="1:18" s="15" customFormat="1" x14ac:dyDescent="0.3">
      <c r="A850" s="15" t="s">
        <v>1682</v>
      </c>
      <c r="B850" s="15" t="s">
        <v>804</v>
      </c>
      <c r="C850" s="15" t="s">
        <v>383</v>
      </c>
      <c r="D850" s="15" t="s">
        <v>17</v>
      </c>
      <c r="E850" s="15" t="s">
        <v>137</v>
      </c>
      <c r="F850" s="15" t="s">
        <v>138</v>
      </c>
      <c r="G850" s="15" t="s">
        <v>30</v>
      </c>
      <c r="H850" s="16">
        <v>26050</v>
      </c>
      <c r="I850" s="16">
        <v>42672</v>
      </c>
      <c r="J850" s="16">
        <v>42852</v>
      </c>
      <c r="K850" s="15" t="s">
        <v>37</v>
      </c>
      <c r="L850" s="15" t="s">
        <v>38</v>
      </c>
      <c r="M850" s="15">
        <v>64308</v>
      </c>
      <c r="N850" s="15" t="s">
        <v>44</v>
      </c>
      <c r="O850" s="15">
        <v>0.49315068493150682</v>
      </c>
      <c r="P850" s="15" t="s">
        <v>1862</v>
      </c>
      <c r="Q850" s="15">
        <f t="shared" ca="1" si="26"/>
        <v>54</v>
      </c>
      <c r="R850" s="15" t="str">
        <f t="shared" si="27"/>
        <v>Medium</v>
      </c>
    </row>
    <row r="851" spans="1:18" s="15" customFormat="1" x14ac:dyDescent="0.3">
      <c r="A851" s="15" t="s">
        <v>1683</v>
      </c>
      <c r="B851" s="15" t="s">
        <v>615</v>
      </c>
      <c r="C851" s="15" t="s">
        <v>1684</v>
      </c>
      <c r="D851" s="15" t="s">
        <v>27</v>
      </c>
      <c r="E851" s="15" t="s">
        <v>18</v>
      </c>
      <c r="F851" s="15" t="s">
        <v>19</v>
      </c>
      <c r="G851" s="15" t="s">
        <v>30</v>
      </c>
      <c r="H851" s="16">
        <v>22479</v>
      </c>
      <c r="I851" s="16">
        <v>43087</v>
      </c>
      <c r="J851" s="16">
        <v>43267</v>
      </c>
      <c r="K851" s="15" t="s">
        <v>37</v>
      </c>
      <c r="L851" s="15" t="s">
        <v>41</v>
      </c>
      <c r="M851" s="15">
        <v>64044</v>
      </c>
      <c r="N851" s="15" t="s">
        <v>33</v>
      </c>
      <c r="O851" s="15">
        <v>0.49041095890410957</v>
      </c>
      <c r="P851" s="15" t="s">
        <v>1861</v>
      </c>
      <c r="Q851" s="15">
        <f t="shared" ca="1" si="26"/>
        <v>64</v>
      </c>
      <c r="R851" s="15" t="str">
        <f t="shared" si="27"/>
        <v>Medium</v>
      </c>
    </row>
    <row r="852" spans="1:18" s="15" customFormat="1" x14ac:dyDescent="0.3">
      <c r="A852" s="15" t="s">
        <v>1685</v>
      </c>
      <c r="B852" s="15" t="s">
        <v>1630</v>
      </c>
      <c r="C852" s="15" t="s">
        <v>833</v>
      </c>
      <c r="D852" s="15" t="s">
        <v>27</v>
      </c>
      <c r="E852" s="15" t="s">
        <v>81</v>
      </c>
      <c r="F852" s="15" t="s">
        <v>166</v>
      </c>
      <c r="G852" s="15" t="s">
        <v>20</v>
      </c>
      <c r="H852" s="16">
        <v>27321</v>
      </c>
      <c r="I852" s="16">
        <v>44033</v>
      </c>
      <c r="J852" s="16">
        <v>45417</v>
      </c>
      <c r="K852" s="15" t="s">
        <v>37</v>
      </c>
      <c r="L852" s="15" t="s">
        <v>41</v>
      </c>
      <c r="M852" s="15">
        <v>61578</v>
      </c>
      <c r="N852" s="15" t="s">
        <v>23</v>
      </c>
      <c r="O852" s="15">
        <v>0.49315068493150682</v>
      </c>
      <c r="P852" s="15" t="s">
        <v>1861</v>
      </c>
      <c r="Q852" s="15">
        <f t="shared" ca="1" si="26"/>
        <v>51</v>
      </c>
      <c r="R852" s="15" t="str">
        <f t="shared" si="27"/>
        <v>Medium</v>
      </c>
    </row>
    <row r="853" spans="1:18" s="15" customFormat="1" x14ac:dyDescent="0.3">
      <c r="A853" s="15" t="s">
        <v>1686</v>
      </c>
      <c r="B853" s="15" t="s">
        <v>1687</v>
      </c>
      <c r="C853" s="15" t="s">
        <v>218</v>
      </c>
      <c r="D853" s="15" t="s">
        <v>27</v>
      </c>
      <c r="E853" s="15" t="s">
        <v>354</v>
      </c>
      <c r="F853" s="15" t="s">
        <v>404</v>
      </c>
      <c r="G853" s="15" t="s">
        <v>112</v>
      </c>
      <c r="H853" s="16">
        <v>28222</v>
      </c>
      <c r="I853" s="16">
        <v>45345</v>
      </c>
      <c r="J853" s="16">
        <v>45525</v>
      </c>
      <c r="K853" s="15" t="s">
        <v>31</v>
      </c>
      <c r="L853" s="15" t="s">
        <v>159</v>
      </c>
      <c r="M853" s="15">
        <v>73871</v>
      </c>
      <c r="N853" s="15" t="s">
        <v>33</v>
      </c>
      <c r="O853" s="15">
        <v>1.268493150684932</v>
      </c>
      <c r="P853" s="15" t="s">
        <v>1861</v>
      </c>
      <c r="Q853" s="15">
        <f t="shared" ca="1" si="26"/>
        <v>48</v>
      </c>
      <c r="R853" s="15" t="str">
        <f t="shared" si="27"/>
        <v>Medium</v>
      </c>
    </row>
    <row r="854" spans="1:18" s="15" customFormat="1" x14ac:dyDescent="0.3">
      <c r="A854" s="15" t="s">
        <v>1688</v>
      </c>
      <c r="B854" s="15" t="s">
        <v>316</v>
      </c>
      <c r="C854" s="15" t="s">
        <v>175</v>
      </c>
      <c r="D854" s="15" t="s">
        <v>27</v>
      </c>
      <c r="E854" s="15" t="s">
        <v>18</v>
      </c>
      <c r="F854" s="15" t="s">
        <v>19</v>
      </c>
      <c r="G854" s="15" t="s">
        <v>93</v>
      </c>
      <c r="H854" s="16">
        <v>35456</v>
      </c>
      <c r="I854" s="16">
        <v>42426</v>
      </c>
      <c r="J854" s="16">
        <v>43347</v>
      </c>
      <c r="K854" s="15" t="s">
        <v>94</v>
      </c>
      <c r="L854" s="15" t="s">
        <v>117</v>
      </c>
      <c r="M854" s="15">
        <v>76777</v>
      </c>
      <c r="N854" s="15" t="s">
        <v>96</v>
      </c>
      <c r="O854" s="15">
        <v>0.49315068493150682</v>
      </c>
      <c r="P854" s="15" t="s">
        <v>1861</v>
      </c>
      <c r="Q854" s="15">
        <f t="shared" ca="1" si="26"/>
        <v>28</v>
      </c>
      <c r="R854" s="15" t="str">
        <f t="shared" si="27"/>
        <v>Medium</v>
      </c>
    </row>
    <row r="855" spans="1:18" s="15" customFormat="1" x14ac:dyDescent="0.3">
      <c r="A855" s="15" t="s">
        <v>1689</v>
      </c>
      <c r="B855" s="15" t="s">
        <v>517</v>
      </c>
      <c r="C855" s="15" t="s">
        <v>415</v>
      </c>
      <c r="D855" s="15" t="s">
        <v>17</v>
      </c>
      <c r="E855" s="15" t="s">
        <v>18</v>
      </c>
      <c r="F855" s="15" t="s">
        <v>19</v>
      </c>
      <c r="G855" s="15" t="s">
        <v>30</v>
      </c>
      <c r="H855" s="16">
        <v>33583</v>
      </c>
      <c r="I855" s="16">
        <v>45455</v>
      </c>
      <c r="J855" s="16">
        <v>45635</v>
      </c>
      <c r="K855" s="15" t="s">
        <v>21</v>
      </c>
      <c r="L855" s="15" t="s">
        <v>100</v>
      </c>
      <c r="M855" s="15">
        <v>57457</v>
      </c>
      <c r="N855" s="15" t="s">
        <v>33</v>
      </c>
      <c r="O855" s="15">
        <v>0.49315068493150682</v>
      </c>
      <c r="P855" s="15" t="s">
        <v>1861</v>
      </c>
      <c r="Q855" s="15">
        <f t="shared" ca="1" si="26"/>
        <v>34</v>
      </c>
      <c r="R855" s="15" t="str">
        <f t="shared" si="27"/>
        <v>Low</v>
      </c>
    </row>
    <row r="856" spans="1:18" s="15" customFormat="1" x14ac:dyDescent="0.3">
      <c r="A856" s="15" t="s">
        <v>1690</v>
      </c>
      <c r="B856" s="15" t="s">
        <v>318</v>
      </c>
      <c r="C856" s="15" t="s">
        <v>584</v>
      </c>
      <c r="D856" s="15" t="s">
        <v>17</v>
      </c>
      <c r="E856" s="15" t="s">
        <v>120</v>
      </c>
      <c r="F856" s="15" t="s">
        <v>121</v>
      </c>
      <c r="G856" s="15" t="s">
        <v>20</v>
      </c>
      <c r="H856" s="16">
        <v>35854</v>
      </c>
      <c r="I856" s="16">
        <v>44337</v>
      </c>
      <c r="J856" s="16">
        <v>45330</v>
      </c>
      <c r="K856" s="15" t="s">
        <v>37</v>
      </c>
      <c r="L856" s="15" t="s">
        <v>41</v>
      </c>
      <c r="M856" s="15">
        <v>60551</v>
      </c>
      <c r="N856" s="15" t="s">
        <v>23</v>
      </c>
      <c r="O856" s="15">
        <v>0.49315068493150682</v>
      </c>
      <c r="P856" s="15" t="s">
        <v>1861</v>
      </c>
      <c r="Q856" s="15">
        <f t="shared" ca="1" si="26"/>
        <v>27</v>
      </c>
      <c r="R856" s="15" t="str">
        <f t="shared" si="27"/>
        <v>Medium</v>
      </c>
    </row>
    <row r="857" spans="1:18" s="15" customFormat="1" x14ac:dyDescent="0.3">
      <c r="A857" s="15" t="s">
        <v>1691</v>
      </c>
      <c r="B857" s="15" t="s">
        <v>1692</v>
      </c>
      <c r="C857" s="15" t="s">
        <v>226</v>
      </c>
      <c r="D857" s="15" t="s">
        <v>27</v>
      </c>
      <c r="E857" s="15" t="s">
        <v>18</v>
      </c>
      <c r="F857" s="15" t="s">
        <v>19</v>
      </c>
      <c r="G857" s="15" t="s">
        <v>30</v>
      </c>
      <c r="H857" s="16">
        <v>33493</v>
      </c>
      <c r="I857" s="16">
        <v>43708</v>
      </c>
      <c r="J857" s="16">
        <v>45441</v>
      </c>
      <c r="K857" s="15" t="s">
        <v>37</v>
      </c>
      <c r="L857" s="15" t="s">
        <v>38</v>
      </c>
      <c r="M857" s="15">
        <v>61458</v>
      </c>
      <c r="N857" s="15" t="s">
        <v>96</v>
      </c>
      <c r="O857" s="15">
        <v>7.0821917808219181</v>
      </c>
      <c r="P857" s="15" t="s">
        <v>1861</v>
      </c>
      <c r="Q857" s="15">
        <f t="shared" ca="1" si="26"/>
        <v>34</v>
      </c>
      <c r="R857" s="15" t="str">
        <f t="shared" si="27"/>
        <v>Medium</v>
      </c>
    </row>
    <row r="858" spans="1:18" s="15" customFormat="1" x14ac:dyDescent="0.3">
      <c r="A858" s="15" t="s">
        <v>1693</v>
      </c>
      <c r="B858" s="15" t="s">
        <v>799</v>
      </c>
      <c r="C858" s="15" t="s">
        <v>1369</v>
      </c>
      <c r="D858" s="15" t="s">
        <v>27</v>
      </c>
      <c r="E858" s="15" t="s">
        <v>18</v>
      </c>
      <c r="F858" s="15" t="s">
        <v>19</v>
      </c>
      <c r="G858" s="15" t="s">
        <v>30</v>
      </c>
      <c r="H858" s="16">
        <v>28521</v>
      </c>
      <c r="I858" s="16">
        <v>44008</v>
      </c>
      <c r="J858" s="16">
        <v>44188</v>
      </c>
      <c r="K858" s="15" t="s">
        <v>37</v>
      </c>
      <c r="L858" s="15" t="s">
        <v>38</v>
      </c>
      <c r="M858" s="15">
        <v>74903</v>
      </c>
      <c r="N858" s="15" t="s">
        <v>44</v>
      </c>
      <c r="O858" s="15">
        <v>0.49041095890410957</v>
      </c>
      <c r="P858" s="15" t="s">
        <v>1862</v>
      </c>
      <c r="Q858" s="15">
        <f t="shared" ca="1" si="26"/>
        <v>47</v>
      </c>
      <c r="R858" s="15" t="str">
        <f t="shared" si="27"/>
        <v>Medium</v>
      </c>
    </row>
    <row r="859" spans="1:18" s="15" customFormat="1" x14ac:dyDescent="0.3">
      <c r="A859" s="15" t="s">
        <v>1694</v>
      </c>
      <c r="B859" s="15" t="s">
        <v>157</v>
      </c>
      <c r="C859" s="15" t="s">
        <v>624</v>
      </c>
      <c r="D859" s="15" t="s">
        <v>27</v>
      </c>
      <c r="E859" s="15" t="s">
        <v>18</v>
      </c>
      <c r="F859" s="15" t="s">
        <v>19</v>
      </c>
      <c r="G859" s="15" t="s">
        <v>30</v>
      </c>
      <c r="H859" s="16">
        <v>35409</v>
      </c>
      <c r="I859" s="16">
        <v>42523</v>
      </c>
      <c r="J859" s="16">
        <v>42703</v>
      </c>
      <c r="K859" s="15" t="s">
        <v>94</v>
      </c>
      <c r="L859" s="15" t="s">
        <v>117</v>
      </c>
      <c r="M859" s="15">
        <v>66450</v>
      </c>
      <c r="N859" s="15" t="s">
        <v>33</v>
      </c>
      <c r="O859" s="15">
        <v>7.9835616438356167</v>
      </c>
      <c r="P859" s="15" t="s">
        <v>1861</v>
      </c>
      <c r="Q859" s="15">
        <f t="shared" ca="1" si="26"/>
        <v>29</v>
      </c>
      <c r="R859" s="15" t="str">
        <f t="shared" si="27"/>
        <v>Medium</v>
      </c>
    </row>
    <row r="860" spans="1:18" s="15" customFormat="1" x14ac:dyDescent="0.3">
      <c r="A860" s="15" t="s">
        <v>1695</v>
      </c>
      <c r="B860" s="15" t="s">
        <v>211</v>
      </c>
      <c r="C860" s="15" t="s">
        <v>865</v>
      </c>
      <c r="D860" s="15" t="s">
        <v>27</v>
      </c>
      <c r="E860" s="15" t="s">
        <v>18</v>
      </c>
      <c r="F860" s="15" t="s">
        <v>19</v>
      </c>
      <c r="G860" s="15" t="s">
        <v>30</v>
      </c>
      <c r="H860" s="16">
        <v>34986</v>
      </c>
      <c r="I860" s="16">
        <v>43412</v>
      </c>
      <c r="J860" s="16">
        <v>43592</v>
      </c>
      <c r="K860" s="15" t="s">
        <v>65</v>
      </c>
      <c r="L860" s="15" t="s">
        <v>131</v>
      </c>
      <c r="M860" s="15">
        <v>60027</v>
      </c>
      <c r="N860" s="15" t="s">
        <v>44</v>
      </c>
      <c r="O860" s="15">
        <v>0.49315068493150682</v>
      </c>
      <c r="P860" s="15" t="s">
        <v>1861</v>
      </c>
      <c r="Q860" s="15">
        <f t="shared" ca="1" si="26"/>
        <v>30</v>
      </c>
      <c r="R860" s="15" t="str">
        <f t="shared" si="27"/>
        <v>Medium</v>
      </c>
    </row>
    <row r="861" spans="1:18" s="15" customFormat="1" x14ac:dyDescent="0.3">
      <c r="A861" s="15" t="s">
        <v>1696</v>
      </c>
      <c r="B861" s="15" t="s">
        <v>260</v>
      </c>
      <c r="C861" s="15" t="s">
        <v>804</v>
      </c>
      <c r="D861" s="15" t="s">
        <v>27</v>
      </c>
      <c r="E861" s="15" t="s">
        <v>18</v>
      </c>
      <c r="F861" s="15" t="s">
        <v>19</v>
      </c>
      <c r="G861" s="15" t="s">
        <v>20</v>
      </c>
      <c r="H861" s="16">
        <v>32082</v>
      </c>
      <c r="I861" s="16">
        <v>43633</v>
      </c>
      <c r="J861" s="16">
        <v>43848</v>
      </c>
      <c r="K861" s="15" t="s">
        <v>31</v>
      </c>
      <c r="L861" s="15" t="s">
        <v>83</v>
      </c>
      <c r="M861" s="15">
        <v>61785</v>
      </c>
      <c r="N861" s="15" t="s">
        <v>23</v>
      </c>
      <c r="O861" s="15">
        <v>0.49315068493150682</v>
      </c>
      <c r="P861" s="15" t="s">
        <v>1861</v>
      </c>
      <c r="Q861" s="15">
        <f t="shared" ca="1" si="26"/>
        <v>38</v>
      </c>
      <c r="R861" s="15" t="str">
        <f t="shared" si="27"/>
        <v>Medium</v>
      </c>
    </row>
    <row r="862" spans="1:18" s="15" customFormat="1" x14ac:dyDescent="0.3">
      <c r="A862" s="15" t="s">
        <v>1697</v>
      </c>
      <c r="B862" s="15" t="s">
        <v>206</v>
      </c>
      <c r="C862" s="15" t="s">
        <v>1698</v>
      </c>
      <c r="D862" s="15" t="s">
        <v>27</v>
      </c>
      <c r="E862" s="15" t="s">
        <v>18</v>
      </c>
      <c r="F862" s="15" t="s">
        <v>19</v>
      </c>
      <c r="G862" s="15" t="s">
        <v>30</v>
      </c>
      <c r="H862" s="16">
        <v>29085</v>
      </c>
      <c r="I862" s="16">
        <v>44792</v>
      </c>
      <c r="J862" s="16">
        <v>45226</v>
      </c>
      <c r="K862" s="15" t="s">
        <v>65</v>
      </c>
      <c r="L862" s="15" t="s">
        <v>314</v>
      </c>
      <c r="M862" s="15">
        <v>77437</v>
      </c>
      <c r="N862" s="15" t="s">
        <v>44</v>
      </c>
      <c r="O862" s="15">
        <v>5.3589041095890408</v>
      </c>
      <c r="P862" s="15" t="s">
        <v>1861</v>
      </c>
      <c r="Q862" s="15">
        <f t="shared" ca="1" si="26"/>
        <v>46</v>
      </c>
      <c r="R862" s="15" t="str">
        <f t="shared" si="27"/>
        <v>Medium</v>
      </c>
    </row>
    <row r="863" spans="1:18" s="15" customFormat="1" x14ac:dyDescent="0.3">
      <c r="A863" s="15" t="s">
        <v>1699</v>
      </c>
      <c r="B863" s="15" t="s">
        <v>777</v>
      </c>
      <c r="C863" s="15" t="s">
        <v>1328</v>
      </c>
      <c r="D863" s="15" t="s">
        <v>17</v>
      </c>
      <c r="E863" s="15" t="s">
        <v>18</v>
      </c>
      <c r="F863" s="15" t="s">
        <v>19</v>
      </c>
      <c r="G863" s="15" t="s">
        <v>93</v>
      </c>
      <c r="H863" s="16">
        <v>33737</v>
      </c>
      <c r="I863" s="16">
        <v>44832</v>
      </c>
      <c r="J863" s="16">
        <v>45416</v>
      </c>
      <c r="K863" s="15" t="s">
        <v>51</v>
      </c>
      <c r="L863" s="15" t="s">
        <v>233</v>
      </c>
      <c r="M863" s="15">
        <v>82977</v>
      </c>
      <c r="N863" s="15" t="s">
        <v>96</v>
      </c>
      <c r="O863" s="15">
        <v>6.1424657534246574</v>
      </c>
      <c r="P863" s="15" t="s">
        <v>1861</v>
      </c>
      <c r="Q863" s="15">
        <f t="shared" ca="1" si="26"/>
        <v>33</v>
      </c>
      <c r="R863" s="15" t="str">
        <f t="shared" si="27"/>
        <v>Medium</v>
      </c>
    </row>
    <row r="864" spans="1:18" s="15" customFormat="1" x14ac:dyDescent="0.3">
      <c r="A864" s="15" t="s">
        <v>1700</v>
      </c>
      <c r="B864" s="15" t="s">
        <v>218</v>
      </c>
      <c r="C864" s="15" t="s">
        <v>1398</v>
      </c>
      <c r="D864" s="15" t="s">
        <v>17</v>
      </c>
      <c r="E864" s="15" t="s">
        <v>28</v>
      </c>
      <c r="F864" s="15" t="s">
        <v>282</v>
      </c>
      <c r="G864" s="15" t="s">
        <v>30</v>
      </c>
      <c r="H864" s="16">
        <v>30654</v>
      </c>
      <c r="I864" s="16">
        <v>42524</v>
      </c>
      <c r="J864" s="16">
        <v>43099</v>
      </c>
      <c r="K864" s="15" t="s">
        <v>37</v>
      </c>
      <c r="L864" s="15" t="s">
        <v>38</v>
      </c>
      <c r="M864" s="15">
        <v>55177</v>
      </c>
      <c r="N864" s="15" t="s">
        <v>33</v>
      </c>
      <c r="O864" s="15">
        <v>1.0356164383561639</v>
      </c>
      <c r="P864" s="15" t="s">
        <v>1861</v>
      </c>
      <c r="Q864" s="15">
        <f t="shared" ca="1" si="26"/>
        <v>42</v>
      </c>
      <c r="R864" s="15" t="str">
        <f t="shared" si="27"/>
        <v>Low</v>
      </c>
    </row>
    <row r="865" spans="1:18" s="15" customFormat="1" x14ac:dyDescent="0.3">
      <c r="A865" s="15" t="s">
        <v>1701</v>
      </c>
      <c r="B865" s="15" t="s">
        <v>1702</v>
      </c>
      <c r="C865" s="15" t="s">
        <v>177</v>
      </c>
      <c r="D865" s="15" t="s">
        <v>27</v>
      </c>
      <c r="E865" s="15" t="s">
        <v>18</v>
      </c>
      <c r="F865" s="15" t="s">
        <v>19</v>
      </c>
      <c r="G865" s="15" t="s">
        <v>93</v>
      </c>
      <c r="H865" s="16">
        <v>32685</v>
      </c>
      <c r="I865" s="16">
        <v>44466</v>
      </c>
      <c r="J865" s="16">
        <v>44646</v>
      </c>
      <c r="K865" s="15" t="s">
        <v>94</v>
      </c>
      <c r="L865" s="15" t="s">
        <v>122</v>
      </c>
      <c r="M865" s="15">
        <v>84520</v>
      </c>
      <c r="N865" s="15" t="s">
        <v>96</v>
      </c>
      <c r="O865" s="15">
        <v>2.5452054794520551</v>
      </c>
      <c r="P865" s="15" t="s">
        <v>1862</v>
      </c>
      <c r="Q865" s="15">
        <f t="shared" ca="1" si="26"/>
        <v>36</v>
      </c>
      <c r="R865" s="15" t="str">
        <f t="shared" si="27"/>
        <v>Medium</v>
      </c>
    </row>
    <row r="866" spans="1:18" s="15" customFormat="1" x14ac:dyDescent="0.3">
      <c r="A866" s="15" t="s">
        <v>1703</v>
      </c>
      <c r="B866" s="15" t="s">
        <v>726</v>
      </c>
      <c r="C866" s="15" t="s">
        <v>1704</v>
      </c>
      <c r="D866" s="15" t="s">
        <v>27</v>
      </c>
      <c r="E866" s="15" t="s">
        <v>120</v>
      </c>
      <c r="F866" s="15" t="s">
        <v>121</v>
      </c>
      <c r="G866" s="15" t="s">
        <v>20</v>
      </c>
      <c r="H866" s="16">
        <v>35972</v>
      </c>
      <c r="I866" s="16">
        <v>44865</v>
      </c>
      <c r="J866" s="16">
        <v>45045</v>
      </c>
      <c r="K866" s="15" t="s">
        <v>37</v>
      </c>
      <c r="L866" s="15" t="s">
        <v>41</v>
      </c>
      <c r="M866" s="15">
        <v>58264</v>
      </c>
      <c r="N866" s="15" t="s">
        <v>23</v>
      </c>
      <c r="O866" s="15">
        <v>0.49315068493150682</v>
      </c>
      <c r="P866" s="15" t="s">
        <v>1861</v>
      </c>
      <c r="Q866" s="15">
        <f t="shared" ca="1" si="26"/>
        <v>27</v>
      </c>
      <c r="R866" s="15" t="str">
        <f t="shared" si="27"/>
        <v>Low</v>
      </c>
    </row>
    <row r="867" spans="1:18" s="15" customFormat="1" x14ac:dyDescent="0.3">
      <c r="A867" s="15" t="s">
        <v>1705</v>
      </c>
      <c r="B867" s="15" t="s">
        <v>25</v>
      </c>
      <c r="C867" s="15" t="s">
        <v>1021</v>
      </c>
      <c r="D867" s="15" t="s">
        <v>17</v>
      </c>
      <c r="E867" s="15" t="s">
        <v>354</v>
      </c>
      <c r="F867" s="15" t="s">
        <v>519</v>
      </c>
      <c r="G867" s="15" t="s">
        <v>30</v>
      </c>
      <c r="H867" s="16">
        <v>21806</v>
      </c>
      <c r="I867" s="16">
        <v>42322</v>
      </c>
      <c r="J867" s="16">
        <v>44385</v>
      </c>
      <c r="K867" s="15" t="s">
        <v>37</v>
      </c>
      <c r="L867" s="15" t="s">
        <v>41</v>
      </c>
      <c r="M867" s="15">
        <v>59625</v>
      </c>
      <c r="N867" s="15" t="s">
        <v>33</v>
      </c>
      <c r="O867" s="15">
        <v>2.753424657534246</v>
      </c>
      <c r="P867" s="15" t="s">
        <v>1861</v>
      </c>
      <c r="Q867" s="15">
        <f t="shared" ca="1" si="26"/>
        <v>66</v>
      </c>
      <c r="R867" s="15" t="str">
        <f t="shared" si="27"/>
        <v>Low</v>
      </c>
    </row>
    <row r="868" spans="1:18" s="15" customFormat="1" x14ac:dyDescent="0.3">
      <c r="A868" s="15" t="s">
        <v>1706</v>
      </c>
      <c r="B868" s="15" t="s">
        <v>449</v>
      </c>
      <c r="C868" s="15" t="s">
        <v>1351</v>
      </c>
      <c r="D868" s="15" t="s">
        <v>17</v>
      </c>
      <c r="E868" s="15" t="s">
        <v>18</v>
      </c>
      <c r="F868" s="15" t="s">
        <v>19</v>
      </c>
      <c r="G868" s="15" t="s">
        <v>112</v>
      </c>
      <c r="H868" s="16">
        <v>30789</v>
      </c>
      <c r="I868" s="16">
        <v>43097</v>
      </c>
      <c r="J868" s="16">
        <v>44373</v>
      </c>
      <c r="K868" s="15" t="s">
        <v>31</v>
      </c>
      <c r="L868" s="15" t="s">
        <v>159</v>
      </c>
      <c r="M868" s="15">
        <v>94351</v>
      </c>
      <c r="N868" s="15" t="s">
        <v>33</v>
      </c>
      <c r="O868" s="15">
        <v>0.49315068493150682</v>
      </c>
      <c r="P868" s="15" t="s">
        <v>1861</v>
      </c>
      <c r="Q868" s="15">
        <f t="shared" ca="1" si="26"/>
        <v>41</v>
      </c>
      <c r="R868" s="15" t="str">
        <f t="shared" si="27"/>
        <v>Medium</v>
      </c>
    </row>
    <row r="869" spans="1:18" s="15" customFormat="1" x14ac:dyDescent="0.3">
      <c r="A869" s="15" t="s">
        <v>1707</v>
      </c>
      <c r="B869" s="15" t="s">
        <v>542</v>
      </c>
      <c r="C869" s="15" t="s">
        <v>1708</v>
      </c>
      <c r="D869" s="15" t="s">
        <v>17</v>
      </c>
      <c r="E869" s="15" t="s">
        <v>18</v>
      </c>
      <c r="F869" s="15" t="s">
        <v>19</v>
      </c>
      <c r="G869" s="15" t="s">
        <v>30</v>
      </c>
      <c r="H869" s="16">
        <v>31616</v>
      </c>
      <c r="I869" s="16">
        <v>42947</v>
      </c>
      <c r="J869" s="16">
        <v>43127</v>
      </c>
      <c r="K869" s="15" t="s">
        <v>21</v>
      </c>
      <c r="L869" s="15" t="s">
        <v>100</v>
      </c>
      <c r="M869" s="15">
        <v>54248</v>
      </c>
      <c r="N869" s="15" t="s">
        <v>23</v>
      </c>
      <c r="O869" s="15">
        <v>1.616438356164384</v>
      </c>
      <c r="P869" s="15" t="s">
        <v>1861</v>
      </c>
      <c r="Q869" s="15">
        <f t="shared" ca="1" si="26"/>
        <v>39</v>
      </c>
      <c r="R869" s="15" t="str">
        <f t="shared" si="27"/>
        <v>Low</v>
      </c>
    </row>
    <row r="870" spans="1:18" s="15" customFormat="1" x14ac:dyDescent="0.3">
      <c r="A870" s="15" t="s">
        <v>1709</v>
      </c>
      <c r="B870" s="15" t="s">
        <v>1710</v>
      </c>
      <c r="C870" s="15" t="s">
        <v>868</v>
      </c>
      <c r="D870" s="15" t="s">
        <v>27</v>
      </c>
      <c r="E870" s="15" t="s">
        <v>18</v>
      </c>
      <c r="F870" s="15" t="s">
        <v>19</v>
      </c>
      <c r="G870" s="15" t="s">
        <v>112</v>
      </c>
      <c r="H870" s="16">
        <v>25583</v>
      </c>
      <c r="I870" s="16">
        <v>43111</v>
      </c>
      <c r="J870" s="16">
        <v>43332</v>
      </c>
      <c r="K870" s="15" t="s">
        <v>94</v>
      </c>
      <c r="L870" s="15" t="s">
        <v>117</v>
      </c>
      <c r="M870" s="15">
        <v>85379</v>
      </c>
      <c r="N870" s="15" t="s">
        <v>33</v>
      </c>
      <c r="O870" s="15">
        <v>0.49315068493150682</v>
      </c>
      <c r="P870" s="15" t="s">
        <v>1861</v>
      </c>
      <c r="Q870" s="15">
        <f t="shared" ca="1" si="26"/>
        <v>56</v>
      </c>
      <c r="R870" s="15" t="str">
        <f t="shared" si="27"/>
        <v>Medium</v>
      </c>
    </row>
    <row r="871" spans="1:18" s="15" customFormat="1" x14ac:dyDescent="0.3">
      <c r="A871" s="15" t="s">
        <v>1711</v>
      </c>
      <c r="B871" s="15" t="s">
        <v>530</v>
      </c>
      <c r="C871" s="15" t="s">
        <v>1712</v>
      </c>
      <c r="D871" s="15" t="s">
        <v>27</v>
      </c>
      <c r="E871" s="15" t="s">
        <v>18</v>
      </c>
      <c r="F871" s="15" t="s">
        <v>19</v>
      </c>
      <c r="G871" s="15" t="s">
        <v>93</v>
      </c>
      <c r="H871" s="16">
        <v>34600</v>
      </c>
      <c r="I871" s="16">
        <v>44837</v>
      </c>
      <c r="J871" s="16">
        <v>45017</v>
      </c>
      <c r="K871" s="15" t="s">
        <v>31</v>
      </c>
      <c r="L871" s="15" t="s">
        <v>1237</v>
      </c>
      <c r="M871" s="15">
        <v>120635</v>
      </c>
      <c r="N871" s="15" t="s">
        <v>96</v>
      </c>
      <c r="O871" s="15">
        <v>8.5671232876712331</v>
      </c>
      <c r="P871" s="15" t="s">
        <v>1862</v>
      </c>
      <c r="Q871" s="15">
        <f t="shared" ca="1" si="26"/>
        <v>31</v>
      </c>
      <c r="R871" s="15" t="str">
        <f t="shared" si="27"/>
        <v>High</v>
      </c>
    </row>
    <row r="872" spans="1:18" s="15" customFormat="1" x14ac:dyDescent="0.3">
      <c r="A872" s="15" t="s">
        <v>1713</v>
      </c>
      <c r="B872" s="15" t="s">
        <v>135</v>
      </c>
      <c r="C872" s="15" t="s">
        <v>611</v>
      </c>
      <c r="D872" s="15" t="s">
        <v>27</v>
      </c>
      <c r="E872" s="15" t="s">
        <v>18</v>
      </c>
      <c r="F872" s="15" t="s">
        <v>19</v>
      </c>
      <c r="G872" s="15" t="s">
        <v>30</v>
      </c>
      <c r="H872" s="16">
        <v>33092</v>
      </c>
      <c r="I872" s="16">
        <v>43423</v>
      </c>
      <c r="J872" s="16">
        <v>44638</v>
      </c>
      <c r="K872" s="15" t="s">
        <v>51</v>
      </c>
      <c r="L872" s="15" t="s">
        <v>52</v>
      </c>
      <c r="M872" s="15">
        <v>65005</v>
      </c>
      <c r="N872" s="15" t="s">
        <v>23</v>
      </c>
      <c r="O872" s="15">
        <v>0.49315068493150682</v>
      </c>
      <c r="P872" s="15" t="s">
        <v>1861</v>
      </c>
      <c r="Q872" s="15">
        <f t="shared" ca="1" si="26"/>
        <v>35</v>
      </c>
      <c r="R872" s="15" t="str">
        <f t="shared" si="27"/>
        <v>Medium</v>
      </c>
    </row>
    <row r="873" spans="1:18" s="15" customFormat="1" x14ac:dyDescent="0.3">
      <c r="A873" s="15" t="s">
        <v>1714</v>
      </c>
      <c r="B873" s="15" t="s">
        <v>623</v>
      </c>
      <c r="C873" s="15" t="s">
        <v>1715</v>
      </c>
      <c r="D873" s="15" t="s">
        <v>17</v>
      </c>
      <c r="E873" s="15" t="s">
        <v>18</v>
      </c>
      <c r="F873" s="15" t="s">
        <v>19</v>
      </c>
      <c r="G873" s="15" t="s">
        <v>30</v>
      </c>
      <c r="H873" s="16">
        <v>28278</v>
      </c>
      <c r="I873" s="16">
        <v>42679</v>
      </c>
      <c r="J873" s="16">
        <v>43119</v>
      </c>
      <c r="K873" s="15" t="s">
        <v>37</v>
      </c>
      <c r="L873" s="15" t="s">
        <v>38</v>
      </c>
      <c r="M873" s="15">
        <v>56923</v>
      </c>
      <c r="N873" s="15" t="s">
        <v>96</v>
      </c>
      <c r="O873" s="15">
        <v>0.49315068493150682</v>
      </c>
      <c r="P873" s="15" t="s">
        <v>1862</v>
      </c>
      <c r="Q873" s="15">
        <f t="shared" ca="1" si="26"/>
        <v>48</v>
      </c>
      <c r="R873" s="15" t="str">
        <f t="shared" si="27"/>
        <v>Low</v>
      </c>
    </row>
    <row r="874" spans="1:18" s="15" customFormat="1" x14ac:dyDescent="0.3">
      <c r="A874" s="15" t="s">
        <v>1716</v>
      </c>
      <c r="B874" s="15" t="s">
        <v>397</v>
      </c>
      <c r="C874" s="15" t="s">
        <v>717</v>
      </c>
      <c r="D874" s="15" t="s">
        <v>17</v>
      </c>
      <c r="E874" s="15" t="s">
        <v>28</v>
      </c>
      <c r="F874" s="15" t="s">
        <v>29</v>
      </c>
      <c r="G874" s="15" t="s">
        <v>30</v>
      </c>
      <c r="H874" s="16">
        <v>31937</v>
      </c>
      <c r="I874" s="16">
        <v>42424</v>
      </c>
      <c r="J874" s="16">
        <v>42756</v>
      </c>
      <c r="K874" s="15" t="s">
        <v>37</v>
      </c>
      <c r="L874" s="15" t="s">
        <v>38</v>
      </c>
      <c r="M874" s="15">
        <v>55231</v>
      </c>
      <c r="N874" s="15" t="s">
        <v>44</v>
      </c>
      <c r="O874" s="15">
        <v>0.49315068493150682</v>
      </c>
      <c r="P874" s="15" t="s">
        <v>1861</v>
      </c>
      <c r="Q874" s="15">
        <f t="shared" ca="1" si="26"/>
        <v>38</v>
      </c>
      <c r="R874" s="15" t="str">
        <f t="shared" si="27"/>
        <v>Low</v>
      </c>
    </row>
    <row r="875" spans="1:18" s="15" customFormat="1" x14ac:dyDescent="0.3">
      <c r="A875" s="15" t="s">
        <v>1717</v>
      </c>
      <c r="B875" s="15" t="s">
        <v>726</v>
      </c>
      <c r="C875" s="15" t="s">
        <v>201</v>
      </c>
      <c r="D875" s="15" t="s">
        <v>27</v>
      </c>
      <c r="E875" s="15" t="s">
        <v>120</v>
      </c>
      <c r="F875" s="15" t="s">
        <v>223</v>
      </c>
      <c r="G875" s="15" t="s">
        <v>30</v>
      </c>
      <c r="H875" s="16">
        <v>30838</v>
      </c>
      <c r="I875" s="16">
        <v>42625</v>
      </c>
      <c r="J875" s="16">
        <v>42946</v>
      </c>
      <c r="K875" s="15" t="s">
        <v>37</v>
      </c>
      <c r="L875" s="15" t="s">
        <v>38</v>
      </c>
      <c r="M875" s="15">
        <v>67786</v>
      </c>
      <c r="N875" s="15" t="s">
        <v>33</v>
      </c>
      <c r="O875" s="15">
        <v>4.2383561643835614</v>
      </c>
      <c r="P875" s="15" t="s">
        <v>1862</v>
      </c>
      <c r="Q875" s="15">
        <f t="shared" ca="1" si="26"/>
        <v>41</v>
      </c>
      <c r="R875" s="15" t="str">
        <f t="shared" si="27"/>
        <v>Medium</v>
      </c>
    </row>
    <row r="876" spans="1:18" s="15" customFormat="1" x14ac:dyDescent="0.3">
      <c r="A876" s="15" t="s">
        <v>1718</v>
      </c>
      <c r="B876" s="15" t="s">
        <v>512</v>
      </c>
      <c r="C876" s="15" t="s">
        <v>214</v>
      </c>
      <c r="D876" s="15" t="s">
        <v>17</v>
      </c>
      <c r="E876" s="15" t="s">
        <v>18</v>
      </c>
      <c r="F876" s="15" t="s">
        <v>19</v>
      </c>
      <c r="G876" s="15" t="s">
        <v>112</v>
      </c>
      <c r="H876" s="16">
        <v>33382</v>
      </c>
      <c r="I876" s="16">
        <v>42882</v>
      </c>
      <c r="J876" s="16">
        <v>44985</v>
      </c>
      <c r="K876" s="15" t="s">
        <v>94</v>
      </c>
      <c r="L876" s="15" t="s">
        <v>95</v>
      </c>
      <c r="M876" s="15">
        <v>107510</v>
      </c>
      <c r="N876" s="15" t="s">
        <v>96</v>
      </c>
      <c r="O876" s="15">
        <v>2.7123287671232879</v>
      </c>
      <c r="P876" s="15" t="s">
        <v>1861</v>
      </c>
      <c r="Q876" s="15">
        <f t="shared" ca="1" si="26"/>
        <v>34</v>
      </c>
      <c r="R876" s="15" t="str">
        <f t="shared" si="27"/>
        <v>High</v>
      </c>
    </row>
    <row r="877" spans="1:18" s="15" customFormat="1" x14ac:dyDescent="0.3">
      <c r="A877" s="15" t="s">
        <v>1719</v>
      </c>
      <c r="B877" s="15" t="s">
        <v>265</v>
      </c>
      <c r="C877" s="15" t="s">
        <v>1720</v>
      </c>
      <c r="D877" s="15" t="s">
        <v>17</v>
      </c>
      <c r="E877" s="15" t="s">
        <v>18</v>
      </c>
      <c r="F877" s="15" t="s">
        <v>19</v>
      </c>
      <c r="G877" s="15" t="s">
        <v>20</v>
      </c>
      <c r="H877" s="16">
        <v>34768</v>
      </c>
      <c r="I877" s="16">
        <v>42922</v>
      </c>
      <c r="J877" s="16">
        <v>43102</v>
      </c>
      <c r="K877" s="15" t="s">
        <v>21</v>
      </c>
      <c r="L877" s="15" t="s">
        <v>100</v>
      </c>
      <c r="M877" s="15">
        <v>56546</v>
      </c>
      <c r="N877" s="15" t="s">
        <v>23</v>
      </c>
      <c r="O877" s="15">
        <v>8.161643835616438</v>
      </c>
      <c r="P877" s="15" t="s">
        <v>1861</v>
      </c>
      <c r="Q877" s="15">
        <f t="shared" ca="1" si="26"/>
        <v>30</v>
      </c>
      <c r="R877" s="15" t="str">
        <f t="shared" si="27"/>
        <v>Low</v>
      </c>
    </row>
    <row r="878" spans="1:18" s="15" customFormat="1" x14ac:dyDescent="0.3">
      <c r="A878" s="15" t="s">
        <v>1721</v>
      </c>
      <c r="B878" s="15" t="s">
        <v>1114</v>
      </c>
      <c r="C878" s="15" t="s">
        <v>1722</v>
      </c>
      <c r="D878" s="15" t="s">
        <v>27</v>
      </c>
      <c r="E878" s="15" t="s">
        <v>18</v>
      </c>
      <c r="F878" s="15" t="s">
        <v>19</v>
      </c>
      <c r="G878" s="15" t="s">
        <v>30</v>
      </c>
      <c r="H878" s="16">
        <v>36766</v>
      </c>
      <c r="I878" s="16">
        <v>43094</v>
      </c>
      <c r="J878" s="16">
        <v>43273</v>
      </c>
      <c r="K878" s="15" t="s">
        <v>94</v>
      </c>
      <c r="L878" s="15" t="s">
        <v>122</v>
      </c>
      <c r="M878" s="15">
        <v>89077</v>
      </c>
      <c r="N878" s="15" t="s">
        <v>33</v>
      </c>
      <c r="O878" s="15">
        <v>2.7479452054794522</v>
      </c>
      <c r="P878" s="15" t="s">
        <v>1861</v>
      </c>
      <c r="Q878" s="15">
        <f t="shared" ca="1" si="26"/>
        <v>25</v>
      </c>
      <c r="R878" s="15" t="str">
        <f t="shared" si="27"/>
        <v>Medium</v>
      </c>
    </row>
    <row r="879" spans="1:18" s="15" customFormat="1" x14ac:dyDescent="0.3">
      <c r="A879" s="15" t="s">
        <v>1723</v>
      </c>
      <c r="B879" s="15" t="s">
        <v>295</v>
      </c>
      <c r="C879" s="15" t="s">
        <v>1724</v>
      </c>
      <c r="D879" s="15" t="s">
        <v>27</v>
      </c>
      <c r="E879" s="15" t="s">
        <v>18</v>
      </c>
      <c r="F879" s="15" t="s">
        <v>19</v>
      </c>
      <c r="G879" s="15" t="s">
        <v>30</v>
      </c>
      <c r="H879" s="16">
        <v>29542</v>
      </c>
      <c r="I879" s="16">
        <v>43677</v>
      </c>
      <c r="J879" s="16">
        <v>43868</v>
      </c>
      <c r="K879" s="15" t="s">
        <v>37</v>
      </c>
      <c r="L879" s="15" t="s">
        <v>38</v>
      </c>
      <c r="M879" s="15">
        <v>68156</v>
      </c>
      <c r="N879" s="15" t="s">
        <v>44</v>
      </c>
      <c r="O879" s="15">
        <v>0.49315068493150682</v>
      </c>
      <c r="P879" s="15" t="s">
        <v>1862</v>
      </c>
      <c r="Q879" s="15">
        <f t="shared" ca="1" si="26"/>
        <v>45</v>
      </c>
      <c r="R879" s="15" t="str">
        <f t="shared" si="27"/>
        <v>Medium</v>
      </c>
    </row>
    <row r="880" spans="1:18" s="15" customFormat="1" x14ac:dyDescent="0.3">
      <c r="A880" s="15" t="s">
        <v>1725</v>
      </c>
      <c r="B880" s="15" t="s">
        <v>740</v>
      </c>
      <c r="C880" s="15" t="s">
        <v>1726</v>
      </c>
      <c r="D880" s="15" t="s">
        <v>27</v>
      </c>
      <c r="E880" s="15" t="s">
        <v>18</v>
      </c>
      <c r="F880" s="15" t="s">
        <v>19</v>
      </c>
      <c r="G880" s="15" t="s">
        <v>30</v>
      </c>
      <c r="H880" s="16">
        <v>22017</v>
      </c>
      <c r="I880" s="16">
        <v>43372</v>
      </c>
      <c r="J880" s="16">
        <v>43552</v>
      </c>
      <c r="K880" s="15" t="s">
        <v>37</v>
      </c>
      <c r="L880" s="15" t="s">
        <v>38</v>
      </c>
      <c r="M880" s="15">
        <v>68783</v>
      </c>
      <c r="N880" s="15" t="s">
        <v>33</v>
      </c>
      <c r="O880" s="15">
        <v>0.49315068493150682</v>
      </c>
      <c r="P880" s="15" t="s">
        <v>1862</v>
      </c>
      <c r="Q880" s="15">
        <f t="shared" ca="1" si="26"/>
        <v>65</v>
      </c>
      <c r="R880" s="15" t="str">
        <f t="shared" si="27"/>
        <v>Medium</v>
      </c>
    </row>
    <row r="881" spans="1:18" s="15" customFormat="1" x14ac:dyDescent="0.3">
      <c r="A881" s="15" t="s">
        <v>1727</v>
      </c>
      <c r="B881" s="15" t="s">
        <v>1728</v>
      </c>
      <c r="C881" s="15" t="s">
        <v>407</v>
      </c>
      <c r="D881" s="15" t="s">
        <v>17</v>
      </c>
      <c r="E881" s="15" t="s">
        <v>169</v>
      </c>
      <c r="F881" s="15" t="s">
        <v>652</v>
      </c>
      <c r="G881" s="15" t="s">
        <v>112</v>
      </c>
      <c r="H881" s="16">
        <v>28400</v>
      </c>
      <c r="I881" s="16">
        <v>43713</v>
      </c>
      <c r="J881" s="16">
        <v>43893</v>
      </c>
      <c r="K881" s="15" t="s">
        <v>31</v>
      </c>
      <c r="L881" s="15" t="s">
        <v>159</v>
      </c>
      <c r="M881" s="15">
        <v>88303</v>
      </c>
      <c r="N881" s="15" t="s">
        <v>96</v>
      </c>
      <c r="O881" s="15">
        <v>0.49315068493150682</v>
      </c>
      <c r="P881" s="15" t="s">
        <v>1861</v>
      </c>
      <c r="Q881" s="15">
        <f t="shared" ca="1" si="26"/>
        <v>48</v>
      </c>
      <c r="R881" s="15" t="str">
        <f t="shared" si="27"/>
        <v>Medium</v>
      </c>
    </row>
    <row r="882" spans="1:18" s="15" customFormat="1" x14ac:dyDescent="0.3">
      <c r="A882" s="15" t="s">
        <v>1729</v>
      </c>
      <c r="B882" s="15" t="s">
        <v>1575</v>
      </c>
      <c r="C882" s="15" t="s">
        <v>196</v>
      </c>
      <c r="D882" s="15" t="s">
        <v>27</v>
      </c>
      <c r="E882" s="15" t="s">
        <v>18</v>
      </c>
      <c r="F882" s="15" t="s">
        <v>19</v>
      </c>
      <c r="G882" s="15" t="s">
        <v>30</v>
      </c>
      <c r="H882" s="16">
        <v>38066</v>
      </c>
      <c r="I882" s="16">
        <v>45388</v>
      </c>
      <c r="J882" s="16">
        <v>45568</v>
      </c>
      <c r="K882" s="15" t="s">
        <v>51</v>
      </c>
      <c r="L882" s="15" t="s">
        <v>52</v>
      </c>
      <c r="M882" s="15">
        <v>75078</v>
      </c>
      <c r="N882" s="15" t="s">
        <v>44</v>
      </c>
      <c r="O882" s="15">
        <v>1.441095890410959</v>
      </c>
      <c r="P882" s="15" t="s">
        <v>1862</v>
      </c>
      <c r="Q882" s="15">
        <f t="shared" ca="1" si="26"/>
        <v>21</v>
      </c>
      <c r="R882" s="15" t="str">
        <f t="shared" si="27"/>
        <v>Medium</v>
      </c>
    </row>
    <row r="883" spans="1:18" s="15" customFormat="1" x14ac:dyDescent="0.3">
      <c r="A883" s="15" t="s">
        <v>1730</v>
      </c>
      <c r="B883" s="15" t="s">
        <v>746</v>
      </c>
      <c r="C883" s="15" t="s">
        <v>767</v>
      </c>
      <c r="D883" s="15" t="s">
        <v>27</v>
      </c>
      <c r="E883" s="15" t="s">
        <v>354</v>
      </c>
      <c r="F883" s="15" t="s">
        <v>355</v>
      </c>
      <c r="G883" s="15" t="s">
        <v>30</v>
      </c>
      <c r="H883" s="16">
        <v>36292</v>
      </c>
      <c r="I883" s="16">
        <v>44082</v>
      </c>
      <c r="J883" s="16">
        <v>44262</v>
      </c>
      <c r="K883" s="15" t="s">
        <v>51</v>
      </c>
      <c r="L883" s="15" t="s">
        <v>233</v>
      </c>
      <c r="M883" s="15">
        <v>80435</v>
      </c>
      <c r="N883" s="15" t="s">
        <v>44</v>
      </c>
      <c r="O883" s="15">
        <v>7.86027397260274</v>
      </c>
      <c r="P883" s="15" t="s">
        <v>1862</v>
      </c>
      <c r="Q883" s="15">
        <f t="shared" ca="1" si="26"/>
        <v>26</v>
      </c>
      <c r="R883" s="15" t="str">
        <f t="shared" si="27"/>
        <v>Medium</v>
      </c>
    </row>
    <row r="884" spans="1:18" s="15" customFormat="1" x14ac:dyDescent="0.3">
      <c r="A884" s="15" t="s">
        <v>1731</v>
      </c>
      <c r="B884" s="15" t="s">
        <v>490</v>
      </c>
      <c r="C884" s="15" t="s">
        <v>667</v>
      </c>
      <c r="D884" s="15" t="s">
        <v>27</v>
      </c>
      <c r="E884" s="15" t="s">
        <v>18</v>
      </c>
      <c r="F884" s="15" t="s">
        <v>19</v>
      </c>
      <c r="G884" s="15" t="s">
        <v>30</v>
      </c>
      <c r="H884" s="16">
        <v>37496</v>
      </c>
      <c r="I884" s="16">
        <v>42986</v>
      </c>
      <c r="J884" s="16">
        <v>44381</v>
      </c>
      <c r="K884" s="15" t="s">
        <v>37</v>
      </c>
      <c r="L884" s="15" t="s">
        <v>38</v>
      </c>
      <c r="M884" s="15">
        <v>63585</v>
      </c>
      <c r="N884" s="15" t="s">
        <v>96</v>
      </c>
      <c r="O884" s="15">
        <v>0.49315068493150682</v>
      </c>
      <c r="P884" s="15" t="s">
        <v>1862</v>
      </c>
      <c r="Q884" s="15">
        <f t="shared" ca="1" si="26"/>
        <v>23</v>
      </c>
      <c r="R884" s="15" t="str">
        <f t="shared" si="27"/>
        <v>Medium</v>
      </c>
    </row>
    <row r="885" spans="1:18" s="15" customFormat="1" x14ac:dyDescent="0.3">
      <c r="A885" s="15" t="s">
        <v>1732</v>
      </c>
      <c r="B885" s="15" t="s">
        <v>35</v>
      </c>
      <c r="C885" s="15" t="s">
        <v>149</v>
      </c>
      <c r="D885" s="15" t="s">
        <v>17</v>
      </c>
      <c r="E885" s="15" t="s">
        <v>18</v>
      </c>
      <c r="F885" s="15" t="s">
        <v>19</v>
      </c>
      <c r="G885" s="15" t="s">
        <v>20</v>
      </c>
      <c r="H885" s="16">
        <v>30682</v>
      </c>
      <c r="I885" s="16">
        <v>42662</v>
      </c>
      <c r="J885" s="16">
        <v>45215</v>
      </c>
      <c r="K885" s="15" t="s">
        <v>37</v>
      </c>
      <c r="L885" s="15" t="s">
        <v>41</v>
      </c>
      <c r="M885" s="15">
        <v>54994</v>
      </c>
      <c r="N885" s="15" t="s">
        <v>23</v>
      </c>
      <c r="O885" s="15">
        <v>0.49315068493150682</v>
      </c>
      <c r="P885" s="15" t="s">
        <v>1861</v>
      </c>
      <c r="Q885" s="15">
        <f t="shared" ca="1" si="26"/>
        <v>42</v>
      </c>
      <c r="R885" s="15" t="str">
        <f t="shared" si="27"/>
        <v>Low</v>
      </c>
    </row>
    <row r="886" spans="1:18" s="15" customFormat="1" x14ac:dyDescent="0.3">
      <c r="A886" s="15" t="s">
        <v>1733</v>
      </c>
      <c r="B886" s="15" t="s">
        <v>211</v>
      </c>
      <c r="C886" s="15" t="s">
        <v>1734</v>
      </c>
      <c r="D886" s="15" t="s">
        <v>27</v>
      </c>
      <c r="E886" s="15" t="s">
        <v>18</v>
      </c>
      <c r="F886" s="15" t="s">
        <v>19</v>
      </c>
      <c r="G886" s="15" t="s">
        <v>30</v>
      </c>
      <c r="H886" s="16">
        <v>30753</v>
      </c>
      <c r="I886" s="16">
        <v>44968</v>
      </c>
      <c r="J886" s="16">
        <v>45148</v>
      </c>
      <c r="K886" s="15" t="s">
        <v>65</v>
      </c>
      <c r="L886" s="15" t="s">
        <v>131</v>
      </c>
      <c r="M886" s="15">
        <v>68828</v>
      </c>
      <c r="N886" s="15" t="s">
        <v>96</v>
      </c>
      <c r="O886" s="15">
        <v>3.7917808219178082</v>
      </c>
      <c r="P886" s="15" t="s">
        <v>1862</v>
      </c>
      <c r="Q886" s="15">
        <f t="shared" ca="1" si="26"/>
        <v>41</v>
      </c>
      <c r="R886" s="15" t="str">
        <f t="shared" si="27"/>
        <v>Medium</v>
      </c>
    </row>
    <row r="887" spans="1:18" s="15" customFormat="1" x14ac:dyDescent="0.3">
      <c r="A887" s="15" t="s">
        <v>1735</v>
      </c>
      <c r="B887" s="15" t="s">
        <v>1736</v>
      </c>
      <c r="C887" s="15" t="s">
        <v>1737</v>
      </c>
      <c r="D887" s="15" t="s">
        <v>27</v>
      </c>
      <c r="E887" s="15" t="s">
        <v>18</v>
      </c>
      <c r="F887" s="15" t="s">
        <v>19</v>
      </c>
      <c r="G887" s="15" t="s">
        <v>30</v>
      </c>
      <c r="H887" s="16">
        <v>28478</v>
      </c>
      <c r="I887" s="16">
        <v>44029</v>
      </c>
      <c r="J887" s="16">
        <v>45532</v>
      </c>
      <c r="K887" s="15" t="s">
        <v>37</v>
      </c>
      <c r="L887" s="15" t="s">
        <v>41</v>
      </c>
      <c r="M887" s="15">
        <v>68994</v>
      </c>
      <c r="N887" s="15" t="s">
        <v>44</v>
      </c>
      <c r="O887" s="15">
        <v>0.49315068493150682</v>
      </c>
      <c r="P887" s="15" t="s">
        <v>1862</v>
      </c>
      <c r="Q887" s="15">
        <f t="shared" ca="1" si="26"/>
        <v>48</v>
      </c>
      <c r="R887" s="15" t="str">
        <f t="shared" si="27"/>
        <v>Medium</v>
      </c>
    </row>
    <row r="888" spans="1:18" s="15" customFormat="1" x14ac:dyDescent="0.3">
      <c r="A888" s="15" t="s">
        <v>1738</v>
      </c>
      <c r="B888" s="15" t="s">
        <v>876</v>
      </c>
      <c r="C888" s="15" t="s">
        <v>1559</v>
      </c>
      <c r="D888" s="15" t="s">
        <v>17</v>
      </c>
      <c r="E888" s="15" t="s">
        <v>81</v>
      </c>
      <c r="F888" s="15" t="s">
        <v>166</v>
      </c>
      <c r="G888" s="15" t="s">
        <v>93</v>
      </c>
      <c r="H888" s="16">
        <v>34333</v>
      </c>
      <c r="I888" s="16">
        <v>43003</v>
      </c>
      <c r="J888" s="16">
        <v>43666</v>
      </c>
      <c r="K888" s="15" t="s">
        <v>94</v>
      </c>
      <c r="L888" s="15" t="s">
        <v>117</v>
      </c>
      <c r="M888" s="15">
        <v>64736</v>
      </c>
      <c r="N888" s="15" t="s">
        <v>96</v>
      </c>
      <c r="O888" s="15">
        <v>2.5232876712328771</v>
      </c>
      <c r="P888" s="15" t="s">
        <v>1861</v>
      </c>
      <c r="Q888" s="15">
        <f t="shared" ca="1" si="26"/>
        <v>32</v>
      </c>
      <c r="R888" s="15" t="str">
        <f t="shared" si="27"/>
        <v>Medium</v>
      </c>
    </row>
    <row r="889" spans="1:18" s="15" customFormat="1" x14ac:dyDescent="0.3">
      <c r="A889" s="15" t="s">
        <v>1739</v>
      </c>
      <c r="B889" s="15" t="s">
        <v>570</v>
      </c>
      <c r="C889" s="15" t="s">
        <v>1236</v>
      </c>
      <c r="D889" s="15" t="s">
        <v>27</v>
      </c>
      <c r="E889" s="15" t="s">
        <v>120</v>
      </c>
      <c r="F889" s="15" t="s">
        <v>904</v>
      </c>
      <c r="G889" s="15" t="s">
        <v>30</v>
      </c>
      <c r="H889" s="16">
        <v>34831</v>
      </c>
      <c r="I889" s="16">
        <v>42887</v>
      </c>
      <c r="J889" s="16">
        <v>45348</v>
      </c>
      <c r="K889" s="15" t="s">
        <v>37</v>
      </c>
      <c r="L889" s="15" t="s">
        <v>41</v>
      </c>
      <c r="M889" s="15">
        <v>62922</v>
      </c>
      <c r="N889" s="15" t="s">
        <v>96</v>
      </c>
      <c r="O889" s="15">
        <v>0.49315068493150682</v>
      </c>
      <c r="P889" s="15" t="s">
        <v>1861</v>
      </c>
      <c r="Q889" s="15">
        <f t="shared" ca="1" si="26"/>
        <v>30</v>
      </c>
      <c r="R889" s="15" t="str">
        <f t="shared" si="27"/>
        <v>Medium</v>
      </c>
    </row>
    <row r="890" spans="1:18" s="15" customFormat="1" x14ac:dyDescent="0.3">
      <c r="A890" s="15" t="s">
        <v>1740</v>
      </c>
      <c r="B890" s="15" t="s">
        <v>452</v>
      </c>
      <c r="C890" s="15" t="s">
        <v>1741</v>
      </c>
      <c r="D890" s="15" t="s">
        <v>27</v>
      </c>
      <c r="E890" s="15" t="s">
        <v>137</v>
      </c>
      <c r="F890" s="15" t="s">
        <v>595</v>
      </c>
      <c r="G890" s="15" t="s">
        <v>30</v>
      </c>
      <c r="H890" s="16">
        <v>34749</v>
      </c>
      <c r="I890" s="16">
        <v>43368</v>
      </c>
      <c r="J890" s="16">
        <v>43548</v>
      </c>
      <c r="K890" s="15" t="s">
        <v>21</v>
      </c>
      <c r="L890" s="15" t="s">
        <v>100</v>
      </c>
      <c r="M890" s="15">
        <v>67268</v>
      </c>
      <c r="N890" s="15" t="s">
        <v>23</v>
      </c>
      <c r="O890" s="15">
        <v>2.720547945205479</v>
      </c>
      <c r="P890" s="15" t="s">
        <v>1862</v>
      </c>
      <c r="Q890" s="15">
        <f t="shared" ca="1" si="26"/>
        <v>30</v>
      </c>
      <c r="R890" s="15" t="str">
        <f t="shared" si="27"/>
        <v>Medium</v>
      </c>
    </row>
    <row r="891" spans="1:18" s="15" customFormat="1" x14ac:dyDescent="0.3">
      <c r="A891" s="15" t="s">
        <v>1742</v>
      </c>
      <c r="B891" s="15" t="s">
        <v>1743</v>
      </c>
      <c r="C891" s="15" t="s">
        <v>69</v>
      </c>
      <c r="D891" s="15" t="s">
        <v>17</v>
      </c>
      <c r="E891" s="15" t="s">
        <v>18</v>
      </c>
      <c r="F891" s="15" t="s">
        <v>19</v>
      </c>
      <c r="G891" s="15" t="s">
        <v>30</v>
      </c>
      <c r="H891" s="16">
        <v>36728</v>
      </c>
      <c r="I891" s="16">
        <v>44571</v>
      </c>
      <c r="J891" s="16">
        <v>44751</v>
      </c>
      <c r="K891" s="15" t="s">
        <v>70</v>
      </c>
      <c r="L891" s="15" t="s">
        <v>298</v>
      </c>
      <c r="M891" s="15">
        <v>57402</v>
      </c>
      <c r="N891" s="15" t="s">
        <v>33</v>
      </c>
      <c r="O891" s="15">
        <v>4.7479452054794518</v>
      </c>
      <c r="P891" s="15" t="s">
        <v>1862</v>
      </c>
      <c r="Q891" s="15">
        <f t="shared" ca="1" si="26"/>
        <v>25</v>
      </c>
      <c r="R891" s="15" t="str">
        <f t="shared" si="27"/>
        <v>Low</v>
      </c>
    </row>
    <row r="892" spans="1:18" s="15" customFormat="1" x14ac:dyDescent="0.3">
      <c r="A892" s="15" t="s">
        <v>1744</v>
      </c>
      <c r="B892" s="15" t="s">
        <v>600</v>
      </c>
      <c r="C892" s="15" t="s">
        <v>440</v>
      </c>
      <c r="D892" s="15" t="s">
        <v>27</v>
      </c>
      <c r="E892" s="15" t="s">
        <v>169</v>
      </c>
      <c r="F892" s="15" t="s">
        <v>652</v>
      </c>
      <c r="G892" s="15" t="s">
        <v>30</v>
      </c>
      <c r="H892" s="16">
        <v>37375</v>
      </c>
      <c r="I892" s="16">
        <v>43457</v>
      </c>
      <c r="J892" s="16">
        <v>43637</v>
      </c>
      <c r="K892" s="15" t="s">
        <v>37</v>
      </c>
      <c r="L892" s="15" t="s">
        <v>41</v>
      </c>
      <c r="M892" s="15">
        <v>61322</v>
      </c>
      <c r="N892" s="15" t="s">
        <v>96</v>
      </c>
      <c r="O892" s="15">
        <v>0.49315068493150682</v>
      </c>
      <c r="P892" s="15" t="s">
        <v>1861</v>
      </c>
      <c r="Q892" s="15">
        <f t="shared" ca="1" si="26"/>
        <v>23</v>
      </c>
      <c r="R892" s="15" t="str">
        <f t="shared" si="27"/>
        <v>Medium</v>
      </c>
    </row>
    <row r="893" spans="1:18" s="15" customFormat="1" x14ac:dyDescent="0.3">
      <c r="A893" s="15" t="s">
        <v>1745</v>
      </c>
      <c r="B893" s="15" t="s">
        <v>1746</v>
      </c>
      <c r="C893" s="15" t="s">
        <v>172</v>
      </c>
      <c r="D893" s="15" t="s">
        <v>27</v>
      </c>
      <c r="E893" s="15" t="s">
        <v>81</v>
      </c>
      <c r="F893" s="15" t="s">
        <v>82</v>
      </c>
      <c r="G893" s="15" t="s">
        <v>30</v>
      </c>
      <c r="H893" s="16">
        <v>30190</v>
      </c>
      <c r="I893" s="16">
        <v>43384</v>
      </c>
      <c r="J893" s="16">
        <v>43564</v>
      </c>
      <c r="K893" s="15" t="s">
        <v>37</v>
      </c>
      <c r="L893" s="15" t="s">
        <v>41</v>
      </c>
      <c r="M893" s="15">
        <v>59023</v>
      </c>
      <c r="N893" s="15" t="s">
        <v>33</v>
      </c>
      <c r="O893" s="15">
        <v>0.49315068493150682</v>
      </c>
      <c r="P893" s="15" t="s">
        <v>1861</v>
      </c>
      <c r="Q893" s="15">
        <f t="shared" ca="1" si="26"/>
        <v>43</v>
      </c>
      <c r="R893" s="15" t="str">
        <f t="shared" si="27"/>
        <v>Low</v>
      </c>
    </row>
    <row r="894" spans="1:18" s="15" customFormat="1" x14ac:dyDescent="0.3">
      <c r="A894" s="15" t="s">
        <v>1747</v>
      </c>
      <c r="B894" s="15" t="s">
        <v>888</v>
      </c>
      <c r="C894" s="15" t="s">
        <v>219</v>
      </c>
      <c r="D894" s="15" t="s">
        <v>17</v>
      </c>
      <c r="E894" s="15" t="s">
        <v>28</v>
      </c>
      <c r="F894" s="15" t="s">
        <v>29</v>
      </c>
      <c r="G894" s="15" t="s">
        <v>20</v>
      </c>
      <c r="H894" s="16">
        <v>33656</v>
      </c>
      <c r="I894" s="16">
        <v>42181</v>
      </c>
      <c r="J894" s="16">
        <v>43228</v>
      </c>
      <c r="K894" s="15" t="s">
        <v>37</v>
      </c>
      <c r="L894" s="15" t="s">
        <v>41</v>
      </c>
      <c r="M894" s="15">
        <v>60768</v>
      </c>
      <c r="N894" s="15" t="s">
        <v>23</v>
      </c>
      <c r="O894" s="15">
        <v>0.49315068493150682</v>
      </c>
      <c r="P894" s="15" t="s">
        <v>1862</v>
      </c>
      <c r="Q894" s="15">
        <f t="shared" ca="1" si="26"/>
        <v>33</v>
      </c>
      <c r="R894" s="15" t="str">
        <f t="shared" si="27"/>
        <v>Medium</v>
      </c>
    </row>
    <row r="895" spans="1:18" s="15" customFormat="1" x14ac:dyDescent="0.3">
      <c r="A895" s="15" t="s">
        <v>1748</v>
      </c>
      <c r="B895" s="15" t="s">
        <v>281</v>
      </c>
      <c r="C895" s="15" t="s">
        <v>1749</v>
      </c>
      <c r="D895" s="15" t="s">
        <v>17</v>
      </c>
      <c r="E895" s="15" t="s">
        <v>18</v>
      </c>
      <c r="F895" s="15" t="s">
        <v>19</v>
      </c>
      <c r="G895" s="15" t="s">
        <v>30</v>
      </c>
      <c r="H895" s="16">
        <v>22331</v>
      </c>
      <c r="I895" s="16">
        <v>42505</v>
      </c>
      <c r="J895" s="16">
        <v>45631</v>
      </c>
      <c r="K895" s="15" t="s">
        <v>37</v>
      </c>
      <c r="L895" s="15" t="s">
        <v>38</v>
      </c>
      <c r="M895" s="15">
        <v>59658</v>
      </c>
      <c r="N895" s="15" t="s">
        <v>33</v>
      </c>
      <c r="O895" s="15">
        <v>0.58904109589041098</v>
      </c>
      <c r="P895" s="15" t="s">
        <v>1861</v>
      </c>
      <c r="Q895" s="15">
        <f t="shared" ca="1" si="26"/>
        <v>64</v>
      </c>
      <c r="R895" s="15" t="str">
        <f t="shared" si="27"/>
        <v>Low</v>
      </c>
    </row>
    <row r="896" spans="1:18" s="15" customFormat="1" x14ac:dyDescent="0.3">
      <c r="A896" s="15" t="s">
        <v>1750</v>
      </c>
      <c r="B896" s="15" t="s">
        <v>245</v>
      </c>
      <c r="C896" s="15" t="s">
        <v>222</v>
      </c>
      <c r="D896" s="15" t="s">
        <v>27</v>
      </c>
      <c r="E896" s="15" t="s">
        <v>18</v>
      </c>
      <c r="F896" s="15" t="s">
        <v>19</v>
      </c>
      <c r="G896" s="15" t="s">
        <v>20</v>
      </c>
      <c r="H896" s="16">
        <v>27933</v>
      </c>
      <c r="I896" s="16">
        <v>44101</v>
      </c>
      <c r="J896" s="16">
        <v>44281</v>
      </c>
      <c r="K896" s="15" t="s">
        <v>31</v>
      </c>
      <c r="L896" s="15" t="s">
        <v>83</v>
      </c>
      <c r="M896" s="15">
        <v>60654</v>
      </c>
      <c r="N896" s="15" t="s">
        <v>96</v>
      </c>
      <c r="O896" s="15">
        <v>1.189041095890411</v>
      </c>
      <c r="P896" s="15" t="s">
        <v>1861</v>
      </c>
      <c r="Q896" s="15">
        <f t="shared" ca="1" si="26"/>
        <v>49</v>
      </c>
      <c r="R896" s="15" t="str">
        <f t="shared" si="27"/>
        <v>Medium</v>
      </c>
    </row>
    <row r="897" spans="1:18" s="15" customFormat="1" x14ac:dyDescent="0.3">
      <c r="A897" s="15" t="s">
        <v>1751</v>
      </c>
      <c r="B897" s="15" t="s">
        <v>1752</v>
      </c>
      <c r="C897" s="15" t="s">
        <v>301</v>
      </c>
      <c r="D897" s="15" t="s">
        <v>17</v>
      </c>
      <c r="E897" s="15" t="s">
        <v>18</v>
      </c>
      <c r="F897" s="15" t="s">
        <v>19</v>
      </c>
      <c r="G897" s="15" t="s">
        <v>30</v>
      </c>
      <c r="H897" s="16">
        <v>25428</v>
      </c>
      <c r="I897" s="16">
        <v>42387</v>
      </c>
      <c r="J897" s="16">
        <v>43878</v>
      </c>
      <c r="K897" s="15" t="s">
        <v>21</v>
      </c>
      <c r="L897" s="15" t="s">
        <v>22</v>
      </c>
      <c r="M897" s="15">
        <v>58869</v>
      </c>
      <c r="N897" s="15" t="s">
        <v>33</v>
      </c>
      <c r="O897" s="15">
        <v>1.6</v>
      </c>
      <c r="P897" s="15" t="s">
        <v>1861</v>
      </c>
      <c r="Q897" s="15">
        <f t="shared" ca="1" si="26"/>
        <v>56</v>
      </c>
      <c r="R897" s="15" t="str">
        <f t="shared" si="27"/>
        <v>Low</v>
      </c>
    </row>
    <row r="898" spans="1:18" s="15" customFormat="1" x14ac:dyDescent="0.3">
      <c r="A898" s="15" t="s">
        <v>1753</v>
      </c>
      <c r="B898" s="15" t="s">
        <v>206</v>
      </c>
      <c r="C898" s="15" t="s">
        <v>172</v>
      </c>
      <c r="D898" s="15" t="s">
        <v>27</v>
      </c>
      <c r="E898" s="15" t="s">
        <v>18</v>
      </c>
      <c r="F898" s="15" t="s">
        <v>19</v>
      </c>
      <c r="G898" s="15" t="s">
        <v>30</v>
      </c>
      <c r="H898" s="16">
        <v>27960</v>
      </c>
      <c r="I898" s="16">
        <v>43795</v>
      </c>
      <c r="J898" s="16">
        <v>45252</v>
      </c>
      <c r="K898" s="15" t="s">
        <v>94</v>
      </c>
      <c r="L898" s="15" t="s">
        <v>182</v>
      </c>
      <c r="M898" s="15">
        <v>84224</v>
      </c>
      <c r="N898" s="15" t="s">
        <v>44</v>
      </c>
      <c r="O898" s="15">
        <v>1.575342465753425</v>
      </c>
      <c r="P898" s="15" t="s">
        <v>1861</v>
      </c>
      <c r="Q898" s="15">
        <f t="shared" ref="Q898:Q961" ca="1" si="28">DATEDIF(H898, TODAY(), "Y")</f>
        <v>49</v>
      </c>
      <c r="R898" s="15" t="str">
        <f t="shared" si="27"/>
        <v>Medium</v>
      </c>
    </row>
    <row r="899" spans="1:18" s="15" customFormat="1" x14ac:dyDescent="0.3">
      <c r="A899" s="15" t="s">
        <v>1754</v>
      </c>
      <c r="B899" s="15" t="s">
        <v>63</v>
      </c>
      <c r="C899" s="15" t="s">
        <v>196</v>
      </c>
      <c r="D899" s="15" t="s">
        <v>27</v>
      </c>
      <c r="E899" s="15" t="s">
        <v>18</v>
      </c>
      <c r="F899" s="15" t="s">
        <v>19</v>
      </c>
      <c r="G899" s="15" t="s">
        <v>30</v>
      </c>
      <c r="H899" s="16">
        <v>22891</v>
      </c>
      <c r="I899" s="16">
        <v>44141</v>
      </c>
      <c r="J899" s="16">
        <v>44637</v>
      </c>
      <c r="K899" s="15" t="s">
        <v>21</v>
      </c>
      <c r="L899" s="15" t="s">
        <v>108</v>
      </c>
      <c r="M899" s="15">
        <v>76724</v>
      </c>
      <c r="N899" s="15" t="s">
        <v>33</v>
      </c>
      <c r="O899" s="15">
        <v>0.49315068493150682</v>
      </c>
      <c r="P899" s="15" t="s">
        <v>1861</v>
      </c>
      <c r="Q899" s="15">
        <f t="shared" ca="1" si="28"/>
        <v>63</v>
      </c>
      <c r="R899" s="15" t="str">
        <f t="shared" ref="R899:R962" si="29">IF(M899:M1864&gt;100000,"High",IF(M899:M1864&gt;60000,"Medium","Low"))</f>
        <v>Medium</v>
      </c>
    </row>
    <row r="900" spans="1:18" s="15" customFormat="1" x14ac:dyDescent="0.3">
      <c r="A900" s="15" t="s">
        <v>1755</v>
      </c>
      <c r="B900" s="15" t="s">
        <v>1756</v>
      </c>
      <c r="C900" s="15" t="s">
        <v>1757</v>
      </c>
      <c r="D900" s="15" t="s">
        <v>27</v>
      </c>
      <c r="E900" s="15" t="s">
        <v>81</v>
      </c>
      <c r="F900" s="15" t="s">
        <v>82</v>
      </c>
      <c r="G900" s="15" t="s">
        <v>30</v>
      </c>
      <c r="H900" s="16">
        <v>33187</v>
      </c>
      <c r="I900" s="16">
        <v>45021</v>
      </c>
      <c r="J900" s="16">
        <v>45201</v>
      </c>
      <c r="K900" s="15" t="s">
        <v>37</v>
      </c>
      <c r="L900" s="15" t="s">
        <v>43</v>
      </c>
      <c r="M900" s="15">
        <v>72364</v>
      </c>
      <c r="N900" s="15" t="s">
        <v>44</v>
      </c>
      <c r="O900" s="15">
        <v>0.49315068493150682</v>
      </c>
      <c r="P900" s="15" t="s">
        <v>1861</v>
      </c>
      <c r="Q900" s="15">
        <f t="shared" ca="1" si="28"/>
        <v>35</v>
      </c>
      <c r="R900" s="15" t="str">
        <f t="shared" si="29"/>
        <v>Medium</v>
      </c>
    </row>
    <row r="901" spans="1:18" s="15" customFormat="1" x14ac:dyDescent="0.3">
      <c r="A901" s="15" t="s">
        <v>1758</v>
      </c>
      <c r="B901" s="15" t="s">
        <v>459</v>
      </c>
      <c r="C901" s="15" t="s">
        <v>359</v>
      </c>
      <c r="D901" s="15" t="s">
        <v>17</v>
      </c>
      <c r="E901" s="15" t="s">
        <v>18</v>
      </c>
      <c r="F901" s="15" t="s">
        <v>19</v>
      </c>
      <c r="G901" s="15" t="s">
        <v>30</v>
      </c>
      <c r="H901" s="16">
        <v>37534</v>
      </c>
      <c r="I901" s="16">
        <v>42498</v>
      </c>
      <c r="J901" s="16">
        <v>45638</v>
      </c>
      <c r="K901" s="15" t="s">
        <v>94</v>
      </c>
      <c r="L901" s="15" t="s">
        <v>182</v>
      </c>
      <c r="M901" s="15">
        <v>64491</v>
      </c>
      <c r="N901" s="15" t="s">
        <v>33</v>
      </c>
      <c r="O901" s="15">
        <v>5.6520547945205477</v>
      </c>
      <c r="P901" s="15" t="s">
        <v>1861</v>
      </c>
      <c r="Q901" s="15">
        <f t="shared" ca="1" si="28"/>
        <v>23</v>
      </c>
      <c r="R901" s="15" t="str">
        <f t="shared" si="29"/>
        <v>Medium</v>
      </c>
    </row>
    <row r="902" spans="1:18" s="15" customFormat="1" x14ac:dyDescent="0.3">
      <c r="A902" s="15" t="s">
        <v>1759</v>
      </c>
      <c r="B902" s="15" t="s">
        <v>374</v>
      </c>
      <c r="C902" s="15" t="s">
        <v>1760</v>
      </c>
      <c r="D902" s="15" t="s">
        <v>27</v>
      </c>
      <c r="E902" s="15" t="s">
        <v>18</v>
      </c>
      <c r="F902" s="15" t="s">
        <v>19</v>
      </c>
      <c r="G902" s="15" t="s">
        <v>30</v>
      </c>
      <c r="H902" s="16">
        <v>25945</v>
      </c>
      <c r="I902" s="16">
        <v>42826</v>
      </c>
      <c r="J902" s="16">
        <v>43006</v>
      </c>
      <c r="K902" s="15" t="s">
        <v>21</v>
      </c>
      <c r="L902" s="15" t="s">
        <v>100</v>
      </c>
      <c r="M902" s="15">
        <v>64668</v>
      </c>
      <c r="N902" s="15" t="s">
        <v>44</v>
      </c>
      <c r="O902" s="15">
        <v>3.495890410958904</v>
      </c>
      <c r="P902" s="15" t="s">
        <v>1861</v>
      </c>
      <c r="Q902" s="15">
        <f t="shared" ca="1" si="28"/>
        <v>55</v>
      </c>
      <c r="R902" s="15" t="str">
        <f t="shared" si="29"/>
        <v>Medium</v>
      </c>
    </row>
    <row r="903" spans="1:18" s="15" customFormat="1" x14ac:dyDescent="0.3">
      <c r="A903" s="15" t="s">
        <v>1761</v>
      </c>
      <c r="B903" s="15" t="s">
        <v>1762</v>
      </c>
      <c r="C903" s="15" t="s">
        <v>469</v>
      </c>
      <c r="D903" s="15" t="s">
        <v>27</v>
      </c>
      <c r="E903" s="15" t="s">
        <v>120</v>
      </c>
      <c r="F903" s="15" t="s">
        <v>223</v>
      </c>
      <c r="G903" s="15" t="s">
        <v>20</v>
      </c>
      <c r="H903" s="16">
        <v>37291</v>
      </c>
      <c r="I903" s="16">
        <v>44634</v>
      </c>
      <c r="J903" s="16">
        <v>44814</v>
      </c>
      <c r="K903" s="15" t="s">
        <v>21</v>
      </c>
      <c r="L903" s="15" t="s">
        <v>100</v>
      </c>
      <c r="M903" s="15">
        <v>59413</v>
      </c>
      <c r="N903" s="15" t="s">
        <v>23</v>
      </c>
      <c r="O903" s="15">
        <v>0.49315068493150682</v>
      </c>
      <c r="P903" s="15" t="s">
        <v>1861</v>
      </c>
      <c r="Q903" s="15">
        <f t="shared" ca="1" si="28"/>
        <v>23</v>
      </c>
      <c r="R903" s="15" t="str">
        <f t="shared" si="29"/>
        <v>Low</v>
      </c>
    </row>
    <row r="904" spans="1:18" s="15" customFormat="1" x14ac:dyDescent="0.3">
      <c r="A904" s="15" t="s">
        <v>1763</v>
      </c>
      <c r="B904" s="15" t="s">
        <v>15</v>
      </c>
      <c r="C904" s="15" t="s">
        <v>430</v>
      </c>
      <c r="D904" s="15" t="s">
        <v>17</v>
      </c>
      <c r="E904" s="15" t="s">
        <v>18</v>
      </c>
      <c r="F904" s="15" t="s">
        <v>19</v>
      </c>
      <c r="G904" s="15" t="s">
        <v>30</v>
      </c>
      <c r="H904" s="16">
        <v>34357</v>
      </c>
      <c r="I904" s="16">
        <v>43477</v>
      </c>
      <c r="J904" s="16">
        <v>43657</v>
      </c>
      <c r="K904" s="15" t="s">
        <v>37</v>
      </c>
      <c r="L904" s="15" t="s">
        <v>38</v>
      </c>
      <c r="M904" s="15">
        <v>61056</v>
      </c>
      <c r="N904" s="15" t="s">
        <v>33</v>
      </c>
      <c r="O904" s="15">
        <v>0.60547945205479448</v>
      </c>
      <c r="P904" s="15" t="s">
        <v>1861</v>
      </c>
      <c r="Q904" s="15">
        <f t="shared" ca="1" si="28"/>
        <v>31</v>
      </c>
      <c r="R904" s="15" t="str">
        <f t="shared" si="29"/>
        <v>Medium</v>
      </c>
    </row>
    <row r="905" spans="1:18" s="15" customFormat="1" x14ac:dyDescent="0.3">
      <c r="A905" s="15" t="s">
        <v>1764</v>
      </c>
      <c r="B905" s="15" t="s">
        <v>1765</v>
      </c>
      <c r="C905" s="15" t="s">
        <v>1766</v>
      </c>
      <c r="D905" s="15" t="s">
        <v>17</v>
      </c>
      <c r="E905" s="15" t="s">
        <v>18</v>
      </c>
      <c r="F905" s="15" t="s">
        <v>19</v>
      </c>
      <c r="G905" s="15" t="s">
        <v>30</v>
      </c>
      <c r="H905" s="16">
        <v>27004</v>
      </c>
      <c r="I905" s="16">
        <v>42910</v>
      </c>
      <c r="J905" s="16">
        <v>43116</v>
      </c>
      <c r="K905" s="15" t="s">
        <v>37</v>
      </c>
      <c r="L905" s="15" t="s">
        <v>43</v>
      </c>
      <c r="M905" s="15">
        <v>74120</v>
      </c>
      <c r="N905" s="15" t="s">
        <v>33</v>
      </c>
      <c r="O905" s="15">
        <v>0.49315068493150682</v>
      </c>
      <c r="P905" s="15" t="s">
        <v>1862</v>
      </c>
      <c r="Q905" s="15">
        <f t="shared" ca="1" si="28"/>
        <v>52</v>
      </c>
      <c r="R905" s="15" t="str">
        <f t="shared" si="29"/>
        <v>Medium</v>
      </c>
    </row>
    <row r="906" spans="1:18" s="15" customFormat="1" x14ac:dyDescent="0.3">
      <c r="A906" s="15" t="s">
        <v>1767</v>
      </c>
      <c r="B906" s="15" t="s">
        <v>40</v>
      </c>
      <c r="C906" s="15" t="s">
        <v>528</v>
      </c>
      <c r="D906" s="15" t="s">
        <v>17</v>
      </c>
      <c r="E906" s="15" t="s">
        <v>18</v>
      </c>
      <c r="F906" s="15" t="s">
        <v>19</v>
      </c>
      <c r="G906" s="15" t="s">
        <v>20</v>
      </c>
      <c r="H906" s="16">
        <v>26043</v>
      </c>
      <c r="I906" s="16">
        <v>42643</v>
      </c>
      <c r="J906" s="16">
        <v>44421</v>
      </c>
      <c r="K906" s="15" t="s">
        <v>31</v>
      </c>
      <c r="L906" s="15" t="s">
        <v>83</v>
      </c>
      <c r="M906" s="15">
        <v>56337</v>
      </c>
      <c r="N906" s="15" t="s">
        <v>96</v>
      </c>
      <c r="O906" s="15">
        <v>3.3287671232876712</v>
      </c>
      <c r="P906" s="15" t="s">
        <v>1861</v>
      </c>
      <c r="Q906" s="15">
        <f t="shared" ca="1" si="28"/>
        <v>54</v>
      </c>
      <c r="R906" s="15" t="str">
        <f t="shared" si="29"/>
        <v>Low</v>
      </c>
    </row>
    <row r="907" spans="1:18" s="15" customFormat="1" x14ac:dyDescent="0.3">
      <c r="A907" s="15" t="s">
        <v>1768</v>
      </c>
      <c r="B907" s="15" t="s">
        <v>135</v>
      </c>
      <c r="C907" s="15" t="s">
        <v>1769</v>
      </c>
      <c r="D907" s="15" t="s">
        <v>17</v>
      </c>
      <c r="E907" s="15" t="s">
        <v>18</v>
      </c>
      <c r="F907" s="15" t="s">
        <v>19</v>
      </c>
      <c r="G907" s="15" t="s">
        <v>30</v>
      </c>
      <c r="H907" s="16">
        <v>36452</v>
      </c>
      <c r="I907" s="16">
        <v>43739</v>
      </c>
      <c r="J907" s="16">
        <v>44404</v>
      </c>
      <c r="K907" s="15" t="s">
        <v>37</v>
      </c>
      <c r="L907" s="15" t="s">
        <v>41</v>
      </c>
      <c r="M907" s="15">
        <v>59142</v>
      </c>
      <c r="N907" s="15" t="s">
        <v>33</v>
      </c>
      <c r="O907" s="15">
        <v>1.205479452054794</v>
      </c>
      <c r="P907" s="15" t="s">
        <v>1862</v>
      </c>
      <c r="Q907" s="15">
        <f t="shared" ca="1" si="28"/>
        <v>26</v>
      </c>
      <c r="R907" s="15" t="str">
        <f t="shared" si="29"/>
        <v>Low</v>
      </c>
    </row>
    <row r="908" spans="1:18" s="15" customFormat="1" x14ac:dyDescent="0.3">
      <c r="A908" s="15" t="s">
        <v>1770</v>
      </c>
      <c r="B908" s="15" t="s">
        <v>1771</v>
      </c>
      <c r="C908" s="15" t="s">
        <v>291</v>
      </c>
      <c r="D908" s="15" t="s">
        <v>27</v>
      </c>
      <c r="E908" s="15" t="s">
        <v>81</v>
      </c>
      <c r="F908" s="15" t="s">
        <v>82</v>
      </c>
      <c r="G908" s="15" t="s">
        <v>30</v>
      </c>
      <c r="H908" s="16">
        <v>33165</v>
      </c>
      <c r="I908" s="16">
        <v>43505</v>
      </c>
      <c r="J908" s="16">
        <v>43883</v>
      </c>
      <c r="K908" s="15" t="s">
        <v>37</v>
      </c>
      <c r="L908" s="15" t="s">
        <v>38</v>
      </c>
      <c r="M908" s="15">
        <v>67180</v>
      </c>
      <c r="N908" s="15" t="s">
        <v>33</v>
      </c>
      <c r="O908" s="15">
        <v>0.90958904109589045</v>
      </c>
      <c r="P908" s="15" t="s">
        <v>1861</v>
      </c>
      <c r="Q908" s="15">
        <f t="shared" ca="1" si="28"/>
        <v>35</v>
      </c>
      <c r="R908" s="15" t="str">
        <f t="shared" si="29"/>
        <v>Medium</v>
      </c>
    </row>
    <row r="909" spans="1:18" s="15" customFormat="1" x14ac:dyDescent="0.3">
      <c r="A909" s="15" t="s">
        <v>1772</v>
      </c>
      <c r="B909" s="15" t="s">
        <v>1762</v>
      </c>
      <c r="C909" s="15" t="s">
        <v>407</v>
      </c>
      <c r="D909" s="15" t="s">
        <v>17</v>
      </c>
      <c r="E909" s="15" t="s">
        <v>81</v>
      </c>
      <c r="F909" s="15" t="s">
        <v>104</v>
      </c>
      <c r="G909" s="15" t="s">
        <v>20</v>
      </c>
      <c r="H909" s="16">
        <v>34716</v>
      </c>
      <c r="I909" s="16">
        <v>42512</v>
      </c>
      <c r="J909" s="16">
        <v>43909</v>
      </c>
      <c r="K909" s="15" t="s">
        <v>21</v>
      </c>
      <c r="L909" s="15" t="s">
        <v>100</v>
      </c>
      <c r="M909" s="15">
        <v>60177</v>
      </c>
      <c r="N909" s="15" t="s">
        <v>96</v>
      </c>
      <c r="O909" s="15">
        <v>0.8794520547945206</v>
      </c>
      <c r="P909" s="15" t="s">
        <v>1861</v>
      </c>
      <c r="Q909" s="15">
        <f t="shared" ca="1" si="28"/>
        <v>30</v>
      </c>
      <c r="R909" s="15" t="str">
        <f t="shared" si="29"/>
        <v>Medium</v>
      </c>
    </row>
    <row r="910" spans="1:18" s="15" customFormat="1" x14ac:dyDescent="0.3">
      <c r="A910" s="15" t="s">
        <v>1773</v>
      </c>
      <c r="B910" s="15" t="s">
        <v>990</v>
      </c>
      <c r="C910" s="15" t="s">
        <v>1774</v>
      </c>
      <c r="D910" s="15" t="s">
        <v>27</v>
      </c>
      <c r="E910" s="15" t="s">
        <v>81</v>
      </c>
      <c r="F910" s="15" t="s">
        <v>166</v>
      </c>
      <c r="G910" s="15" t="s">
        <v>30</v>
      </c>
      <c r="H910" s="16">
        <v>30177</v>
      </c>
      <c r="I910" s="16">
        <v>42106</v>
      </c>
      <c r="J910" s="16">
        <v>42822</v>
      </c>
      <c r="K910" s="15" t="s">
        <v>31</v>
      </c>
      <c r="L910" s="15" t="s">
        <v>83</v>
      </c>
      <c r="M910" s="15">
        <v>68661</v>
      </c>
      <c r="N910" s="15" t="s">
        <v>44</v>
      </c>
      <c r="O910" s="15">
        <v>5.7616438356164386</v>
      </c>
      <c r="P910" s="15" t="s">
        <v>1861</v>
      </c>
      <c r="Q910" s="15">
        <f t="shared" ca="1" si="28"/>
        <v>43</v>
      </c>
      <c r="R910" s="15" t="str">
        <f t="shared" si="29"/>
        <v>Medium</v>
      </c>
    </row>
    <row r="911" spans="1:18" s="15" customFormat="1" x14ac:dyDescent="0.3">
      <c r="A911" s="15" t="s">
        <v>1775</v>
      </c>
      <c r="B911" s="15" t="s">
        <v>254</v>
      </c>
      <c r="C911" s="15" t="s">
        <v>1372</v>
      </c>
      <c r="D911" s="15" t="s">
        <v>27</v>
      </c>
      <c r="E911" s="15" t="s">
        <v>18</v>
      </c>
      <c r="F911" s="15" t="s">
        <v>19</v>
      </c>
      <c r="G911" s="15" t="s">
        <v>30</v>
      </c>
      <c r="H911" s="16">
        <v>25762</v>
      </c>
      <c r="I911" s="16">
        <v>44810</v>
      </c>
      <c r="J911" s="16">
        <v>44990</v>
      </c>
      <c r="K911" s="15" t="s">
        <v>37</v>
      </c>
      <c r="L911" s="15" t="s">
        <v>43</v>
      </c>
      <c r="M911" s="15">
        <v>81510</v>
      </c>
      <c r="N911" s="15" t="s">
        <v>44</v>
      </c>
      <c r="O911" s="15">
        <v>0.49315068493150682</v>
      </c>
      <c r="P911" s="15" t="s">
        <v>1861</v>
      </c>
      <c r="Q911" s="15">
        <f t="shared" ca="1" si="28"/>
        <v>55</v>
      </c>
      <c r="R911" s="15" t="str">
        <f t="shared" si="29"/>
        <v>Medium</v>
      </c>
    </row>
    <row r="912" spans="1:18" s="15" customFormat="1" x14ac:dyDescent="0.3">
      <c r="A912" s="15" t="s">
        <v>1776</v>
      </c>
      <c r="B912" s="15" t="s">
        <v>1777</v>
      </c>
      <c r="C912" s="15" t="s">
        <v>528</v>
      </c>
      <c r="D912" s="15" t="s">
        <v>17</v>
      </c>
      <c r="E912" s="15" t="s">
        <v>18</v>
      </c>
      <c r="F912" s="15" t="s">
        <v>19</v>
      </c>
      <c r="G912" s="15" t="s">
        <v>30</v>
      </c>
      <c r="H912" s="16">
        <v>26994</v>
      </c>
      <c r="I912" s="16">
        <v>42157</v>
      </c>
      <c r="J912" s="16">
        <v>44474</v>
      </c>
      <c r="K912" s="15" t="s">
        <v>37</v>
      </c>
      <c r="L912" s="15" t="s">
        <v>43</v>
      </c>
      <c r="M912" s="15">
        <v>83267</v>
      </c>
      <c r="N912" s="15" t="s">
        <v>96</v>
      </c>
      <c r="O912" s="15">
        <v>0.49041095890410957</v>
      </c>
      <c r="P912" s="15" t="s">
        <v>1861</v>
      </c>
      <c r="Q912" s="15">
        <f t="shared" ca="1" si="28"/>
        <v>52</v>
      </c>
      <c r="R912" s="15" t="str">
        <f t="shared" si="29"/>
        <v>Medium</v>
      </c>
    </row>
    <row r="913" spans="1:18" s="15" customFormat="1" x14ac:dyDescent="0.3">
      <c r="A913" s="15" t="s">
        <v>1778</v>
      </c>
      <c r="B913" s="15" t="s">
        <v>1779</v>
      </c>
      <c r="C913" s="15" t="s">
        <v>395</v>
      </c>
      <c r="D913" s="15" t="s">
        <v>17</v>
      </c>
      <c r="E913" s="15" t="s">
        <v>18</v>
      </c>
      <c r="F913" s="15" t="s">
        <v>19</v>
      </c>
      <c r="G913" s="15" t="s">
        <v>30</v>
      </c>
      <c r="H913" s="16">
        <v>37694</v>
      </c>
      <c r="I913" s="16">
        <v>42333</v>
      </c>
      <c r="J913" s="16">
        <v>44894</v>
      </c>
      <c r="K913" s="15" t="s">
        <v>37</v>
      </c>
      <c r="L913" s="15" t="s">
        <v>41</v>
      </c>
      <c r="M913" s="15">
        <v>61566</v>
      </c>
      <c r="N913" s="15" t="s">
        <v>23</v>
      </c>
      <c r="O913" s="15">
        <v>0.52328767123287667</v>
      </c>
      <c r="P913" s="15" t="s">
        <v>1862</v>
      </c>
      <c r="Q913" s="15">
        <f t="shared" ca="1" si="28"/>
        <v>22</v>
      </c>
      <c r="R913" s="15" t="str">
        <f t="shared" si="29"/>
        <v>Medium</v>
      </c>
    </row>
    <row r="914" spans="1:18" s="15" customFormat="1" x14ac:dyDescent="0.3">
      <c r="A914" s="15" t="s">
        <v>1780</v>
      </c>
      <c r="B914" s="15" t="s">
        <v>772</v>
      </c>
      <c r="C914" s="15" t="s">
        <v>877</v>
      </c>
      <c r="D914" s="15" t="s">
        <v>17</v>
      </c>
      <c r="E914" s="15" t="s">
        <v>18</v>
      </c>
      <c r="F914" s="15" t="s">
        <v>19</v>
      </c>
      <c r="G914" s="15" t="s">
        <v>112</v>
      </c>
      <c r="H914" s="16">
        <v>32129</v>
      </c>
      <c r="I914" s="16">
        <v>44092</v>
      </c>
      <c r="J914" s="16">
        <v>44272</v>
      </c>
      <c r="K914" s="15" t="s">
        <v>31</v>
      </c>
      <c r="L914" s="15" t="s">
        <v>159</v>
      </c>
      <c r="M914" s="15">
        <v>96890</v>
      </c>
      <c r="N914" s="15" t="s">
        <v>96</v>
      </c>
      <c r="O914" s="15">
        <v>0.49315068493150682</v>
      </c>
      <c r="P914" s="15" t="s">
        <v>1861</v>
      </c>
      <c r="Q914" s="15">
        <f t="shared" ca="1" si="28"/>
        <v>38</v>
      </c>
      <c r="R914" s="15" t="str">
        <f t="shared" si="29"/>
        <v>Medium</v>
      </c>
    </row>
    <row r="915" spans="1:18" s="15" customFormat="1" x14ac:dyDescent="0.3">
      <c r="A915" s="15" t="s">
        <v>1781</v>
      </c>
      <c r="B915" s="15" t="s">
        <v>1782</v>
      </c>
      <c r="C915" s="15" t="s">
        <v>784</v>
      </c>
      <c r="D915" s="15" t="s">
        <v>17</v>
      </c>
      <c r="E915" s="15" t="s">
        <v>81</v>
      </c>
      <c r="F915" s="15" t="s">
        <v>82</v>
      </c>
      <c r="G915" s="15" t="s">
        <v>30</v>
      </c>
      <c r="H915" s="16">
        <v>37313</v>
      </c>
      <c r="I915" s="16">
        <v>43704</v>
      </c>
      <c r="J915" s="16">
        <v>45262</v>
      </c>
      <c r="K915" s="15" t="s">
        <v>37</v>
      </c>
      <c r="L915" s="15" t="s">
        <v>261</v>
      </c>
      <c r="M915" s="15">
        <v>85260</v>
      </c>
      <c r="N915" s="15" t="s">
        <v>33</v>
      </c>
      <c r="O915" s="15">
        <v>0.49315068493150682</v>
      </c>
      <c r="P915" s="15" t="s">
        <v>1862</v>
      </c>
      <c r="Q915" s="15">
        <f t="shared" ca="1" si="28"/>
        <v>23</v>
      </c>
      <c r="R915" s="15" t="str">
        <f t="shared" si="29"/>
        <v>Medium</v>
      </c>
    </row>
    <row r="916" spans="1:18" s="15" customFormat="1" x14ac:dyDescent="0.3">
      <c r="A916" s="15" t="s">
        <v>1783</v>
      </c>
      <c r="B916" s="15" t="s">
        <v>40</v>
      </c>
      <c r="C916" s="15" t="s">
        <v>1551</v>
      </c>
      <c r="D916" s="15" t="s">
        <v>27</v>
      </c>
      <c r="E916" s="15" t="s">
        <v>18</v>
      </c>
      <c r="F916" s="15" t="s">
        <v>19</v>
      </c>
      <c r="G916" s="15" t="s">
        <v>30</v>
      </c>
      <c r="H916" s="16">
        <v>35310</v>
      </c>
      <c r="I916" s="16">
        <v>42491</v>
      </c>
      <c r="J916" s="16">
        <v>44560</v>
      </c>
      <c r="K916" s="15" t="s">
        <v>21</v>
      </c>
      <c r="L916" s="15" t="s">
        <v>22</v>
      </c>
      <c r="M916" s="15">
        <v>92489</v>
      </c>
      <c r="N916" s="15" t="s">
        <v>33</v>
      </c>
      <c r="O916" s="15">
        <v>0.49315068493150682</v>
      </c>
      <c r="P916" s="15" t="s">
        <v>1861</v>
      </c>
      <c r="Q916" s="15">
        <f t="shared" ca="1" si="28"/>
        <v>29</v>
      </c>
      <c r="R916" s="15" t="str">
        <f t="shared" si="29"/>
        <v>Medium</v>
      </c>
    </row>
    <row r="917" spans="1:18" s="15" customFormat="1" x14ac:dyDescent="0.3">
      <c r="A917" s="15" t="s">
        <v>1784</v>
      </c>
      <c r="B917" s="15" t="s">
        <v>76</v>
      </c>
      <c r="C917" s="15" t="s">
        <v>624</v>
      </c>
      <c r="D917" s="15" t="s">
        <v>27</v>
      </c>
      <c r="E917" s="15" t="s">
        <v>81</v>
      </c>
      <c r="F917" s="15" t="s">
        <v>166</v>
      </c>
      <c r="G917" s="15" t="s">
        <v>30</v>
      </c>
      <c r="H917" s="16">
        <v>29771</v>
      </c>
      <c r="I917" s="16">
        <v>44998</v>
      </c>
      <c r="J917" s="16">
        <v>45178</v>
      </c>
      <c r="K917" s="15" t="s">
        <v>31</v>
      </c>
      <c r="L917" s="15" t="s">
        <v>159</v>
      </c>
      <c r="M917" s="15">
        <v>94069</v>
      </c>
      <c r="N917" s="15" t="s">
        <v>23</v>
      </c>
      <c r="O917" s="15">
        <v>0.49315068493150682</v>
      </c>
      <c r="P917" s="15" t="s">
        <v>1861</v>
      </c>
      <c r="Q917" s="15">
        <f t="shared" ca="1" si="28"/>
        <v>44</v>
      </c>
      <c r="R917" s="15" t="str">
        <f t="shared" si="29"/>
        <v>Medium</v>
      </c>
    </row>
    <row r="918" spans="1:18" s="15" customFormat="1" x14ac:dyDescent="0.3">
      <c r="A918" s="15" t="s">
        <v>1785</v>
      </c>
      <c r="B918" s="15" t="s">
        <v>1169</v>
      </c>
      <c r="C918" s="15" t="s">
        <v>245</v>
      </c>
      <c r="D918" s="15" t="s">
        <v>17</v>
      </c>
      <c r="E918" s="15" t="s">
        <v>28</v>
      </c>
      <c r="F918" s="15" t="s">
        <v>116</v>
      </c>
      <c r="G918" s="15" t="s">
        <v>112</v>
      </c>
      <c r="H918" s="16">
        <v>21885</v>
      </c>
      <c r="I918" s="16">
        <v>45442</v>
      </c>
      <c r="J918" s="16">
        <v>45622</v>
      </c>
      <c r="K918" s="15" t="s">
        <v>37</v>
      </c>
      <c r="L918" s="15" t="s">
        <v>43</v>
      </c>
      <c r="M918" s="15">
        <v>86995</v>
      </c>
      <c r="N918" s="15" t="s">
        <v>33</v>
      </c>
      <c r="O918" s="15">
        <v>3.8219178082191778</v>
      </c>
      <c r="P918" s="15" t="s">
        <v>1861</v>
      </c>
      <c r="Q918" s="15">
        <f t="shared" ca="1" si="28"/>
        <v>66</v>
      </c>
      <c r="R918" s="15" t="str">
        <f t="shared" si="29"/>
        <v>Medium</v>
      </c>
    </row>
    <row r="919" spans="1:18" s="15" customFormat="1" x14ac:dyDescent="0.3">
      <c r="A919" s="15" t="s">
        <v>1786</v>
      </c>
      <c r="B919" s="15" t="s">
        <v>251</v>
      </c>
      <c r="C919" s="15" t="s">
        <v>26</v>
      </c>
      <c r="D919" s="15" t="s">
        <v>17</v>
      </c>
      <c r="E919" s="15" t="s">
        <v>28</v>
      </c>
      <c r="F919" s="15" t="s">
        <v>29</v>
      </c>
      <c r="G919" s="15" t="s">
        <v>30</v>
      </c>
      <c r="H919" s="16">
        <v>29986</v>
      </c>
      <c r="I919" s="16">
        <v>42885</v>
      </c>
      <c r="J919" s="16">
        <v>44748</v>
      </c>
      <c r="K919" s="15" t="s">
        <v>94</v>
      </c>
      <c r="L919" s="15" t="s">
        <v>182</v>
      </c>
      <c r="M919" s="15">
        <v>72745</v>
      </c>
      <c r="N919" s="15" t="s">
        <v>96</v>
      </c>
      <c r="O919" s="15">
        <v>6.9945205479452053</v>
      </c>
      <c r="P919" s="15" t="s">
        <v>1862</v>
      </c>
      <c r="Q919" s="15">
        <f t="shared" ca="1" si="28"/>
        <v>43</v>
      </c>
      <c r="R919" s="15" t="str">
        <f t="shared" si="29"/>
        <v>Medium</v>
      </c>
    </row>
    <row r="920" spans="1:18" s="15" customFormat="1" x14ac:dyDescent="0.3">
      <c r="A920" s="15" t="s">
        <v>1787</v>
      </c>
      <c r="B920" s="15" t="s">
        <v>1127</v>
      </c>
      <c r="C920" s="15" t="s">
        <v>286</v>
      </c>
      <c r="D920" s="15" t="s">
        <v>17</v>
      </c>
      <c r="E920" s="15" t="s">
        <v>18</v>
      </c>
      <c r="F920" s="15" t="s">
        <v>19</v>
      </c>
      <c r="G920" s="15" t="s">
        <v>30</v>
      </c>
      <c r="H920" s="16">
        <v>36155</v>
      </c>
      <c r="I920" s="16">
        <v>42944</v>
      </c>
      <c r="J920" s="16">
        <v>43124</v>
      </c>
      <c r="K920" s="15" t="s">
        <v>94</v>
      </c>
      <c r="L920" s="15" t="s">
        <v>117</v>
      </c>
      <c r="M920" s="15">
        <v>61665</v>
      </c>
      <c r="N920" s="15" t="s">
        <v>33</v>
      </c>
      <c r="O920" s="15">
        <v>0.49315068493150682</v>
      </c>
      <c r="P920" s="15" t="s">
        <v>1861</v>
      </c>
      <c r="Q920" s="15">
        <f t="shared" ca="1" si="28"/>
        <v>27</v>
      </c>
      <c r="R920" s="15" t="str">
        <f t="shared" si="29"/>
        <v>Medium</v>
      </c>
    </row>
    <row r="921" spans="1:18" s="15" customFormat="1" x14ac:dyDescent="0.3">
      <c r="A921" s="15" t="s">
        <v>1788</v>
      </c>
      <c r="B921" s="15" t="s">
        <v>623</v>
      </c>
      <c r="C921" s="15" t="s">
        <v>1789</v>
      </c>
      <c r="D921" s="15" t="s">
        <v>17</v>
      </c>
      <c r="E921" s="15" t="s">
        <v>81</v>
      </c>
      <c r="F921" s="15" t="s">
        <v>82</v>
      </c>
      <c r="G921" s="15" t="s">
        <v>30</v>
      </c>
      <c r="H921" s="16">
        <v>23600</v>
      </c>
      <c r="I921" s="16">
        <v>42437</v>
      </c>
      <c r="J921" s="16">
        <v>45078</v>
      </c>
      <c r="K921" s="15" t="s">
        <v>37</v>
      </c>
      <c r="L921" s="15" t="s">
        <v>41</v>
      </c>
      <c r="M921" s="15">
        <v>59458</v>
      </c>
      <c r="N921" s="15" t="s">
        <v>33</v>
      </c>
      <c r="O921" s="15">
        <v>4.117808219178082</v>
      </c>
      <c r="P921" s="15" t="s">
        <v>1861</v>
      </c>
      <c r="Q921" s="15">
        <f t="shared" ca="1" si="28"/>
        <v>61</v>
      </c>
      <c r="R921" s="15" t="str">
        <f t="shared" si="29"/>
        <v>Low</v>
      </c>
    </row>
    <row r="922" spans="1:18" s="15" customFormat="1" x14ac:dyDescent="0.3">
      <c r="A922" s="15" t="s">
        <v>1790</v>
      </c>
      <c r="B922" s="15" t="s">
        <v>617</v>
      </c>
      <c r="C922" s="15" t="s">
        <v>1372</v>
      </c>
      <c r="D922" s="15" t="s">
        <v>17</v>
      </c>
      <c r="E922" s="15" t="s">
        <v>18</v>
      </c>
      <c r="F922" s="15" t="s">
        <v>19</v>
      </c>
      <c r="G922" s="15" t="s">
        <v>112</v>
      </c>
      <c r="H922" s="16">
        <v>26755</v>
      </c>
      <c r="I922" s="16">
        <v>45346</v>
      </c>
      <c r="J922" s="16">
        <v>45526</v>
      </c>
      <c r="K922" s="15" t="s">
        <v>21</v>
      </c>
      <c r="L922" s="15" t="s">
        <v>482</v>
      </c>
      <c r="M922" s="15">
        <v>79702</v>
      </c>
      <c r="N922" s="15" t="s">
        <v>96</v>
      </c>
      <c r="O922" s="15">
        <v>1.816438356164384</v>
      </c>
      <c r="P922" s="15" t="s">
        <v>1862</v>
      </c>
      <c r="Q922" s="15">
        <f t="shared" ca="1" si="28"/>
        <v>52</v>
      </c>
      <c r="R922" s="15" t="str">
        <f t="shared" si="29"/>
        <v>Medium</v>
      </c>
    </row>
    <row r="923" spans="1:18" s="15" customFormat="1" x14ac:dyDescent="0.3">
      <c r="A923" s="15" t="s">
        <v>1791</v>
      </c>
      <c r="B923" s="15" t="s">
        <v>1193</v>
      </c>
      <c r="C923" s="15" t="s">
        <v>1792</v>
      </c>
      <c r="D923" s="15" t="s">
        <v>17</v>
      </c>
      <c r="E923" s="15" t="s">
        <v>18</v>
      </c>
      <c r="F923" s="15" t="s">
        <v>19</v>
      </c>
      <c r="G923" s="15" t="s">
        <v>30</v>
      </c>
      <c r="H923" s="16">
        <v>37666</v>
      </c>
      <c r="I923" s="16">
        <v>43706</v>
      </c>
      <c r="J923" s="16">
        <v>43886</v>
      </c>
      <c r="K923" s="15" t="s">
        <v>37</v>
      </c>
      <c r="L923" s="15" t="s">
        <v>38</v>
      </c>
      <c r="M923" s="15">
        <v>53029</v>
      </c>
      <c r="N923" s="15" t="s">
        <v>33</v>
      </c>
      <c r="O923" s="15">
        <v>6.7424657534246579</v>
      </c>
      <c r="P923" s="15" t="s">
        <v>1861</v>
      </c>
      <c r="Q923" s="15">
        <f t="shared" ca="1" si="28"/>
        <v>22</v>
      </c>
      <c r="R923" s="15" t="str">
        <f t="shared" si="29"/>
        <v>Low</v>
      </c>
    </row>
    <row r="924" spans="1:18" s="15" customFormat="1" x14ac:dyDescent="0.3">
      <c r="A924" s="15" t="s">
        <v>1793</v>
      </c>
      <c r="B924" s="15" t="s">
        <v>293</v>
      </c>
      <c r="C924" s="15" t="s">
        <v>371</v>
      </c>
      <c r="D924" s="15" t="s">
        <v>27</v>
      </c>
      <c r="E924" s="15" t="s">
        <v>81</v>
      </c>
      <c r="F924" s="15" t="s">
        <v>104</v>
      </c>
      <c r="G924" s="15" t="s">
        <v>30</v>
      </c>
      <c r="H924" s="16">
        <v>35036</v>
      </c>
      <c r="I924" s="16">
        <v>42008</v>
      </c>
      <c r="J924" s="16">
        <v>42290</v>
      </c>
      <c r="K924" s="15" t="s">
        <v>94</v>
      </c>
      <c r="L924" s="15" t="s">
        <v>122</v>
      </c>
      <c r="M924" s="15">
        <v>84676</v>
      </c>
      <c r="N924" s="15" t="s">
        <v>33</v>
      </c>
      <c r="O924" s="15">
        <v>0.49315068493150682</v>
      </c>
      <c r="P924" s="15" t="s">
        <v>1862</v>
      </c>
      <c r="Q924" s="15">
        <f t="shared" ca="1" si="28"/>
        <v>30</v>
      </c>
      <c r="R924" s="15" t="str">
        <f t="shared" si="29"/>
        <v>Medium</v>
      </c>
    </row>
    <row r="925" spans="1:18" s="15" customFormat="1" x14ac:dyDescent="0.3">
      <c r="A925" s="15" t="s">
        <v>1794</v>
      </c>
      <c r="B925" s="15" t="s">
        <v>274</v>
      </c>
      <c r="C925" s="15" t="s">
        <v>637</v>
      </c>
      <c r="D925" s="15" t="s">
        <v>27</v>
      </c>
      <c r="E925" s="15" t="s">
        <v>18</v>
      </c>
      <c r="F925" s="15" t="s">
        <v>19</v>
      </c>
      <c r="G925" s="15" t="s">
        <v>30</v>
      </c>
      <c r="H925" s="16">
        <v>29160</v>
      </c>
      <c r="I925" s="16">
        <v>43250</v>
      </c>
      <c r="J925" s="16">
        <v>44552</v>
      </c>
      <c r="K925" s="15" t="s">
        <v>37</v>
      </c>
      <c r="L925" s="15" t="s">
        <v>41</v>
      </c>
      <c r="M925" s="15">
        <v>59856</v>
      </c>
      <c r="N925" s="15" t="s">
        <v>44</v>
      </c>
      <c r="O925" s="15">
        <v>0.49315068493150682</v>
      </c>
      <c r="P925" s="15" t="s">
        <v>1861</v>
      </c>
      <c r="Q925" s="15">
        <f t="shared" ca="1" si="28"/>
        <v>46</v>
      </c>
      <c r="R925" s="15" t="str">
        <f t="shared" si="29"/>
        <v>Low</v>
      </c>
    </row>
    <row r="926" spans="1:18" s="15" customFormat="1" x14ac:dyDescent="0.3">
      <c r="A926" s="15" t="s">
        <v>1795</v>
      </c>
      <c r="B926" s="15" t="s">
        <v>1796</v>
      </c>
      <c r="C926" s="15" t="s">
        <v>42</v>
      </c>
      <c r="D926" s="15" t="s">
        <v>27</v>
      </c>
      <c r="E926" s="15" t="s">
        <v>18</v>
      </c>
      <c r="F926" s="15" t="s">
        <v>19</v>
      </c>
      <c r="G926" s="15" t="s">
        <v>30</v>
      </c>
      <c r="H926" s="16">
        <v>22924</v>
      </c>
      <c r="I926" s="16">
        <v>43658</v>
      </c>
      <c r="J926" s="16">
        <v>43838</v>
      </c>
      <c r="K926" s="15" t="s">
        <v>37</v>
      </c>
      <c r="L926" s="15" t="s">
        <v>41</v>
      </c>
      <c r="M926" s="15">
        <v>65428</v>
      </c>
      <c r="N926" s="15" t="s">
        <v>33</v>
      </c>
      <c r="O926" s="15">
        <v>0.49315068493150682</v>
      </c>
      <c r="P926" s="15" t="s">
        <v>1861</v>
      </c>
      <c r="Q926" s="15">
        <f t="shared" ca="1" si="28"/>
        <v>63</v>
      </c>
      <c r="R926" s="15" t="str">
        <f t="shared" si="29"/>
        <v>Medium</v>
      </c>
    </row>
    <row r="927" spans="1:18" s="15" customFormat="1" x14ac:dyDescent="0.3">
      <c r="A927" s="15" t="s">
        <v>1797</v>
      </c>
      <c r="B927" s="15" t="s">
        <v>251</v>
      </c>
      <c r="C927" s="15" t="s">
        <v>727</v>
      </c>
      <c r="D927" s="15" t="s">
        <v>17</v>
      </c>
      <c r="E927" s="15" t="s">
        <v>18</v>
      </c>
      <c r="F927" s="15" t="s">
        <v>19</v>
      </c>
      <c r="G927" s="15" t="s">
        <v>112</v>
      </c>
      <c r="H927" s="16">
        <v>37257</v>
      </c>
      <c r="I927" s="16">
        <v>44472</v>
      </c>
      <c r="J927" s="16">
        <v>44652</v>
      </c>
      <c r="K927" s="15" t="s">
        <v>31</v>
      </c>
      <c r="L927" s="15" t="s">
        <v>159</v>
      </c>
      <c r="M927" s="15">
        <v>83279</v>
      </c>
      <c r="N927" s="15" t="s">
        <v>33</v>
      </c>
      <c r="O927" s="15">
        <v>0.49315068493150682</v>
      </c>
      <c r="P927" s="15" t="s">
        <v>1862</v>
      </c>
      <c r="Q927" s="15">
        <f t="shared" ca="1" si="28"/>
        <v>24</v>
      </c>
      <c r="R927" s="15" t="str">
        <f t="shared" si="29"/>
        <v>Medium</v>
      </c>
    </row>
    <row r="928" spans="1:18" s="15" customFormat="1" x14ac:dyDescent="0.3">
      <c r="A928" s="15" t="s">
        <v>1798</v>
      </c>
      <c r="B928" s="15" t="s">
        <v>268</v>
      </c>
      <c r="C928" s="15" t="s">
        <v>1372</v>
      </c>
      <c r="D928" s="15" t="s">
        <v>27</v>
      </c>
      <c r="E928" s="15" t="s">
        <v>354</v>
      </c>
      <c r="F928" s="15" t="s">
        <v>519</v>
      </c>
      <c r="G928" s="15" t="s">
        <v>30</v>
      </c>
      <c r="H928" s="16">
        <v>29393</v>
      </c>
      <c r="I928" s="16">
        <v>43863</v>
      </c>
      <c r="J928" s="16">
        <v>44540</v>
      </c>
      <c r="K928" s="15" t="s">
        <v>37</v>
      </c>
      <c r="L928" s="15" t="s">
        <v>43</v>
      </c>
      <c r="M928" s="15">
        <v>70711</v>
      </c>
      <c r="N928" s="15" t="s">
        <v>33</v>
      </c>
      <c r="O928" s="15">
        <v>2.868493150684932</v>
      </c>
      <c r="P928" s="15" t="s">
        <v>1861</v>
      </c>
      <c r="Q928" s="15">
        <f t="shared" ca="1" si="28"/>
        <v>45</v>
      </c>
      <c r="R928" s="15" t="str">
        <f t="shared" si="29"/>
        <v>Medium</v>
      </c>
    </row>
    <row r="929" spans="1:18" s="15" customFormat="1" x14ac:dyDescent="0.3">
      <c r="A929" s="15" t="s">
        <v>1799</v>
      </c>
      <c r="B929" s="15" t="s">
        <v>1800</v>
      </c>
      <c r="C929" s="15" t="s">
        <v>368</v>
      </c>
      <c r="D929" s="15" t="s">
        <v>27</v>
      </c>
      <c r="E929" s="15" t="s">
        <v>18</v>
      </c>
      <c r="F929" s="15" t="s">
        <v>19</v>
      </c>
      <c r="G929" s="15" t="s">
        <v>30</v>
      </c>
      <c r="H929" s="16">
        <v>30438</v>
      </c>
      <c r="I929" s="16">
        <v>42455</v>
      </c>
      <c r="J929" s="16">
        <v>43103</v>
      </c>
      <c r="K929" s="15" t="s">
        <v>94</v>
      </c>
      <c r="L929" s="15" t="s">
        <v>182</v>
      </c>
      <c r="M929" s="15">
        <v>68840</v>
      </c>
      <c r="N929" s="15" t="s">
        <v>33</v>
      </c>
      <c r="O929" s="15">
        <v>8.5643835616438349</v>
      </c>
      <c r="P929" s="15" t="s">
        <v>1861</v>
      </c>
      <c r="Q929" s="15">
        <f t="shared" ca="1" si="28"/>
        <v>42</v>
      </c>
      <c r="R929" s="15" t="str">
        <f t="shared" si="29"/>
        <v>Medium</v>
      </c>
    </row>
    <row r="930" spans="1:18" s="15" customFormat="1" x14ac:dyDescent="0.3">
      <c r="A930" s="15" t="s">
        <v>1801</v>
      </c>
      <c r="B930" s="15" t="s">
        <v>767</v>
      </c>
      <c r="C930" s="15" t="s">
        <v>1082</v>
      </c>
      <c r="D930" s="15" t="s">
        <v>17</v>
      </c>
      <c r="E930" s="15" t="s">
        <v>18</v>
      </c>
      <c r="F930" s="15" t="s">
        <v>19</v>
      </c>
      <c r="G930" s="15" t="s">
        <v>30</v>
      </c>
      <c r="H930" s="16">
        <v>30228</v>
      </c>
      <c r="I930" s="16">
        <v>42944</v>
      </c>
      <c r="J930" s="16">
        <v>43232</v>
      </c>
      <c r="K930" s="15" t="s">
        <v>37</v>
      </c>
      <c r="L930" s="15" t="s">
        <v>41</v>
      </c>
      <c r="M930" s="15">
        <v>54544</v>
      </c>
      <c r="N930" s="15" t="s">
        <v>23</v>
      </c>
      <c r="O930" s="15">
        <v>0.49315068493150682</v>
      </c>
      <c r="P930" s="15" t="s">
        <v>1862</v>
      </c>
      <c r="Q930" s="15">
        <f t="shared" ca="1" si="28"/>
        <v>43</v>
      </c>
      <c r="R930" s="15" t="str">
        <f t="shared" si="29"/>
        <v>Low</v>
      </c>
    </row>
    <row r="931" spans="1:18" s="15" customFormat="1" x14ac:dyDescent="0.3">
      <c r="A931" s="15" t="s">
        <v>1802</v>
      </c>
      <c r="B931" s="15" t="s">
        <v>1322</v>
      </c>
      <c r="C931" s="15" t="s">
        <v>1673</v>
      </c>
      <c r="D931" s="15" t="s">
        <v>17</v>
      </c>
      <c r="E931" s="15" t="s">
        <v>354</v>
      </c>
      <c r="F931" s="15" t="s">
        <v>404</v>
      </c>
      <c r="G931" s="15" t="s">
        <v>30</v>
      </c>
      <c r="H931" s="16">
        <v>31904</v>
      </c>
      <c r="I931" s="16">
        <v>43319</v>
      </c>
      <c r="J931" s="16">
        <v>43499</v>
      </c>
      <c r="K931" s="15" t="s">
        <v>37</v>
      </c>
      <c r="L931" s="15" t="s">
        <v>38</v>
      </c>
      <c r="M931" s="15">
        <v>60276</v>
      </c>
      <c r="N931" s="15" t="s">
        <v>33</v>
      </c>
      <c r="O931" s="15">
        <v>4.0849315068493146</v>
      </c>
      <c r="P931" s="15" t="s">
        <v>1861</v>
      </c>
      <c r="Q931" s="15">
        <f t="shared" ca="1" si="28"/>
        <v>38</v>
      </c>
      <c r="R931" s="15" t="str">
        <f t="shared" si="29"/>
        <v>Medium</v>
      </c>
    </row>
    <row r="932" spans="1:18" s="15" customFormat="1" x14ac:dyDescent="0.3">
      <c r="A932" s="15" t="s">
        <v>1803</v>
      </c>
      <c r="B932" s="15" t="s">
        <v>340</v>
      </c>
      <c r="C932" s="15" t="s">
        <v>502</v>
      </c>
      <c r="D932" s="15" t="s">
        <v>17</v>
      </c>
      <c r="E932" s="15" t="s">
        <v>28</v>
      </c>
      <c r="F932" s="15" t="s">
        <v>29</v>
      </c>
      <c r="G932" s="15" t="s">
        <v>30</v>
      </c>
      <c r="H932" s="16">
        <v>36752</v>
      </c>
      <c r="I932" s="16">
        <v>43313</v>
      </c>
      <c r="J932" s="16">
        <v>43493</v>
      </c>
      <c r="K932" s="15" t="s">
        <v>37</v>
      </c>
      <c r="L932" s="15" t="s">
        <v>41</v>
      </c>
      <c r="M932" s="15">
        <v>61107</v>
      </c>
      <c r="N932" s="15" t="s">
        <v>44</v>
      </c>
      <c r="O932" s="15">
        <v>3.9917808219178079</v>
      </c>
      <c r="P932" s="15" t="s">
        <v>1861</v>
      </c>
      <c r="Q932" s="15">
        <f t="shared" ca="1" si="28"/>
        <v>25</v>
      </c>
      <c r="R932" s="15" t="str">
        <f t="shared" si="29"/>
        <v>Medium</v>
      </c>
    </row>
    <row r="933" spans="1:18" s="15" customFormat="1" x14ac:dyDescent="0.3">
      <c r="A933" s="15" t="s">
        <v>1804</v>
      </c>
      <c r="B933" s="15" t="s">
        <v>437</v>
      </c>
      <c r="C933" s="15" t="s">
        <v>1281</v>
      </c>
      <c r="D933" s="15" t="s">
        <v>27</v>
      </c>
      <c r="E933" s="15" t="s">
        <v>18</v>
      </c>
      <c r="F933" s="15" t="s">
        <v>19</v>
      </c>
      <c r="G933" s="15" t="s">
        <v>30</v>
      </c>
      <c r="H933" s="16">
        <v>30453</v>
      </c>
      <c r="I933" s="16">
        <v>43935</v>
      </c>
      <c r="J933" s="16">
        <v>44115</v>
      </c>
      <c r="K933" s="15" t="s">
        <v>51</v>
      </c>
      <c r="L933" s="15" t="s">
        <v>52</v>
      </c>
      <c r="M933" s="15">
        <v>65736</v>
      </c>
      <c r="N933" s="15" t="s">
        <v>33</v>
      </c>
      <c r="O933" s="15">
        <v>1.3589041095890411</v>
      </c>
      <c r="P933" s="15" t="s">
        <v>1861</v>
      </c>
      <c r="Q933" s="15">
        <f t="shared" ca="1" si="28"/>
        <v>42</v>
      </c>
      <c r="R933" s="15" t="str">
        <f t="shared" si="29"/>
        <v>Medium</v>
      </c>
    </row>
    <row r="934" spans="1:18" s="15" customFormat="1" x14ac:dyDescent="0.3">
      <c r="A934" s="15" t="s">
        <v>1805</v>
      </c>
      <c r="B934" s="15" t="s">
        <v>129</v>
      </c>
      <c r="C934" s="15" t="s">
        <v>1527</v>
      </c>
      <c r="D934" s="15" t="s">
        <v>17</v>
      </c>
      <c r="E934" s="15" t="s">
        <v>81</v>
      </c>
      <c r="F934" s="15" t="s">
        <v>82</v>
      </c>
      <c r="G934" s="15" t="s">
        <v>30</v>
      </c>
      <c r="H934" s="16">
        <v>36143</v>
      </c>
      <c r="I934" s="16">
        <v>43973</v>
      </c>
      <c r="J934" s="16">
        <v>44371</v>
      </c>
      <c r="K934" s="15" t="s">
        <v>94</v>
      </c>
      <c r="L934" s="15" t="s">
        <v>122</v>
      </c>
      <c r="M934" s="15">
        <v>67955</v>
      </c>
      <c r="N934" s="15" t="s">
        <v>33</v>
      </c>
      <c r="O934" s="15">
        <v>0.49315068493150682</v>
      </c>
      <c r="P934" s="15" t="s">
        <v>1861</v>
      </c>
      <c r="Q934" s="15">
        <f t="shared" ca="1" si="28"/>
        <v>27</v>
      </c>
      <c r="R934" s="15" t="str">
        <f t="shared" si="29"/>
        <v>Medium</v>
      </c>
    </row>
    <row r="935" spans="1:18" s="15" customFormat="1" x14ac:dyDescent="0.3">
      <c r="A935" s="15" t="s">
        <v>1806</v>
      </c>
      <c r="B935" s="15" t="s">
        <v>240</v>
      </c>
      <c r="C935" s="15" t="s">
        <v>1807</v>
      </c>
      <c r="D935" s="15" t="s">
        <v>17</v>
      </c>
      <c r="E935" s="15" t="s">
        <v>81</v>
      </c>
      <c r="F935" s="15" t="s">
        <v>82</v>
      </c>
      <c r="G935" s="15" t="s">
        <v>30</v>
      </c>
      <c r="H935" s="16">
        <v>31246</v>
      </c>
      <c r="I935" s="16">
        <v>42300</v>
      </c>
      <c r="J935" s="16">
        <v>43398</v>
      </c>
      <c r="K935" s="15" t="s">
        <v>37</v>
      </c>
      <c r="L935" s="15" t="s">
        <v>38</v>
      </c>
      <c r="M935" s="15">
        <v>59494</v>
      </c>
      <c r="N935" s="15" t="s">
        <v>33</v>
      </c>
      <c r="O935" s="15">
        <v>8.6027397260273979</v>
      </c>
      <c r="P935" s="15" t="s">
        <v>1861</v>
      </c>
      <c r="Q935" s="15">
        <f t="shared" ca="1" si="28"/>
        <v>40</v>
      </c>
      <c r="R935" s="15" t="str">
        <f t="shared" si="29"/>
        <v>Low</v>
      </c>
    </row>
    <row r="936" spans="1:18" s="15" customFormat="1" x14ac:dyDescent="0.3">
      <c r="A936" s="15" t="s">
        <v>1808</v>
      </c>
      <c r="B936" s="15" t="s">
        <v>140</v>
      </c>
      <c r="C936" s="15" t="s">
        <v>1809</v>
      </c>
      <c r="D936" s="15" t="s">
        <v>17</v>
      </c>
      <c r="E936" s="15" t="s">
        <v>18</v>
      </c>
      <c r="F936" s="15" t="s">
        <v>19</v>
      </c>
      <c r="G936" s="15" t="s">
        <v>30</v>
      </c>
      <c r="H936" s="16">
        <v>35591</v>
      </c>
      <c r="I936" s="16">
        <v>45092</v>
      </c>
      <c r="J936" s="16">
        <v>45272</v>
      </c>
      <c r="K936" s="15" t="s">
        <v>37</v>
      </c>
      <c r="L936" s="15" t="s">
        <v>38</v>
      </c>
      <c r="M936" s="15">
        <v>59952</v>
      </c>
      <c r="N936" s="15" t="s">
        <v>33</v>
      </c>
      <c r="O936" s="15">
        <v>0.49315068493150682</v>
      </c>
      <c r="P936" s="15" t="s">
        <v>1861</v>
      </c>
      <c r="Q936" s="15">
        <f t="shared" ca="1" si="28"/>
        <v>28</v>
      </c>
      <c r="R936" s="15" t="str">
        <f t="shared" si="29"/>
        <v>Low</v>
      </c>
    </row>
    <row r="937" spans="1:18" s="15" customFormat="1" x14ac:dyDescent="0.3">
      <c r="A937" s="15" t="s">
        <v>1810</v>
      </c>
      <c r="B937" s="15" t="s">
        <v>578</v>
      </c>
      <c r="C937" s="15" t="s">
        <v>1811</v>
      </c>
      <c r="D937" s="15" t="s">
        <v>27</v>
      </c>
      <c r="E937" s="15" t="s">
        <v>18</v>
      </c>
      <c r="F937" s="15" t="s">
        <v>19</v>
      </c>
      <c r="G937" s="15" t="s">
        <v>30</v>
      </c>
      <c r="H937" s="16">
        <v>28671</v>
      </c>
      <c r="I937" s="16">
        <v>44122</v>
      </c>
      <c r="J937" s="16">
        <v>44953</v>
      </c>
      <c r="K937" s="15" t="s">
        <v>51</v>
      </c>
      <c r="L937" s="15" t="s">
        <v>233</v>
      </c>
      <c r="M937" s="15">
        <v>103016</v>
      </c>
      <c r="N937" s="15" t="s">
        <v>44</v>
      </c>
      <c r="O937" s="15">
        <v>0.49315068493150682</v>
      </c>
      <c r="P937" s="15" t="s">
        <v>1861</v>
      </c>
      <c r="Q937" s="15">
        <f t="shared" ca="1" si="28"/>
        <v>47</v>
      </c>
      <c r="R937" s="15" t="str">
        <f t="shared" si="29"/>
        <v>High</v>
      </c>
    </row>
    <row r="938" spans="1:18" s="15" customFormat="1" x14ac:dyDescent="0.3">
      <c r="A938" s="15" t="s">
        <v>1812</v>
      </c>
      <c r="B938" s="15" t="s">
        <v>25</v>
      </c>
      <c r="C938" s="15" t="s">
        <v>1813</v>
      </c>
      <c r="D938" s="15" t="s">
        <v>17</v>
      </c>
      <c r="E938" s="15" t="s">
        <v>18</v>
      </c>
      <c r="F938" s="15" t="s">
        <v>19</v>
      </c>
      <c r="G938" s="15" t="s">
        <v>30</v>
      </c>
      <c r="H938" s="16">
        <v>36709</v>
      </c>
      <c r="I938" s="16">
        <v>42382</v>
      </c>
      <c r="J938" s="16">
        <v>43530</v>
      </c>
      <c r="K938" s="15" t="s">
        <v>65</v>
      </c>
      <c r="L938" s="15" t="s">
        <v>728</v>
      </c>
      <c r="M938" s="15">
        <v>100482</v>
      </c>
      <c r="N938" s="15" t="s">
        <v>33</v>
      </c>
      <c r="O938" s="15">
        <v>0.49315068493150682</v>
      </c>
      <c r="P938" s="15" t="s">
        <v>1862</v>
      </c>
      <c r="Q938" s="15">
        <f t="shared" ca="1" si="28"/>
        <v>25</v>
      </c>
      <c r="R938" s="15" t="str">
        <f t="shared" si="29"/>
        <v>High</v>
      </c>
    </row>
    <row r="939" spans="1:18" s="15" customFormat="1" x14ac:dyDescent="0.3">
      <c r="A939" s="15" t="s">
        <v>1814</v>
      </c>
      <c r="B939" s="15" t="s">
        <v>225</v>
      </c>
      <c r="C939" s="15" t="s">
        <v>395</v>
      </c>
      <c r="D939" s="15" t="s">
        <v>27</v>
      </c>
      <c r="E939" s="15" t="s">
        <v>28</v>
      </c>
      <c r="F939" s="15" t="s">
        <v>116</v>
      </c>
      <c r="G939" s="15" t="s">
        <v>30</v>
      </c>
      <c r="H939" s="16">
        <v>28572</v>
      </c>
      <c r="I939" s="16">
        <v>44148</v>
      </c>
      <c r="J939" s="16">
        <v>44328</v>
      </c>
      <c r="K939" s="15" t="s">
        <v>37</v>
      </c>
      <c r="L939" s="15" t="s">
        <v>38</v>
      </c>
      <c r="M939" s="15">
        <v>73237</v>
      </c>
      <c r="N939" s="15" t="s">
        <v>33</v>
      </c>
      <c r="O939" s="15">
        <v>0.56438356164383563</v>
      </c>
      <c r="P939" s="15" t="s">
        <v>1861</v>
      </c>
      <c r="Q939" s="15">
        <f t="shared" ca="1" si="28"/>
        <v>47</v>
      </c>
      <c r="R939" s="15" t="str">
        <f t="shared" si="29"/>
        <v>Medium</v>
      </c>
    </row>
    <row r="940" spans="1:18" s="15" customFormat="1" x14ac:dyDescent="0.3">
      <c r="A940" s="15" t="s">
        <v>1815</v>
      </c>
      <c r="B940" s="15" t="s">
        <v>615</v>
      </c>
      <c r="C940" s="15" t="s">
        <v>1337</v>
      </c>
      <c r="D940" s="15" t="s">
        <v>17</v>
      </c>
      <c r="E940" s="15" t="s">
        <v>18</v>
      </c>
      <c r="F940" s="15" t="s">
        <v>19</v>
      </c>
      <c r="G940" s="15" t="s">
        <v>20</v>
      </c>
      <c r="H940" s="16">
        <v>23628</v>
      </c>
      <c r="I940" s="16">
        <v>43876</v>
      </c>
      <c r="J940" s="16">
        <v>44056</v>
      </c>
      <c r="K940" s="15" t="s">
        <v>21</v>
      </c>
      <c r="L940" s="15" t="s">
        <v>108</v>
      </c>
      <c r="M940" s="15">
        <v>66112</v>
      </c>
      <c r="N940" s="15" t="s">
        <v>23</v>
      </c>
      <c r="O940" s="15">
        <v>4.8712328767123294</v>
      </c>
      <c r="P940" s="15" t="s">
        <v>1861</v>
      </c>
      <c r="Q940" s="15">
        <f t="shared" ca="1" si="28"/>
        <v>61</v>
      </c>
      <c r="R940" s="15" t="str">
        <f t="shared" si="29"/>
        <v>Medium</v>
      </c>
    </row>
    <row r="941" spans="1:18" s="15" customFormat="1" x14ac:dyDescent="0.3">
      <c r="A941" s="15" t="s">
        <v>1816</v>
      </c>
      <c r="B941" s="15" t="s">
        <v>129</v>
      </c>
      <c r="C941" s="15" t="s">
        <v>272</v>
      </c>
      <c r="D941" s="15" t="s">
        <v>27</v>
      </c>
      <c r="E941" s="15" t="s">
        <v>18</v>
      </c>
      <c r="F941" s="15" t="s">
        <v>19</v>
      </c>
      <c r="G941" s="15" t="s">
        <v>30</v>
      </c>
      <c r="H941" s="16">
        <v>36564</v>
      </c>
      <c r="I941" s="16">
        <v>43050</v>
      </c>
      <c r="J941" s="16">
        <v>44923</v>
      </c>
      <c r="K941" s="15" t="s">
        <v>94</v>
      </c>
      <c r="L941" s="15" t="s">
        <v>122</v>
      </c>
      <c r="M941" s="15">
        <v>81762</v>
      </c>
      <c r="N941" s="15" t="s">
        <v>33</v>
      </c>
      <c r="O941" s="15">
        <v>1.821917808219178</v>
      </c>
      <c r="P941" s="15" t="s">
        <v>1862</v>
      </c>
      <c r="Q941" s="15">
        <f t="shared" ca="1" si="28"/>
        <v>25</v>
      </c>
      <c r="R941" s="15" t="str">
        <f t="shared" si="29"/>
        <v>Medium</v>
      </c>
    </row>
    <row r="942" spans="1:18" s="15" customFormat="1" x14ac:dyDescent="0.3">
      <c r="A942" s="15" t="s">
        <v>1817</v>
      </c>
      <c r="B942" s="15" t="s">
        <v>1818</v>
      </c>
      <c r="C942" s="15" t="s">
        <v>1239</v>
      </c>
      <c r="D942" s="15" t="s">
        <v>27</v>
      </c>
      <c r="E942" s="15" t="s">
        <v>18</v>
      </c>
      <c r="F942" s="15" t="s">
        <v>19</v>
      </c>
      <c r="G942" s="15" t="s">
        <v>30</v>
      </c>
      <c r="H942" s="16">
        <v>27147</v>
      </c>
      <c r="I942" s="16">
        <v>43434</v>
      </c>
      <c r="J942" s="16">
        <v>43614</v>
      </c>
      <c r="K942" s="15" t="s">
        <v>51</v>
      </c>
      <c r="L942" s="15" t="s">
        <v>52</v>
      </c>
      <c r="M942" s="15">
        <v>87267</v>
      </c>
      <c r="N942" s="15" t="s">
        <v>33</v>
      </c>
      <c r="O942" s="15">
        <v>1.0356164383561639</v>
      </c>
      <c r="P942" s="15" t="s">
        <v>1862</v>
      </c>
      <c r="Q942" s="15">
        <f t="shared" ca="1" si="28"/>
        <v>51</v>
      </c>
      <c r="R942" s="15" t="str">
        <f t="shared" si="29"/>
        <v>Medium</v>
      </c>
    </row>
    <row r="943" spans="1:18" s="15" customFormat="1" x14ac:dyDescent="0.3">
      <c r="A943" s="15" t="s">
        <v>1819</v>
      </c>
      <c r="B943" s="15" t="s">
        <v>140</v>
      </c>
      <c r="C943" s="15" t="s">
        <v>1820</v>
      </c>
      <c r="D943" s="15" t="s">
        <v>27</v>
      </c>
      <c r="E943" s="15" t="s">
        <v>81</v>
      </c>
      <c r="F943" s="15" t="s">
        <v>82</v>
      </c>
      <c r="G943" s="15" t="s">
        <v>30</v>
      </c>
      <c r="H943" s="16">
        <v>25724</v>
      </c>
      <c r="I943" s="16">
        <v>45356</v>
      </c>
      <c r="J943" s="16">
        <v>45536</v>
      </c>
      <c r="K943" s="15" t="s">
        <v>94</v>
      </c>
      <c r="L943" s="15" t="s">
        <v>117</v>
      </c>
      <c r="M943" s="15">
        <v>89912</v>
      </c>
      <c r="N943" s="15" t="s">
        <v>44</v>
      </c>
      <c r="O943" s="15">
        <v>3.827397260273973</v>
      </c>
      <c r="P943" s="15" t="s">
        <v>1861</v>
      </c>
      <c r="Q943" s="15">
        <f t="shared" ca="1" si="28"/>
        <v>55</v>
      </c>
      <c r="R943" s="15" t="str">
        <f t="shared" si="29"/>
        <v>Medium</v>
      </c>
    </row>
    <row r="944" spans="1:18" s="15" customFormat="1" x14ac:dyDescent="0.3">
      <c r="A944" s="15" t="s">
        <v>1821</v>
      </c>
      <c r="B944" s="15" t="s">
        <v>597</v>
      </c>
      <c r="C944" s="15" t="s">
        <v>1822</v>
      </c>
      <c r="D944" s="15" t="s">
        <v>27</v>
      </c>
      <c r="E944" s="15" t="s">
        <v>18</v>
      </c>
      <c r="F944" s="15" t="s">
        <v>19</v>
      </c>
      <c r="G944" s="15" t="s">
        <v>30</v>
      </c>
      <c r="H944" s="16">
        <v>28221</v>
      </c>
      <c r="I944" s="16">
        <v>43415</v>
      </c>
      <c r="J944" s="16">
        <v>43595</v>
      </c>
      <c r="K944" s="15" t="s">
        <v>37</v>
      </c>
      <c r="L944" s="15" t="s">
        <v>38</v>
      </c>
      <c r="M944" s="15">
        <v>72188</v>
      </c>
      <c r="N944" s="15" t="s">
        <v>33</v>
      </c>
      <c r="O944" s="15">
        <v>1.9616438356164381</v>
      </c>
      <c r="P944" s="15" t="s">
        <v>1862</v>
      </c>
      <c r="Q944" s="15">
        <f t="shared" ca="1" si="28"/>
        <v>48</v>
      </c>
      <c r="R944" s="15" t="str">
        <f t="shared" si="29"/>
        <v>Medium</v>
      </c>
    </row>
    <row r="945" spans="1:18" s="15" customFormat="1" x14ac:dyDescent="0.3">
      <c r="A945" s="15" t="s">
        <v>1823</v>
      </c>
      <c r="B945" s="15" t="s">
        <v>935</v>
      </c>
      <c r="C945" s="15" t="s">
        <v>291</v>
      </c>
      <c r="D945" s="15" t="s">
        <v>17</v>
      </c>
      <c r="E945" s="15" t="s">
        <v>18</v>
      </c>
      <c r="F945" s="15" t="s">
        <v>19</v>
      </c>
      <c r="G945" s="15" t="s">
        <v>30</v>
      </c>
      <c r="H945" s="16">
        <v>31707</v>
      </c>
      <c r="I945" s="16">
        <v>42872</v>
      </c>
      <c r="J945" s="16">
        <v>44817</v>
      </c>
      <c r="K945" s="15" t="s">
        <v>37</v>
      </c>
      <c r="L945" s="15" t="s">
        <v>41</v>
      </c>
      <c r="M945" s="15">
        <v>62997</v>
      </c>
      <c r="N945" s="15" t="s">
        <v>44</v>
      </c>
      <c r="O945" s="15">
        <v>0.49315068493150682</v>
      </c>
      <c r="P945" s="15" t="s">
        <v>1861</v>
      </c>
      <c r="Q945" s="15">
        <f t="shared" ca="1" si="28"/>
        <v>39</v>
      </c>
      <c r="R945" s="15" t="str">
        <f t="shared" si="29"/>
        <v>Medium</v>
      </c>
    </row>
    <row r="946" spans="1:18" s="15" customFormat="1" x14ac:dyDescent="0.3">
      <c r="A946" s="15" t="s">
        <v>1824</v>
      </c>
      <c r="B946" s="15" t="s">
        <v>174</v>
      </c>
      <c r="C946" s="15" t="s">
        <v>162</v>
      </c>
      <c r="D946" s="15" t="s">
        <v>17</v>
      </c>
      <c r="E946" s="15" t="s">
        <v>18</v>
      </c>
      <c r="F946" s="15" t="s">
        <v>19</v>
      </c>
      <c r="G946" s="15" t="s">
        <v>112</v>
      </c>
      <c r="H946" s="16">
        <v>35522</v>
      </c>
      <c r="I946" s="16">
        <v>42801</v>
      </c>
      <c r="J946" s="16">
        <v>42991</v>
      </c>
      <c r="K946" s="15" t="s">
        <v>94</v>
      </c>
      <c r="L946" s="15" t="s">
        <v>122</v>
      </c>
      <c r="M946" s="15">
        <v>76899</v>
      </c>
      <c r="N946" s="15" t="s">
        <v>96</v>
      </c>
      <c r="O946" s="15">
        <v>6.3479452054794523</v>
      </c>
      <c r="P946" s="15" t="s">
        <v>1861</v>
      </c>
      <c r="Q946" s="15">
        <f t="shared" ca="1" si="28"/>
        <v>28</v>
      </c>
      <c r="R946" s="15" t="str">
        <f t="shared" si="29"/>
        <v>Medium</v>
      </c>
    </row>
    <row r="947" spans="1:18" s="15" customFormat="1" x14ac:dyDescent="0.3">
      <c r="A947" s="15" t="s">
        <v>1825</v>
      </c>
      <c r="B947" s="15" t="s">
        <v>1826</v>
      </c>
      <c r="C947" s="15" t="s">
        <v>1264</v>
      </c>
      <c r="D947" s="15" t="s">
        <v>17</v>
      </c>
      <c r="E947" s="15" t="s">
        <v>81</v>
      </c>
      <c r="F947" s="15" t="s">
        <v>104</v>
      </c>
      <c r="G947" s="15" t="s">
        <v>20</v>
      </c>
      <c r="H947" s="16">
        <v>28407</v>
      </c>
      <c r="I947" s="16">
        <v>43578</v>
      </c>
      <c r="J947" s="16">
        <v>44446</v>
      </c>
      <c r="K947" s="15" t="s">
        <v>21</v>
      </c>
      <c r="L947" s="15" t="s">
        <v>100</v>
      </c>
      <c r="M947" s="15">
        <v>56201</v>
      </c>
      <c r="N947" s="15" t="s">
        <v>23</v>
      </c>
      <c r="O947" s="15">
        <v>7.0164383561643833</v>
      </c>
      <c r="P947" s="15" t="s">
        <v>1862</v>
      </c>
      <c r="Q947" s="15">
        <f t="shared" ca="1" si="28"/>
        <v>48</v>
      </c>
      <c r="R947" s="15" t="str">
        <f t="shared" si="29"/>
        <v>Low</v>
      </c>
    </row>
    <row r="948" spans="1:18" s="15" customFormat="1" x14ac:dyDescent="0.3">
      <c r="A948" s="15" t="s">
        <v>1827</v>
      </c>
      <c r="B948" s="15" t="s">
        <v>190</v>
      </c>
      <c r="C948" s="15" t="s">
        <v>1828</v>
      </c>
      <c r="D948" s="15" t="s">
        <v>27</v>
      </c>
      <c r="E948" s="15" t="s">
        <v>81</v>
      </c>
      <c r="F948" s="15" t="s">
        <v>104</v>
      </c>
      <c r="G948" s="15" t="s">
        <v>30</v>
      </c>
      <c r="H948" s="16">
        <v>27602</v>
      </c>
      <c r="I948" s="16">
        <v>45126</v>
      </c>
      <c r="J948" s="16">
        <v>45306</v>
      </c>
      <c r="K948" s="15" t="s">
        <v>37</v>
      </c>
      <c r="L948" s="15" t="s">
        <v>38</v>
      </c>
      <c r="M948" s="15">
        <v>67818</v>
      </c>
      <c r="N948" s="15" t="s">
        <v>33</v>
      </c>
      <c r="O948" s="15">
        <v>0.49315068493150682</v>
      </c>
      <c r="P948" s="15" t="s">
        <v>1861</v>
      </c>
      <c r="Q948" s="15">
        <f t="shared" ca="1" si="28"/>
        <v>50</v>
      </c>
      <c r="R948" s="15" t="str">
        <f t="shared" si="29"/>
        <v>Medium</v>
      </c>
    </row>
    <row r="949" spans="1:18" s="15" customFormat="1" x14ac:dyDescent="0.3">
      <c r="A949" s="15" t="s">
        <v>1829</v>
      </c>
      <c r="B949" s="15" t="s">
        <v>279</v>
      </c>
      <c r="C949" s="15" t="s">
        <v>1257</v>
      </c>
      <c r="D949" s="15" t="s">
        <v>27</v>
      </c>
      <c r="E949" s="15" t="s">
        <v>18</v>
      </c>
      <c r="F949" s="15" t="s">
        <v>19</v>
      </c>
      <c r="G949" s="15" t="s">
        <v>20</v>
      </c>
      <c r="H949" s="16">
        <v>27445</v>
      </c>
      <c r="I949" s="16">
        <v>45328</v>
      </c>
      <c r="J949" s="16">
        <v>45508</v>
      </c>
      <c r="K949" s="15" t="s">
        <v>21</v>
      </c>
      <c r="L949" s="15" t="s">
        <v>100</v>
      </c>
      <c r="M949" s="15">
        <v>58887</v>
      </c>
      <c r="N949" s="15" t="s">
        <v>96</v>
      </c>
      <c r="O949" s="15">
        <v>4.2684931506849324</v>
      </c>
      <c r="P949" s="15" t="s">
        <v>1861</v>
      </c>
      <c r="Q949" s="15">
        <f t="shared" ca="1" si="28"/>
        <v>50</v>
      </c>
      <c r="R949" s="15" t="str">
        <f t="shared" si="29"/>
        <v>Low</v>
      </c>
    </row>
    <row r="950" spans="1:18" s="15" customFormat="1" x14ac:dyDescent="0.3">
      <c r="A950" s="15" t="s">
        <v>1830</v>
      </c>
      <c r="B950" s="15" t="s">
        <v>777</v>
      </c>
      <c r="C950" s="15" t="s">
        <v>1250</v>
      </c>
      <c r="D950" s="15" t="s">
        <v>17</v>
      </c>
      <c r="E950" s="15" t="s">
        <v>18</v>
      </c>
      <c r="F950" s="15" t="s">
        <v>19</v>
      </c>
      <c r="G950" s="15" t="s">
        <v>20</v>
      </c>
      <c r="H950" s="16">
        <v>27340</v>
      </c>
      <c r="I950" s="16">
        <v>42895</v>
      </c>
      <c r="J950" s="16">
        <v>43810</v>
      </c>
      <c r="K950" s="15" t="s">
        <v>37</v>
      </c>
      <c r="L950" s="15" t="s">
        <v>41</v>
      </c>
      <c r="M950" s="15">
        <v>61341</v>
      </c>
      <c r="N950" s="15" t="s">
        <v>23</v>
      </c>
      <c r="O950" s="15">
        <v>5.6684931506849319</v>
      </c>
      <c r="P950" s="15" t="s">
        <v>1861</v>
      </c>
      <c r="Q950" s="15">
        <f t="shared" ca="1" si="28"/>
        <v>51</v>
      </c>
      <c r="R950" s="15" t="str">
        <f t="shared" si="29"/>
        <v>Medium</v>
      </c>
    </row>
    <row r="951" spans="1:18" s="15" customFormat="1" x14ac:dyDescent="0.3">
      <c r="A951" s="15" t="s">
        <v>1831</v>
      </c>
      <c r="B951" s="15" t="s">
        <v>295</v>
      </c>
      <c r="C951" s="15" t="s">
        <v>1832</v>
      </c>
      <c r="D951" s="15" t="s">
        <v>17</v>
      </c>
      <c r="E951" s="15" t="s">
        <v>18</v>
      </c>
      <c r="F951" s="15" t="s">
        <v>19</v>
      </c>
      <c r="G951" s="15" t="s">
        <v>112</v>
      </c>
      <c r="H951" s="16">
        <v>32440</v>
      </c>
      <c r="I951" s="16">
        <v>43072</v>
      </c>
      <c r="J951" s="16">
        <v>43251</v>
      </c>
      <c r="K951" s="15" t="s">
        <v>94</v>
      </c>
      <c r="L951" s="15" t="s">
        <v>95</v>
      </c>
      <c r="M951" s="15">
        <v>115420</v>
      </c>
      <c r="N951" s="15" t="s">
        <v>33</v>
      </c>
      <c r="O951" s="15">
        <v>0.49315068493150682</v>
      </c>
      <c r="P951" s="15" t="s">
        <v>1861</v>
      </c>
      <c r="Q951" s="15">
        <f t="shared" ca="1" si="28"/>
        <v>37</v>
      </c>
      <c r="R951" s="15" t="str">
        <f t="shared" si="29"/>
        <v>High</v>
      </c>
    </row>
    <row r="952" spans="1:18" s="15" customFormat="1" x14ac:dyDescent="0.3">
      <c r="A952" s="15" t="s">
        <v>1833</v>
      </c>
      <c r="B952" s="15" t="s">
        <v>1834</v>
      </c>
      <c r="C952" s="15" t="s">
        <v>1486</v>
      </c>
      <c r="D952" s="15" t="s">
        <v>17</v>
      </c>
      <c r="E952" s="15" t="s">
        <v>18</v>
      </c>
      <c r="F952" s="15" t="s">
        <v>19</v>
      </c>
      <c r="G952" s="15" t="s">
        <v>20</v>
      </c>
      <c r="H952" s="16">
        <v>30209</v>
      </c>
      <c r="I952" s="16">
        <v>44613</v>
      </c>
      <c r="J952" s="16">
        <v>44793</v>
      </c>
      <c r="K952" s="15" t="s">
        <v>37</v>
      </c>
      <c r="L952" s="15" t="s">
        <v>41</v>
      </c>
      <c r="M952" s="15">
        <v>62479</v>
      </c>
      <c r="N952" s="15" t="s">
        <v>23</v>
      </c>
      <c r="O952" s="15">
        <v>0.49315068493150682</v>
      </c>
      <c r="P952" s="15" t="s">
        <v>1861</v>
      </c>
      <c r="Q952" s="15">
        <f t="shared" ca="1" si="28"/>
        <v>43</v>
      </c>
      <c r="R952" s="15" t="str">
        <f t="shared" si="29"/>
        <v>Medium</v>
      </c>
    </row>
    <row r="953" spans="1:18" s="15" customFormat="1" x14ac:dyDescent="0.3">
      <c r="A953" s="15" t="s">
        <v>1835</v>
      </c>
      <c r="B953" s="15" t="s">
        <v>25</v>
      </c>
      <c r="C953" s="15" t="s">
        <v>1836</v>
      </c>
      <c r="D953" s="15" t="s">
        <v>17</v>
      </c>
      <c r="E953" s="15" t="s">
        <v>18</v>
      </c>
      <c r="F953" s="15" t="s">
        <v>19</v>
      </c>
      <c r="G953" s="15" t="s">
        <v>112</v>
      </c>
      <c r="H953" s="16">
        <v>29802</v>
      </c>
      <c r="I953" s="16">
        <v>42691</v>
      </c>
      <c r="J953" s="16">
        <v>44315</v>
      </c>
      <c r="K953" s="15" t="s">
        <v>94</v>
      </c>
      <c r="L953" s="15" t="s">
        <v>122</v>
      </c>
      <c r="M953" s="15">
        <v>104096</v>
      </c>
      <c r="N953" s="15" t="s">
        <v>33</v>
      </c>
      <c r="O953" s="15">
        <v>5.1041095890410961</v>
      </c>
      <c r="P953" s="15" t="s">
        <v>1861</v>
      </c>
      <c r="Q953" s="15">
        <f t="shared" ca="1" si="28"/>
        <v>44</v>
      </c>
      <c r="R953" s="15" t="str">
        <f t="shared" si="29"/>
        <v>High</v>
      </c>
    </row>
    <row r="954" spans="1:18" s="15" customFormat="1" x14ac:dyDescent="0.3">
      <c r="A954" s="15" t="s">
        <v>1837</v>
      </c>
      <c r="B954" s="15" t="s">
        <v>25</v>
      </c>
      <c r="C954" s="15" t="s">
        <v>1838</v>
      </c>
      <c r="D954" s="15" t="s">
        <v>27</v>
      </c>
      <c r="E954" s="15" t="s">
        <v>120</v>
      </c>
      <c r="F954" s="15" t="s">
        <v>904</v>
      </c>
      <c r="G954" s="15" t="s">
        <v>30</v>
      </c>
      <c r="H954" s="16">
        <v>27341</v>
      </c>
      <c r="I954" s="16">
        <v>45444</v>
      </c>
      <c r="J954" s="16">
        <v>45624</v>
      </c>
      <c r="K954" s="15" t="s">
        <v>37</v>
      </c>
      <c r="L954" s="15" t="s">
        <v>43</v>
      </c>
      <c r="M954" s="15">
        <v>71839</v>
      </c>
      <c r="N954" s="15" t="s">
        <v>33</v>
      </c>
      <c r="O954" s="15">
        <v>0.49315068493150682</v>
      </c>
      <c r="P954" s="15" t="s">
        <v>1861</v>
      </c>
      <c r="Q954" s="15">
        <f t="shared" ca="1" si="28"/>
        <v>51</v>
      </c>
      <c r="R954" s="15" t="str">
        <f t="shared" si="29"/>
        <v>Medium</v>
      </c>
    </row>
    <row r="955" spans="1:18" s="15" customFormat="1" x14ac:dyDescent="0.3">
      <c r="A955" s="15" t="s">
        <v>1839</v>
      </c>
      <c r="B955" s="15" t="s">
        <v>195</v>
      </c>
      <c r="C955" s="15" t="s">
        <v>1840</v>
      </c>
      <c r="D955" s="15" t="s">
        <v>27</v>
      </c>
      <c r="E955" s="15" t="s">
        <v>18</v>
      </c>
      <c r="F955" s="15" t="s">
        <v>19</v>
      </c>
      <c r="G955" s="15" t="s">
        <v>112</v>
      </c>
      <c r="H955" s="16">
        <v>33190</v>
      </c>
      <c r="I955" s="16">
        <v>45396</v>
      </c>
      <c r="J955" s="16">
        <v>45576</v>
      </c>
      <c r="K955" s="15" t="s">
        <v>31</v>
      </c>
      <c r="L955" s="15" t="s">
        <v>32</v>
      </c>
      <c r="M955" s="15">
        <v>65899</v>
      </c>
      <c r="N955" s="15" t="s">
        <v>96</v>
      </c>
      <c r="O955" s="15">
        <v>7.2356164383561641</v>
      </c>
      <c r="P955" s="15" t="s">
        <v>1861</v>
      </c>
      <c r="Q955" s="15">
        <f t="shared" ca="1" si="28"/>
        <v>35</v>
      </c>
      <c r="R955" s="15" t="str">
        <f t="shared" si="29"/>
        <v>Medium</v>
      </c>
    </row>
    <row r="956" spans="1:18" s="15" customFormat="1" x14ac:dyDescent="0.3">
      <c r="A956" s="15" t="s">
        <v>1841</v>
      </c>
      <c r="B956" s="15" t="s">
        <v>817</v>
      </c>
      <c r="C956" s="15" t="s">
        <v>1842</v>
      </c>
      <c r="D956" s="15" t="s">
        <v>27</v>
      </c>
      <c r="E956" s="15" t="s">
        <v>81</v>
      </c>
      <c r="F956" s="15" t="s">
        <v>82</v>
      </c>
      <c r="G956" s="15" t="s">
        <v>30</v>
      </c>
      <c r="H956" s="16">
        <v>32624</v>
      </c>
      <c r="I956" s="16">
        <v>44591</v>
      </c>
      <c r="J956" s="16">
        <v>45541</v>
      </c>
      <c r="K956" s="15" t="s">
        <v>37</v>
      </c>
      <c r="L956" s="15" t="s">
        <v>41</v>
      </c>
      <c r="M956" s="15">
        <v>59751</v>
      </c>
      <c r="N956" s="15" t="s">
        <v>23</v>
      </c>
      <c r="O956" s="15">
        <v>0.49315068493150682</v>
      </c>
      <c r="P956" s="15" t="s">
        <v>1861</v>
      </c>
      <c r="Q956" s="15">
        <f t="shared" ca="1" si="28"/>
        <v>36</v>
      </c>
      <c r="R956" s="15" t="str">
        <f t="shared" si="29"/>
        <v>Low</v>
      </c>
    </row>
    <row r="957" spans="1:18" s="15" customFormat="1" x14ac:dyDescent="0.3">
      <c r="A957" s="15" t="s">
        <v>1843</v>
      </c>
      <c r="B957" s="15" t="s">
        <v>726</v>
      </c>
      <c r="C957" s="15" t="s">
        <v>1844</v>
      </c>
      <c r="D957" s="15" t="s">
        <v>27</v>
      </c>
      <c r="E957" s="15" t="s">
        <v>81</v>
      </c>
      <c r="F957" s="15" t="s">
        <v>166</v>
      </c>
      <c r="G957" s="15" t="s">
        <v>30</v>
      </c>
      <c r="H957" s="16">
        <v>35151</v>
      </c>
      <c r="I957" s="16">
        <v>44963</v>
      </c>
      <c r="J957" s="16">
        <v>45143</v>
      </c>
      <c r="K957" s="15" t="s">
        <v>21</v>
      </c>
      <c r="L957" s="15" t="s">
        <v>22</v>
      </c>
      <c r="M957" s="15">
        <v>77004</v>
      </c>
      <c r="N957" s="15" t="s">
        <v>44</v>
      </c>
      <c r="O957" s="15">
        <v>0.49315068493150682</v>
      </c>
      <c r="P957" s="15" t="s">
        <v>1861</v>
      </c>
      <c r="Q957" s="15">
        <f t="shared" ca="1" si="28"/>
        <v>29</v>
      </c>
      <c r="R957" s="15" t="str">
        <f t="shared" si="29"/>
        <v>Medium</v>
      </c>
    </row>
    <row r="958" spans="1:18" s="15" customFormat="1" x14ac:dyDescent="0.3">
      <c r="A958" s="15" t="s">
        <v>1845</v>
      </c>
      <c r="B958" s="15" t="s">
        <v>439</v>
      </c>
      <c r="C958" s="15" t="s">
        <v>1250</v>
      </c>
      <c r="D958" s="15" t="s">
        <v>27</v>
      </c>
      <c r="E958" s="15" t="s">
        <v>18</v>
      </c>
      <c r="F958" s="15" t="s">
        <v>19</v>
      </c>
      <c r="G958" s="15" t="s">
        <v>20</v>
      </c>
      <c r="H958" s="16">
        <v>34819</v>
      </c>
      <c r="I958" s="16">
        <v>43005</v>
      </c>
      <c r="J958" s="16">
        <v>43184</v>
      </c>
      <c r="K958" s="15" t="s">
        <v>37</v>
      </c>
      <c r="L958" s="15" t="s">
        <v>41</v>
      </c>
      <c r="M958" s="15">
        <v>61581</v>
      </c>
      <c r="N958" s="15" t="s">
        <v>23</v>
      </c>
      <c r="O958" s="15">
        <v>0.77260273972602744</v>
      </c>
      <c r="P958" s="15" t="s">
        <v>1861</v>
      </c>
      <c r="Q958" s="15">
        <f t="shared" ca="1" si="28"/>
        <v>30</v>
      </c>
      <c r="R958" s="15" t="str">
        <f t="shared" si="29"/>
        <v>Medium</v>
      </c>
    </row>
    <row r="959" spans="1:18" s="15" customFormat="1" x14ac:dyDescent="0.3">
      <c r="A959" s="15" t="s">
        <v>1846</v>
      </c>
      <c r="B959" s="15" t="s">
        <v>1530</v>
      </c>
      <c r="C959" s="15" t="s">
        <v>563</v>
      </c>
      <c r="D959" s="15" t="s">
        <v>27</v>
      </c>
      <c r="E959" s="15" t="s">
        <v>18</v>
      </c>
      <c r="F959" s="15" t="s">
        <v>19</v>
      </c>
      <c r="G959" s="15" t="s">
        <v>30</v>
      </c>
      <c r="H959" s="16">
        <v>23607</v>
      </c>
      <c r="I959" s="16">
        <v>42559</v>
      </c>
      <c r="J959" s="16">
        <v>45587</v>
      </c>
      <c r="K959" s="15" t="s">
        <v>21</v>
      </c>
      <c r="L959" s="15" t="s">
        <v>100</v>
      </c>
      <c r="M959" s="15">
        <v>73414</v>
      </c>
      <c r="N959" s="15" t="s">
        <v>33</v>
      </c>
      <c r="O959" s="15">
        <v>3.5671232876712331</v>
      </c>
      <c r="P959" s="15" t="s">
        <v>1861</v>
      </c>
      <c r="Q959" s="15">
        <f t="shared" ca="1" si="28"/>
        <v>61</v>
      </c>
      <c r="R959" s="15" t="str">
        <f t="shared" si="29"/>
        <v>Medium</v>
      </c>
    </row>
    <row r="960" spans="1:18" s="15" customFormat="1" x14ac:dyDescent="0.3">
      <c r="A960" s="15" t="s">
        <v>1847</v>
      </c>
      <c r="B960" s="15" t="s">
        <v>990</v>
      </c>
      <c r="C960" s="15" t="s">
        <v>193</v>
      </c>
      <c r="D960" s="15" t="s">
        <v>27</v>
      </c>
      <c r="E960" s="15" t="s">
        <v>18</v>
      </c>
      <c r="F960" s="15" t="s">
        <v>19</v>
      </c>
      <c r="G960" s="15" t="s">
        <v>30</v>
      </c>
      <c r="H960" s="16">
        <v>36278</v>
      </c>
      <c r="I960" s="16">
        <v>43766</v>
      </c>
      <c r="J960" s="16">
        <v>44504</v>
      </c>
      <c r="K960" s="15" t="s">
        <v>31</v>
      </c>
      <c r="L960" s="15" t="s">
        <v>159</v>
      </c>
      <c r="M960" s="15">
        <v>102891</v>
      </c>
      <c r="N960" s="15" t="s">
        <v>33</v>
      </c>
      <c r="O960" s="15">
        <v>0.49315068493150682</v>
      </c>
      <c r="P960" s="15" t="s">
        <v>1861</v>
      </c>
      <c r="Q960" s="15">
        <f t="shared" ca="1" si="28"/>
        <v>26</v>
      </c>
      <c r="R960" s="15" t="str">
        <f t="shared" si="29"/>
        <v>High</v>
      </c>
    </row>
    <row r="961" spans="1:20" x14ac:dyDescent="0.3">
      <c r="A961" s="15" t="s">
        <v>1848</v>
      </c>
      <c r="B961" s="15" t="s">
        <v>434</v>
      </c>
      <c r="C961" s="15" t="s">
        <v>64</v>
      </c>
      <c r="D961" s="15" t="s">
        <v>27</v>
      </c>
      <c r="E961" s="15" t="s">
        <v>18</v>
      </c>
      <c r="F961" s="15" t="s">
        <v>19</v>
      </c>
      <c r="G961" s="15" t="s">
        <v>112</v>
      </c>
      <c r="H961" s="16">
        <v>26788</v>
      </c>
      <c r="I961" s="16">
        <v>44375</v>
      </c>
      <c r="J961" s="16">
        <v>44555</v>
      </c>
      <c r="K961" s="15" t="s">
        <v>31</v>
      </c>
      <c r="L961" s="15" t="s">
        <v>159</v>
      </c>
      <c r="M961" s="15">
        <v>76778</v>
      </c>
      <c r="N961" s="15" t="s">
        <v>33</v>
      </c>
      <c r="O961" s="15">
        <v>0.49315068493150682</v>
      </c>
      <c r="P961" s="15" t="s">
        <v>1861</v>
      </c>
      <c r="Q961" s="15">
        <f t="shared" ca="1" si="28"/>
        <v>52</v>
      </c>
      <c r="R961" s="15" t="str">
        <f t="shared" si="29"/>
        <v>Medium</v>
      </c>
      <c r="S961" s="15"/>
    </row>
    <row r="962" spans="1:20" x14ac:dyDescent="0.3">
      <c r="A962" s="15" t="s">
        <v>1849</v>
      </c>
      <c r="B962" s="15" t="s">
        <v>726</v>
      </c>
      <c r="C962" s="15" t="s">
        <v>649</v>
      </c>
      <c r="D962" s="15" t="s">
        <v>27</v>
      </c>
      <c r="E962" s="15" t="s">
        <v>18</v>
      </c>
      <c r="F962" s="15" t="s">
        <v>19</v>
      </c>
      <c r="G962" s="15" t="s">
        <v>30</v>
      </c>
      <c r="H962" s="16">
        <v>30970</v>
      </c>
      <c r="I962" s="16">
        <v>44161</v>
      </c>
      <c r="J962" s="16">
        <v>44341</v>
      </c>
      <c r="K962" s="15" t="s">
        <v>94</v>
      </c>
      <c r="L962" s="15" t="s">
        <v>122</v>
      </c>
      <c r="M962" s="15">
        <v>104919</v>
      </c>
      <c r="N962" s="15" t="s">
        <v>96</v>
      </c>
      <c r="O962" s="15">
        <v>1.854794520547945</v>
      </c>
      <c r="P962" s="15" t="s">
        <v>1861</v>
      </c>
      <c r="Q962" s="15">
        <f t="shared" ref="Q962:Q967" ca="1" si="30">DATEDIF(H962, TODAY(), "Y")</f>
        <v>41</v>
      </c>
      <c r="R962" s="15" t="str">
        <f t="shared" si="29"/>
        <v>High</v>
      </c>
      <c r="S962" s="15"/>
    </row>
    <row r="963" spans="1:20" x14ac:dyDescent="0.3">
      <c r="A963" s="15" t="s">
        <v>1850</v>
      </c>
      <c r="B963" s="15" t="s">
        <v>517</v>
      </c>
      <c r="C963" s="15" t="s">
        <v>1722</v>
      </c>
      <c r="D963" s="15" t="s">
        <v>27</v>
      </c>
      <c r="E963" s="15" t="s">
        <v>81</v>
      </c>
      <c r="F963" s="15" t="s">
        <v>82</v>
      </c>
      <c r="G963" s="15" t="s">
        <v>112</v>
      </c>
      <c r="H963" s="16">
        <v>22085</v>
      </c>
      <c r="I963" s="16">
        <v>44646</v>
      </c>
      <c r="J963" s="16">
        <v>44826</v>
      </c>
      <c r="K963" s="15" t="s">
        <v>94</v>
      </c>
      <c r="L963" s="15" t="s">
        <v>122</v>
      </c>
      <c r="M963" s="15">
        <v>73654</v>
      </c>
      <c r="N963" s="15" t="s">
        <v>96</v>
      </c>
      <c r="O963" s="15">
        <v>1.7753424657534249</v>
      </c>
      <c r="P963" s="15" t="s">
        <v>1861</v>
      </c>
      <c r="Q963" s="15">
        <f t="shared" ca="1" si="30"/>
        <v>65</v>
      </c>
      <c r="R963" s="15" t="str">
        <f t="shared" ref="R963:R967" si="31">IF(M963:M1928&gt;100000,"High",IF(M963:M1928&gt;60000,"Medium","Low"))</f>
        <v>Medium</v>
      </c>
      <c r="S963" s="15"/>
    </row>
    <row r="964" spans="1:20" x14ac:dyDescent="0.3">
      <c r="A964" s="15" t="s">
        <v>1851</v>
      </c>
      <c r="B964" s="15" t="s">
        <v>801</v>
      </c>
      <c r="C964" s="15" t="s">
        <v>1852</v>
      </c>
      <c r="D964" s="15" t="s">
        <v>27</v>
      </c>
      <c r="E964" s="15" t="s">
        <v>354</v>
      </c>
      <c r="F964" s="15" t="s">
        <v>519</v>
      </c>
      <c r="G964" s="15" t="s">
        <v>30</v>
      </c>
      <c r="H964" s="16">
        <v>23103</v>
      </c>
      <c r="I964" s="16">
        <v>42928</v>
      </c>
      <c r="J964" s="16">
        <v>44407</v>
      </c>
      <c r="K964" s="15" t="s">
        <v>37</v>
      </c>
      <c r="L964" s="15" t="s">
        <v>43</v>
      </c>
      <c r="M964" s="15">
        <v>97119</v>
      </c>
      <c r="N964" s="15" t="s">
        <v>33</v>
      </c>
      <c r="O964" s="15">
        <v>0.78904109589041094</v>
      </c>
      <c r="P964" s="15" t="s">
        <v>1861</v>
      </c>
      <c r="Q964" s="15">
        <f t="shared" ca="1" si="30"/>
        <v>62</v>
      </c>
      <c r="R964" s="15" t="str">
        <f t="shared" si="31"/>
        <v>Medium</v>
      </c>
      <c r="S964" s="15"/>
    </row>
    <row r="965" spans="1:20" x14ac:dyDescent="0.3">
      <c r="A965" s="15" t="s">
        <v>1853</v>
      </c>
      <c r="B965" s="15" t="s">
        <v>316</v>
      </c>
      <c r="C965" s="15" t="s">
        <v>1633</v>
      </c>
      <c r="D965" s="15" t="s">
        <v>17</v>
      </c>
      <c r="E965" s="15" t="s">
        <v>28</v>
      </c>
      <c r="F965" s="15" t="s">
        <v>282</v>
      </c>
      <c r="G965" s="15" t="s">
        <v>112</v>
      </c>
      <c r="H965" s="16">
        <v>29056</v>
      </c>
      <c r="I965" s="16">
        <v>44328</v>
      </c>
      <c r="J965" s="16">
        <v>44580</v>
      </c>
      <c r="K965" s="15" t="s">
        <v>37</v>
      </c>
      <c r="L965" s="15" t="s">
        <v>261</v>
      </c>
      <c r="M965" s="15">
        <v>108780</v>
      </c>
      <c r="N965" s="15" t="s">
        <v>96</v>
      </c>
      <c r="O965" s="15">
        <v>0.49315068493150682</v>
      </c>
      <c r="P965" s="15" t="s">
        <v>1861</v>
      </c>
      <c r="Q965" s="15">
        <f t="shared" ca="1" si="30"/>
        <v>46</v>
      </c>
      <c r="R965" s="15" t="str">
        <f t="shared" si="31"/>
        <v>High</v>
      </c>
      <c r="S965" s="15"/>
    </row>
    <row r="966" spans="1:20" x14ac:dyDescent="0.3">
      <c r="A966" s="15" t="s">
        <v>1854</v>
      </c>
      <c r="B966" s="15" t="s">
        <v>49</v>
      </c>
      <c r="C966" s="15" t="s">
        <v>210</v>
      </c>
      <c r="D966" s="15" t="s">
        <v>27</v>
      </c>
      <c r="E966" s="15" t="s">
        <v>18</v>
      </c>
      <c r="F966" s="15" t="s">
        <v>19</v>
      </c>
      <c r="G966" s="15" t="s">
        <v>30</v>
      </c>
      <c r="H966" s="16">
        <v>25902</v>
      </c>
      <c r="I966" s="16">
        <v>43067</v>
      </c>
      <c r="J966" s="16">
        <v>44941</v>
      </c>
      <c r="K966" s="15" t="s">
        <v>37</v>
      </c>
      <c r="L966" s="15" t="s">
        <v>41</v>
      </c>
      <c r="M966" s="15">
        <v>66416</v>
      </c>
      <c r="N966" s="15" t="s">
        <v>33</v>
      </c>
      <c r="O966" s="15">
        <v>0.49315068493150682</v>
      </c>
      <c r="P966" s="15" t="s">
        <v>1861</v>
      </c>
      <c r="Q966" s="15">
        <f t="shared" ca="1" si="30"/>
        <v>55</v>
      </c>
      <c r="R966" s="15" t="str">
        <f t="shared" si="31"/>
        <v>Medium</v>
      </c>
      <c r="S966" s="15"/>
    </row>
    <row r="967" spans="1:20" x14ac:dyDescent="0.3">
      <c r="A967" s="15" t="s">
        <v>1855</v>
      </c>
      <c r="B967" s="15" t="s">
        <v>274</v>
      </c>
      <c r="C967" s="15" t="s">
        <v>69</v>
      </c>
      <c r="D967" s="15" t="s">
        <v>17</v>
      </c>
      <c r="E967" s="15" t="s">
        <v>18</v>
      </c>
      <c r="F967" s="15" t="s">
        <v>19</v>
      </c>
      <c r="G967" s="15" t="s">
        <v>20</v>
      </c>
      <c r="H967" s="16">
        <v>37107</v>
      </c>
      <c r="I967" s="16">
        <v>43366</v>
      </c>
      <c r="J967" s="16">
        <v>43546</v>
      </c>
      <c r="K967" s="15" t="s">
        <v>37</v>
      </c>
      <c r="L967" s="15" t="s">
        <v>41</v>
      </c>
      <c r="M967" s="15">
        <v>53611</v>
      </c>
      <c r="N967" s="15" t="s">
        <v>23</v>
      </c>
      <c r="O967" s="15">
        <v>0.49315068493150682</v>
      </c>
      <c r="P967" s="15" t="s">
        <v>1861</v>
      </c>
      <c r="Q967" s="15">
        <f t="shared" ca="1" si="30"/>
        <v>24</v>
      </c>
      <c r="R967" s="15" t="str">
        <f t="shared" si="31"/>
        <v>Low</v>
      </c>
      <c r="S967" s="15"/>
    </row>
    <row r="968" spans="1:20" x14ac:dyDescent="0.3">
      <c r="N968" s="14"/>
      <c r="O968" s="14"/>
      <c r="P968" s="14"/>
      <c r="Q968" s="14"/>
      <c r="R968" s="14"/>
      <c r="S968" s="14"/>
      <c r="T968"/>
    </row>
    <row r="969" spans="1:20" x14ac:dyDescent="0.3">
      <c r="N969" s="14"/>
      <c r="P969" s="14"/>
      <c r="Q969" s="14"/>
      <c r="R969" s="14"/>
      <c r="S969" s="14"/>
      <c r="T969"/>
    </row>
    <row r="970" spans="1:20" x14ac:dyDescent="0.3">
      <c r="N970" s="14"/>
      <c r="O970" s="14"/>
      <c r="P970" s="14"/>
      <c r="Q970" s="14"/>
      <c r="R970" s="14"/>
      <c r="S970" s="14"/>
      <c r="T970"/>
    </row>
    <row r="971" spans="1:20" x14ac:dyDescent="0.3">
      <c r="N971" s="14"/>
      <c r="O971" s="14"/>
      <c r="P971" s="14"/>
      <c r="Q971" s="14"/>
      <c r="R971" s="14"/>
      <c r="S971" s="14"/>
      <c r="T971"/>
    </row>
    <row r="972" spans="1:20" x14ac:dyDescent="0.3">
      <c r="N972" s="14"/>
      <c r="O972" s="14"/>
      <c r="P972" s="14"/>
      <c r="Q972" s="14"/>
      <c r="R972" s="14"/>
      <c r="S972" s="14"/>
      <c r="T972"/>
    </row>
    <row r="973" spans="1:20" x14ac:dyDescent="0.3">
      <c r="N973" s="14"/>
      <c r="O973" s="14"/>
      <c r="P973" s="14"/>
      <c r="Q973" s="14"/>
      <c r="R973" s="14"/>
      <c r="S973" s="14"/>
      <c r="T973"/>
    </row>
    <row r="974" spans="1:20" x14ac:dyDescent="0.3">
      <c r="N974" s="14"/>
      <c r="O974" s="14"/>
      <c r="P974" s="14"/>
      <c r="Q974" s="14"/>
      <c r="R974" s="14"/>
      <c r="S974" s="14"/>
    </row>
    <row r="975" spans="1:20" x14ac:dyDescent="0.3">
      <c r="N975" s="14"/>
      <c r="O975" s="14"/>
      <c r="P975" s="14"/>
      <c r="Q975" s="14"/>
      <c r="R975" s="14"/>
      <c r="S975" s="14"/>
    </row>
    <row r="976" spans="1:20" x14ac:dyDescent="0.3">
      <c r="N976" s="14"/>
      <c r="O976" s="14"/>
      <c r="P976" s="14"/>
      <c r="Q976" s="14"/>
      <c r="R976" s="14"/>
      <c r="S976" s="14"/>
    </row>
    <row r="977" spans="14:19" x14ac:dyDescent="0.3">
      <c r="N977" s="14"/>
      <c r="O977" s="14"/>
      <c r="P977" s="14"/>
      <c r="Q977" s="14"/>
      <c r="R977" s="14"/>
      <c r="S977" s="14"/>
    </row>
    <row r="978" spans="14:19" x14ac:dyDescent="0.3">
      <c r="O978" s="14"/>
      <c r="P978" s="14"/>
      <c r="Q978" s="14"/>
      <c r="R978" s="14"/>
    </row>
    <row r="979" spans="14:19" x14ac:dyDescent="0.3">
      <c r="O979" s="14"/>
      <c r="P979" s="14"/>
      <c r="Q979" s="14"/>
      <c r="R979" s="14"/>
    </row>
    <row r="980" spans="14:19" x14ac:dyDescent="0.3">
      <c r="O980" s="14"/>
      <c r="P980" s="14"/>
      <c r="Q980" s="14"/>
      <c r="R980" s="14"/>
    </row>
    <row r="981" spans="14:19" x14ac:dyDescent="0.3">
      <c r="O981" s="14"/>
      <c r="P981" s="14"/>
      <c r="Q981" s="14"/>
      <c r="R981" s="14"/>
    </row>
    <row r="982" spans="14:19" x14ac:dyDescent="0.3">
      <c r="O982" s="14"/>
      <c r="P982" s="14"/>
      <c r="Q982" s="14"/>
      <c r="R982" s="14"/>
    </row>
    <row r="983" spans="14:19" x14ac:dyDescent="0.3">
      <c r="O983" s="14"/>
      <c r="P983" s="14"/>
      <c r="Q983" s="14"/>
      <c r="R983" s="14"/>
    </row>
    <row r="984" spans="14:19" x14ac:dyDescent="0.3">
      <c r="O984" s="14"/>
      <c r="P984" s="14"/>
      <c r="Q984" s="14"/>
      <c r="R984" s="14"/>
    </row>
    <row r="985" spans="14:19" x14ac:dyDescent="0.3">
      <c r="O985" s="14"/>
      <c r="P985" s="14"/>
      <c r="Q985" s="14"/>
      <c r="R985" s="14"/>
    </row>
    <row r="986" spans="14:19" x14ac:dyDescent="0.3">
      <c r="O986" s="14"/>
      <c r="P986" s="14"/>
      <c r="Q986" s="14"/>
      <c r="R986" s="14"/>
    </row>
    <row r="987" spans="14:19" x14ac:dyDescent="0.3">
      <c r="O987" s="14"/>
      <c r="P987" s="14"/>
      <c r="Q987" s="14"/>
      <c r="R987" s="14"/>
    </row>
    <row r="988" spans="14:19" x14ac:dyDescent="0.3">
      <c r="O988" s="14"/>
      <c r="P988" s="14"/>
      <c r="Q988" s="14"/>
      <c r="R988" s="14"/>
    </row>
    <row r="989" spans="14:19" x14ac:dyDescent="0.3">
      <c r="O989" s="14"/>
      <c r="P989" s="14"/>
      <c r="Q989" s="14"/>
      <c r="R989" s="14"/>
    </row>
    <row r="990" spans="14:19" x14ac:dyDescent="0.3">
      <c r="O990" s="14"/>
      <c r="P990" s="14"/>
      <c r="Q990" s="14"/>
      <c r="R990" s="14"/>
    </row>
    <row r="991" spans="14:19" x14ac:dyDescent="0.3">
      <c r="O991" s="14"/>
      <c r="P991" s="14"/>
      <c r="Q991" s="14"/>
      <c r="R991" s="14"/>
    </row>
    <row r="992" spans="14:19" x14ac:dyDescent="0.3">
      <c r="O992" s="14"/>
      <c r="P992" s="14"/>
      <c r="Q992" s="14"/>
      <c r="R992" s="14"/>
    </row>
    <row r="993" spans="15:18" x14ac:dyDescent="0.3">
      <c r="O993" s="14"/>
      <c r="P993" s="14"/>
      <c r="Q993" s="14"/>
      <c r="R993" s="14"/>
    </row>
    <row r="994" spans="15:18" x14ac:dyDescent="0.3">
      <c r="O994" s="14"/>
      <c r="P994" s="14"/>
      <c r="Q994" s="14"/>
      <c r="R994" s="14"/>
    </row>
    <row r="995" spans="15:18" x14ac:dyDescent="0.3">
      <c r="O995" s="14"/>
      <c r="P995" s="14"/>
      <c r="Q995" s="14"/>
      <c r="R995" s="14"/>
    </row>
    <row r="996" spans="15:18" x14ac:dyDescent="0.3">
      <c r="O996" s="14"/>
      <c r="P996" s="14"/>
      <c r="Q996" s="14"/>
      <c r="R996" s="14"/>
    </row>
    <row r="997" spans="15:18" x14ac:dyDescent="0.3">
      <c r="O997" s="14"/>
      <c r="P997" s="14"/>
      <c r="Q997" s="14"/>
      <c r="R997" s="14"/>
    </row>
    <row r="998" spans="15:18" x14ac:dyDescent="0.3">
      <c r="O998" s="14"/>
      <c r="P998" s="14"/>
      <c r="Q998" s="14"/>
      <c r="R998" s="14"/>
    </row>
    <row r="999" spans="15:18" x14ac:dyDescent="0.3">
      <c r="O999" s="14"/>
      <c r="P999" s="14"/>
      <c r="Q999" s="14"/>
      <c r="R999" s="14"/>
    </row>
    <row r="1000" spans="15:18" x14ac:dyDescent="0.3">
      <c r="O1000" s="14"/>
      <c r="P1000" s="14"/>
      <c r="Q1000" s="14"/>
      <c r="R1000" s="14"/>
    </row>
    <row r="1001" spans="15:18" x14ac:dyDescent="0.3">
      <c r="O1001" s="14"/>
      <c r="P1001" s="14"/>
      <c r="Q1001" s="14"/>
      <c r="R1001" s="14"/>
    </row>
    <row r="1002" spans="15:18" x14ac:dyDescent="0.3">
      <c r="O1002" s="14"/>
      <c r="P1002" s="14"/>
      <c r="Q1002" s="14"/>
      <c r="R1002" s="14"/>
    </row>
    <row r="1003" spans="15:18" x14ac:dyDescent="0.3">
      <c r="O1003" s="14"/>
      <c r="P1003" s="14"/>
      <c r="Q1003" s="14"/>
      <c r="R1003" s="14"/>
    </row>
    <row r="1004" spans="15:18" x14ac:dyDescent="0.3">
      <c r="O1004" s="14"/>
      <c r="P1004" s="14"/>
      <c r="Q1004" s="14"/>
      <c r="R1004" s="14"/>
    </row>
    <row r="1005" spans="15:18" x14ac:dyDescent="0.3">
      <c r="O1005" s="14"/>
      <c r="P1005" s="14"/>
      <c r="Q1005" s="14"/>
      <c r="R1005" s="14"/>
    </row>
    <row r="1006" spans="15:18" x14ac:dyDescent="0.3">
      <c r="O1006" s="14"/>
      <c r="P1006" s="14"/>
      <c r="Q1006" s="14"/>
      <c r="R1006" s="14"/>
    </row>
    <row r="1007" spans="15:18" x14ac:dyDescent="0.3">
      <c r="O1007" s="14"/>
      <c r="P1007" s="14"/>
      <c r="Q1007" s="14"/>
      <c r="R1007" s="14"/>
    </row>
    <row r="1008" spans="15:18" x14ac:dyDescent="0.3">
      <c r="O1008" s="14"/>
      <c r="P1008" s="14"/>
      <c r="Q1008" s="14"/>
      <c r="R1008" s="14"/>
    </row>
    <row r="1009" spans="15:18" x14ac:dyDescent="0.3">
      <c r="O1009" s="14"/>
      <c r="P1009" s="14"/>
      <c r="Q1009" s="14"/>
      <c r="R1009" s="14"/>
    </row>
    <row r="1010" spans="15:18" x14ac:dyDescent="0.3">
      <c r="O1010" s="14"/>
      <c r="P1010" s="14"/>
      <c r="Q1010" s="14"/>
      <c r="R1010" s="14"/>
    </row>
    <row r="1011" spans="15:18" x14ac:dyDescent="0.3">
      <c r="O1011" s="14"/>
      <c r="P1011" s="14"/>
      <c r="Q1011" s="14"/>
      <c r="R1011" s="14"/>
    </row>
    <row r="1012" spans="15:18" x14ac:dyDescent="0.3">
      <c r="O1012" s="14"/>
      <c r="P1012" s="14"/>
      <c r="Q1012" s="14"/>
      <c r="R1012" s="14"/>
    </row>
    <row r="1013" spans="15:18" x14ac:dyDescent="0.3">
      <c r="O1013" s="14"/>
      <c r="P1013" s="14"/>
      <c r="Q1013" s="14"/>
      <c r="R1013" s="14"/>
    </row>
    <row r="1014" spans="15:18" x14ac:dyDescent="0.3">
      <c r="O1014" s="14"/>
      <c r="P1014" s="14"/>
      <c r="Q1014" s="14"/>
      <c r="R1014" s="14"/>
    </row>
    <row r="1015" spans="15:18" x14ac:dyDescent="0.3">
      <c r="O1015" s="14"/>
      <c r="P1015" s="14"/>
      <c r="Q1015" s="14"/>
      <c r="R1015" s="14"/>
    </row>
    <row r="1016" spans="15:18" x14ac:dyDescent="0.3">
      <c r="O1016" s="14"/>
      <c r="P1016" s="14"/>
      <c r="Q1016" s="14"/>
      <c r="R1016" s="14"/>
    </row>
    <row r="1017" spans="15:18" x14ac:dyDescent="0.3">
      <c r="O1017" s="14"/>
      <c r="P1017" s="14"/>
      <c r="Q1017" s="14"/>
      <c r="R1017" s="14"/>
    </row>
    <row r="1018" spans="15:18" x14ac:dyDescent="0.3">
      <c r="O1018" s="14"/>
      <c r="P1018" s="14"/>
      <c r="Q1018" s="14"/>
      <c r="R1018" s="14"/>
    </row>
    <row r="1019" spans="15:18" x14ac:dyDescent="0.3">
      <c r="O1019" s="14"/>
      <c r="P1019" s="14"/>
      <c r="Q1019" s="14"/>
      <c r="R1019" s="14"/>
    </row>
    <row r="1020" spans="15:18" x14ac:dyDescent="0.3">
      <c r="O1020" s="14"/>
      <c r="P1020" s="14"/>
      <c r="Q1020" s="14"/>
      <c r="R1020" s="14"/>
    </row>
    <row r="1021" spans="15:18" x14ac:dyDescent="0.3">
      <c r="O1021" s="14"/>
      <c r="P1021" s="14"/>
      <c r="Q1021" s="14"/>
      <c r="R1021" s="14"/>
    </row>
    <row r="1022" spans="15:18" x14ac:dyDescent="0.3">
      <c r="O1022" s="14"/>
      <c r="P1022" s="14"/>
      <c r="Q1022" s="14"/>
      <c r="R1022" s="14"/>
    </row>
    <row r="1023" spans="15:18" x14ac:dyDescent="0.3">
      <c r="O1023" s="14"/>
      <c r="P1023" s="14"/>
      <c r="Q1023" s="14"/>
      <c r="R1023" s="14"/>
    </row>
    <row r="1024" spans="15:18" x14ac:dyDescent="0.3">
      <c r="O1024" s="14"/>
      <c r="P1024" s="14"/>
      <c r="Q1024" s="14"/>
      <c r="R1024" s="14"/>
    </row>
    <row r="1025" spans="15:18" x14ac:dyDescent="0.3">
      <c r="O1025" s="14"/>
      <c r="P1025" s="14"/>
      <c r="Q1025" s="14"/>
      <c r="R1025" s="14"/>
    </row>
    <row r="1026" spans="15:18" x14ac:dyDescent="0.3">
      <c r="O1026" s="14"/>
      <c r="P1026" s="14"/>
      <c r="Q1026" s="14"/>
      <c r="R1026" s="14"/>
    </row>
    <row r="1027" spans="15:18" x14ac:dyDescent="0.3">
      <c r="O1027" s="14"/>
      <c r="P1027" s="14"/>
      <c r="Q1027" s="14"/>
      <c r="R1027" s="14"/>
    </row>
    <row r="1028" spans="15:18" x14ac:dyDescent="0.3">
      <c r="O1028" s="14"/>
      <c r="P1028" s="14"/>
      <c r="Q1028" s="14"/>
      <c r="R1028" s="14"/>
    </row>
    <row r="1029" spans="15:18" x14ac:dyDescent="0.3">
      <c r="O1029" s="14"/>
      <c r="P1029" s="14"/>
      <c r="Q1029" s="14"/>
      <c r="R1029" s="14"/>
    </row>
    <row r="1030" spans="15:18" x14ac:dyDescent="0.3">
      <c r="O1030" s="14"/>
      <c r="P1030" s="14"/>
      <c r="Q1030" s="14"/>
      <c r="R1030" s="14"/>
    </row>
    <row r="1031" spans="15:18" x14ac:dyDescent="0.3">
      <c r="O1031" s="14"/>
      <c r="P1031" s="14"/>
      <c r="Q1031" s="14"/>
      <c r="R1031" s="14"/>
    </row>
    <row r="1032" spans="15:18" x14ac:dyDescent="0.3">
      <c r="O1032" s="14"/>
      <c r="P1032" s="14"/>
      <c r="Q1032" s="14"/>
      <c r="R1032" s="14"/>
    </row>
    <row r="1033" spans="15:18" x14ac:dyDescent="0.3">
      <c r="O1033" s="14"/>
      <c r="P1033" s="14"/>
      <c r="Q1033" s="14"/>
      <c r="R1033" s="14"/>
    </row>
    <row r="1034" spans="15:18" x14ac:dyDescent="0.3">
      <c r="O1034" s="14"/>
      <c r="P1034" s="14"/>
      <c r="Q1034" s="14"/>
      <c r="R1034" s="14"/>
    </row>
    <row r="1035" spans="15:18" x14ac:dyDescent="0.3">
      <c r="O1035" s="14"/>
      <c r="P1035" s="14"/>
      <c r="Q1035" s="14"/>
      <c r="R1035" s="14"/>
    </row>
    <row r="1036" spans="15:18" x14ac:dyDescent="0.3">
      <c r="O1036" s="14"/>
      <c r="P1036" s="14"/>
      <c r="Q1036" s="14"/>
      <c r="R1036" s="14"/>
    </row>
    <row r="1037" spans="15:18" x14ac:dyDescent="0.3">
      <c r="O1037" s="14"/>
      <c r="P1037" s="14"/>
      <c r="Q1037" s="14"/>
      <c r="R1037" s="14"/>
    </row>
    <row r="1038" spans="15:18" x14ac:dyDescent="0.3">
      <c r="O1038" s="14"/>
      <c r="P1038" s="14"/>
      <c r="Q1038" s="14"/>
      <c r="R1038" s="14"/>
    </row>
    <row r="1039" spans="15:18" x14ac:dyDescent="0.3">
      <c r="O1039" s="14"/>
      <c r="P1039" s="14"/>
      <c r="Q1039" s="14"/>
      <c r="R1039" s="14"/>
    </row>
    <row r="1040" spans="15:18" x14ac:dyDescent="0.3">
      <c r="O1040" s="14"/>
      <c r="P1040" s="14"/>
      <c r="Q1040" s="14"/>
      <c r="R1040" s="14"/>
    </row>
    <row r="1041" spans="15:18" x14ac:dyDescent="0.3">
      <c r="O1041" s="14"/>
      <c r="P1041" s="14"/>
      <c r="Q1041" s="14"/>
      <c r="R1041" s="14"/>
    </row>
    <row r="1042" spans="15:18" x14ac:dyDescent="0.3">
      <c r="O1042" s="14"/>
      <c r="P1042" s="14"/>
      <c r="Q1042" s="14"/>
      <c r="R1042" s="14"/>
    </row>
    <row r="1043" spans="15:18" x14ac:dyDescent="0.3">
      <c r="O1043" s="14"/>
      <c r="P1043" s="14"/>
      <c r="Q1043" s="14"/>
      <c r="R1043" s="14"/>
    </row>
    <row r="1044" spans="15:18" x14ac:dyDescent="0.3">
      <c r="O1044" s="14"/>
      <c r="P1044" s="14"/>
      <c r="Q1044" s="14"/>
      <c r="R1044" s="14"/>
    </row>
    <row r="1045" spans="15:18" x14ac:dyDescent="0.3">
      <c r="O1045" s="14"/>
      <c r="P1045" s="14"/>
      <c r="Q1045" s="14"/>
      <c r="R1045" s="14"/>
    </row>
    <row r="1046" spans="15:18" x14ac:dyDescent="0.3">
      <c r="O1046" s="14"/>
      <c r="P1046" s="14"/>
      <c r="Q1046" s="14"/>
      <c r="R1046" s="14"/>
    </row>
    <row r="1047" spans="15:18" x14ac:dyDescent="0.3">
      <c r="O1047" s="14"/>
      <c r="P1047" s="14"/>
      <c r="Q1047" s="14"/>
      <c r="R1047" s="14"/>
    </row>
    <row r="1048" spans="15:18" x14ac:dyDescent="0.3">
      <c r="O1048" s="14"/>
      <c r="P1048" s="14"/>
      <c r="Q1048" s="14"/>
      <c r="R1048" s="14"/>
    </row>
    <row r="1049" spans="15:18" x14ac:dyDescent="0.3">
      <c r="O1049" s="14"/>
      <c r="P1049" s="14"/>
      <c r="Q1049" s="14"/>
      <c r="R1049" s="14"/>
    </row>
    <row r="1050" spans="15:18" x14ac:dyDescent="0.3">
      <c r="O1050" s="14"/>
      <c r="P1050" s="14"/>
      <c r="Q1050" s="14"/>
      <c r="R1050" s="14"/>
    </row>
    <row r="1051" spans="15:18" x14ac:dyDescent="0.3">
      <c r="O1051" s="14"/>
      <c r="P1051" s="14"/>
      <c r="Q1051" s="14"/>
      <c r="R1051" s="14"/>
    </row>
    <row r="1052" spans="15:18" x14ac:dyDescent="0.3">
      <c r="O1052" s="14"/>
      <c r="P1052" s="14"/>
      <c r="Q1052" s="14"/>
      <c r="R1052" s="14"/>
    </row>
    <row r="1053" spans="15:18" x14ac:dyDescent="0.3">
      <c r="O1053" s="14"/>
      <c r="P1053" s="14"/>
      <c r="Q1053" s="14"/>
      <c r="R1053" s="14"/>
    </row>
    <row r="1054" spans="15:18" x14ac:dyDescent="0.3">
      <c r="O1054" s="14"/>
      <c r="P1054" s="14"/>
      <c r="Q1054" s="14"/>
      <c r="R1054" s="14"/>
    </row>
    <row r="1055" spans="15:18" x14ac:dyDescent="0.3">
      <c r="O1055" s="14"/>
      <c r="P1055" s="14"/>
      <c r="Q1055" s="14"/>
      <c r="R1055" s="14"/>
    </row>
    <row r="1056" spans="15:18" x14ac:dyDescent="0.3">
      <c r="O1056" s="14"/>
      <c r="P1056" s="14"/>
      <c r="Q1056" s="14"/>
      <c r="R1056" s="14"/>
    </row>
    <row r="1057" spans="15:18" x14ac:dyDescent="0.3">
      <c r="O1057" s="14"/>
      <c r="P1057" s="14"/>
      <c r="Q1057" s="14"/>
      <c r="R1057" s="14"/>
    </row>
    <row r="1058" spans="15:18" x14ac:dyDescent="0.3">
      <c r="O1058" s="14"/>
      <c r="P1058" s="14"/>
      <c r="Q1058" s="14"/>
      <c r="R1058" s="14"/>
    </row>
    <row r="1059" spans="15:18" x14ac:dyDescent="0.3">
      <c r="O1059" s="14"/>
      <c r="P1059" s="14"/>
      <c r="Q1059" s="14"/>
      <c r="R1059" s="14"/>
    </row>
    <row r="1060" spans="15:18" x14ac:dyDescent="0.3">
      <c r="O1060" s="14"/>
      <c r="P1060" s="14"/>
      <c r="Q1060" s="14"/>
      <c r="R1060" s="14"/>
    </row>
    <row r="1061" spans="15:18" x14ac:dyDescent="0.3">
      <c r="O1061" s="14"/>
      <c r="P1061" s="14"/>
      <c r="Q1061" s="14"/>
      <c r="R1061" s="14"/>
    </row>
    <row r="1062" spans="15:18" x14ac:dyDescent="0.3">
      <c r="O1062" s="14"/>
      <c r="P1062" s="14"/>
      <c r="Q1062" s="14"/>
      <c r="R1062" s="14"/>
    </row>
    <row r="1063" spans="15:18" x14ac:dyDescent="0.3">
      <c r="O1063" s="14"/>
      <c r="P1063" s="14"/>
      <c r="Q1063" s="14"/>
      <c r="R1063" s="14"/>
    </row>
    <row r="1064" spans="15:18" x14ac:dyDescent="0.3">
      <c r="O1064" s="14"/>
      <c r="P1064" s="14"/>
      <c r="Q1064" s="14"/>
      <c r="R1064" s="14"/>
    </row>
    <row r="1065" spans="15:18" x14ac:dyDescent="0.3">
      <c r="O1065" s="14"/>
      <c r="P1065" s="14"/>
      <c r="Q1065" s="14"/>
      <c r="R1065" s="14"/>
    </row>
    <row r="1066" spans="15:18" x14ac:dyDescent="0.3">
      <c r="O1066" s="14"/>
      <c r="P1066" s="14"/>
      <c r="Q1066" s="14"/>
      <c r="R1066" s="14"/>
    </row>
    <row r="1067" spans="15:18" x14ac:dyDescent="0.3">
      <c r="O1067" s="14"/>
      <c r="P1067" s="14"/>
      <c r="Q1067" s="14"/>
      <c r="R1067" s="14"/>
    </row>
    <row r="1068" spans="15:18" x14ac:dyDescent="0.3">
      <c r="O1068" s="14"/>
      <c r="P1068" s="14"/>
      <c r="Q1068" s="14"/>
      <c r="R1068" s="14"/>
    </row>
    <row r="1069" spans="15:18" x14ac:dyDescent="0.3">
      <c r="O1069" s="14"/>
      <c r="P1069" s="14"/>
      <c r="Q1069" s="14"/>
      <c r="R1069" s="14"/>
    </row>
    <row r="1070" spans="15:18" x14ac:dyDescent="0.3">
      <c r="O1070" s="14"/>
      <c r="P1070" s="14"/>
      <c r="Q1070" s="14"/>
      <c r="R1070" s="14"/>
    </row>
    <row r="1071" spans="15:18" x14ac:dyDescent="0.3">
      <c r="O1071" s="14"/>
      <c r="P1071" s="14"/>
      <c r="Q1071" s="14"/>
      <c r="R1071" s="14"/>
    </row>
    <row r="1072" spans="15:18" x14ac:dyDescent="0.3">
      <c r="O1072" s="14"/>
      <c r="P1072" s="14"/>
      <c r="Q1072" s="14"/>
      <c r="R1072" s="14"/>
    </row>
    <row r="1073" spans="15:18" x14ac:dyDescent="0.3">
      <c r="O1073" s="14"/>
      <c r="P1073" s="14"/>
      <c r="Q1073" s="14"/>
      <c r="R1073" s="14"/>
    </row>
    <row r="1074" spans="15:18" x14ac:dyDescent="0.3">
      <c r="O1074" s="14"/>
      <c r="P1074" s="14"/>
      <c r="Q1074" s="14"/>
      <c r="R1074" s="14"/>
    </row>
    <row r="1075" spans="15:18" x14ac:dyDescent="0.3">
      <c r="O1075" s="14"/>
      <c r="P1075" s="14"/>
      <c r="Q1075" s="14"/>
      <c r="R1075" s="14"/>
    </row>
    <row r="1076" spans="15:18" x14ac:dyDescent="0.3">
      <c r="O1076" s="14"/>
      <c r="P1076" s="14"/>
      <c r="Q1076" s="14"/>
      <c r="R1076" s="14"/>
    </row>
    <row r="1077" spans="15:18" x14ac:dyDescent="0.3">
      <c r="O1077" s="14"/>
      <c r="P1077" s="14"/>
      <c r="Q1077" s="14"/>
      <c r="R1077" s="14"/>
    </row>
    <row r="1078" spans="15:18" x14ac:dyDescent="0.3">
      <c r="O1078" s="14"/>
      <c r="P1078" s="14"/>
      <c r="Q1078" s="14"/>
      <c r="R1078" s="14"/>
    </row>
    <row r="1079" spans="15:18" x14ac:dyDescent="0.3">
      <c r="O1079" s="14"/>
      <c r="P1079" s="14"/>
      <c r="Q1079" s="14"/>
      <c r="R1079" s="14"/>
    </row>
    <row r="1080" spans="15:18" x14ac:dyDescent="0.3">
      <c r="O1080" s="14"/>
      <c r="P1080" s="14"/>
      <c r="Q1080" s="14"/>
      <c r="R1080" s="14"/>
    </row>
    <row r="1081" spans="15:18" x14ac:dyDescent="0.3">
      <c r="O1081" s="14"/>
      <c r="P1081" s="14"/>
      <c r="Q1081" s="14"/>
      <c r="R1081" s="14"/>
    </row>
    <row r="1082" spans="15:18" x14ac:dyDescent="0.3">
      <c r="O1082" s="14"/>
      <c r="P1082" s="14"/>
      <c r="Q1082" s="14"/>
      <c r="R1082" s="14"/>
    </row>
    <row r="1083" spans="15:18" x14ac:dyDescent="0.3">
      <c r="O1083" s="14"/>
      <c r="P1083" s="14"/>
      <c r="Q1083" s="14"/>
      <c r="R1083" s="14"/>
    </row>
    <row r="1084" spans="15:18" x14ac:dyDescent="0.3">
      <c r="O1084" s="14"/>
      <c r="P1084" s="14"/>
      <c r="Q1084" s="14"/>
      <c r="R1084" s="14"/>
    </row>
    <row r="1085" spans="15:18" x14ac:dyDescent="0.3">
      <c r="O1085" s="14"/>
      <c r="P1085" s="14"/>
      <c r="Q1085" s="14"/>
      <c r="R1085" s="14"/>
    </row>
    <row r="1086" spans="15:18" x14ac:dyDescent="0.3">
      <c r="O1086" s="14"/>
      <c r="P1086" s="14"/>
      <c r="Q1086" s="14"/>
      <c r="R1086" s="14"/>
    </row>
    <row r="1087" spans="15:18" x14ac:dyDescent="0.3">
      <c r="O1087" s="14"/>
      <c r="P1087" s="14"/>
      <c r="Q1087" s="14"/>
      <c r="R1087" s="14"/>
    </row>
    <row r="1088" spans="15:18" x14ac:dyDescent="0.3">
      <c r="O1088" s="14"/>
      <c r="P1088" s="14"/>
      <c r="Q1088" s="14"/>
      <c r="R1088" s="14"/>
    </row>
    <row r="1089" spans="15:18" x14ac:dyDescent="0.3">
      <c r="O1089" s="14"/>
      <c r="P1089" s="14"/>
      <c r="Q1089" s="14"/>
      <c r="R1089" s="14"/>
    </row>
    <row r="1090" spans="15:18" x14ac:dyDescent="0.3">
      <c r="O1090" s="14"/>
      <c r="P1090" s="14"/>
      <c r="Q1090" s="14"/>
      <c r="R1090" s="14"/>
    </row>
    <row r="1091" spans="15:18" x14ac:dyDescent="0.3">
      <c r="O1091" s="14"/>
      <c r="P1091" s="14"/>
      <c r="Q1091" s="14"/>
      <c r="R1091" s="14"/>
    </row>
    <row r="1092" spans="15:18" x14ac:dyDescent="0.3">
      <c r="O1092" s="14"/>
      <c r="P1092" s="14"/>
      <c r="Q1092" s="14"/>
      <c r="R1092" s="14"/>
    </row>
    <row r="1093" spans="15:18" x14ac:dyDescent="0.3">
      <c r="O1093" s="14"/>
      <c r="P1093" s="14"/>
      <c r="Q1093" s="14"/>
      <c r="R1093" s="14"/>
    </row>
    <row r="1094" spans="15:18" x14ac:dyDescent="0.3">
      <c r="O1094" s="14"/>
      <c r="P1094" s="14"/>
      <c r="Q1094" s="14"/>
      <c r="R1094" s="14"/>
    </row>
    <row r="1095" spans="15:18" x14ac:dyDescent="0.3">
      <c r="O1095" s="14"/>
      <c r="P1095" s="14"/>
      <c r="Q1095" s="14"/>
      <c r="R1095" s="14"/>
    </row>
    <row r="1096" spans="15:18" x14ac:dyDescent="0.3">
      <c r="O1096" s="14"/>
      <c r="P1096" s="14"/>
      <c r="Q1096" s="14"/>
      <c r="R1096" s="14"/>
    </row>
    <row r="1097" spans="15:18" x14ac:dyDescent="0.3">
      <c r="O1097" s="14"/>
      <c r="P1097" s="14"/>
      <c r="Q1097" s="14"/>
      <c r="R1097" s="14"/>
    </row>
    <row r="1098" spans="15:18" x14ac:dyDescent="0.3">
      <c r="O1098" s="14"/>
      <c r="P1098" s="14"/>
      <c r="Q1098" s="14"/>
      <c r="R1098" s="14"/>
    </row>
    <row r="1099" spans="15:18" x14ac:dyDescent="0.3">
      <c r="O1099" s="14"/>
      <c r="P1099" s="14"/>
      <c r="Q1099" s="14"/>
      <c r="R1099" s="14"/>
    </row>
    <row r="1100" spans="15:18" x14ac:dyDescent="0.3">
      <c r="O1100" s="14"/>
      <c r="P1100" s="14"/>
      <c r="Q1100" s="14"/>
      <c r="R1100" s="14"/>
    </row>
    <row r="1101" spans="15:18" x14ac:dyDescent="0.3">
      <c r="O1101" s="14"/>
      <c r="P1101" s="14"/>
      <c r="Q1101" s="14"/>
      <c r="R1101" s="14"/>
    </row>
    <row r="1102" spans="15:18" x14ac:dyDescent="0.3">
      <c r="O1102" s="14"/>
      <c r="P1102" s="14"/>
      <c r="Q1102" s="14"/>
      <c r="R1102" s="14"/>
    </row>
    <row r="1103" spans="15:18" x14ac:dyDescent="0.3">
      <c r="O1103" s="14"/>
      <c r="P1103" s="14"/>
      <c r="Q1103" s="14"/>
      <c r="R1103" s="14"/>
    </row>
    <row r="1104" spans="15:18" x14ac:dyDescent="0.3">
      <c r="O1104" s="14"/>
      <c r="P1104" s="14"/>
      <c r="Q1104" s="14"/>
      <c r="R1104" s="14"/>
    </row>
    <row r="1105" spans="15:18" x14ac:dyDescent="0.3">
      <c r="O1105" s="14"/>
      <c r="P1105" s="14"/>
      <c r="Q1105" s="14"/>
      <c r="R1105" s="14"/>
    </row>
    <row r="1106" spans="15:18" x14ac:dyDescent="0.3">
      <c r="O1106" s="14"/>
      <c r="P1106" s="14"/>
      <c r="Q1106" s="14"/>
      <c r="R1106" s="14"/>
    </row>
    <row r="1107" spans="15:18" x14ac:dyDescent="0.3">
      <c r="O1107" s="14"/>
      <c r="P1107" s="14"/>
      <c r="Q1107" s="14"/>
      <c r="R1107" s="14"/>
    </row>
    <row r="1108" spans="15:18" x14ac:dyDescent="0.3">
      <c r="O1108" s="14"/>
      <c r="P1108" s="14"/>
      <c r="Q1108" s="14"/>
      <c r="R1108" s="14"/>
    </row>
    <row r="1109" spans="15:18" x14ac:dyDescent="0.3">
      <c r="O1109" s="14"/>
      <c r="P1109" s="14"/>
      <c r="Q1109" s="14"/>
      <c r="R1109" s="14"/>
    </row>
    <row r="1110" spans="15:18" x14ac:dyDescent="0.3">
      <c r="O1110" s="14"/>
      <c r="P1110" s="14"/>
      <c r="Q1110" s="14"/>
      <c r="R1110" s="14"/>
    </row>
    <row r="1111" spans="15:18" x14ac:dyDescent="0.3">
      <c r="O1111" s="14"/>
      <c r="P1111" s="14"/>
      <c r="Q1111" s="14"/>
      <c r="R1111" s="14"/>
    </row>
    <row r="1112" spans="15:18" x14ac:dyDescent="0.3">
      <c r="O1112" s="14"/>
      <c r="P1112" s="14"/>
      <c r="Q1112" s="14"/>
      <c r="R1112" s="14"/>
    </row>
    <row r="1113" spans="15:18" x14ac:dyDescent="0.3">
      <c r="O1113" s="14"/>
      <c r="P1113" s="14"/>
      <c r="Q1113" s="14"/>
      <c r="R1113" s="14"/>
    </row>
    <row r="1114" spans="15:18" x14ac:dyDescent="0.3">
      <c r="O1114" s="14"/>
      <c r="P1114" s="14"/>
      <c r="Q1114" s="14"/>
      <c r="R1114" s="14"/>
    </row>
    <row r="1115" spans="15:18" x14ac:dyDescent="0.3">
      <c r="O1115" s="14"/>
      <c r="P1115" s="14"/>
      <c r="Q1115" s="14"/>
      <c r="R1115" s="14"/>
    </row>
    <row r="1116" spans="15:18" x14ac:dyDescent="0.3">
      <c r="O1116" s="14"/>
      <c r="P1116" s="14"/>
      <c r="Q1116" s="14"/>
      <c r="R1116" s="14"/>
    </row>
    <row r="1117" spans="15:18" x14ac:dyDescent="0.3">
      <c r="O1117" s="14"/>
      <c r="P1117" s="14"/>
      <c r="Q1117" s="14"/>
      <c r="R1117" s="14"/>
    </row>
    <row r="1118" spans="15:18" x14ac:dyDescent="0.3">
      <c r="O1118" s="14"/>
      <c r="P1118" s="14"/>
      <c r="Q1118" s="14"/>
      <c r="R1118" s="14"/>
    </row>
    <row r="1119" spans="15:18" x14ac:dyDescent="0.3">
      <c r="O1119" s="14"/>
      <c r="P1119" s="14"/>
      <c r="Q1119" s="14"/>
      <c r="R1119" s="14"/>
    </row>
    <row r="1120" spans="15:18" x14ac:dyDescent="0.3">
      <c r="O1120" s="14"/>
      <c r="P1120" s="14"/>
      <c r="Q1120" s="14"/>
      <c r="R1120" s="14"/>
    </row>
    <row r="1121" spans="15:18" x14ac:dyDescent="0.3">
      <c r="O1121" s="14"/>
      <c r="P1121" s="14"/>
      <c r="Q1121" s="14"/>
      <c r="R1121" s="14"/>
    </row>
    <row r="1122" spans="15:18" x14ac:dyDescent="0.3">
      <c r="O1122" s="14"/>
      <c r="P1122" s="14"/>
      <c r="Q1122" s="14"/>
      <c r="R1122" s="14"/>
    </row>
    <row r="1123" spans="15:18" x14ac:dyDescent="0.3">
      <c r="O1123" s="14"/>
      <c r="P1123" s="14"/>
      <c r="Q1123" s="14"/>
      <c r="R1123" s="14"/>
    </row>
    <row r="1124" spans="15:18" x14ac:dyDescent="0.3">
      <c r="O1124" s="14"/>
      <c r="P1124" s="14"/>
      <c r="Q1124" s="14"/>
      <c r="R1124" s="14"/>
    </row>
    <row r="1125" spans="15:18" x14ac:dyDescent="0.3">
      <c r="O1125" s="14"/>
      <c r="P1125" s="14"/>
      <c r="Q1125" s="14"/>
      <c r="R1125" s="14"/>
    </row>
    <row r="1126" spans="15:18" x14ac:dyDescent="0.3">
      <c r="O1126" s="14"/>
      <c r="P1126" s="14"/>
      <c r="Q1126" s="14"/>
      <c r="R1126" s="14"/>
    </row>
    <row r="1127" spans="15:18" x14ac:dyDescent="0.3">
      <c r="O1127" s="14"/>
      <c r="P1127" s="14"/>
      <c r="Q1127" s="14"/>
      <c r="R1127" s="14"/>
    </row>
    <row r="1128" spans="15:18" x14ac:dyDescent="0.3">
      <c r="O1128" s="14"/>
      <c r="P1128" s="14"/>
      <c r="Q1128" s="14"/>
      <c r="R1128" s="14"/>
    </row>
    <row r="1129" spans="15:18" x14ac:dyDescent="0.3">
      <c r="O1129" s="14"/>
      <c r="P1129" s="14"/>
      <c r="Q1129" s="14"/>
      <c r="R1129" s="14"/>
    </row>
    <row r="1130" spans="15:18" x14ac:dyDescent="0.3">
      <c r="O1130" s="14"/>
      <c r="P1130" s="14"/>
      <c r="Q1130" s="14"/>
      <c r="R1130" s="14"/>
    </row>
    <row r="1131" spans="15:18" x14ac:dyDescent="0.3">
      <c r="O1131" s="14"/>
      <c r="P1131" s="14"/>
      <c r="Q1131" s="14"/>
      <c r="R1131" s="14"/>
    </row>
    <row r="1132" spans="15:18" x14ac:dyDescent="0.3">
      <c r="O1132" s="14"/>
      <c r="P1132" s="14"/>
      <c r="Q1132" s="14"/>
      <c r="R1132" s="14"/>
    </row>
    <row r="1133" spans="15:18" x14ac:dyDescent="0.3">
      <c r="O1133" s="14"/>
      <c r="P1133" s="14"/>
      <c r="Q1133" s="14"/>
      <c r="R1133" s="14"/>
    </row>
    <row r="1134" spans="15:18" x14ac:dyDescent="0.3">
      <c r="O1134" s="14"/>
      <c r="P1134" s="14"/>
      <c r="Q1134" s="14"/>
      <c r="R1134" s="14"/>
    </row>
    <row r="1135" spans="15:18" x14ac:dyDescent="0.3">
      <c r="O1135" s="14"/>
      <c r="P1135" s="14"/>
      <c r="Q1135" s="14"/>
      <c r="R1135" s="14"/>
    </row>
    <row r="1136" spans="15:18" x14ac:dyDescent="0.3">
      <c r="O1136" s="14"/>
      <c r="P1136" s="14"/>
      <c r="Q1136" s="14"/>
      <c r="R1136" s="14"/>
    </row>
    <row r="1137" spans="15:18" x14ac:dyDescent="0.3">
      <c r="O1137" s="14"/>
      <c r="P1137" s="14"/>
      <c r="Q1137" s="14"/>
      <c r="R1137" s="14"/>
    </row>
    <row r="1138" spans="15:18" x14ac:dyDescent="0.3">
      <c r="O1138" s="14"/>
      <c r="P1138" s="14"/>
      <c r="Q1138" s="14"/>
      <c r="R1138" s="14"/>
    </row>
    <row r="1139" spans="15:18" x14ac:dyDescent="0.3">
      <c r="O1139" s="14"/>
      <c r="P1139" s="14"/>
      <c r="Q1139" s="14"/>
      <c r="R1139" s="14"/>
    </row>
    <row r="1140" spans="15:18" x14ac:dyDescent="0.3">
      <c r="O1140" s="14"/>
      <c r="P1140" s="14"/>
      <c r="Q1140" s="14"/>
      <c r="R1140" s="14"/>
    </row>
    <row r="1141" spans="15:18" x14ac:dyDescent="0.3">
      <c r="O1141" s="14"/>
      <c r="P1141" s="14"/>
      <c r="Q1141" s="14"/>
      <c r="R1141" s="14"/>
    </row>
    <row r="1142" spans="15:18" x14ac:dyDescent="0.3">
      <c r="O1142" s="14"/>
      <c r="P1142" s="14"/>
      <c r="Q1142" s="14"/>
      <c r="R1142" s="14"/>
    </row>
    <row r="1143" spans="15:18" x14ac:dyDescent="0.3">
      <c r="O1143" s="14"/>
      <c r="P1143" s="14"/>
      <c r="Q1143" s="14"/>
      <c r="R1143" s="14"/>
    </row>
    <row r="1144" spans="15:18" x14ac:dyDescent="0.3">
      <c r="O1144" s="14"/>
      <c r="P1144" s="14"/>
      <c r="Q1144" s="14"/>
      <c r="R1144" s="14"/>
    </row>
    <row r="1145" spans="15:18" x14ac:dyDescent="0.3">
      <c r="O1145" s="14"/>
      <c r="P1145" s="14"/>
      <c r="Q1145" s="14"/>
      <c r="R1145" s="14"/>
    </row>
    <row r="1146" spans="15:18" x14ac:dyDescent="0.3">
      <c r="O1146" s="14"/>
      <c r="P1146" s="14"/>
      <c r="Q1146" s="14"/>
      <c r="R1146" s="14"/>
    </row>
    <row r="1147" spans="15:18" x14ac:dyDescent="0.3">
      <c r="O1147" s="14"/>
      <c r="P1147" s="14"/>
      <c r="Q1147" s="14"/>
      <c r="R1147" s="14"/>
    </row>
    <row r="1148" spans="15:18" x14ac:dyDescent="0.3">
      <c r="O1148" s="14"/>
      <c r="P1148" s="14"/>
      <c r="Q1148" s="14"/>
      <c r="R1148" s="14"/>
    </row>
    <row r="1149" spans="15:18" x14ac:dyDescent="0.3">
      <c r="O1149" s="14"/>
      <c r="P1149" s="14"/>
      <c r="Q1149" s="14"/>
      <c r="R1149" s="14"/>
    </row>
    <row r="1150" spans="15:18" x14ac:dyDescent="0.3">
      <c r="O1150" s="14"/>
      <c r="P1150" s="14"/>
      <c r="Q1150" s="14"/>
      <c r="R1150" s="14"/>
    </row>
    <row r="1151" spans="15:18" x14ac:dyDescent="0.3">
      <c r="O1151" s="14"/>
      <c r="P1151" s="14"/>
      <c r="Q1151" s="14"/>
      <c r="R1151" s="14"/>
    </row>
    <row r="1152" spans="15:18" x14ac:dyDescent="0.3">
      <c r="O1152" s="14"/>
      <c r="P1152" s="14"/>
      <c r="Q1152" s="14"/>
      <c r="R1152" s="14"/>
    </row>
    <row r="1153" spans="15:18" x14ac:dyDescent="0.3">
      <c r="O1153" s="14"/>
      <c r="P1153" s="14"/>
      <c r="Q1153" s="14"/>
      <c r="R1153" s="14"/>
    </row>
    <row r="1154" spans="15:18" x14ac:dyDescent="0.3">
      <c r="O1154" s="14"/>
      <c r="P1154" s="14"/>
      <c r="Q1154" s="14"/>
      <c r="R1154" s="14"/>
    </row>
    <row r="1155" spans="15:18" x14ac:dyDescent="0.3">
      <c r="O1155" s="14"/>
      <c r="P1155" s="14"/>
      <c r="Q1155" s="14"/>
      <c r="R1155" s="14"/>
    </row>
    <row r="1156" spans="15:18" x14ac:dyDescent="0.3">
      <c r="O1156" s="14"/>
      <c r="P1156" s="14"/>
      <c r="Q1156" s="14"/>
      <c r="R1156" s="14"/>
    </row>
    <row r="1157" spans="15:18" x14ac:dyDescent="0.3">
      <c r="O1157" s="14"/>
      <c r="P1157" s="14"/>
      <c r="Q1157" s="14"/>
      <c r="R1157" s="14"/>
    </row>
    <row r="1158" spans="15:18" x14ac:dyDescent="0.3">
      <c r="O1158" s="14"/>
      <c r="P1158" s="14"/>
      <c r="Q1158" s="14"/>
      <c r="R1158" s="14"/>
    </row>
    <row r="1159" spans="15:18" x14ac:dyDescent="0.3">
      <c r="O1159" s="14"/>
      <c r="P1159" s="14"/>
      <c r="Q1159" s="14"/>
      <c r="R1159" s="14"/>
    </row>
    <row r="1160" spans="15:18" x14ac:dyDescent="0.3">
      <c r="O1160" s="14"/>
      <c r="P1160" s="14"/>
      <c r="Q1160" s="14"/>
      <c r="R1160" s="14"/>
    </row>
    <row r="1161" spans="15:18" x14ac:dyDescent="0.3">
      <c r="O1161" s="14"/>
      <c r="P1161" s="14"/>
      <c r="Q1161" s="14"/>
      <c r="R1161" s="14"/>
    </row>
    <row r="1162" spans="15:18" x14ac:dyDescent="0.3">
      <c r="O1162" s="14"/>
      <c r="P1162" s="14"/>
      <c r="Q1162" s="14"/>
      <c r="R1162" s="14"/>
    </row>
    <row r="1163" spans="15:18" x14ac:dyDescent="0.3">
      <c r="O1163" s="14"/>
      <c r="P1163" s="14"/>
      <c r="Q1163" s="14"/>
      <c r="R1163" s="14"/>
    </row>
    <row r="1164" spans="15:18" x14ac:dyDescent="0.3">
      <c r="O1164" s="14"/>
      <c r="P1164" s="14"/>
      <c r="Q1164" s="14"/>
      <c r="R1164" s="14"/>
    </row>
    <row r="1165" spans="15:18" x14ac:dyDescent="0.3">
      <c r="O1165" s="14"/>
      <c r="P1165" s="14"/>
      <c r="Q1165" s="14"/>
      <c r="R1165" s="14"/>
    </row>
    <row r="1166" spans="15:18" x14ac:dyDescent="0.3">
      <c r="O1166" s="14"/>
      <c r="P1166" s="14"/>
      <c r="Q1166" s="14"/>
      <c r="R1166" s="14"/>
    </row>
    <row r="1167" spans="15:18" x14ac:dyDescent="0.3">
      <c r="O1167" s="14"/>
      <c r="P1167" s="14"/>
      <c r="Q1167" s="14"/>
      <c r="R1167" s="14"/>
    </row>
    <row r="1168" spans="15:18" x14ac:dyDescent="0.3">
      <c r="O1168" s="14"/>
      <c r="P1168" s="14"/>
      <c r="Q1168" s="14"/>
      <c r="R1168" s="14"/>
    </row>
    <row r="1169" spans="15:18" x14ac:dyDescent="0.3">
      <c r="O1169" s="14"/>
      <c r="P1169" s="14"/>
      <c r="Q1169" s="14"/>
      <c r="R1169" s="14"/>
    </row>
    <row r="1170" spans="15:18" x14ac:dyDescent="0.3">
      <c r="O1170" s="14"/>
      <c r="P1170" s="14"/>
      <c r="Q1170" s="14"/>
      <c r="R1170" s="14"/>
    </row>
    <row r="1171" spans="15:18" x14ac:dyDescent="0.3">
      <c r="O1171" s="14"/>
      <c r="P1171" s="14"/>
      <c r="Q1171" s="14"/>
      <c r="R1171" s="14"/>
    </row>
    <row r="1172" spans="15:18" x14ac:dyDescent="0.3">
      <c r="O1172" s="14"/>
      <c r="P1172" s="14"/>
      <c r="Q1172" s="14"/>
      <c r="R1172" s="14"/>
    </row>
    <row r="1173" spans="15:18" x14ac:dyDescent="0.3">
      <c r="O1173" s="14"/>
      <c r="P1173" s="14"/>
      <c r="Q1173" s="14"/>
      <c r="R1173" s="14"/>
    </row>
    <row r="1174" spans="15:18" x14ac:dyDescent="0.3">
      <c r="O1174" s="14"/>
      <c r="P1174" s="14"/>
      <c r="Q1174" s="14"/>
      <c r="R1174" s="14"/>
    </row>
    <row r="1175" spans="15:18" x14ac:dyDescent="0.3">
      <c r="O1175" s="14"/>
      <c r="P1175" s="14"/>
      <c r="Q1175" s="14"/>
      <c r="R1175" s="14"/>
    </row>
    <row r="1176" spans="15:18" x14ac:dyDescent="0.3">
      <c r="O1176" s="14"/>
      <c r="P1176" s="14"/>
      <c r="Q1176" s="14"/>
      <c r="R1176" s="14"/>
    </row>
    <row r="1177" spans="15:18" x14ac:dyDescent="0.3">
      <c r="O1177" s="14"/>
      <c r="P1177" s="14"/>
      <c r="Q1177" s="14"/>
      <c r="R1177" s="14"/>
    </row>
    <row r="1178" spans="15:18" x14ac:dyDescent="0.3">
      <c r="O1178" s="14"/>
      <c r="P1178" s="14"/>
      <c r="Q1178" s="14"/>
      <c r="R1178" s="14"/>
    </row>
    <row r="1179" spans="15:18" x14ac:dyDescent="0.3">
      <c r="O1179" s="14"/>
      <c r="P1179" s="14"/>
      <c r="Q1179" s="14"/>
      <c r="R1179" s="14"/>
    </row>
    <row r="1180" spans="15:18" x14ac:dyDescent="0.3">
      <c r="O1180" s="14"/>
      <c r="P1180" s="14"/>
      <c r="Q1180" s="14"/>
      <c r="R1180" s="14"/>
    </row>
    <row r="1181" spans="15:18" x14ac:dyDescent="0.3">
      <c r="O1181" s="14"/>
      <c r="P1181" s="14"/>
      <c r="Q1181" s="14"/>
      <c r="R1181" s="14"/>
    </row>
    <row r="1182" spans="15:18" x14ac:dyDescent="0.3">
      <c r="O1182" s="14"/>
      <c r="P1182" s="14"/>
      <c r="Q1182" s="14"/>
      <c r="R1182" s="14"/>
    </row>
    <row r="1183" spans="15:18" x14ac:dyDescent="0.3">
      <c r="O1183" s="14"/>
      <c r="P1183" s="14"/>
      <c r="Q1183" s="14"/>
      <c r="R1183" s="14"/>
    </row>
    <row r="1184" spans="15:18" x14ac:dyDescent="0.3">
      <c r="O1184" s="14"/>
      <c r="P1184" s="14"/>
      <c r="Q1184" s="14"/>
      <c r="R1184" s="14"/>
    </row>
    <row r="1185" spans="15:18" x14ac:dyDescent="0.3">
      <c r="O1185" s="14"/>
      <c r="P1185" s="14"/>
      <c r="Q1185" s="14"/>
      <c r="R1185" s="14"/>
    </row>
    <row r="1186" spans="15:18" x14ac:dyDescent="0.3">
      <c r="O1186" s="14"/>
      <c r="P1186" s="14"/>
      <c r="Q1186" s="14"/>
      <c r="R1186" s="14"/>
    </row>
    <row r="1187" spans="15:18" x14ac:dyDescent="0.3">
      <c r="O1187" s="14"/>
      <c r="P1187" s="14"/>
      <c r="Q1187" s="14"/>
      <c r="R1187" s="14"/>
    </row>
    <row r="1188" spans="15:18" x14ac:dyDescent="0.3">
      <c r="O1188" s="14"/>
      <c r="P1188" s="14"/>
      <c r="Q1188" s="14"/>
      <c r="R1188" s="14"/>
    </row>
    <row r="1189" spans="15:18" x14ac:dyDescent="0.3">
      <c r="O1189" s="14"/>
      <c r="P1189" s="14"/>
      <c r="Q1189" s="14"/>
      <c r="R1189" s="14"/>
    </row>
    <row r="1190" spans="15:18" x14ac:dyDescent="0.3">
      <c r="O1190" s="14"/>
      <c r="P1190" s="14"/>
      <c r="Q1190" s="14"/>
      <c r="R1190" s="14"/>
    </row>
    <row r="1191" spans="15:18" x14ac:dyDescent="0.3">
      <c r="O1191" s="14"/>
      <c r="P1191" s="14"/>
      <c r="Q1191" s="14"/>
      <c r="R1191" s="14"/>
    </row>
    <row r="1192" spans="15:18" x14ac:dyDescent="0.3">
      <c r="O1192" s="14"/>
      <c r="P1192" s="14"/>
      <c r="Q1192" s="14"/>
      <c r="R1192" s="14"/>
    </row>
    <row r="1193" spans="15:18" x14ac:dyDescent="0.3">
      <c r="O1193" s="14"/>
      <c r="P1193" s="14"/>
      <c r="Q1193" s="14"/>
      <c r="R1193" s="14"/>
    </row>
    <row r="1194" spans="15:18" x14ac:dyDescent="0.3">
      <c r="O1194" s="14"/>
      <c r="P1194" s="14"/>
      <c r="Q1194" s="14"/>
      <c r="R1194" s="14"/>
    </row>
    <row r="1195" spans="15:18" x14ac:dyDescent="0.3">
      <c r="O1195" s="14"/>
      <c r="P1195" s="14"/>
      <c r="Q1195" s="14"/>
      <c r="R1195" s="14"/>
    </row>
    <row r="1196" spans="15:18" x14ac:dyDescent="0.3">
      <c r="O1196" s="14"/>
      <c r="P1196" s="14"/>
      <c r="Q1196" s="14"/>
      <c r="R1196" s="14"/>
    </row>
    <row r="1197" spans="15:18" x14ac:dyDescent="0.3">
      <c r="O1197" s="14"/>
      <c r="P1197" s="14"/>
      <c r="Q1197" s="14"/>
      <c r="R1197" s="14"/>
    </row>
    <row r="1198" spans="15:18" x14ac:dyDescent="0.3">
      <c r="O1198" s="14"/>
      <c r="P1198" s="14"/>
      <c r="Q1198" s="14"/>
      <c r="R1198" s="14"/>
    </row>
    <row r="1199" spans="15:18" x14ac:dyDescent="0.3">
      <c r="O1199" s="14"/>
      <c r="P1199" s="14"/>
      <c r="Q1199" s="14"/>
      <c r="R1199" s="14"/>
    </row>
    <row r="1200" spans="15:18" x14ac:dyDescent="0.3">
      <c r="O1200" s="14"/>
      <c r="P1200" s="14"/>
      <c r="Q1200" s="14"/>
      <c r="R1200" s="14"/>
    </row>
    <row r="1201" spans="15:18" x14ac:dyDescent="0.3">
      <c r="O1201" s="14"/>
      <c r="P1201" s="14"/>
      <c r="Q1201" s="14"/>
      <c r="R1201" s="14"/>
    </row>
    <row r="1202" spans="15:18" x14ac:dyDescent="0.3">
      <c r="O1202" s="14"/>
      <c r="P1202" s="14"/>
      <c r="Q1202" s="14"/>
      <c r="R1202" s="14"/>
    </row>
    <row r="1203" spans="15:18" x14ac:dyDescent="0.3">
      <c r="O1203" s="14"/>
      <c r="P1203" s="14"/>
      <c r="Q1203" s="14"/>
      <c r="R1203" s="14"/>
    </row>
    <row r="1204" spans="15:18" x14ac:dyDescent="0.3">
      <c r="O1204" s="14"/>
      <c r="P1204" s="14"/>
      <c r="Q1204" s="14"/>
      <c r="R1204" s="14"/>
    </row>
    <row r="1205" spans="15:18" x14ac:dyDescent="0.3">
      <c r="O1205" s="14"/>
      <c r="P1205" s="14"/>
      <c r="Q1205" s="14"/>
      <c r="R1205" s="14"/>
    </row>
    <row r="1206" spans="15:18" x14ac:dyDescent="0.3">
      <c r="O1206" s="14"/>
      <c r="P1206" s="14"/>
      <c r="Q1206" s="14"/>
      <c r="R1206" s="14"/>
    </row>
    <row r="1207" spans="15:18" x14ac:dyDescent="0.3">
      <c r="O1207" s="14"/>
      <c r="P1207" s="14"/>
      <c r="Q1207" s="14"/>
      <c r="R1207" s="14"/>
    </row>
    <row r="1208" spans="15:18" x14ac:dyDescent="0.3">
      <c r="O1208" s="14"/>
      <c r="P1208" s="14"/>
      <c r="Q1208" s="14"/>
      <c r="R1208" s="14"/>
    </row>
    <row r="1209" spans="15:18" x14ac:dyDescent="0.3">
      <c r="O1209" s="14"/>
      <c r="P1209" s="14"/>
      <c r="Q1209" s="14"/>
      <c r="R1209" s="14"/>
    </row>
    <row r="1210" spans="15:18" x14ac:dyDescent="0.3">
      <c r="O1210" s="14"/>
      <c r="P1210" s="14"/>
      <c r="Q1210" s="14"/>
      <c r="R1210" s="14"/>
    </row>
    <row r="1211" spans="15:18" x14ac:dyDescent="0.3">
      <c r="O1211" s="14"/>
      <c r="P1211" s="14"/>
      <c r="Q1211" s="14"/>
      <c r="R1211" s="14"/>
    </row>
    <row r="1212" spans="15:18" x14ac:dyDescent="0.3">
      <c r="O1212" s="14"/>
      <c r="P1212" s="14"/>
      <c r="Q1212" s="14"/>
      <c r="R1212" s="14"/>
    </row>
    <row r="1213" spans="15:18" x14ac:dyDescent="0.3">
      <c r="O1213" s="14"/>
      <c r="P1213" s="14"/>
      <c r="Q1213" s="14"/>
      <c r="R1213" s="14"/>
    </row>
    <row r="1214" spans="15:18" x14ac:dyDescent="0.3">
      <c r="O1214" s="14"/>
      <c r="P1214" s="14"/>
      <c r="Q1214" s="14"/>
      <c r="R1214" s="14"/>
    </row>
    <row r="1215" spans="15:18" x14ac:dyDescent="0.3">
      <c r="O1215" s="14"/>
      <c r="P1215" s="14"/>
      <c r="Q1215" s="14"/>
      <c r="R1215" s="14"/>
    </row>
    <row r="1216" spans="15:18" x14ac:dyDescent="0.3">
      <c r="O1216" s="14"/>
      <c r="P1216" s="14"/>
      <c r="Q1216" s="14"/>
      <c r="R1216" s="14"/>
    </row>
    <row r="1217" spans="15:18" x14ac:dyDescent="0.3">
      <c r="O1217" s="14"/>
      <c r="P1217" s="14"/>
      <c r="Q1217" s="14"/>
      <c r="R1217" s="14"/>
    </row>
    <row r="1218" spans="15:18" x14ac:dyDescent="0.3">
      <c r="O1218" s="14"/>
      <c r="P1218" s="14"/>
      <c r="Q1218" s="14"/>
      <c r="R1218" s="14"/>
    </row>
    <row r="1219" spans="15:18" x14ac:dyDescent="0.3">
      <c r="O1219" s="14"/>
      <c r="P1219" s="14"/>
      <c r="Q1219" s="14"/>
      <c r="R1219" s="14"/>
    </row>
    <row r="1220" spans="15:18" x14ac:dyDescent="0.3">
      <c r="O1220" s="14"/>
      <c r="P1220" s="14"/>
      <c r="Q1220" s="14"/>
      <c r="R1220" s="14"/>
    </row>
    <row r="1221" spans="15:18" x14ac:dyDescent="0.3">
      <c r="O1221" s="14"/>
      <c r="P1221" s="14"/>
      <c r="Q1221" s="14"/>
      <c r="R1221" s="14"/>
    </row>
    <row r="1222" spans="15:18" x14ac:dyDescent="0.3">
      <c r="O1222" s="14"/>
      <c r="P1222" s="14"/>
      <c r="Q1222" s="14"/>
      <c r="R1222" s="14"/>
    </row>
    <row r="1223" spans="15:18" x14ac:dyDescent="0.3">
      <c r="O1223" s="14"/>
      <c r="P1223" s="14"/>
      <c r="Q1223" s="14"/>
      <c r="R1223" s="14"/>
    </row>
    <row r="1224" spans="15:18" x14ac:dyDescent="0.3">
      <c r="O1224" s="14"/>
      <c r="P1224" s="14"/>
      <c r="Q1224" s="14"/>
      <c r="R1224" s="14"/>
    </row>
    <row r="1225" spans="15:18" x14ac:dyDescent="0.3">
      <c r="O1225" s="14"/>
      <c r="P1225" s="14"/>
      <c r="Q1225" s="14"/>
      <c r="R1225" s="14"/>
    </row>
    <row r="1226" spans="15:18" x14ac:dyDescent="0.3">
      <c r="O1226" s="14"/>
      <c r="P1226" s="14"/>
      <c r="Q1226" s="14"/>
      <c r="R1226" s="14"/>
    </row>
    <row r="1227" spans="15:18" x14ac:dyDescent="0.3">
      <c r="O1227" s="14"/>
      <c r="P1227" s="14"/>
      <c r="Q1227" s="14"/>
      <c r="R1227" s="14"/>
    </row>
    <row r="1228" spans="15:18" x14ac:dyDescent="0.3">
      <c r="O1228" s="14"/>
      <c r="P1228" s="14"/>
      <c r="Q1228" s="14"/>
      <c r="R1228" s="14"/>
    </row>
    <row r="1229" spans="15:18" x14ac:dyDescent="0.3">
      <c r="O1229" s="14"/>
      <c r="P1229" s="14"/>
      <c r="Q1229" s="14"/>
      <c r="R1229" s="14"/>
    </row>
    <row r="1230" spans="15:18" x14ac:dyDescent="0.3">
      <c r="O1230" s="14"/>
      <c r="P1230" s="14"/>
      <c r="Q1230" s="14"/>
      <c r="R1230" s="14"/>
    </row>
    <row r="1231" spans="15:18" x14ac:dyDescent="0.3">
      <c r="O1231" s="14"/>
      <c r="P1231" s="14"/>
      <c r="Q1231" s="14"/>
      <c r="R1231" s="14"/>
    </row>
    <row r="1232" spans="15:18" x14ac:dyDescent="0.3">
      <c r="O1232" s="14"/>
      <c r="P1232" s="14"/>
      <c r="Q1232" s="14"/>
      <c r="R1232" s="14"/>
    </row>
    <row r="1233" spans="15:18" x14ac:dyDescent="0.3">
      <c r="O1233" s="14"/>
      <c r="P1233" s="14"/>
      <c r="Q1233" s="14"/>
      <c r="R1233" s="14"/>
    </row>
    <row r="1234" spans="15:18" x14ac:dyDescent="0.3">
      <c r="O1234" s="14"/>
      <c r="P1234" s="14"/>
      <c r="Q1234" s="14"/>
      <c r="R1234" s="14"/>
    </row>
    <row r="1235" spans="15:18" x14ac:dyDescent="0.3">
      <c r="O1235" s="14"/>
      <c r="P1235" s="14"/>
      <c r="Q1235" s="14"/>
      <c r="R1235" s="14"/>
    </row>
    <row r="1236" spans="15:18" x14ac:dyDescent="0.3">
      <c r="O1236" s="14"/>
      <c r="P1236" s="14"/>
      <c r="Q1236" s="14"/>
      <c r="R1236" s="14"/>
    </row>
    <row r="1237" spans="15:18" x14ac:dyDescent="0.3">
      <c r="O1237" s="14"/>
      <c r="P1237" s="14"/>
      <c r="Q1237" s="14"/>
      <c r="R1237" s="14"/>
    </row>
    <row r="1238" spans="15:18" x14ac:dyDescent="0.3">
      <c r="O1238" s="14"/>
      <c r="P1238" s="14"/>
      <c r="Q1238" s="14"/>
      <c r="R1238" s="14"/>
    </row>
    <row r="1239" spans="15:18" x14ac:dyDescent="0.3">
      <c r="O1239" s="14"/>
      <c r="P1239" s="14"/>
      <c r="Q1239" s="14"/>
      <c r="R1239" s="14"/>
    </row>
    <row r="1240" spans="15:18" x14ac:dyDescent="0.3">
      <c r="O1240" s="14"/>
      <c r="P1240" s="14"/>
      <c r="Q1240" s="14"/>
      <c r="R1240" s="14"/>
    </row>
    <row r="1241" spans="15:18" x14ac:dyDescent="0.3">
      <c r="O1241" s="14"/>
      <c r="P1241" s="14"/>
      <c r="Q1241" s="14"/>
      <c r="R1241" s="14"/>
    </row>
    <row r="1242" spans="15:18" x14ac:dyDescent="0.3">
      <c r="O1242" s="14"/>
      <c r="P1242" s="14"/>
      <c r="Q1242" s="14"/>
      <c r="R1242" s="14"/>
    </row>
    <row r="1243" spans="15:18" x14ac:dyDescent="0.3">
      <c r="O1243" s="14"/>
      <c r="P1243" s="14"/>
      <c r="Q1243" s="14"/>
      <c r="R1243" s="14"/>
    </row>
    <row r="1244" spans="15:18" x14ac:dyDescent="0.3">
      <c r="O1244" s="14"/>
      <c r="P1244" s="14"/>
      <c r="Q1244" s="14"/>
      <c r="R1244" s="14"/>
    </row>
    <row r="1245" spans="15:18" x14ac:dyDescent="0.3">
      <c r="O1245" s="14"/>
      <c r="P1245" s="14"/>
      <c r="Q1245" s="14"/>
      <c r="R1245" s="14"/>
    </row>
    <row r="1246" spans="15:18" x14ac:dyDescent="0.3">
      <c r="O1246" s="14"/>
      <c r="P1246" s="14"/>
      <c r="Q1246" s="14"/>
      <c r="R1246" s="14"/>
    </row>
    <row r="1247" spans="15:18" x14ac:dyDescent="0.3">
      <c r="O1247" s="14"/>
      <c r="P1247" s="14"/>
      <c r="Q1247" s="14"/>
      <c r="R1247" s="14"/>
    </row>
    <row r="1248" spans="15:18" x14ac:dyDescent="0.3">
      <c r="O1248" s="14"/>
      <c r="P1248" s="14"/>
      <c r="Q1248" s="14"/>
      <c r="R1248" s="14"/>
    </row>
    <row r="1249" spans="15:18" x14ac:dyDescent="0.3">
      <c r="O1249" s="14"/>
      <c r="P1249" s="14"/>
      <c r="Q1249" s="14"/>
      <c r="R1249" s="14"/>
    </row>
    <row r="1250" spans="15:18" x14ac:dyDescent="0.3">
      <c r="O1250" s="14"/>
      <c r="P1250" s="14"/>
      <c r="Q1250" s="14"/>
      <c r="R1250" s="14"/>
    </row>
    <row r="1251" spans="15:18" x14ac:dyDescent="0.3">
      <c r="O1251" s="14"/>
      <c r="P1251" s="14"/>
      <c r="Q1251" s="14"/>
      <c r="R1251" s="14"/>
    </row>
    <row r="1252" spans="15:18" x14ac:dyDescent="0.3">
      <c r="O1252" s="14"/>
      <c r="P1252" s="14"/>
      <c r="Q1252" s="14"/>
      <c r="R1252" s="14"/>
    </row>
    <row r="1253" spans="15:18" x14ac:dyDescent="0.3">
      <c r="O1253" s="14"/>
      <c r="P1253" s="14"/>
      <c r="Q1253" s="14"/>
      <c r="R1253" s="14"/>
    </row>
    <row r="1254" spans="15:18" x14ac:dyDescent="0.3">
      <c r="O1254" s="14"/>
      <c r="P1254" s="14"/>
      <c r="Q1254" s="14"/>
      <c r="R1254" s="14"/>
    </row>
    <row r="1255" spans="15:18" x14ac:dyDescent="0.3">
      <c r="O1255" s="14"/>
      <c r="P1255" s="14"/>
      <c r="Q1255" s="14"/>
      <c r="R1255" s="14"/>
    </row>
    <row r="1256" spans="15:18" x14ac:dyDescent="0.3">
      <c r="O1256" s="14"/>
      <c r="P1256" s="14"/>
      <c r="Q1256" s="14"/>
      <c r="R1256" s="14"/>
    </row>
    <row r="1257" spans="15:18" x14ac:dyDescent="0.3">
      <c r="O1257" s="14"/>
      <c r="P1257" s="14"/>
      <c r="Q1257" s="14"/>
      <c r="R1257" s="14"/>
    </row>
    <row r="1258" spans="15:18" x14ac:dyDescent="0.3">
      <c r="O1258" s="14"/>
      <c r="P1258" s="14"/>
      <c r="Q1258" s="14"/>
      <c r="R1258" s="14"/>
    </row>
    <row r="1259" spans="15:18" x14ac:dyDescent="0.3">
      <c r="O1259" s="14"/>
      <c r="P1259" s="14"/>
      <c r="Q1259" s="14"/>
      <c r="R1259" s="14"/>
    </row>
    <row r="1260" spans="15:18" x14ac:dyDescent="0.3">
      <c r="O1260" s="14"/>
      <c r="P1260" s="14"/>
      <c r="Q1260" s="14"/>
      <c r="R1260" s="14"/>
    </row>
    <row r="1261" spans="15:18" x14ac:dyDescent="0.3">
      <c r="O1261" s="14"/>
      <c r="P1261" s="14"/>
      <c r="Q1261" s="14"/>
      <c r="R1261" s="14"/>
    </row>
    <row r="1262" spans="15:18" x14ac:dyDescent="0.3">
      <c r="O1262" s="14"/>
      <c r="P1262" s="14"/>
      <c r="Q1262" s="14"/>
      <c r="R1262" s="14"/>
    </row>
    <row r="1263" spans="15:18" x14ac:dyDescent="0.3">
      <c r="O1263" s="14"/>
      <c r="P1263" s="14"/>
      <c r="Q1263" s="14"/>
      <c r="R1263" s="14"/>
    </row>
    <row r="1264" spans="15:18" x14ac:dyDescent="0.3">
      <c r="O1264" s="14"/>
      <c r="P1264" s="14"/>
      <c r="Q1264" s="14"/>
      <c r="R1264" s="14"/>
    </row>
    <row r="1265" spans="15:18" x14ac:dyDescent="0.3">
      <c r="O1265" s="14"/>
      <c r="P1265" s="14"/>
      <c r="Q1265" s="14"/>
      <c r="R1265" s="14"/>
    </row>
    <row r="1266" spans="15:18" x14ac:dyDescent="0.3">
      <c r="O1266" s="14"/>
      <c r="P1266" s="14"/>
      <c r="Q1266" s="14"/>
      <c r="R1266" s="14"/>
    </row>
    <row r="1267" spans="15:18" x14ac:dyDescent="0.3">
      <c r="O1267" s="14"/>
      <c r="P1267" s="14"/>
      <c r="Q1267" s="14"/>
      <c r="R1267" s="14"/>
    </row>
    <row r="1268" spans="15:18" x14ac:dyDescent="0.3">
      <c r="O1268" s="14"/>
      <c r="P1268" s="14"/>
      <c r="Q1268" s="14"/>
      <c r="R1268" s="14"/>
    </row>
    <row r="1269" spans="15:18" x14ac:dyDescent="0.3">
      <c r="O1269" s="14"/>
      <c r="P1269" s="14"/>
      <c r="Q1269" s="14"/>
      <c r="R1269" s="14"/>
    </row>
    <row r="1270" spans="15:18" x14ac:dyDescent="0.3">
      <c r="O1270" s="14"/>
      <c r="P1270" s="14"/>
      <c r="Q1270" s="14"/>
      <c r="R1270" s="14"/>
    </row>
    <row r="1271" spans="15:18" x14ac:dyDescent="0.3">
      <c r="O1271" s="14"/>
      <c r="P1271" s="14"/>
      <c r="Q1271" s="14"/>
      <c r="R1271" s="14"/>
    </row>
    <row r="1272" spans="15:18" x14ac:dyDescent="0.3">
      <c r="O1272" s="14"/>
      <c r="P1272" s="14"/>
      <c r="Q1272" s="14"/>
      <c r="R1272" s="14"/>
    </row>
    <row r="1273" spans="15:18" x14ac:dyDescent="0.3">
      <c r="O1273" s="14"/>
      <c r="P1273" s="14"/>
      <c r="Q1273" s="14"/>
      <c r="R1273" s="14"/>
    </row>
    <row r="1274" spans="15:18" x14ac:dyDescent="0.3">
      <c r="O1274" s="14"/>
      <c r="P1274" s="14"/>
      <c r="Q1274" s="14"/>
      <c r="R1274" s="14"/>
    </row>
    <row r="1275" spans="15:18" x14ac:dyDescent="0.3">
      <c r="O1275" s="14"/>
      <c r="P1275" s="14"/>
      <c r="Q1275" s="14"/>
      <c r="R1275" s="14"/>
    </row>
    <row r="1276" spans="15:18" x14ac:dyDescent="0.3">
      <c r="O1276" s="14"/>
      <c r="P1276" s="14"/>
      <c r="Q1276" s="14"/>
      <c r="R1276" s="14"/>
    </row>
    <row r="1277" spans="15:18" x14ac:dyDescent="0.3">
      <c r="O1277" s="14"/>
      <c r="P1277" s="14"/>
      <c r="Q1277" s="14"/>
      <c r="R1277" s="14"/>
    </row>
    <row r="1278" spans="15:18" x14ac:dyDescent="0.3">
      <c r="O1278" s="14"/>
      <c r="P1278" s="14"/>
      <c r="Q1278" s="14"/>
      <c r="R1278" s="14"/>
    </row>
    <row r="1279" spans="15:18" x14ac:dyDescent="0.3">
      <c r="O1279" s="14"/>
      <c r="P1279" s="14"/>
      <c r="Q1279" s="14"/>
      <c r="R1279" s="14"/>
    </row>
    <row r="1280" spans="15:18" x14ac:dyDescent="0.3">
      <c r="O1280" s="14"/>
      <c r="P1280" s="14"/>
      <c r="Q1280" s="14"/>
      <c r="R1280" s="14"/>
    </row>
    <row r="1281" spans="15:18" x14ac:dyDescent="0.3">
      <c r="O1281" s="14"/>
      <c r="P1281" s="14"/>
      <c r="Q1281" s="14"/>
      <c r="R1281" s="14"/>
    </row>
    <row r="1282" spans="15:18" x14ac:dyDescent="0.3">
      <c r="O1282" s="14"/>
      <c r="P1282" s="14"/>
      <c r="Q1282" s="14"/>
      <c r="R1282" s="14"/>
    </row>
    <row r="1283" spans="15:18" x14ac:dyDescent="0.3">
      <c r="O1283" s="14"/>
      <c r="P1283" s="14"/>
      <c r="Q1283" s="14"/>
      <c r="R1283" s="14"/>
    </row>
    <row r="1284" spans="15:18" x14ac:dyDescent="0.3">
      <c r="O1284" s="14"/>
      <c r="P1284" s="14"/>
      <c r="Q1284" s="14"/>
      <c r="R1284" s="14"/>
    </row>
    <row r="1285" spans="15:18" x14ac:dyDescent="0.3">
      <c r="O1285" s="14"/>
      <c r="P1285" s="14"/>
      <c r="Q1285" s="14"/>
      <c r="R1285" s="14"/>
    </row>
    <row r="1286" spans="15:18" x14ac:dyDescent="0.3">
      <c r="O1286" s="14"/>
      <c r="P1286" s="14"/>
      <c r="Q1286" s="14"/>
      <c r="R1286" s="14"/>
    </row>
    <row r="1287" spans="15:18" x14ac:dyDescent="0.3">
      <c r="O1287" s="14"/>
      <c r="P1287" s="14"/>
      <c r="Q1287" s="14"/>
      <c r="R1287" s="14"/>
    </row>
    <row r="1288" spans="15:18" x14ac:dyDescent="0.3">
      <c r="O1288" s="14"/>
      <c r="P1288" s="14"/>
      <c r="Q1288" s="14"/>
      <c r="R1288" s="14"/>
    </row>
    <row r="1289" spans="15:18" x14ac:dyDescent="0.3">
      <c r="O1289" s="14"/>
      <c r="P1289" s="14"/>
      <c r="Q1289" s="14"/>
      <c r="R1289" s="14"/>
    </row>
    <row r="1290" spans="15:18" x14ac:dyDescent="0.3">
      <c r="O1290" s="14"/>
      <c r="P1290" s="14"/>
      <c r="Q1290" s="14"/>
      <c r="R1290" s="14"/>
    </row>
    <row r="1291" spans="15:18" x14ac:dyDescent="0.3">
      <c r="O1291" s="14"/>
      <c r="P1291" s="14"/>
      <c r="Q1291" s="14"/>
      <c r="R1291" s="14"/>
    </row>
    <row r="1292" spans="15:18" x14ac:dyDescent="0.3">
      <c r="O1292" s="14"/>
      <c r="P1292" s="14"/>
      <c r="Q1292" s="14"/>
      <c r="R1292" s="14"/>
    </row>
    <row r="1293" spans="15:18" x14ac:dyDescent="0.3">
      <c r="O1293" s="14"/>
      <c r="P1293" s="14"/>
      <c r="Q1293" s="14"/>
      <c r="R1293" s="14"/>
    </row>
    <row r="1294" spans="15:18" x14ac:dyDescent="0.3">
      <c r="O1294" s="14"/>
      <c r="P1294" s="14"/>
      <c r="Q1294" s="14"/>
      <c r="R1294" s="14"/>
    </row>
    <row r="1295" spans="15:18" x14ac:dyDescent="0.3">
      <c r="O1295" s="14"/>
      <c r="P1295" s="14"/>
      <c r="Q1295" s="14"/>
      <c r="R1295" s="14"/>
    </row>
    <row r="1296" spans="15:18" x14ac:dyDescent="0.3">
      <c r="O1296" s="14"/>
      <c r="P1296" s="14"/>
      <c r="Q1296" s="14"/>
      <c r="R1296" s="14"/>
    </row>
    <row r="1297" spans="15:18" x14ac:dyDescent="0.3">
      <c r="O1297" s="14"/>
      <c r="P1297" s="14"/>
      <c r="Q1297" s="14"/>
      <c r="R1297" s="14"/>
    </row>
    <row r="1298" spans="15:18" x14ac:dyDescent="0.3">
      <c r="O1298" s="14"/>
      <c r="P1298" s="14"/>
      <c r="Q1298" s="14"/>
      <c r="R1298" s="14"/>
    </row>
    <row r="1299" spans="15:18" x14ac:dyDescent="0.3">
      <c r="O1299" s="14"/>
      <c r="P1299" s="14"/>
      <c r="Q1299" s="14"/>
      <c r="R1299" s="14"/>
    </row>
    <row r="1300" spans="15:18" x14ac:dyDescent="0.3">
      <c r="O1300" s="14"/>
      <c r="P1300" s="14"/>
      <c r="Q1300" s="14"/>
      <c r="R1300" s="14"/>
    </row>
    <row r="1301" spans="15:18" x14ac:dyDescent="0.3">
      <c r="O1301" s="14"/>
      <c r="P1301" s="14"/>
      <c r="Q1301" s="14"/>
      <c r="R1301" s="14"/>
    </row>
    <row r="1302" spans="15:18" x14ac:dyDescent="0.3">
      <c r="O1302" s="14"/>
      <c r="P1302" s="14"/>
      <c r="Q1302" s="14"/>
      <c r="R1302" s="14"/>
    </row>
    <row r="1303" spans="15:18" x14ac:dyDescent="0.3">
      <c r="O1303" s="14"/>
      <c r="P1303" s="14"/>
      <c r="Q1303" s="14"/>
      <c r="R1303" s="14"/>
    </row>
    <row r="1304" spans="15:18" x14ac:dyDescent="0.3">
      <c r="O1304" s="14"/>
      <c r="P1304" s="14"/>
      <c r="Q1304" s="14"/>
      <c r="R1304" s="14"/>
    </row>
    <row r="1305" spans="15:18" x14ac:dyDescent="0.3">
      <c r="O1305" s="14"/>
      <c r="P1305" s="14"/>
      <c r="Q1305" s="14"/>
      <c r="R1305" s="14"/>
    </row>
    <row r="1306" spans="15:18" x14ac:dyDescent="0.3">
      <c r="O1306" s="14"/>
      <c r="P1306" s="14"/>
      <c r="Q1306" s="14"/>
      <c r="R1306" s="14"/>
    </row>
    <row r="1307" spans="15:18" x14ac:dyDescent="0.3">
      <c r="O1307" s="14"/>
      <c r="P1307" s="14"/>
      <c r="Q1307" s="14"/>
      <c r="R1307" s="14"/>
    </row>
    <row r="1308" spans="15:18" x14ac:dyDescent="0.3">
      <c r="O1308" s="14"/>
      <c r="P1308" s="14"/>
      <c r="Q1308" s="14"/>
      <c r="R1308" s="14"/>
    </row>
    <row r="1309" spans="15:18" x14ac:dyDescent="0.3">
      <c r="O1309" s="14"/>
      <c r="P1309" s="14"/>
      <c r="Q1309" s="14"/>
      <c r="R1309" s="14"/>
    </row>
    <row r="1310" spans="15:18" x14ac:dyDescent="0.3">
      <c r="O1310" s="14"/>
      <c r="P1310" s="14"/>
      <c r="Q1310" s="14"/>
      <c r="R1310" s="14"/>
    </row>
    <row r="1311" spans="15:18" x14ac:dyDescent="0.3">
      <c r="O1311" s="14"/>
      <c r="P1311" s="14"/>
      <c r="Q1311" s="14"/>
      <c r="R1311" s="14"/>
    </row>
    <row r="1312" spans="15:18" x14ac:dyDescent="0.3">
      <c r="O1312" s="14"/>
      <c r="P1312" s="14"/>
      <c r="Q1312" s="14"/>
      <c r="R1312" s="14"/>
    </row>
    <row r="1313" spans="15:18" x14ac:dyDescent="0.3">
      <c r="O1313" s="14"/>
      <c r="P1313" s="14"/>
      <c r="Q1313" s="14"/>
      <c r="R1313" s="14"/>
    </row>
    <row r="1314" spans="15:18" x14ac:dyDescent="0.3">
      <c r="O1314" s="14"/>
      <c r="P1314" s="14"/>
      <c r="Q1314" s="14"/>
      <c r="R1314" s="14"/>
    </row>
    <row r="1315" spans="15:18" x14ac:dyDescent="0.3">
      <c r="O1315" s="14"/>
      <c r="P1315" s="14"/>
      <c r="Q1315" s="14"/>
      <c r="R1315" s="14"/>
    </row>
    <row r="1316" spans="15:18" x14ac:dyDescent="0.3">
      <c r="O1316" s="14"/>
      <c r="P1316" s="14"/>
      <c r="Q1316" s="14"/>
      <c r="R1316" s="14"/>
    </row>
    <row r="1317" spans="15:18" x14ac:dyDescent="0.3">
      <c r="O1317" s="14"/>
      <c r="P1317" s="14"/>
      <c r="Q1317" s="14"/>
      <c r="R1317" s="14"/>
    </row>
    <row r="1318" spans="15:18" x14ac:dyDescent="0.3">
      <c r="O1318" s="14"/>
      <c r="P1318" s="14"/>
      <c r="Q1318" s="14"/>
      <c r="R1318" s="14"/>
    </row>
    <row r="1319" spans="15:18" x14ac:dyDescent="0.3">
      <c r="O1319" s="14"/>
      <c r="P1319" s="14"/>
      <c r="Q1319" s="14"/>
      <c r="R1319" s="14"/>
    </row>
    <row r="1320" spans="15:18" x14ac:dyDescent="0.3">
      <c r="O1320" s="14"/>
      <c r="P1320" s="14"/>
      <c r="Q1320" s="14"/>
      <c r="R1320" s="14"/>
    </row>
    <row r="1321" spans="15:18" x14ac:dyDescent="0.3">
      <c r="O1321" s="14"/>
      <c r="P1321" s="14"/>
      <c r="Q1321" s="14"/>
      <c r="R1321" s="14"/>
    </row>
    <row r="1322" spans="15:18" x14ac:dyDescent="0.3">
      <c r="O1322" s="14"/>
      <c r="P1322" s="14"/>
      <c r="Q1322" s="14"/>
      <c r="R1322" s="14"/>
    </row>
    <row r="1323" spans="15:18" x14ac:dyDescent="0.3">
      <c r="O1323" s="14"/>
      <c r="P1323" s="14"/>
      <c r="Q1323" s="14"/>
      <c r="R1323" s="14"/>
    </row>
    <row r="1324" spans="15:18" x14ac:dyDescent="0.3">
      <c r="O1324" s="14"/>
      <c r="P1324" s="14"/>
      <c r="Q1324" s="14"/>
      <c r="R1324" s="14"/>
    </row>
    <row r="1325" spans="15:18" x14ac:dyDescent="0.3">
      <c r="O1325" s="14"/>
      <c r="P1325" s="14"/>
      <c r="Q1325" s="14"/>
      <c r="R1325" s="14"/>
    </row>
    <row r="1326" spans="15:18" x14ac:dyDescent="0.3">
      <c r="O1326" s="14"/>
      <c r="P1326" s="14"/>
      <c r="Q1326" s="14"/>
      <c r="R1326" s="14"/>
    </row>
    <row r="1327" spans="15:18" x14ac:dyDescent="0.3">
      <c r="O1327" s="14"/>
      <c r="P1327" s="14"/>
      <c r="Q1327" s="14"/>
      <c r="R1327" s="14"/>
    </row>
    <row r="1328" spans="15:18" x14ac:dyDescent="0.3">
      <c r="O1328" s="14"/>
      <c r="P1328" s="14"/>
      <c r="Q1328" s="14"/>
      <c r="R1328" s="14"/>
    </row>
    <row r="1329" spans="15:18" x14ac:dyDescent="0.3">
      <c r="O1329" s="14"/>
      <c r="P1329" s="14"/>
      <c r="Q1329" s="14"/>
      <c r="R1329" s="14"/>
    </row>
    <row r="1330" spans="15:18" x14ac:dyDescent="0.3">
      <c r="O1330" s="14"/>
      <c r="P1330" s="14"/>
      <c r="Q1330" s="14"/>
      <c r="R1330" s="14"/>
    </row>
    <row r="1331" spans="15:18" x14ac:dyDescent="0.3">
      <c r="O1331" s="14"/>
      <c r="P1331" s="14"/>
      <c r="Q1331" s="14"/>
      <c r="R1331" s="14"/>
    </row>
    <row r="1332" spans="15:18" x14ac:dyDescent="0.3">
      <c r="O1332" s="14"/>
      <c r="P1332" s="14"/>
      <c r="Q1332" s="14"/>
      <c r="R1332" s="14"/>
    </row>
    <row r="1333" spans="15:18" x14ac:dyDescent="0.3">
      <c r="O1333" s="14"/>
      <c r="P1333" s="14"/>
      <c r="Q1333" s="14"/>
      <c r="R1333" s="14"/>
    </row>
    <row r="1334" spans="15:18" x14ac:dyDescent="0.3">
      <c r="O1334" s="14"/>
      <c r="P1334" s="14"/>
      <c r="Q1334" s="14"/>
      <c r="R1334" s="14"/>
    </row>
    <row r="1335" spans="15:18" x14ac:dyDescent="0.3">
      <c r="O1335" s="14"/>
      <c r="P1335" s="14"/>
      <c r="Q1335" s="14"/>
      <c r="R1335" s="14"/>
    </row>
    <row r="1336" spans="15:18" x14ac:dyDescent="0.3">
      <c r="O1336" s="14"/>
      <c r="P1336" s="14"/>
      <c r="Q1336" s="14"/>
      <c r="R1336" s="14"/>
    </row>
    <row r="1337" spans="15:18" x14ac:dyDescent="0.3">
      <c r="O1337" s="14"/>
      <c r="P1337" s="14"/>
      <c r="Q1337" s="14"/>
      <c r="R1337" s="14"/>
    </row>
    <row r="1338" spans="15:18" x14ac:dyDescent="0.3">
      <c r="O1338" s="14"/>
      <c r="P1338" s="14"/>
      <c r="Q1338" s="14"/>
      <c r="R1338" s="14"/>
    </row>
    <row r="1339" spans="15:18" x14ac:dyDescent="0.3">
      <c r="O1339" s="14"/>
      <c r="P1339" s="14"/>
      <c r="Q1339" s="14"/>
      <c r="R1339" s="14"/>
    </row>
    <row r="1340" spans="15:18" x14ac:dyDescent="0.3">
      <c r="O1340" s="14"/>
      <c r="P1340" s="14"/>
      <c r="Q1340" s="14"/>
      <c r="R1340" s="14"/>
    </row>
    <row r="1341" spans="15:18" x14ac:dyDescent="0.3">
      <c r="O1341" s="14"/>
      <c r="P1341" s="14"/>
      <c r="Q1341" s="14"/>
      <c r="R1341" s="14"/>
    </row>
    <row r="1342" spans="15:18" x14ac:dyDescent="0.3">
      <c r="O1342" s="14"/>
      <c r="P1342" s="14"/>
      <c r="Q1342" s="14"/>
      <c r="R1342" s="14"/>
    </row>
    <row r="1343" spans="15:18" x14ac:dyDescent="0.3">
      <c r="O1343" s="14"/>
      <c r="P1343" s="14"/>
      <c r="Q1343" s="14"/>
      <c r="R1343" s="14"/>
    </row>
    <row r="1344" spans="15:18" x14ac:dyDescent="0.3">
      <c r="O1344" s="14"/>
      <c r="P1344" s="14"/>
      <c r="Q1344" s="14"/>
      <c r="R1344" s="14"/>
    </row>
    <row r="1345" spans="15:18" x14ac:dyDescent="0.3">
      <c r="O1345" s="14"/>
      <c r="P1345" s="14"/>
      <c r="Q1345" s="14"/>
      <c r="R1345" s="14"/>
    </row>
    <row r="1346" spans="15:18" x14ac:dyDescent="0.3">
      <c r="O1346" s="14"/>
      <c r="P1346" s="14"/>
      <c r="Q1346" s="14"/>
      <c r="R1346" s="14"/>
    </row>
    <row r="1347" spans="15:18" x14ac:dyDescent="0.3">
      <c r="O1347" s="14"/>
      <c r="P1347" s="14"/>
      <c r="Q1347" s="14"/>
      <c r="R1347" s="14"/>
    </row>
    <row r="1348" spans="15:18" x14ac:dyDescent="0.3">
      <c r="O1348" s="14"/>
      <c r="P1348" s="14"/>
      <c r="Q1348" s="14"/>
      <c r="R1348" s="14"/>
    </row>
    <row r="1349" spans="15:18" x14ac:dyDescent="0.3">
      <c r="O1349" s="14"/>
      <c r="P1349" s="14"/>
      <c r="Q1349" s="14"/>
      <c r="R1349" s="14"/>
    </row>
    <row r="1350" spans="15:18" x14ac:dyDescent="0.3">
      <c r="O1350" s="14"/>
      <c r="P1350" s="14"/>
      <c r="Q1350" s="14"/>
      <c r="R1350" s="14"/>
    </row>
    <row r="1351" spans="15:18" x14ac:dyDescent="0.3">
      <c r="O1351" s="14"/>
      <c r="P1351" s="14"/>
      <c r="Q1351" s="14"/>
      <c r="R1351" s="14"/>
    </row>
    <row r="1352" spans="15:18" x14ac:dyDescent="0.3">
      <c r="O1352" s="14"/>
      <c r="P1352" s="14"/>
      <c r="Q1352" s="14"/>
      <c r="R1352" s="14"/>
    </row>
    <row r="1353" spans="15:18" x14ac:dyDescent="0.3">
      <c r="O1353" s="14"/>
      <c r="P1353" s="14"/>
      <c r="Q1353" s="14"/>
      <c r="R1353" s="14"/>
    </row>
    <row r="1354" spans="15:18" x14ac:dyDescent="0.3">
      <c r="O1354" s="14"/>
      <c r="P1354" s="14"/>
      <c r="Q1354" s="14"/>
      <c r="R1354" s="14"/>
    </row>
    <row r="1355" spans="15:18" x14ac:dyDescent="0.3">
      <c r="O1355" s="14"/>
      <c r="P1355" s="14"/>
      <c r="Q1355" s="14"/>
      <c r="R1355" s="14"/>
    </row>
    <row r="1356" spans="15:18" x14ac:dyDescent="0.3">
      <c r="O1356" s="14"/>
      <c r="P1356" s="14"/>
      <c r="Q1356" s="14"/>
      <c r="R1356" s="14"/>
    </row>
    <row r="1357" spans="15:18" x14ac:dyDescent="0.3">
      <c r="O1357" s="14"/>
      <c r="P1357" s="14"/>
      <c r="Q1357" s="14"/>
      <c r="R1357" s="14"/>
    </row>
    <row r="1358" spans="15:18" x14ac:dyDescent="0.3">
      <c r="O1358" s="14"/>
      <c r="P1358" s="14"/>
      <c r="Q1358" s="14"/>
      <c r="R1358" s="14"/>
    </row>
    <row r="1359" spans="15:18" x14ac:dyDescent="0.3">
      <c r="O1359" s="14"/>
      <c r="P1359" s="14"/>
      <c r="Q1359" s="14"/>
      <c r="R1359" s="14"/>
    </row>
    <row r="1360" spans="15:18" x14ac:dyDescent="0.3">
      <c r="O1360" s="14"/>
      <c r="P1360" s="14"/>
      <c r="Q1360" s="14"/>
      <c r="R1360" s="14"/>
    </row>
    <row r="1361" spans="15:18" x14ac:dyDescent="0.3">
      <c r="O1361" s="14"/>
      <c r="P1361" s="14"/>
      <c r="Q1361" s="14"/>
      <c r="R1361" s="14"/>
    </row>
    <row r="1362" spans="15:18" x14ac:dyDescent="0.3">
      <c r="O1362" s="14"/>
      <c r="P1362" s="14"/>
      <c r="Q1362" s="14"/>
      <c r="R1362" s="14"/>
    </row>
    <row r="1363" spans="15:18" x14ac:dyDescent="0.3">
      <c r="O1363" s="14"/>
      <c r="P1363" s="14"/>
      <c r="Q1363" s="14"/>
      <c r="R1363" s="14"/>
    </row>
    <row r="1364" spans="15:18" x14ac:dyDescent="0.3">
      <c r="O1364" s="14"/>
      <c r="P1364" s="14"/>
      <c r="Q1364" s="14"/>
      <c r="R1364" s="14"/>
    </row>
    <row r="1365" spans="15:18" x14ac:dyDescent="0.3">
      <c r="O1365" s="14"/>
      <c r="P1365" s="14"/>
      <c r="Q1365" s="14"/>
      <c r="R1365" s="14"/>
    </row>
    <row r="1366" spans="15:18" x14ac:dyDescent="0.3">
      <c r="O1366" s="14"/>
      <c r="P1366" s="14"/>
      <c r="Q1366" s="14"/>
      <c r="R1366" s="14"/>
    </row>
    <row r="1367" spans="15:18" x14ac:dyDescent="0.3">
      <c r="O1367" s="14"/>
      <c r="P1367" s="14"/>
      <c r="Q1367" s="14"/>
      <c r="R1367" s="14"/>
    </row>
    <row r="1368" spans="15:18" x14ac:dyDescent="0.3">
      <c r="O1368" s="14"/>
      <c r="P1368" s="14"/>
      <c r="Q1368" s="14"/>
      <c r="R1368" s="14"/>
    </row>
    <row r="1369" spans="15:18" x14ac:dyDescent="0.3">
      <c r="O1369" s="14"/>
      <c r="P1369" s="14"/>
      <c r="Q1369" s="14"/>
      <c r="R1369" s="14"/>
    </row>
    <row r="1370" spans="15:18" x14ac:dyDescent="0.3">
      <c r="O1370" s="14"/>
      <c r="P1370" s="14"/>
      <c r="Q1370" s="14"/>
      <c r="R1370" s="14"/>
    </row>
    <row r="1371" spans="15:18" x14ac:dyDescent="0.3">
      <c r="O1371" s="14"/>
      <c r="P1371" s="14"/>
      <c r="Q1371" s="14"/>
      <c r="R1371" s="14"/>
    </row>
    <row r="1372" spans="15:18" x14ac:dyDescent="0.3">
      <c r="O1372" s="14"/>
      <c r="P1372" s="14"/>
      <c r="Q1372" s="14"/>
      <c r="R1372" s="14"/>
    </row>
    <row r="1373" spans="15:18" x14ac:dyDescent="0.3">
      <c r="O1373" s="14"/>
      <c r="P1373" s="14"/>
      <c r="Q1373" s="14"/>
      <c r="R1373" s="14"/>
    </row>
    <row r="1374" spans="15:18" x14ac:dyDescent="0.3">
      <c r="O1374" s="14"/>
      <c r="P1374" s="14"/>
      <c r="Q1374" s="14"/>
      <c r="R1374" s="14"/>
    </row>
    <row r="1375" spans="15:18" x14ac:dyDescent="0.3">
      <c r="O1375" s="14"/>
      <c r="P1375" s="14"/>
      <c r="Q1375" s="14"/>
      <c r="R1375" s="14"/>
    </row>
    <row r="1376" spans="15:18" x14ac:dyDescent="0.3">
      <c r="O1376" s="14"/>
      <c r="P1376" s="14"/>
      <c r="Q1376" s="14"/>
      <c r="R1376" s="14"/>
    </row>
    <row r="1377" spans="15:18" x14ac:dyDescent="0.3">
      <c r="O1377" s="14"/>
      <c r="P1377" s="14"/>
      <c r="Q1377" s="14"/>
      <c r="R1377" s="14"/>
    </row>
    <row r="1378" spans="15:18" x14ac:dyDescent="0.3">
      <c r="O1378" s="14"/>
      <c r="P1378" s="14"/>
      <c r="Q1378" s="14"/>
      <c r="R1378" s="14"/>
    </row>
    <row r="1379" spans="15:18" x14ac:dyDescent="0.3">
      <c r="O1379" s="14"/>
      <c r="P1379" s="14"/>
      <c r="Q1379" s="14"/>
      <c r="R1379" s="14"/>
    </row>
    <row r="1380" spans="15:18" x14ac:dyDescent="0.3">
      <c r="O1380" s="14"/>
      <c r="P1380" s="14"/>
      <c r="Q1380" s="14"/>
      <c r="R1380" s="14"/>
    </row>
    <row r="1381" spans="15:18" x14ac:dyDescent="0.3">
      <c r="O1381" s="14"/>
      <c r="P1381" s="14"/>
      <c r="Q1381" s="14"/>
      <c r="R1381" s="14"/>
    </row>
    <row r="1382" spans="15:18" x14ac:dyDescent="0.3">
      <c r="O1382" s="14"/>
      <c r="P1382" s="14"/>
      <c r="Q1382" s="14"/>
      <c r="R1382" s="14"/>
    </row>
    <row r="1383" spans="15:18" x14ac:dyDescent="0.3">
      <c r="O1383" s="14"/>
      <c r="P1383" s="14"/>
      <c r="Q1383" s="14"/>
      <c r="R1383" s="14"/>
    </row>
    <row r="1384" spans="15:18" x14ac:dyDescent="0.3">
      <c r="O1384" s="14"/>
      <c r="P1384" s="14"/>
      <c r="Q1384" s="14"/>
      <c r="R1384" s="14"/>
    </row>
    <row r="1385" spans="15:18" x14ac:dyDescent="0.3">
      <c r="O1385" s="14"/>
      <c r="P1385" s="14"/>
      <c r="Q1385" s="14"/>
      <c r="R1385" s="14"/>
    </row>
    <row r="1386" spans="15:18" x14ac:dyDescent="0.3">
      <c r="O1386" s="14"/>
      <c r="P1386" s="14"/>
      <c r="Q1386" s="14"/>
      <c r="R1386" s="14"/>
    </row>
    <row r="1387" spans="15:18" x14ac:dyDescent="0.3">
      <c r="O1387" s="14"/>
      <c r="P1387" s="14"/>
      <c r="Q1387" s="14"/>
      <c r="R1387" s="14"/>
    </row>
    <row r="1388" spans="15:18" x14ac:dyDescent="0.3">
      <c r="O1388" s="14"/>
      <c r="P1388" s="14"/>
      <c r="Q1388" s="14"/>
      <c r="R1388" s="14"/>
    </row>
    <row r="1389" spans="15:18" x14ac:dyDescent="0.3">
      <c r="O1389" s="14"/>
      <c r="P1389" s="14"/>
      <c r="Q1389" s="14"/>
      <c r="R1389" s="14"/>
    </row>
    <row r="1390" spans="15:18" x14ac:dyDescent="0.3">
      <c r="O1390" s="14"/>
      <c r="P1390" s="14"/>
      <c r="Q1390" s="14"/>
      <c r="R1390" s="14"/>
    </row>
    <row r="1391" spans="15:18" x14ac:dyDescent="0.3">
      <c r="O1391" s="14"/>
      <c r="P1391" s="14"/>
      <c r="Q1391" s="14"/>
      <c r="R1391" s="14"/>
    </row>
    <row r="1392" spans="15:18" x14ac:dyDescent="0.3">
      <c r="O1392" s="14"/>
      <c r="P1392" s="14"/>
      <c r="Q1392" s="14"/>
      <c r="R1392" s="14"/>
    </row>
    <row r="1393" spans="15:18" x14ac:dyDescent="0.3">
      <c r="O1393" s="14"/>
      <c r="P1393" s="14"/>
      <c r="Q1393" s="14"/>
      <c r="R1393" s="14"/>
    </row>
    <row r="1394" spans="15:18" x14ac:dyDescent="0.3">
      <c r="O1394" s="14"/>
      <c r="P1394" s="14"/>
      <c r="Q1394" s="14"/>
      <c r="R1394" s="14"/>
    </row>
    <row r="1395" spans="15:18" x14ac:dyDescent="0.3">
      <c r="O1395" s="14"/>
      <c r="P1395" s="14"/>
      <c r="Q1395" s="14"/>
      <c r="R1395" s="14"/>
    </row>
    <row r="1396" spans="15:18" x14ac:dyDescent="0.3">
      <c r="O1396" s="14"/>
      <c r="P1396" s="14"/>
      <c r="Q1396" s="14"/>
      <c r="R1396" s="14"/>
    </row>
    <row r="1397" spans="15:18" x14ac:dyDescent="0.3">
      <c r="O1397" s="14"/>
      <c r="P1397" s="14"/>
      <c r="Q1397" s="14"/>
      <c r="R1397" s="14"/>
    </row>
    <row r="1398" spans="15:18" x14ac:dyDescent="0.3">
      <c r="O1398" s="14"/>
      <c r="P1398" s="14"/>
      <c r="Q1398" s="14"/>
      <c r="R1398" s="14"/>
    </row>
    <row r="1399" spans="15:18" x14ac:dyDescent="0.3">
      <c r="O1399" s="14"/>
      <c r="P1399" s="14"/>
      <c r="Q1399" s="14"/>
      <c r="R1399" s="14"/>
    </row>
    <row r="1400" spans="15:18" x14ac:dyDescent="0.3">
      <c r="O1400" s="14"/>
      <c r="P1400" s="14"/>
      <c r="Q1400" s="14"/>
      <c r="R1400" s="14"/>
    </row>
    <row r="1401" spans="15:18" x14ac:dyDescent="0.3">
      <c r="O1401" s="14"/>
      <c r="P1401" s="14"/>
      <c r="Q1401" s="14"/>
      <c r="R1401" s="14"/>
    </row>
    <row r="1402" spans="15:18" x14ac:dyDescent="0.3">
      <c r="O1402" s="14"/>
      <c r="P1402" s="14"/>
      <c r="Q1402" s="14"/>
      <c r="R1402" s="14"/>
    </row>
    <row r="1403" spans="15:18" x14ac:dyDescent="0.3">
      <c r="O1403" s="14"/>
      <c r="P1403" s="14"/>
      <c r="Q1403" s="14"/>
      <c r="R1403" s="14"/>
    </row>
    <row r="1404" spans="15:18" x14ac:dyDescent="0.3">
      <c r="O1404" s="14"/>
      <c r="P1404" s="14"/>
      <c r="Q1404" s="14"/>
      <c r="R1404" s="14"/>
    </row>
    <row r="1405" spans="15:18" x14ac:dyDescent="0.3">
      <c r="O1405" s="14"/>
      <c r="P1405" s="14"/>
      <c r="Q1405" s="14"/>
      <c r="R1405" s="14"/>
    </row>
    <row r="1406" spans="15:18" x14ac:dyDescent="0.3">
      <c r="O1406" s="14"/>
      <c r="P1406" s="14"/>
      <c r="Q1406" s="14"/>
      <c r="R1406" s="14"/>
    </row>
    <row r="1407" spans="15:18" x14ac:dyDescent="0.3">
      <c r="O1407" s="14"/>
      <c r="P1407" s="14"/>
      <c r="Q1407" s="14"/>
      <c r="R1407" s="14"/>
    </row>
    <row r="1408" spans="15:18" x14ac:dyDescent="0.3">
      <c r="O1408" s="14"/>
      <c r="P1408" s="14"/>
      <c r="Q1408" s="14"/>
      <c r="R1408" s="14"/>
    </row>
    <row r="1409" spans="15:18" x14ac:dyDescent="0.3">
      <c r="O1409" s="14"/>
      <c r="P1409" s="14"/>
      <c r="Q1409" s="14"/>
      <c r="R1409" s="14"/>
    </row>
    <row r="1410" spans="15:18" x14ac:dyDescent="0.3">
      <c r="O1410" s="14"/>
      <c r="P1410" s="14"/>
      <c r="Q1410" s="14"/>
      <c r="R1410" s="14"/>
    </row>
    <row r="1411" spans="15:18" x14ac:dyDescent="0.3">
      <c r="O1411" s="14"/>
      <c r="P1411" s="14"/>
      <c r="Q1411" s="14"/>
      <c r="R1411" s="14"/>
    </row>
    <row r="1412" spans="15:18" x14ac:dyDescent="0.3">
      <c r="O1412" s="14"/>
      <c r="P1412" s="14"/>
      <c r="Q1412" s="14"/>
      <c r="R1412" s="14"/>
    </row>
    <row r="1413" spans="15:18" x14ac:dyDescent="0.3">
      <c r="O1413" s="14"/>
      <c r="P1413" s="14"/>
      <c r="Q1413" s="14"/>
      <c r="R1413" s="14"/>
    </row>
    <row r="1414" spans="15:18" x14ac:dyDescent="0.3">
      <c r="O1414" s="14"/>
      <c r="P1414" s="14"/>
      <c r="Q1414" s="14"/>
      <c r="R1414" s="14"/>
    </row>
    <row r="1415" spans="15:18" x14ac:dyDescent="0.3">
      <c r="O1415" s="14"/>
      <c r="P1415" s="14"/>
      <c r="Q1415" s="14"/>
      <c r="R1415" s="14"/>
    </row>
    <row r="1416" spans="15:18" x14ac:dyDescent="0.3">
      <c r="O1416" s="14"/>
      <c r="P1416" s="14"/>
      <c r="Q1416" s="14"/>
      <c r="R1416" s="14"/>
    </row>
    <row r="1417" spans="15:18" x14ac:dyDescent="0.3">
      <c r="O1417" s="14"/>
      <c r="P1417" s="14"/>
      <c r="Q1417" s="14"/>
      <c r="R1417" s="14"/>
    </row>
    <row r="1418" spans="15:18" x14ac:dyDescent="0.3">
      <c r="O1418" s="14"/>
      <c r="P1418" s="14"/>
      <c r="Q1418" s="14"/>
      <c r="R1418" s="14"/>
    </row>
    <row r="1419" spans="15:18" x14ac:dyDescent="0.3">
      <c r="O1419" s="14"/>
      <c r="P1419" s="14"/>
      <c r="Q1419" s="14"/>
      <c r="R1419" s="14"/>
    </row>
    <row r="1420" spans="15:18" x14ac:dyDescent="0.3">
      <c r="O1420" s="14"/>
      <c r="P1420" s="14"/>
      <c r="Q1420" s="14"/>
      <c r="R1420" s="14"/>
    </row>
    <row r="1421" spans="15:18" x14ac:dyDescent="0.3">
      <c r="O1421" s="14"/>
      <c r="P1421" s="14"/>
      <c r="Q1421" s="14"/>
      <c r="R1421" s="14"/>
    </row>
    <row r="1422" spans="15:18" x14ac:dyDescent="0.3">
      <c r="O1422" s="14"/>
      <c r="P1422" s="14"/>
      <c r="Q1422" s="14"/>
      <c r="R1422" s="14"/>
    </row>
    <row r="1423" spans="15:18" x14ac:dyDescent="0.3">
      <c r="O1423" s="14"/>
      <c r="P1423" s="14"/>
      <c r="Q1423" s="14"/>
      <c r="R1423" s="14"/>
    </row>
    <row r="1424" spans="15:18" x14ac:dyDescent="0.3">
      <c r="O1424" s="14"/>
      <c r="P1424" s="14"/>
      <c r="Q1424" s="14"/>
      <c r="R1424" s="14"/>
    </row>
    <row r="1425" spans="15:18" x14ac:dyDescent="0.3">
      <c r="O1425" s="14"/>
      <c r="P1425" s="14"/>
      <c r="Q1425" s="14"/>
      <c r="R1425" s="14"/>
    </row>
    <row r="1426" spans="15:18" x14ac:dyDescent="0.3">
      <c r="O1426" s="14"/>
      <c r="P1426" s="14"/>
      <c r="Q1426" s="14"/>
      <c r="R1426" s="14"/>
    </row>
    <row r="1427" spans="15:18" x14ac:dyDescent="0.3">
      <c r="O1427" s="14"/>
      <c r="P1427" s="14"/>
      <c r="Q1427" s="14"/>
      <c r="R1427" s="14"/>
    </row>
    <row r="1428" spans="15:18" x14ac:dyDescent="0.3">
      <c r="O1428" s="14"/>
      <c r="P1428" s="14"/>
      <c r="Q1428" s="14"/>
      <c r="R1428" s="14"/>
    </row>
    <row r="1429" spans="15:18" x14ac:dyDescent="0.3">
      <c r="O1429" s="14"/>
      <c r="P1429" s="14"/>
      <c r="Q1429" s="14"/>
      <c r="R1429" s="14"/>
    </row>
    <row r="1430" spans="15:18" x14ac:dyDescent="0.3">
      <c r="O1430" s="14"/>
      <c r="P1430" s="14"/>
      <c r="Q1430" s="14"/>
      <c r="R1430" s="14"/>
    </row>
    <row r="1431" spans="15:18" x14ac:dyDescent="0.3">
      <c r="O1431" s="14"/>
      <c r="P1431" s="14"/>
      <c r="Q1431" s="14"/>
      <c r="R1431" s="14"/>
    </row>
    <row r="1432" spans="15:18" x14ac:dyDescent="0.3">
      <c r="O1432" s="14"/>
      <c r="P1432" s="14"/>
      <c r="Q1432" s="14"/>
      <c r="R1432" s="14"/>
    </row>
    <row r="1433" spans="15:18" x14ac:dyDescent="0.3">
      <c r="O1433" s="14"/>
      <c r="P1433" s="14"/>
      <c r="Q1433" s="14"/>
      <c r="R1433" s="14"/>
    </row>
    <row r="1434" spans="15:18" x14ac:dyDescent="0.3">
      <c r="O1434" s="14"/>
      <c r="P1434" s="14"/>
      <c r="Q1434" s="14"/>
      <c r="R1434" s="14"/>
    </row>
    <row r="1435" spans="15:18" x14ac:dyDescent="0.3">
      <c r="O1435" s="14"/>
      <c r="P1435" s="14"/>
      <c r="Q1435" s="14"/>
      <c r="R1435" s="14"/>
    </row>
    <row r="1436" spans="15:18" x14ac:dyDescent="0.3">
      <c r="O1436" s="14"/>
      <c r="P1436" s="14"/>
      <c r="Q1436" s="14"/>
      <c r="R1436" s="14"/>
    </row>
    <row r="1437" spans="15:18" x14ac:dyDescent="0.3">
      <c r="O1437" s="14"/>
      <c r="P1437" s="14"/>
      <c r="Q1437" s="14"/>
      <c r="R1437" s="14"/>
    </row>
    <row r="1438" spans="15:18" x14ac:dyDescent="0.3">
      <c r="O1438" s="14"/>
      <c r="P1438" s="14"/>
      <c r="Q1438" s="14"/>
      <c r="R1438" s="14"/>
    </row>
    <row r="1439" spans="15:18" x14ac:dyDescent="0.3">
      <c r="O1439" s="14"/>
      <c r="P1439" s="14"/>
      <c r="Q1439" s="14"/>
      <c r="R1439" s="14"/>
    </row>
    <row r="1440" spans="15:18" x14ac:dyDescent="0.3">
      <c r="O1440" s="14"/>
      <c r="P1440" s="14"/>
      <c r="Q1440" s="14"/>
      <c r="R1440" s="14"/>
    </row>
    <row r="1441" spans="15:18" x14ac:dyDescent="0.3">
      <c r="O1441" s="14"/>
      <c r="P1441" s="14"/>
      <c r="Q1441" s="14"/>
      <c r="R1441" s="14"/>
    </row>
    <row r="1442" spans="15:18" x14ac:dyDescent="0.3">
      <c r="O1442" s="14"/>
      <c r="P1442" s="14"/>
      <c r="Q1442" s="14"/>
      <c r="R1442" s="14"/>
    </row>
    <row r="1443" spans="15:18" x14ac:dyDescent="0.3">
      <c r="O1443" s="14"/>
      <c r="P1443" s="14"/>
      <c r="Q1443" s="14"/>
      <c r="R1443" s="14"/>
    </row>
    <row r="1444" spans="15:18" x14ac:dyDescent="0.3">
      <c r="O1444" s="14"/>
      <c r="P1444" s="14"/>
      <c r="Q1444" s="14"/>
      <c r="R1444" s="14"/>
    </row>
    <row r="1445" spans="15:18" x14ac:dyDescent="0.3">
      <c r="O1445" s="14"/>
      <c r="P1445" s="14"/>
      <c r="Q1445" s="14"/>
      <c r="R1445" s="14"/>
    </row>
    <row r="1446" spans="15:18" x14ac:dyDescent="0.3">
      <c r="O1446" s="14"/>
      <c r="P1446" s="14"/>
      <c r="Q1446" s="14"/>
      <c r="R1446" s="14"/>
    </row>
    <row r="1447" spans="15:18" x14ac:dyDescent="0.3">
      <c r="O1447" s="14"/>
      <c r="P1447" s="14"/>
      <c r="Q1447" s="14"/>
      <c r="R1447" s="14"/>
    </row>
    <row r="1448" spans="15:18" x14ac:dyDescent="0.3">
      <c r="O1448" s="14"/>
      <c r="P1448" s="14"/>
      <c r="Q1448" s="14"/>
      <c r="R1448" s="14"/>
    </row>
    <row r="1449" spans="15:18" x14ac:dyDescent="0.3">
      <c r="O1449" s="14"/>
      <c r="P1449" s="14"/>
      <c r="Q1449" s="14"/>
      <c r="R1449" s="14"/>
    </row>
    <row r="1450" spans="15:18" x14ac:dyDescent="0.3">
      <c r="O1450" s="14"/>
      <c r="P1450" s="14"/>
      <c r="Q1450" s="14"/>
      <c r="R1450" s="14"/>
    </row>
    <row r="1451" spans="15:18" x14ac:dyDescent="0.3">
      <c r="O1451" s="14"/>
      <c r="P1451" s="14"/>
      <c r="Q1451" s="14"/>
      <c r="R1451" s="14"/>
    </row>
    <row r="1452" spans="15:18" x14ac:dyDescent="0.3">
      <c r="O1452" s="14"/>
      <c r="P1452" s="14"/>
      <c r="Q1452" s="14"/>
      <c r="R1452" s="14"/>
    </row>
    <row r="1453" spans="15:18" x14ac:dyDescent="0.3">
      <c r="O1453" s="14"/>
      <c r="P1453" s="14"/>
      <c r="Q1453" s="14"/>
      <c r="R1453" s="14"/>
    </row>
    <row r="1454" spans="15:18" x14ac:dyDescent="0.3">
      <c r="O1454" s="14"/>
      <c r="P1454" s="14"/>
      <c r="Q1454" s="14"/>
      <c r="R1454" s="14"/>
    </row>
    <row r="1455" spans="15:18" x14ac:dyDescent="0.3">
      <c r="O1455" s="14"/>
      <c r="P1455" s="14"/>
      <c r="Q1455" s="14"/>
      <c r="R1455" s="14"/>
    </row>
    <row r="1456" spans="15:18" x14ac:dyDescent="0.3">
      <c r="O1456" s="14"/>
      <c r="P1456" s="14"/>
      <c r="Q1456" s="14"/>
      <c r="R1456" s="14"/>
    </row>
    <row r="1457" spans="15:18" x14ac:dyDescent="0.3">
      <c r="O1457" s="14"/>
      <c r="P1457" s="14"/>
      <c r="Q1457" s="14"/>
      <c r="R1457" s="14"/>
    </row>
    <row r="1458" spans="15:18" x14ac:dyDescent="0.3">
      <c r="O1458" s="14"/>
      <c r="P1458" s="14"/>
      <c r="Q1458" s="14"/>
      <c r="R1458" s="14"/>
    </row>
    <row r="1459" spans="15:18" x14ac:dyDescent="0.3">
      <c r="O1459" s="14"/>
      <c r="P1459" s="14"/>
      <c r="Q1459" s="14"/>
      <c r="R1459" s="14"/>
    </row>
    <row r="1460" spans="15:18" x14ac:dyDescent="0.3">
      <c r="O1460" s="14"/>
      <c r="P1460" s="14"/>
      <c r="Q1460" s="14"/>
      <c r="R1460" s="14"/>
    </row>
    <row r="1461" spans="15:18" x14ac:dyDescent="0.3">
      <c r="O1461" s="14"/>
      <c r="P1461" s="14"/>
      <c r="Q1461" s="14"/>
      <c r="R1461" s="14"/>
    </row>
    <row r="1462" spans="15:18" x14ac:dyDescent="0.3">
      <c r="O1462" s="14"/>
      <c r="P1462" s="14"/>
      <c r="Q1462" s="14"/>
      <c r="R1462" s="14"/>
    </row>
    <row r="1463" spans="15:18" x14ac:dyDescent="0.3">
      <c r="O1463" s="14"/>
      <c r="P1463" s="14"/>
      <c r="Q1463" s="14"/>
      <c r="R1463" s="14"/>
    </row>
    <row r="1464" spans="15:18" x14ac:dyDescent="0.3">
      <c r="O1464" s="14"/>
      <c r="P1464" s="14"/>
      <c r="Q1464" s="14"/>
      <c r="R1464" s="14"/>
    </row>
    <row r="1465" spans="15:18" x14ac:dyDescent="0.3">
      <c r="O1465" s="14"/>
      <c r="P1465" s="14"/>
      <c r="Q1465" s="14"/>
      <c r="R1465" s="14"/>
    </row>
    <row r="1466" spans="15:18" x14ac:dyDescent="0.3">
      <c r="O1466" s="14"/>
      <c r="P1466" s="14"/>
      <c r="Q1466" s="14"/>
      <c r="R1466" s="14"/>
    </row>
    <row r="1467" spans="15:18" x14ac:dyDescent="0.3">
      <c r="O1467" s="14"/>
      <c r="P1467" s="14"/>
      <c r="Q1467" s="14"/>
      <c r="R1467" s="14"/>
    </row>
    <row r="1468" spans="15:18" x14ac:dyDescent="0.3">
      <c r="O1468" s="14"/>
      <c r="P1468" s="14"/>
      <c r="Q1468" s="14"/>
      <c r="R1468" s="14"/>
    </row>
    <row r="1469" spans="15:18" x14ac:dyDescent="0.3">
      <c r="O1469" s="14"/>
      <c r="P1469" s="14"/>
      <c r="Q1469" s="14"/>
      <c r="R1469" s="14"/>
    </row>
    <row r="1470" spans="15:18" x14ac:dyDescent="0.3">
      <c r="O1470" s="14"/>
      <c r="P1470" s="14"/>
      <c r="Q1470" s="14"/>
      <c r="R1470" s="14"/>
    </row>
    <row r="1471" spans="15:18" x14ac:dyDescent="0.3">
      <c r="O1471" s="14"/>
      <c r="P1471" s="14"/>
      <c r="Q1471" s="14"/>
      <c r="R1471" s="14"/>
    </row>
    <row r="1472" spans="15:18" x14ac:dyDescent="0.3">
      <c r="O1472" s="14"/>
      <c r="P1472" s="14"/>
      <c r="Q1472" s="14"/>
      <c r="R1472" s="14"/>
    </row>
    <row r="1473" spans="15:18" x14ac:dyDescent="0.3">
      <c r="O1473" s="14"/>
      <c r="P1473" s="14"/>
      <c r="Q1473" s="14"/>
      <c r="R1473" s="14"/>
    </row>
    <row r="1474" spans="15:18" x14ac:dyDescent="0.3">
      <c r="O1474" s="14"/>
      <c r="P1474" s="14"/>
      <c r="Q1474" s="14"/>
      <c r="R1474" s="14"/>
    </row>
    <row r="1475" spans="15:18" x14ac:dyDescent="0.3">
      <c r="O1475" s="14"/>
      <c r="P1475" s="14"/>
      <c r="Q1475" s="14"/>
      <c r="R1475" s="14"/>
    </row>
    <row r="1476" spans="15:18" x14ac:dyDescent="0.3">
      <c r="O1476" s="14"/>
      <c r="P1476" s="14"/>
      <c r="Q1476" s="14"/>
      <c r="R1476" s="14"/>
    </row>
    <row r="1477" spans="15:18" x14ac:dyDescent="0.3">
      <c r="O1477" s="14"/>
      <c r="P1477" s="14"/>
      <c r="Q1477" s="14"/>
      <c r="R1477" s="14"/>
    </row>
    <row r="1478" spans="15:18" x14ac:dyDescent="0.3">
      <c r="O1478" s="14"/>
      <c r="P1478" s="14"/>
      <c r="Q1478" s="14"/>
      <c r="R1478" s="14"/>
    </row>
    <row r="1479" spans="15:18" x14ac:dyDescent="0.3">
      <c r="O1479" s="14"/>
      <c r="P1479" s="14"/>
      <c r="Q1479" s="14"/>
      <c r="R1479" s="14"/>
    </row>
    <row r="1480" spans="15:18" x14ac:dyDescent="0.3">
      <c r="O1480" s="14"/>
      <c r="P1480" s="14"/>
      <c r="Q1480" s="14"/>
      <c r="R1480" s="14"/>
    </row>
    <row r="1481" spans="15:18" x14ac:dyDescent="0.3">
      <c r="O1481" s="14"/>
      <c r="P1481" s="14"/>
      <c r="Q1481" s="14"/>
      <c r="R1481" s="14"/>
    </row>
    <row r="1482" spans="15:18" x14ac:dyDescent="0.3">
      <c r="O1482" s="14"/>
      <c r="P1482" s="14"/>
      <c r="Q1482" s="14"/>
      <c r="R1482" s="14"/>
    </row>
    <row r="1483" spans="15:18" x14ac:dyDescent="0.3">
      <c r="O1483" s="14"/>
      <c r="P1483" s="14"/>
      <c r="Q1483" s="14"/>
      <c r="R1483" s="14"/>
    </row>
    <row r="1484" spans="15:18" x14ac:dyDescent="0.3">
      <c r="O1484" s="14"/>
      <c r="P1484" s="14"/>
      <c r="Q1484" s="14"/>
      <c r="R1484" s="14"/>
    </row>
    <row r="1485" spans="15:18" x14ac:dyDescent="0.3">
      <c r="O1485" s="14"/>
      <c r="P1485" s="14"/>
      <c r="Q1485" s="14"/>
      <c r="R1485" s="14"/>
    </row>
    <row r="1486" spans="15:18" x14ac:dyDescent="0.3">
      <c r="O1486" s="14"/>
      <c r="P1486" s="14"/>
      <c r="Q1486" s="14"/>
      <c r="R1486" s="14"/>
    </row>
    <row r="1487" spans="15:18" x14ac:dyDescent="0.3">
      <c r="O1487" s="14"/>
      <c r="P1487" s="14"/>
      <c r="Q1487" s="14"/>
      <c r="R1487" s="14"/>
    </row>
    <row r="1488" spans="15:18" x14ac:dyDescent="0.3">
      <c r="O1488" s="14"/>
      <c r="P1488" s="14"/>
      <c r="Q1488" s="14"/>
      <c r="R1488" s="14"/>
    </row>
    <row r="1489" spans="15:18" x14ac:dyDescent="0.3">
      <c r="O1489" s="14"/>
      <c r="P1489" s="14"/>
      <c r="Q1489" s="14"/>
      <c r="R1489" s="14"/>
    </row>
    <row r="1490" spans="15:18" x14ac:dyDescent="0.3">
      <c r="O1490" s="14"/>
      <c r="P1490" s="14"/>
      <c r="Q1490" s="14"/>
      <c r="R1490" s="14"/>
    </row>
    <row r="1491" spans="15:18" x14ac:dyDescent="0.3">
      <c r="O1491" s="14"/>
      <c r="P1491" s="14"/>
      <c r="Q1491" s="14"/>
      <c r="R1491" s="14"/>
    </row>
    <row r="1492" spans="15:18" x14ac:dyDescent="0.3">
      <c r="O1492" s="14"/>
      <c r="P1492" s="14"/>
      <c r="Q1492" s="14"/>
      <c r="R1492" s="14"/>
    </row>
    <row r="1493" spans="15:18" x14ac:dyDescent="0.3">
      <c r="O1493" s="14"/>
      <c r="P1493" s="14"/>
      <c r="Q1493" s="14"/>
      <c r="R1493" s="14"/>
    </row>
    <row r="1494" spans="15:18" x14ac:dyDescent="0.3">
      <c r="O1494" s="14"/>
      <c r="P1494" s="14"/>
      <c r="Q1494" s="14"/>
      <c r="R1494" s="14"/>
    </row>
    <row r="1495" spans="15:18" x14ac:dyDescent="0.3">
      <c r="O1495" s="14"/>
      <c r="P1495" s="14"/>
      <c r="Q1495" s="14"/>
      <c r="R1495" s="14"/>
    </row>
    <row r="1496" spans="15:18" x14ac:dyDescent="0.3">
      <c r="O1496" s="14"/>
      <c r="P1496" s="14"/>
      <c r="Q1496" s="14"/>
      <c r="R1496" s="14"/>
    </row>
    <row r="1497" spans="15:18" x14ac:dyDescent="0.3">
      <c r="O1497" s="14"/>
      <c r="P1497" s="14"/>
      <c r="Q1497" s="14"/>
      <c r="R1497" s="14"/>
    </row>
    <row r="1498" spans="15:18" x14ac:dyDescent="0.3">
      <c r="O1498" s="14"/>
      <c r="P1498" s="14"/>
      <c r="Q1498" s="14"/>
      <c r="R1498" s="14"/>
    </row>
    <row r="1499" spans="15:18" x14ac:dyDescent="0.3">
      <c r="O1499" s="14"/>
      <c r="P1499" s="14"/>
      <c r="Q1499" s="14"/>
      <c r="R1499" s="14"/>
    </row>
    <row r="1500" spans="15:18" x14ac:dyDescent="0.3">
      <c r="O1500" s="14"/>
      <c r="P1500" s="14"/>
      <c r="Q1500" s="14"/>
      <c r="R1500" s="14"/>
    </row>
    <row r="1501" spans="15:18" x14ac:dyDescent="0.3">
      <c r="O1501" s="14"/>
      <c r="P1501" s="14"/>
      <c r="Q1501" s="14"/>
      <c r="R1501" s="14"/>
    </row>
    <row r="1502" spans="15:18" x14ac:dyDescent="0.3">
      <c r="O1502" s="14"/>
      <c r="P1502" s="14"/>
      <c r="Q1502" s="14"/>
      <c r="R1502" s="14"/>
    </row>
    <row r="1503" spans="15:18" x14ac:dyDescent="0.3">
      <c r="O1503" s="14"/>
      <c r="P1503" s="14"/>
      <c r="Q1503" s="14"/>
      <c r="R1503" s="14"/>
    </row>
    <row r="1504" spans="15:18" x14ac:dyDescent="0.3">
      <c r="O1504" s="14"/>
      <c r="P1504" s="14"/>
      <c r="Q1504" s="14"/>
      <c r="R1504" s="14"/>
    </row>
    <row r="1505" spans="15:18" x14ac:dyDescent="0.3">
      <c r="O1505" s="14"/>
      <c r="P1505" s="14"/>
      <c r="Q1505" s="14"/>
      <c r="R1505" s="14"/>
    </row>
    <row r="1506" spans="15:18" x14ac:dyDescent="0.3">
      <c r="O1506" s="14"/>
      <c r="P1506" s="14"/>
      <c r="Q1506" s="14"/>
      <c r="R1506" s="14"/>
    </row>
    <row r="1507" spans="15:18" x14ac:dyDescent="0.3">
      <c r="O1507" s="14"/>
      <c r="P1507" s="14"/>
      <c r="Q1507" s="14"/>
      <c r="R1507" s="14"/>
    </row>
    <row r="1508" spans="15:18" x14ac:dyDescent="0.3">
      <c r="O1508" s="14"/>
      <c r="P1508" s="14"/>
      <c r="Q1508" s="14"/>
      <c r="R1508" s="14"/>
    </row>
    <row r="1509" spans="15:18" x14ac:dyDescent="0.3">
      <c r="O1509" s="14"/>
      <c r="P1509" s="14"/>
      <c r="Q1509" s="14"/>
      <c r="R1509" s="14"/>
    </row>
    <row r="1510" spans="15:18" x14ac:dyDescent="0.3">
      <c r="O1510" s="14"/>
      <c r="P1510" s="14"/>
      <c r="Q1510" s="14"/>
      <c r="R1510" s="14"/>
    </row>
    <row r="1511" spans="15:18" x14ac:dyDescent="0.3">
      <c r="O1511" s="14"/>
      <c r="P1511" s="14"/>
      <c r="Q1511" s="14"/>
      <c r="R1511" s="14"/>
    </row>
    <row r="1512" spans="15:18" x14ac:dyDescent="0.3">
      <c r="O1512" s="14"/>
      <c r="P1512" s="14"/>
      <c r="Q1512" s="14"/>
      <c r="R1512" s="14"/>
    </row>
    <row r="1513" spans="15:18" x14ac:dyDescent="0.3">
      <c r="O1513" s="14"/>
      <c r="P1513" s="14"/>
      <c r="Q1513" s="14"/>
      <c r="R1513" s="14"/>
    </row>
    <row r="1514" spans="15:18" x14ac:dyDescent="0.3">
      <c r="O1514" s="14"/>
      <c r="P1514" s="14"/>
      <c r="Q1514" s="14"/>
      <c r="R1514" s="14"/>
    </row>
    <row r="1515" spans="15:18" x14ac:dyDescent="0.3">
      <c r="O1515" s="14"/>
      <c r="P1515" s="14"/>
      <c r="Q1515" s="14"/>
      <c r="R1515" s="14"/>
    </row>
    <row r="1516" spans="15:18" x14ac:dyDescent="0.3">
      <c r="O1516" s="14"/>
      <c r="P1516" s="14"/>
      <c r="Q1516" s="14"/>
      <c r="R1516" s="14"/>
    </row>
    <row r="1517" spans="15:18" x14ac:dyDescent="0.3">
      <c r="O1517" s="14"/>
      <c r="P1517" s="14"/>
      <c r="Q1517" s="14"/>
      <c r="R1517" s="14"/>
    </row>
    <row r="1518" spans="15:18" x14ac:dyDescent="0.3">
      <c r="O1518" s="14"/>
      <c r="P1518" s="14"/>
      <c r="Q1518" s="14"/>
      <c r="R1518" s="14"/>
    </row>
    <row r="1519" spans="15:18" x14ac:dyDescent="0.3">
      <c r="O1519" s="14"/>
      <c r="P1519" s="14"/>
      <c r="Q1519" s="14"/>
      <c r="R1519" s="14"/>
    </row>
    <row r="1520" spans="15:18" x14ac:dyDescent="0.3">
      <c r="O1520" s="14"/>
      <c r="P1520" s="14"/>
      <c r="Q1520" s="14"/>
      <c r="R1520" s="14"/>
    </row>
    <row r="1521" spans="15:18" x14ac:dyDescent="0.3">
      <c r="O1521" s="14"/>
      <c r="P1521" s="14"/>
      <c r="Q1521" s="14"/>
      <c r="R1521" s="14"/>
    </row>
    <row r="1522" spans="15:18" x14ac:dyDescent="0.3">
      <c r="O1522" s="14"/>
      <c r="P1522" s="14"/>
      <c r="Q1522" s="14"/>
      <c r="R1522" s="14"/>
    </row>
    <row r="1523" spans="15:18" x14ac:dyDescent="0.3">
      <c r="O1523" s="14"/>
      <c r="P1523" s="14"/>
      <c r="Q1523" s="14"/>
      <c r="R1523" s="14"/>
    </row>
    <row r="1524" spans="15:18" x14ac:dyDescent="0.3">
      <c r="O1524" s="14"/>
      <c r="P1524" s="14"/>
      <c r="Q1524" s="14"/>
      <c r="R1524" s="14"/>
    </row>
    <row r="1525" spans="15:18" x14ac:dyDescent="0.3">
      <c r="O1525" s="14"/>
      <c r="P1525" s="14"/>
      <c r="Q1525" s="14"/>
      <c r="R1525" s="14"/>
    </row>
    <row r="1526" spans="15:18" x14ac:dyDescent="0.3">
      <c r="O1526" s="14"/>
      <c r="P1526" s="14"/>
      <c r="Q1526" s="14"/>
      <c r="R1526" s="14"/>
    </row>
    <row r="1527" spans="15:18" x14ac:dyDescent="0.3">
      <c r="O1527" s="14"/>
      <c r="P1527" s="14"/>
      <c r="Q1527" s="14"/>
      <c r="R1527" s="14"/>
    </row>
    <row r="1528" spans="15:18" x14ac:dyDescent="0.3">
      <c r="O1528" s="14"/>
      <c r="P1528" s="14"/>
      <c r="Q1528" s="14"/>
      <c r="R1528" s="14"/>
    </row>
    <row r="1529" spans="15:18" x14ac:dyDescent="0.3">
      <c r="O1529" s="14"/>
      <c r="P1529" s="14"/>
      <c r="Q1529" s="14"/>
      <c r="R1529" s="14"/>
    </row>
    <row r="1530" spans="15:18" x14ac:dyDescent="0.3">
      <c r="O1530" s="14"/>
      <c r="P1530" s="14"/>
      <c r="Q1530" s="14"/>
      <c r="R1530" s="14"/>
    </row>
    <row r="1531" spans="15:18" x14ac:dyDescent="0.3">
      <c r="O1531" s="14"/>
      <c r="P1531" s="14"/>
      <c r="Q1531" s="14"/>
      <c r="R1531" s="14"/>
    </row>
    <row r="1532" spans="15:18" x14ac:dyDescent="0.3">
      <c r="O1532" s="14"/>
      <c r="P1532" s="14"/>
      <c r="Q1532" s="14"/>
      <c r="R1532" s="14"/>
    </row>
    <row r="1533" spans="15:18" x14ac:dyDescent="0.3">
      <c r="O1533" s="14"/>
      <c r="P1533" s="14"/>
      <c r="Q1533" s="14"/>
      <c r="R1533" s="14"/>
    </row>
    <row r="1534" spans="15:18" x14ac:dyDescent="0.3">
      <c r="O1534" s="14"/>
      <c r="P1534" s="14"/>
      <c r="Q1534" s="14"/>
      <c r="R1534" s="14"/>
    </row>
    <row r="1535" spans="15:18" x14ac:dyDescent="0.3">
      <c r="O1535" s="14"/>
      <c r="P1535" s="14"/>
      <c r="Q1535" s="14"/>
      <c r="R1535" s="14"/>
    </row>
    <row r="1536" spans="15:18" x14ac:dyDescent="0.3">
      <c r="O1536" s="14"/>
      <c r="P1536" s="14"/>
      <c r="Q1536" s="14"/>
      <c r="R1536" s="14"/>
    </row>
    <row r="1537" spans="15:18" x14ac:dyDescent="0.3">
      <c r="O1537" s="14"/>
      <c r="P1537" s="14"/>
      <c r="Q1537" s="14"/>
      <c r="R1537" s="14"/>
    </row>
    <row r="1538" spans="15:18" x14ac:dyDescent="0.3">
      <c r="O1538" s="14"/>
      <c r="P1538" s="14"/>
      <c r="Q1538" s="14"/>
      <c r="R1538" s="14"/>
    </row>
    <row r="1539" spans="15:18" x14ac:dyDescent="0.3">
      <c r="O1539" s="14"/>
      <c r="P1539" s="14"/>
      <c r="Q1539" s="14"/>
      <c r="R1539" s="14"/>
    </row>
    <row r="1540" spans="15:18" x14ac:dyDescent="0.3">
      <c r="O1540" s="14"/>
      <c r="P1540" s="14"/>
      <c r="Q1540" s="14"/>
      <c r="R1540" s="14"/>
    </row>
    <row r="1541" spans="15:18" x14ac:dyDescent="0.3">
      <c r="O1541" s="14"/>
      <c r="P1541" s="14"/>
      <c r="Q1541" s="14"/>
      <c r="R1541" s="14"/>
    </row>
    <row r="1542" spans="15:18" x14ac:dyDescent="0.3">
      <c r="O1542" s="14"/>
      <c r="P1542" s="14"/>
      <c r="Q1542" s="14"/>
      <c r="R1542" s="14"/>
    </row>
    <row r="1543" spans="15:18" x14ac:dyDescent="0.3">
      <c r="O1543" s="14"/>
      <c r="P1543" s="14"/>
      <c r="Q1543" s="14"/>
      <c r="R1543" s="14"/>
    </row>
    <row r="1544" spans="15:18" x14ac:dyDescent="0.3">
      <c r="O1544" s="14"/>
      <c r="P1544" s="14"/>
      <c r="Q1544" s="14"/>
      <c r="R1544" s="14"/>
    </row>
    <row r="1545" spans="15:18" x14ac:dyDescent="0.3">
      <c r="O1545" s="14"/>
      <c r="P1545" s="14"/>
      <c r="Q1545" s="14"/>
      <c r="R1545" s="14"/>
    </row>
    <row r="1546" spans="15:18" x14ac:dyDescent="0.3">
      <c r="O1546" s="14"/>
      <c r="P1546" s="14"/>
      <c r="Q1546" s="14"/>
      <c r="R1546" s="14"/>
    </row>
    <row r="1547" spans="15:18" x14ac:dyDescent="0.3">
      <c r="O1547" s="14"/>
      <c r="P1547" s="14"/>
      <c r="Q1547" s="14"/>
      <c r="R1547" s="14"/>
    </row>
    <row r="1548" spans="15:18" x14ac:dyDescent="0.3">
      <c r="O1548" s="14"/>
      <c r="P1548" s="14"/>
      <c r="Q1548" s="14"/>
      <c r="R1548" s="14"/>
    </row>
    <row r="1549" spans="15:18" x14ac:dyDescent="0.3">
      <c r="O1549" s="14"/>
      <c r="P1549" s="14"/>
      <c r="Q1549" s="14"/>
      <c r="R1549" s="14"/>
    </row>
    <row r="1550" spans="15:18" x14ac:dyDescent="0.3">
      <c r="O1550" s="14"/>
      <c r="P1550" s="14"/>
      <c r="Q1550" s="14"/>
      <c r="R1550" s="14"/>
    </row>
    <row r="1551" spans="15:18" x14ac:dyDescent="0.3">
      <c r="O1551" s="14"/>
      <c r="P1551" s="14"/>
      <c r="Q1551" s="14"/>
      <c r="R1551" s="14"/>
    </row>
    <row r="1552" spans="15:18" x14ac:dyDescent="0.3">
      <c r="O1552" s="14"/>
      <c r="P1552" s="14"/>
      <c r="Q1552" s="14"/>
      <c r="R1552" s="14"/>
    </row>
    <row r="1553" spans="15:18" x14ac:dyDescent="0.3">
      <c r="O1553" s="14"/>
      <c r="P1553" s="14"/>
      <c r="Q1553" s="14"/>
      <c r="R1553" s="14"/>
    </row>
    <row r="1554" spans="15:18" x14ac:dyDescent="0.3">
      <c r="O1554" s="14"/>
      <c r="P1554" s="14"/>
      <c r="Q1554" s="14"/>
      <c r="R1554" s="14"/>
    </row>
    <row r="1555" spans="15:18" x14ac:dyDescent="0.3">
      <c r="O1555" s="14"/>
      <c r="P1555" s="14"/>
      <c r="Q1555" s="14"/>
      <c r="R1555" s="14"/>
    </row>
    <row r="1556" spans="15:18" x14ac:dyDescent="0.3">
      <c r="O1556" s="14"/>
      <c r="P1556" s="14"/>
      <c r="Q1556" s="14"/>
      <c r="R1556" s="14"/>
    </row>
    <row r="1557" spans="15:18" x14ac:dyDescent="0.3">
      <c r="O1557" s="14"/>
      <c r="P1557" s="14"/>
      <c r="Q1557" s="14"/>
      <c r="R1557" s="14"/>
    </row>
    <row r="1558" spans="15:18" x14ac:dyDescent="0.3">
      <c r="O1558" s="14"/>
      <c r="P1558" s="14"/>
      <c r="Q1558" s="14"/>
      <c r="R1558" s="14"/>
    </row>
    <row r="1559" spans="15:18" x14ac:dyDescent="0.3">
      <c r="O1559" s="14"/>
      <c r="P1559" s="14"/>
      <c r="Q1559" s="14"/>
      <c r="R1559" s="14"/>
    </row>
    <row r="1560" spans="15:18" x14ac:dyDescent="0.3">
      <c r="O1560" s="14"/>
      <c r="P1560" s="14"/>
      <c r="Q1560" s="14"/>
      <c r="R1560" s="14"/>
    </row>
    <row r="1561" spans="15:18" x14ac:dyDescent="0.3">
      <c r="O1561" s="14"/>
      <c r="P1561" s="14"/>
      <c r="Q1561" s="14"/>
      <c r="R1561" s="14"/>
    </row>
    <row r="1562" spans="15:18" x14ac:dyDescent="0.3">
      <c r="O1562" s="14"/>
      <c r="P1562" s="14"/>
      <c r="Q1562" s="14"/>
      <c r="R1562" s="14"/>
    </row>
    <row r="1563" spans="15:18" x14ac:dyDescent="0.3">
      <c r="O1563" s="14"/>
      <c r="P1563" s="14"/>
      <c r="Q1563" s="14"/>
      <c r="R1563" s="14"/>
    </row>
    <row r="1564" spans="15:18" x14ac:dyDescent="0.3">
      <c r="O1564" s="14"/>
      <c r="P1564" s="14"/>
      <c r="Q1564" s="14"/>
      <c r="R1564" s="14"/>
    </row>
    <row r="1565" spans="15:18" x14ac:dyDescent="0.3">
      <c r="O1565" s="14"/>
      <c r="P1565" s="14"/>
      <c r="Q1565" s="14"/>
      <c r="R1565" s="14"/>
    </row>
    <row r="1566" spans="15:18" x14ac:dyDescent="0.3">
      <c r="O1566" s="14"/>
      <c r="P1566" s="14"/>
      <c r="Q1566" s="14"/>
      <c r="R1566" s="14"/>
    </row>
    <row r="1567" spans="15:18" x14ac:dyDescent="0.3">
      <c r="O1567" s="14"/>
      <c r="P1567" s="14"/>
      <c r="Q1567" s="14"/>
      <c r="R1567" s="14"/>
    </row>
    <row r="1568" spans="15:18" x14ac:dyDescent="0.3">
      <c r="O1568" s="14"/>
      <c r="P1568" s="14"/>
      <c r="Q1568" s="14"/>
      <c r="R1568" s="14"/>
    </row>
    <row r="1569" spans="15:18" x14ac:dyDescent="0.3">
      <c r="O1569" s="14"/>
      <c r="P1569" s="14"/>
      <c r="Q1569" s="14"/>
      <c r="R1569" s="14"/>
    </row>
    <row r="1570" spans="15:18" x14ac:dyDescent="0.3">
      <c r="O1570" s="14"/>
      <c r="P1570" s="14"/>
      <c r="Q1570" s="14"/>
      <c r="R1570" s="14"/>
    </row>
    <row r="1571" spans="15:18" x14ac:dyDescent="0.3">
      <c r="O1571" s="14"/>
      <c r="P1571" s="14"/>
      <c r="Q1571" s="14"/>
      <c r="R1571" s="14"/>
    </row>
    <row r="1572" spans="15:18" x14ac:dyDescent="0.3">
      <c r="O1572" s="14"/>
      <c r="P1572" s="14"/>
      <c r="Q1572" s="14"/>
      <c r="R1572" s="14"/>
    </row>
    <row r="1573" spans="15:18" x14ac:dyDescent="0.3">
      <c r="O1573" s="14"/>
      <c r="P1573" s="14"/>
      <c r="Q1573" s="14"/>
      <c r="R1573" s="14"/>
    </row>
    <row r="1574" spans="15:18" x14ac:dyDescent="0.3">
      <c r="O1574" s="14"/>
      <c r="P1574" s="14"/>
      <c r="Q1574" s="14"/>
      <c r="R1574" s="14"/>
    </row>
    <row r="1575" spans="15:18" x14ac:dyDescent="0.3">
      <c r="O1575" s="14"/>
      <c r="P1575" s="14"/>
      <c r="Q1575" s="14"/>
      <c r="R1575" s="14"/>
    </row>
    <row r="1576" spans="15:18" x14ac:dyDescent="0.3">
      <c r="O1576" s="14"/>
      <c r="P1576" s="14"/>
      <c r="Q1576" s="14"/>
      <c r="R1576" s="14"/>
    </row>
    <row r="1577" spans="15:18" x14ac:dyDescent="0.3">
      <c r="O1577" s="14"/>
      <c r="P1577" s="14"/>
      <c r="Q1577" s="14"/>
      <c r="R1577" s="14"/>
    </row>
    <row r="1578" spans="15:18" x14ac:dyDescent="0.3">
      <c r="O1578" s="14"/>
      <c r="P1578" s="14"/>
      <c r="Q1578" s="14"/>
      <c r="R1578" s="14"/>
    </row>
    <row r="1579" spans="15:18" x14ac:dyDescent="0.3">
      <c r="O1579" s="14"/>
      <c r="P1579" s="14"/>
      <c r="Q1579" s="14"/>
      <c r="R1579" s="14"/>
    </row>
    <row r="1580" spans="15:18" x14ac:dyDescent="0.3">
      <c r="O1580" s="14"/>
      <c r="P1580" s="14"/>
      <c r="Q1580" s="14"/>
      <c r="R1580" s="14"/>
    </row>
    <row r="1581" spans="15:18" x14ac:dyDescent="0.3">
      <c r="O1581" s="14"/>
      <c r="P1581" s="14"/>
      <c r="Q1581" s="14"/>
      <c r="R1581" s="14"/>
    </row>
    <row r="1582" spans="15:18" x14ac:dyDescent="0.3">
      <c r="O1582" s="14"/>
      <c r="P1582" s="14"/>
      <c r="Q1582" s="14"/>
      <c r="R1582" s="14"/>
    </row>
    <row r="1583" spans="15:18" x14ac:dyDescent="0.3">
      <c r="O1583" s="14"/>
      <c r="P1583" s="14"/>
      <c r="Q1583" s="14"/>
      <c r="R1583" s="14"/>
    </row>
    <row r="1584" spans="15:18" x14ac:dyDescent="0.3">
      <c r="O1584" s="14"/>
      <c r="P1584" s="14"/>
      <c r="Q1584" s="14"/>
      <c r="R1584" s="14"/>
    </row>
    <row r="1585" spans="15:18" x14ac:dyDescent="0.3">
      <c r="O1585" s="14"/>
      <c r="P1585" s="14"/>
      <c r="Q1585" s="14"/>
      <c r="R1585" s="14"/>
    </row>
    <row r="1586" spans="15:18" x14ac:dyDescent="0.3">
      <c r="O1586" s="14"/>
      <c r="P1586" s="14"/>
      <c r="Q1586" s="14"/>
      <c r="R1586" s="14"/>
    </row>
    <row r="1587" spans="15:18" x14ac:dyDescent="0.3">
      <c r="O1587" s="14"/>
      <c r="P1587" s="14"/>
      <c r="Q1587" s="14"/>
      <c r="R1587" s="14"/>
    </row>
    <row r="1588" spans="15:18" x14ac:dyDescent="0.3">
      <c r="O1588" s="14"/>
      <c r="P1588" s="14"/>
      <c r="Q1588" s="14"/>
      <c r="R1588" s="14"/>
    </row>
    <row r="1589" spans="15:18" x14ac:dyDescent="0.3">
      <c r="O1589" s="14"/>
      <c r="P1589" s="14"/>
      <c r="Q1589" s="14"/>
      <c r="R1589" s="14"/>
    </row>
    <row r="1590" spans="15:18" x14ac:dyDescent="0.3">
      <c r="O1590" s="14"/>
      <c r="P1590" s="14"/>
      <c r="Q1590" s="14"/>
      <c r="R1590" s="14"/>
    </row>
    <row r="1591" spans="15:18" x14ac:dyDescent="0.3">
      <c r="O1591" s="14"/>
      <c r="P1591" s="14"/>
      <c r="Q1591" s="14"/>
      <c r="R1591" s="14"/>
    </row>
    <row r="1592" spans="15:18" x14ac:dyDescent="0.3">
      <c r="O1592" s="14"/>
      <c r="P1592" s="14"/>
      <c r="Q1592" s="14"/>
      <c r="R1592" s="14"/>
    </row>
    <row r="1593" spans="15:18" x14ac:dyDescent="0.3">
      <c r="O1593" s="14"/>
      <c r="P1593" s="14"/>
      <c r="Q1593" s="14"/>
      <c r="R1593" s="14"/>
    </row>
    <row r="1594" spans="15:18" x14ac:dyDescent="0.3">
      <c r="O1594" s="14"/>
      <c r="P1594" s="14"/>
      <c r="Q1594" s="14"/>
      <c r="R1594" s="14"/>
    </row>
    <row r="1595" spans="15:18" x14ac:dyDescent="0.3">
      <c r="O1595" s="14"/>
      <c r="P1595" s="14"/>
      <c r="Q1595" s="14"/>
      <c r="R1595" s="14"/>
    </row>
    <row r="1596" spans="15:18" x14ac:dyDescent="0.3">
      <c r="O1596" s="14"/>
      <c r="P1596" s="14"/>
      <c r="Q1596" s="14"/>
      <c r="R1596" s="14"/>
    </row>
    <row r="1597" spans="15:18" x14ac:dyDescent="0.3">
      <c r="O1597" s="14"/>
      <c r="P1597" s="14"/>
      <c r="Q1597" s="14"/>
      <c r="R1597" s="14"/>
    </row>
    <row r="1598" spans="15:18" x14ac:dyDescent="0.3">
      <c r="O1598" s="14"/>
      <c r="P1598" s="14"/>
      <c r="Q1598" s="14"/>
      <c r="R1598" s="14"/>
    </row>
    <row r="1599" spans="15:18" x14ac:dyDescent="0.3">
      <c r="O1599" s="14"/>
      <c r="P1599" s="14"/>
      <c r="Q1599" s="14"/>
      <c r="R1599" s="14"/>
    </row>
    <row r="1600" spans="15:18" x14ac:dyDescent="0.3">
      <c r="O1600" s="14"/>
      <c r="P1600" s="14"/>
      <c r="Q1600" s="14"/>
      <c r="R1600" s="14"/>
    </row>
    <row r="1601" spans="15:18" x14ac:dyDescent="0.3">
      <c r="O1601" s="14"/>
      <c r="P1601" s="14"/>
      <c r="Q1601" s="14"/>
      <c r="R1601" s="14"/>
    </row>
    <row r="1602" spans="15:18" x14ac:dyDescent="0.3">
      <c r="O1602" s="14"/>
      <c r="P1602" s="14"/>
      <c r="Q1602" s="14"/>
      <c r="R1602" s="14"/>
    </row>
    <row r="1603" spans="15:18" x14ac:dyDescent="0.3">
      <c r="O1603" s="14"/>
      <c r="P1603" s="14"/>
      <c r="Q1603" s="14"/>
      <c r="R1603" s="14"/>
    </row>
    <row r="1604" spans="15:18" x14ac:dyDescent="0.3">
      <c r="O1604" s="14"/>
      <c r="P1604" s="14"/>
      <c r="Q1604" s="14"/>
      <c r="R1604" s="14"/>
    </row>
    <row r="1605" spans="15:18" x14ac:dyDescent="0.3">
      <c r="O1605" s="14"/>
      <c r="P1605" s="14"/>
      <c r="Q1605" s="14"/>
      <c r="R1605" s="14"/>
    </row>
    <row r="1606" spans="15:18" x14ac:dyDescent="0.3">
      <c r="O1606" s="14"/>
      <c r="P1606" s="14"/>
      <c r="Q1606" s="14"/>
      <c r="R1606" s="14"/>
    </row>
    <row r="1607" spans="15:18" x14ac:dyDescent="0.3">
      <c r="O1607" s="14"/>
      <c r="P1607" s="14"/>
      <c r="Q1607" s="14"/>
      <c r="R1607" s="14"/>
    </row>
    <row r="1608" spans="15:18" x14ac:dyDescent="0.3">
      <c r="O1608" s="14"/>
      <c r="P1608" s="14"/>
      <c r="Q1608" s="14"/>
      <c r="R1608" s="14"/>
    </row>
    <row r="1609" spans="15:18" x14ac:dyDescent="0.3">
      <c r="O1609" s="14"/>
      <c r="P1609" s="14"/>
      <c r="Q1609" s="14"/>
      <c r="R1609" s="14"/>
    </row>
    <row r="1610" spans="15:18" x14ac:dyDescent="0.3">
      <c r="O1610" s="14"/>
      <c r="P1610" s="14"/>
      <c r="Q1610" s="14"/>
      <c r="R1610" s="14"/>
    </row>
    <row r="1611" spans="15:18" x14ac:dyDescent="0.3">
      <c r="O1611" s="14"/>
      <c r="P1611" s="14"/>
      <c r="Q1611" s="14"/>
      <c r="R1611" s="14"/>
    </row>
    <row r="1612" spans="15:18" x14ac:dyDescent="0.3">
      <c r="O1612" s="14"/>
      <c r="P1612" s="14"/>
      <c r="Q1612" s="14"/>
      <c r="R1612" s="14"/>
    </row>
    <row r="1613" spans="15:18" x14ac:dyDescent="0.3">
      <c r="O1613" s="14"/>
      <c r="P1613" s="14"/>
      <c r="Q1613" s="14"/>
      <c r="R1613" s="14"/>
    </row>
    <row r="1614" spans="15:18" x14ac:dyDescent="0.3">
      <c r="O1614" s="14"/>
      <c r="P1614" s="14"/>
      <c r="Q1614" s="14"/>
      <c r="R1614" s="14"/>
    </row>
    <row r="1615" spans="15:18" x14ac:dyDescent="0.3">
      <c r="O1615" s="14"/>
      <c r="P1615" s="14"/>
      <c r="Q1615" s="14"/>
      <c r="R1615" s="14"/>
    </row>
    <row r="1616" spans="15:18" x14ac:dyDescent="0.3">
      <c r="O1616" s="14"/>
      <c r="P1616" s="14"/>
      <c r="Q1616" s="14"/>
      <c r="R1616" s="14"/>
    </row>
    <row r="1617" spans="15:18" x14ac:dyDescent="0.3">
      <c r="O1617" s="14"/>
      <c r="P1617" s="14"/>
      <c r="Q1617" s="14"/>
      <c r="R1617" s="14"/>
    </row>
    <row r="1618" spans="15:18" x14ac:dyDescent="0.3">
      <c r="O1618" s="14"/>
      <c r="P1618" s="14"/>
      <c r="Q1618" s="14"/>
      <c r="R1618" s="14"/>
    </row>
    <row r="1619" spans="15:18" x14ac:dyDescent="0.3">
      <c r="O1619" s="14"/>
      <c r="P1619" s="14"/>
      <c r="Q1619" s="14"/>
      <c r="R1619" s="14"/>
    </row>
    <row r="1620" spans="15:18" x14ac:dyDescent="0.3">
      <c r="O1620" s="14"/>
      <c r="P1620" s="14"/>
      <c r="Q1620" s="14"/>
      <c r="R1620" s="14"/>
    </row>
    <row r="1621" spans="15:18" x14ac:dyDescent="0.3">
      <c r="O1621" s="14"/>
      <c r="P1621" s="14"/>
      <c r="Q1621" s="14"/>
      <c r="R1621" s="14"/>
    </row>
    <row r="1622" spans="15:18" x14ac:dyDescent="0.3">
      <c r="O1622" s="14"/>
      <c r="P1622" s="14"/>
      <c r="Q1622" s="14"/>
      <c r="R1622" s="14"/>
    </row>
    <row r="1623" spans="15:18" x14ac:dyDescent="0.3">
      <c r="O1623" s="14"/>
      <c r="P1623" s="14"/>
      <c r="Q1623" s="14"/>
      <c r="R1623" s="14"/>
    </row>
    <row r="1624" spans="15:18" x14ac:dyDescent="0.3">
      <c r="O1624" s="14"/>
      <c r="P1624" s="14"/>
      <c r="Q1624" s="14"/>
      <c r="R1624" s="14"/>
    </row>
    <row r="1625" spans="15:18" x14ac:dyDescent="0.3">
      <c r="O1625" s="14"/>
      <c r="P1625" s="14"/>
      <c r="Q1625" s="14"/>
      <c r="R1625" s="14"/>
    </row>
    <row r="1626" spans="15:18" x14ac:dyDescent="0.3">
      <c r="O1626" s="14"/>
      <c r="P1626" s="14"/>
      <c r="Q1626" s="14"/>
      <c r="R1626" s="14"/>
    </row>
    <row r="1627" spans="15:18" x14ac:dyDescent="0.3">
      <c r="O1627" s="14"/>
      <c r="P1627" s="14"/>
      <c r="Q1627" s="14"/>
      <c r="R1627" s="14"/>
    </row>
    <row r="1628" spans="15:18" x14ac:dyDescent="0.3">
      <c r="O1628" s="14"/>
      <c r="P1628" s="14"/>
      <c r="Q1628" s="14"/>
      <c r="R1628" s="14"/>
    </row>
    <row r="1629" spans="15:18" x14ac:dyDescent="0.3">
      <c r="O1629" s="14"/>
      <c r="P1629" s="14"/>
      <c r="Q1629" s="14"/>
      <c r="R1629" s="14"/>
    </row>
    <row r="1630" spans="15:18" x14ac:dyDescent="0.3">
      <c r="O1630" s="14"/>
      <c r="P1630" s="14"/>
      <c r="Q1630" s="14"/>
      <c r="R1630" s="14"/>
    </row>
    <row r="1631" spans="15:18" x14ac:dyDescent="0.3">
      <c r="O1631" s="14"/>
      <c r="P1631" s="14"/>
      <c r="Q1631" s="14"/>
      <c r="R1631" s="14"/>
    </row>
    <row r="1632" spans="15:18" x14ac:dyDescent="0.3">
      <c r="O1632" s="14"/>
      <c r="P1632" s="14"/>
      <c r="Q1632" s="14"/>
      <c r="R1632" s="14"/>
    </row>
    <row r="1633" spans="15:18" x14ac:dyDescent="0.3">
      <c r="O1633" s="14"/>
      <c r="P1633" s="14"/>
      <c r="Q1633" s="14"/>
      <c r="R1633" s="14"/>
    </row>
    <row r="1634" spans="15:18" x14ac:dyDescent="0.3">
      <c r="O1634" s="14"/>
      <c r="P1634" s="14"/>
      <c r="Q1634" s="14"/>
      <c r="R1634" s="14"/>
    </row>
    <row r="1635" spans="15:18" x14ac:dyDescent="0.3">
      <c r="O1635" s="14"/>
      <c r="P1635" s="14"/>
      <c r="Q1635" s="14"/>
      <c r="R1635" s="14"/>
    </row>
    <row r="1636" spans="15:18" x14ac:dyDescent="0.3">
      <c r="O1636" s="14"/>
      <c r="P1636" s="14"/>
      <c r="Q1636" s="14"/>
      <c r="R1636" s="14"/>
    </row>
    <row r="1637" spans="15:18" x14ac:dyDescent="0.3">
      <c r="O1637" s="14"/>
      <c r="P1637" s="14"/>
      <c r="Q1637" s="14"/>
      <c r="R1637" s="14"/>
    </row>
    <row r="1638" spans="15:18" x14ac:dyDescent="0.3">
      <c r="O1638" s="14"/>
      <c r="P1638" s="14"/>
      <c r="Q1638" s="14"/>
      <c r="R1638" s="14"/>
    </row>
    <row r="1639" spans="15:18" x14ac:dyDescent="0.3">
      <c r="O1639" s="14"/>
      <c r="P1639" s="14"/>
      <c r="Q1639" s="14"/>
      <c r="R1639" s="14"/>
    </row>
    <row r="1640" spans="15:18" x14ac:dyDescent="0.3">
      <c r="O1640" s="14"/>
      <c r="P1640" s="14"/>
      <c r="Q1640" s="14"/>
      <c r="R1640" s="14"/>
    </row>
    <row r="1641" spans="15:18" x14ac:dyDescent="0.3">
      <c r="O1641" s="14"/>
      <c r="P1641" s="14"/>
      <c r="Q1641" s="14"/>
      <c r="R1641" s="14"/>
    </row>
    <row r="1642" spans="15:18" x14ac:dyDescent="0.3">
      <c r="O1642" s="14"/>
      <c r="P1642" s="14"/>
      <c r="Q1642" s="14"/>
      <c r="R1642" s="14"/>
    </row>
    <row r="1643" spans="15:18" x14ac:dyDescent="0.3">
      <c r="O1643" s="14"/>
      <c r="P1643" s="14"/>
      <c r="Q1643" s="14"/>
      <c r="R1643" s="14"/>
    </row>
    <row r="1644" spans="15:18" x14ac:dyDescent="0.3">
      <c r="O1644" s="14"/>
      <c r="P1644" s="14"/>
      <c r="Q1644" s="14"/>
      <c r="R1644" s="14"/>
    </row>
    <row r="1645" spans="15:18" x14ac:dyDescent="0.3">
      <c r="O1645" s="14"/>
      <c r="P1645" s="14"/>
      <c r="Q1645" s="14"/>
      <c r="R1645" s="14"/>
    </row>
    <row r="1646" spans="15:18" x14ac:dyDescent="0.3">
      <c r="O1646" s="14"/>
      <c r="P1646" s="14"/>
      <c r="Q1646" s="14"/>
      <c r="R1646" s="14"/>
    </row>
    <row r="1647" spans="15:18" x14ac:dyDescent="0.3">
      <c r="O1647" s="14"/>
      <c r="P1647" s="14"/>
      <c r="Q1647" s="14"/>
      <c r="R1647" s="14"/>
    </row>
    <row r="1648" spans="15:18" x14ac:dyDescent="0.3">
      <c r="O1648" s="14"/>
      <c r="P1648" s="14"/>
      <c r="Q1648" s="14"/>
      <c r="R1648" s="14"/>
    </row>
    <row r="1649" spans="15:18" x14ac:dyDescent="0.3">
      <c r="O1649" s="14"/>
      <c r="P1649" s="14"/>
      <c r="Q1649" s="14"/>
      <c r="R1649" s="14"/>
    </row>
    <row r="1650" spans="15:18" x14ac:dyDescent="0.3">
      <c r="O1650" s="14"/>
      <c r="P1650" s="14"/>
      <c r="Q1650" s="14"/>
      <c r="R1650" s="14"/>
    </row>
    <row r="1651" spans="15:18" x14ac:dyDescent="0.3">
      <c r="O1651" s="14"/>
      <c r="P1651" s="14"/>
      <c r="Q1651" s="14"/>
      <c r="R1651" s="14"/>
    </row>
    <row r="1652" spans="15:18" x14ac:dyDescent="0.3">
      <c r="O1652" s="14"/>
      <c r="P1652" s="14"/>
      <c r="Q1652" s="14"/>
      <c r="R1652" s="14"/>
    </row>
    <row r="1653" spans="15:18" x14ac:dyDescent="0.3">
      <c r="O1653" s="14"/>
      <c r="P1653" s="14"/>
      <c r="Q1653" s="14"/>
      <c r="R1653" s="14"/>
    </row>
    <row r="1654" spans="15:18" x14ac:dyDescent="0.3">
      <c r="O1654" s="14"/>
      <c r="P1654" s="14"/>
      <c r="Q1654" s="14"/>
      <c r="R1654" s="14"/>
    </row>
    <row r="1655" spans="15:18" x14ac:dyDescent="0.3">
      <c r="O1655" s="14"/>
      <c r="P1655" s="14"/>
      <c r="Q1655" s="14"/>
      <c r="R1655" s="14"/>
    </row>
    <row r="1656" spans="15:18" x14ac:dyDescent="0.3">
      <c r="O1656" s="14"/>
      <c r="P1656" s="14"/>
      <c r="Q1656" s="14"/>
      <c r="R1656" s="14"/>
    </row>
    <row r="1657" spans="15:18" x14ac:dyDescent="0.3">
      <c r="O1657" s="14"/>
      <c r="P1657" s="14"/>
      <c r="Q1657" s="14"/>
      <c r="R1657" s="14"/>
    </row>
    <row r="1658" spans="15:18" x14ac:dyDescent="0.3">
      <c r="O1658" s="14"/>
      <c r="P1658" s="14"/>
      <c r="Q1658" s="14"/>
      <c r="R1658" s="14"/>
    </row>
    <row r="1659" spans="15:18" x14ac:dyDescent="0.3">
      <c r="O1659" s="14"/>
      <c r="P1659" s="14"/>
      <c r="Q1659" s="14"/>
      <c r="R1659" s="14"/>
    </row>
    <row r="1660" spans="15:18" x14ac:dyDescent="0.3">
      <c r="O1660" s="14"/>
      <c r="P1660" s="14"/>
      <c r="Q1660" s="14"/>
      <c r="R1660" s="14"/>
    </row>
    <row r="1661" spans="15:18" x14ac:dyDescent="0.3">
      <c r="O1661" s="14"/>
      <c r="P1661" s="14"/>
      <c r="Q1661" s="14"/>
      <c r="R1661" s="14"/>
    </row>
    <row r="1662" spans="15:18" x14ac:dyDescent="0.3">
      <c r="O1662" s="14"/>
      <c r="P1662" s="14"/>
      <c r="Q1662" s="14"/>
      <c r="R1662" s="14"/>
    </row>
    <row r="1663" spans="15:18" x14ac:dyDescent="0.3">
      <c r="O1663" s="14"/>
      <c r="P1663" s="14"/>
      <c r="Q1663" s="14"/>
      <c r="R1663" s="14"/>
    </row>
    <row r="1664" spans="15:18" x14ac:dyDescent="0.3">
      <c r="O1664" s="14"/>
      <c r="P1664" s="14"/>
      <c r="Q1664" s="14"/>
      <c r="R1664" s="14"/>
    </row>
    <row r="1665" spans="15:18" x14ac:dyDescent="0.3">
      <c r="O1665" s="14"/>
      <c r="P1665" s="14"/>
      <c r="Q1665" s="14"/>
      <c r="R1665" s="14"/>
    </row>
    <row r="1666" spans="15:18" x14ac:dyDescent="0.3">
      <c r="O1666" s="14"/>
      <c r="P1666" s="14"/>
      <c r="Q1666" s="14"/>
      <c r="R1666" s="14"/>
    </row>
    <row r="1667" spans="15:18" x14ac:dyDescent="0.3">
      <c r="O1667" s="14"/>
      <c r="P1667" s="14"/>
      <c r="Q1667" s="14"/>
      <c r="R1667" s="14"/>
    </row>
    <row r="1668" spans="15:18" x14ac:dyDescent="0.3">
      <c r="O1668" s="14"/>
      <c r="P1668" s="14"/>
      <c r="Q1668" s="14"/>
      <c r="R1668" s="14"/>
    </row>
    <row r="1669" spans="15:18" x14ac:dyDescent="0.3">
      <c r="O1669" s="14"/>
      <c r="P1669" s="14"/>
      <c r="Q1669" s="14"/>
      <c r="R1669" s="14"/>
    </row>
    <row r="1670" spans="15:18" x14ac:dyDescent="0.3">
      <c r="O1670" s="14"/>
      <c r="P1670" s="14"/>
      <c r="Q1670" s="14"/>
      <c r="R1670" s="14"/>
    </row>
    <row r="1671" spans="15:18" x14ac:dyDescent="0.3">
      <c r="O1671" s="14"/>
      <c r="P1671" s="14"/>
      <c r="Q1671" s="14"/>
      <c r="R1671" s="14"/>
    </row>
    <row r="1672" spans="15:18" x14ac:dyDescent="0.3">
      <c r="O1672" s="14"/>
      <c r="P1672" s="14"/>
      <c r="Q1672" s="14"/>
      <c r="R1672" s="14"/>
    </row>
    <row r="1673" spans="15:18" x14ac:dyDescent="0.3">
      <c r="O1673" s="14"/>
      <c r="P1673" s="14"/>
      <c r="Q1673" s="14"/>
      <c r="R1673" s="14"/>
    </row>
    <row r="1674" spans="15:18" x14ac:dyDescent="0.3">
      <c r="O1674" s="14"/>
      <c r="P1674" s="14"/>
      <c r="Q1674" s="14"/>
      <c r="R1674" s="14"/>
    </row>
    <row r="1675" spans="15:18" x14ac:dyDescent="0.3">
      <c r="O1675" s="14"/>
      <c r="P1675" s="14"/>
      <c r="Q1675" s="14"/>
      <c r="R1675" s="14"/>
    </row>
    <row r="1676" spans="15:18" x14ac:dyDescent="0.3">
      <c r="O1676" s="14"/>
      <c r="P1676" s="14"/>
      <c r="Q1676" s="14"/>
      <c r="R1676" s="14"/>
    </row>
    <row r="1677" spans="15:18" x14ac:dyDescent="0.3">
      <c r="O1677" s="14"/>
      <c r="P1677" s="14"/>
      <c r="Q1677" s="14"/>
      <c r="R1677" s="14"/>
    </row>
    <row r="1678" spans="15:18" x14ac:dyDescent="0.3">
      <c r="O1678" s="14"/>
      <c r="P1678" s="14"/>
      <c r="Q1678" s="14"/>
      <c r="R1678" s="14"/>
    </row>
    <row r="1679" spans="15:18" x14ac:dyDescent="0.3">
      <c r="O1679" s="14"/>
      <c r="P1679" s="14"/>
      <c r="Q1679" s="14"/>
      <c r="R1679" s="14"/>
    </row>
    <row r="1680" spans="15:18" x14ac:dyDescent="0.3">
      <c r="O1680" s="14"/>
      <c r="P1680" s="14"/>
      <c r="Q1680" s="14"/>
      <c r="R1680" s="14"/>
    </row>
    <row r="1681" spans="15:18" x14ac:dyDescent="0.3">
      <c r="O1681" s="14"/>
      <c r="P1681" s="14"/>
      <c r="Q1681" s="14"/>
      <c r="R1681" s="14"/>
    </row>
    <row r="1682" spans="15:18" x14ac:dyDescent="0.3">
      <c r="O1682" s="14"/>
      <c r="P1682" s="14"/>
      <c r="Q1682" s="14"/>
      <c r="R1682" s="14"/>
    </row>
    <row r="1683" spans="15:18" x14ac:dyDescent="0.3">
      <c r="O1683" s="14"/>
      <c r="P1683" s="14"/>
      <c r="Q1683" s="14"/>
      <c r="R1683" s="14"/>
    </row>
    <row r="1684" spans="15:18" x14ac:dyDescent="0.3">
      <c r="O1684" s="14"/>
      <c r="P1684" s="14"/>
      <c r="Q1684" s="14"/>
      <c r="R1684" s="14"/>
    </row>
    <row r="1685" spans="15:18" x14ac:dyDescent="0.3">
      <c r="O1685" s="14"/>
      <c r="P1685" s="14"/>
      <c r="Q1685" s="14"/>
      <c r="R1685" s="14"/>
    </row>
    <row r="1686" spans="15:18" x14ac:dyDescent="0.3">
      <c r="O1686" s="14"/>
      <c r="P1686" s="14"/>
      <c r="Q1686" s="14"/>
      <c r="R1686" s="14"/>
    </row>
    <row r="1687" spans="15:18" x14ac:dyDescent="0.3">
      <c r="O1687" s="14"/>
      <c r="P1687" s="14"/>
      <c r="Q1687" s="14"/>
      <c r="R1687" s="14"/>
    </row>
    <row r="1688" spans="15:18" x14ac:dyDescent="0.3">
      <c r="O1688" s="14"/>
      <c r="P1688" s="14"/>
      <c r="Q1688" s="14"/>
      <c r="R1688" s="14"/>
    </row>
    <row r="1689" spans="15:18" x14ac:dyDescent="0.3">
      <c r="O1689" s="14"/>
      <c r="P1689" s="14"/>
      <c r="Q1689" s="14"/>
      <c r="R1689" s="14"/>
    </row>
    <row r="1690" spans="15:18" x14ac:dyDescent="0.3">
      <c r="O1690" s="14"/>
      <c r="P1690" s="14"/>
      <c r="Q1690" s="14"/>
      <c r="R1690" s="14"/>
    </row>
    <row r="1691" spans="15:18" x14ac:dyDescent="0.3">
      <c r="O1691" s="14"/>
      <c r="P1691" s="14"/>
      <c r="Q1691" s="14"/>
      <c r="R1691" s="14"/>
    </row>
    <row r="1692" spans="15:18" x14ac:dyDescent="0.3">
      <c r="O1692" s="14"/>
      <c r="P1692" s="14"/>
      <c r="Q1692" s="14"/>
      <c r="R1692" s="14"/>
    </row>
    <row r="1693" spans="15:18" x14ac:dyDescent="0.3">
      <c r="O1693" s="14"/>
      <c r="P1693" s="14"/>
      <c r="Q1693" s="14"/>
      <c r="R1693" s="14"/>
    </row>
    <row r="1694" spans="15:18" x14ac:dyDescent="0.3">
      <c r="O1694" s="14"/>
      <c r="P1694" s="14"/>
      <c r="Q1694" s="14"/>
      <c r="R1694" s="14"/>
    </row>
    <row r="1695" spans="15:18" x14ac:dyDescent="0.3">
      <c r="O1695" s="14"/>
      <c r="P1695" s="14"/>
      <c r="Q1695" s="14"/>
      <c r="R1695" s="14"/>
    </row>
    <row r="1696" spans="15:18" x14ac:dyDescent="0.3">
      <c r="O1696" s="14"/>
      <c r="P1696" s="14"/>
      <c r="Q1696" s="14"/>
      <c r="R1696" s="14"/>
    </row>
    <row r="1697" spans="15:18" x14ac:dyDescent="0.3">
      <c r="O1697" s="14"/>
      <c r="P1697" s="14"/>
      <c r="Q1697" s="14"/>
      <c r="R1697" s="14"/>
    </row>
    <row r="1698" spans="15:18" x14ac:dyDescent="0.3">
      <c r="O1698" s="14"/>
      <c r="P1698" s="14"/>
      <c r="Q1698" s="14"/>
      <c r="R1698" s="14"/>
    </row>
    <row r="1699" spans="15:18" x14ac:dyDescent="0.3">
      <c r="O1699" s="14"/>
      <c r="P1699" s="14"/>
      <c r="Q1699" s="14"/>
      <c r="R1699" s="14"/>
    </row>
    <row r="1700" spans="15:18" x14ac:dyDescent="0.3">
      <c r="O1700" s="14"/>
      <c r="P1700" s="14"/>
      <c r="Q1700" s="14"/>
      <c r="R1700" s="14"/>
    </row>
    <row r="1701" spans="15:18" x14ac:dyDescent="0.3">
      <c r="O1701" s="14"/>
      <c r="P1701" s="14"/>
      <c r="Q1701" s="14"/>
      <c r="R1701" s="14"/>
    </row>
    <row r="1702" spans="15:18" x14ac:dyDescent="0.3">
      <c r="O1702" s="14"/>
      <c r="P1702" s="14"/>
      <c r="Q1702" s="14"/>
      <c r="R1702" s="14"/>
    </row>
    <row r="1703" spans="15:18" x14ac:dyDescent="0.3">
      <c r="O1703" s="14"/>
      <c r="P1703" s="14"/>
      <c r="Q1703" s="14"/>
      <c r="R1703" s="14"/>
    </row>
    <row r="1704" spans="15:18" x14ac:dyDescent="0.3">
      <c r="O1704" s="14"/>
      <c r="P1704" s="14"/>
      <c r="Q1704" s="14"/>
      <c r="R1704" s="14"/>
    </row>
    <row r="1705" spans="15:18" x14ac:dyDescent="0.3">
      <c r="O1705" s="14"/>
      <c r="P1705" s="14"/>
      <c r="Q1705" s="14"/>
      <c r="R1705" s="14"/>
    </row>
    <row r="1706" spans="15:18" x14ac:dyDescent="0.3">
      <c r="O1706" s="14"/>
      <c r="P1706" s="14"/>
      <c r="Q1706" s="14"/>
      <c r="R1706" s="14"/>
    </row>
    <row r="1707" spans="15:18" x14ac:dyDescent="0.3">
      <c r="O1707" s="14"/>
      <c r="P1707" s="14"/>
      <c r="Q1707" s="14"/>
      <c r="R1707" s="14"/>
    </row>
    <row r="1708" spans="15:18" x14ac:dyDescent="0.3">
      <c r="O1708" s="14"/>
      <c r="P1708" s="14"/>
      <c r="Q1708" s="14"/>
      <c r="R1708" s="14"/>
    </row>
    <row r="1709" spans="15:18" x14ac:dyDescent="0.3">
      <c r="O1709" s="14"/>
      <c r="P1709" s="14"/>
      <c r="Q1709" s="14"/>
      <c r="R1709" s="14"/>
    </row>
    <row r="1710" spans="15:18" x14ac:dyDescent="0.3">
      <c r="O1710" s="14"/>
      <c r="P1710" s="14"/>
      <c r="Q1710" s="14"/>
      <c r="R1710" s="14"/>
    </row>
    <row r="1711" spans="15:18" x14ac:dyDescent="0.3">
      <c r="O1711" s="14"/>
      <c r="P1711" s="14"/>
      <c r="Q1711" s="14"/>
      <c r="R1711" s="14"/>
    </row>
    <row r="1712" spans="15:18" x14ac:dyDescent="0.3">
      <c r="O1712" s="14"/>
      <c r="P1712" s="14"/>
      <c r="Q1712" s="14"/>
      <c r="R1712" s="14"/>
    </row>
    <row r="1713" spans="15:18" x14ac:dyDescent="0.3">
      <c r="O1713" s="14"/>
      <c r="P1713" s="14"/>
      <c r="Q1713" s="14"/>
      <c r="R1713" s="14"/>
    </row>
    <row r="1714" spans="15:18" x14ac:dyDescent="0.3">
      <c r="O1714" s="14"/>
      <c r="P1714" s="14"/>
      <c r="Q1714" s="14"/>
      <c r="R1714" s="14"/>
    </row>
    <row r="1715" spans="15:18" x14ac:dyDescent="0.3">
      <c r="O1715" s="14"/>
      <c r="P1715" s="14"/>
      <c r="Q1715" s="14"/>
      <c r="R1715" s="14"/>
    </row>
    <row r="1716" spans="15:18" x14ac:dyDescent="0.3">
      <c r="O1716" s="14"/>
      <c r="P1716" s="14"/>
      <c r="Q1716" s="14"/>
      <c r="R1716" s="14"/>
    </row>
    <row r="1717" spans="15:18" x14ac:dyDescent="0.3">
      <c r="O1717" s="14"/>
      <c r="P1717" s="14"/>
      <c r="Q1717" s="14"/>
      <c r="R1717" s="14"/>
    </row>
    <row r="1718" spans="15:18" x14ac:dyDescent="0.3">
      <c r="O1718" s="14"/>
      <c r="P1718" s="14"/>
      <c r="Q1718" s="14"/>
      <c r="R1718" s="14"/>
    </row>
    <row r="1719" spans="15:18" x14ac:dyDescent="0.3">
      <c r="O1719" s="14"/>
      <c r="P1719" s="14"/>
      <c r="Q1719" s="14"/>
      <c r="R1719" s="14"/>
    </row>
    <row r="1720" spans="15:18" x14ac:dyDescent="0.3">
      <c r="O1720" s="14"/>
      <c r="P1720" s="14"/>
      <c r="Q1720" s="14"/>
      <c r="R1720" s="14"/>
    </row>
    <row r="1721" spans="15:18" x14ac:dyDescent="0.3">
      <c r="O1721" s="14"/>
      <c r="P1721" s="14"/>
      <c r="Q1721" s="14"/>
      <c r="R1721" s="14"/>
    </row>
    <row r="1722" spans="15:18" x14ac:dyDescent="0.3">
      <c r="O1722" s="14"/>
      <c r="P1722" s="14"/>
      <c r="Q1722" s="14"/>
      <c r="R1722" s="14"/>
    </row>
    <row r="1723" spans="15:18" x14ac:dyDescent="0.3">
      <c r="O1723" s="14"/>
      <c r="P1723" s="14"/>
      <c r="Q1723" s="14"/>
      <c r="R1723" s="14"/>
    </row>
    <row r="1724" spans="15:18" x14ac:dyDescent="0.3">
      <c r="O1724" s="14"/>
      <c r="P1724" s="14"/>
      <c r="Q1724" s="14"/>
      <c r="R1724" s="14"/>
    </row>
    <row r="1725" spans="15:18" x14ac:dyDescent="0.3">
      <c r="O1725" s="14"/>
      <c r="P1725" s="14"/>
      <c r="Q1725" s="14"/>
      <c r="R1725" s="14"/>
    </row>
    <row r="1726" spans="15:18" x14ac:dyDescent="0.3">
      <c r="O1726" s="14"/>
      <c r="P1726" s="14"/>
      <c r="Q1726" s="14"/>
      <c r="R1726" s="14"/>
    </row>
    <row r="1727" spans="15:18" x14ac:dyDescent="0.3">
      <c r="O1727" s="14"/>
      <c r="P1727" s="14"/>
      <c r="Q1727" s="14"/>
      <c r="R1727" s="14"/>
    </row>
    <row r="1728" spans="15:18" x14ac:dyDescent="0.3">
      <c r="O1728" s="14"/>
      <c r="P1728" s="14"/>
      <c r="Q1728" s="14"/>
      <c r="R1728" s="14"/>
    </row>
    <row r="1729" spans="15:18" x14ac:dyDescent="0.3">
      <c r="O1729" s="14"/>
      <c r="P1729" s="14"/>
      <c r="Q1729" s="14"/>
      <c r="R1729" s="14"/>
    </row>
    <row r="1730" spans="15:18" x14ac:dyDescent="0.3">
      <c r="O1730" s="14"/>
      <c r="P1730" s="14"/>
      <c r="Q1730" s="14"/>
      <c r="R1730" s="14"/>
    </row>
    <row r="1731" spans="15:18" x14ac:dyDescent="0.3">
      <c r="O1731" s="14"/>
      <c r="P1731" s="14"/>
      <c r="Q1731" s="14"/>
      <c r="R1731" s="14"/>
    </row>
    <row r="1732" spans="15:18" x14ac:dyDescent="0.3">
      <c r="O1732" s="14"/>
      <c r="P1732" s="14"/>
      <c r="Q1732" s="14"/>
      <c r="R1732" s="14"/>
    </row>
    <row r="1733" spans="15:18" x14ac:dyDescent="0.3">
      <c r="O1733" s="14"/>
      <c r="P1733" s="14"/>
      <c r="Q1733" s="14"/>
      <c r="R1733" s="14"/>
    </row>
    <row r="1734" spans="15:18" x14ac:dyDescent="0.3">
      <c r="O1734" s="14"/>
      <c r="P1734" s="14"/>
      <c r="Q1734" s="14"/>
      <c r="R1734" s="14"/>
    </row>
    <row r="1735" spans="15:18" x14ac:dyDescent="0.3">
      <c r="O1735" s="14"/>
      <c r="P1735" s="14"/>
      <c r="Q1735" s="14"/>
      <c r="R1735" s="14"/>
    </row>
    <row r="1736" spans="15:18" x14ac:dyDescent="0.3">
      <c r="O1736" s="14"/>
      <c r="P1736" s="14"/>
      <c r="Q1736" s="14"/>
      <c r="R1736" s="14"/>
    </row>
    <row r="1737" spans="15:18" x14ac:dyDescent="0.3">
      <c r="O1737" s="14"/>
      <c r="P1737" s="14"/>
      <c r="Q1737" s="14"/>
      <c r="R1737" s="14"/>
    </row>
    <row r="1738" spans="15:18" x14ac:dyDescent="0.3">
      <c r="O1738" s="14"/>
      <c r="P1738" s="14"/>
      <c r="Q1738" s="14"/>
      <c r="R1738" s="14"/>
    </row>
    <row r="1739" spans="15:18" x14ac:dyDescent="0.3">
      <c r="O1739" s="14"/>
      <c r="P1739" s="14"/>
      <c r="Q1739" s="14"/>
      <c r="R1739" s="14"/>
    </row>
    <row r="1740" spans="15:18" x14ac:dyDescent="0.3">
      <c r="O1740" s="14"/>
      <c r="P1740" s="14"/>
      <c r="Q1740" s="14"/>
      <c r="R1740" s="14"/>
    </row>
    <row r="1741" spans="15:18" x14ac:dyDescent="0.3">
      <c r="O1741" s="14"/>
      <c r="P1741" s="14"/>
      <c r="Q1741" s="14"/>
      <c r="R1741" s="14"/>
    </row>
    <row r="1742" spans="15:18" x14ac:dyDescent="0.3">
      <c r="O1742" s="14"/>
      <c r="P1742" s="14"/>
      <c r="Q1742" s="14"/>
      <c r="R1742" s="14"/>
    </row>
    <row r="1743" spans="15:18" x14ac:dyDescent="0.3">
      <c r="O1743" s="14"/>
      <c r="P1743" s="14"/>
      <c r="Q1743" s="14"/>
      <c r="R1743" s="14"/>
    </row>
    <row r="1744" spans="15:18" x14ac:dyDescent="0.3">
      <c r="O1744" s="14"/>
      <c r="P1744" s="14"/>
      <c r="Q1744" s="14"/>
      <c r="R1744" s="14"/>
    </row>
    <row r="1745" spans="15:18" x14ac:dyDescent="0.3">
      <c r="O1745" s="14"/>
      <c r="P1745" s="14"/>
      <c r="Q1745" s="14"/>
      <c r="R1745" s="14"/>
    </row>
    <row r="1746" spans="15:18" x14ac:dyDescent="0.3">
      <c r="O1746" s="14"/>
      <c r="P1746" s="14"/>
      <c r="Q1746" s="14"/>
      <c r="R1746" s="14"/>
    </row>
    <row r="1747" spans="15:18" x14ac:dyDescent="0.3">
      <c r="O1747" s="14"/>
      <c r="P1747" s="14"/>
      <c r="Q1747" s="14"/>
      <c r="R1747" s="14"/>
    </row>
    <row r="1748" spans="15:18" x14ac:dyDescent="0.3">
      <c r="O1748" s="14"/>
      <c r="P1748" s="14"/>
      <c r="Q1748" s="14"/>
      <c r="R1748" s="14"/>
    </row>
    <row r="1749" spans="15:18" x14ac:dyDescent="0.3">
      <c r="O1749" s="14"/>
      <c r="P1749" s="14"/>
      <c r="Q1749" s="14"/>
      <c r="R1749" s="14"/>
    </row>
    <row r="1750" spans="15:18" x14ac:dyDescent="0.3">
      <c r="O1750" s="14"/>
      <c r="P1750" s="14"/>
      <c r="Q1750" s="14"/>
      <c r="R1750" s="14"/>
    </row>
    <row r="1751" spans="15:18" x14ac:dyDescent="0.3">
      <c r="O1751" s="14"/>
      <c r="P1751" s="14"/>
      <c r="Q1751" s="14"/>
      <c r="R1751" s="14"/>
    </row>
    <row r="1752" spans="15:18" x14ac:dyDescent="0.3">
      <c r="O1752" s="14"/>
      <c r="P1752" s="14"/>
      <c r="Q1752" s="14"/>
      <c r="R1752" s="14"/>
    </row>
    <row r="1753" spans="15:18" x14ac:dyDescent="0.3">
      <c r="O1753" s="14"/>
      <c r="P1753" s="14"/>
      <c r="Q1753" s="14"/>
      <c r="R1753" s="14"/>
    </row>
    <row r="1754" spans="15:18" x14ac:dyDescent="0.3">
      <c r="O1754" s="14"/>
      <c r="P1754" s="14"/>
      <c r="Q1754" s="14"/>
      <c r="R1754" s="14"/>
    </row>
    <row r="1755" spans="15:18" x14ac:dyDescent="0.3">
      <c r="O1755" s="14"/>
      <c r="P1755" s="14"/>
      <c r="Q1755" s="14"/>
      <c r="R1755" s="14"/>
    </row>
    <row r="1756" spans="15:18" x14ac:dyDescent="0.3">
      <c r="O1756" s="14"/>
      <c r="P1756" s="14"/>
      <c r="Q1756" s="14"/>
      <c r="R1756" s="14"/>
    </row>
    <row r="1757" spans="15:18" x14ac:dyDescent="0.3">
      <c r="O1757" s="14"/>
      <c r="P1757" s="14"/>
      <c r="Q1757" s="14"/>
      <c r="R1757" s="14"/>
    </row>
    <row r="1758" spans="15:18" x14ac:dyDescent="0.3">
      <c r="O1758" s="14"/>
      <c r="P1758" s="14"/>
      <c r="Q1758" s="14"/>
      <c r="R1758" s="14"/>
    </row>
    <row r="1759" spans="15:18" x14ac:dyDescent="0.3">
      <c r="O1759" s="14"/>
      <c r="P1759" s="14"/>
      <c r="Q1759" s="14"/>
      <c r="R1759" s="14"/>
    </row>
    <row r="1760" spans="15:18" x14ac:dyDescent="0.3">
      <c r="O1760" s="14"/>
      <c r="P1760" s="14"/>
      <c r="Q1760" s="14"/>
      <c r="R1760" s="14"/>
    </row>
    <row r="1761" spans="15:18" x14ac:dyDescent="0.3">
      <c r="O1761" s="14"/>
      <c r="P1761" s="14"/>
      <c r="Q1761" s="14"/>
      <c r="R1761" s="14"/>
    </row>
    <row r="1762" spans="15:18" x14ac:dyDescent="0.3">
      <c r="O1762" s="14"/>
      <c r="P1762" s="14"/>
      <c r="Q1762" s="14"/>
      <c r="R1762" s="14"/>
    </row>
    <row r="1763" spans="15:18" x14ac:dyDescent="0.3">
      <c r="O1763" s="14"/>
      <c r="P1763" s="14"/>
      <c r="Q1763" s="14"/>
      <c r="R1763" s="14"/>
    </row>
    <row r="1764" spans="15:18" x14ac:dyDescent="0.3">
      <c r="O1764" s="14"/>
      <c r="P1764" s="14"/>
      <c r="Q1764" s="14"/>
      <c r="R1764" s="14"/>
    </row>
    <row r="1765" spans="15:18" x14ac:dyDescent="0.3">
      <c r="O1765" s="14"/>
      <c r="P1765" s="14"/>
      <c r="Q1765" s="14"/>
      <c r="R1765" s="14"/>
    </row>
    <row r="1766" spans="15:18" x14ac:dyDescent="0.3">
      <c r="O1766" s="14"/>
      <c r="P1766" s="14"/>
      <c r="Q1766" s="14"/>
      <c r="R1766" s="14"/>
    </row>
    <row r="1767" spans="15:18" x14ac:dyDescent="0.3">
      <c r="O1767" s="14"/>
      <c r="P1767" s="14"/>
      <c r="Q1767" s="14"/>
      <c r="R1767" s="14"/>
    </row>
    <row r="1768" spans="15:18" x14ac:dyDescent="0.3">
      <c r="O1768" s="14"/>
      <c r="P1768" s="14"/>
      <c r="Q1768" s="14"/>
      <c r="R1768" s="14"/>
    </row>
    <row r="1769" spans="15:18" x14ac:dyDescent="0.3">
      <c r="O1769" s="14"/>
      <c r="P1769" s="14"/>
      <c r="Q1769" s="14"/>
      <c r="R1769" s="14"/>
    </row>
    <row r="1770" spans="15:18" x14ac:dyDescent="0.3">
      <c r="O1770" s="14"/>
      <c r="P1770" s="14"/>
      <c r="Q1770" s="14"/>
      <c r="R1770" s="14"/>
    </row>
    <row r="1771" spans="15:18" x14ac:dyDescent="0.3">
      <c r="O1771" s="14"/>
      <c r="P1771" s="14"/>
      <c r="Q1771" s="14"/>
      <c r="R1771" s="14"/>
    </row>
    <row r="1772" spans="15:18" x14ac:dyDescent="0.3">
      <c r="O1772" s="14"/>
      <c r="P1772" s="14"/>
      <c r="Q1772" s="14"/>
      <c r="R1772" s="14"/>
    </row>
    <row r="1773" spans="15:18" x14ac:dyDescent="0.3">
      <c r="O1773" s="14"/>
      <c r="P1773" s="14"/>
      <c r="Q1773" s="14"/>
      <c r="R1773" s="14"/>
    </row>
    <row r="1774" spans="15:18" x14ac:dyDescent="0.3">
      <c r="O1774" s="14"/>
      <c r="P1774" s="14"/>
      <c r="Q1774" s="14"/>
      <c r="R1774" s="14"/>
    </row>
    <row r="1775" spans="15:18" x14ac:dyDescent="0.3">
      <c r="O1775" s="14"/>
      <c r="P1775" s="14"/>
      <c r="Q1775" s="14"/>
      <c r="R1775" s="14"/>
    </row>
    <row r="1776" spans="15:18" x14ac:dyDescent="0.3">
      <c r="O1776" s="14"/>
      <c r="P1776" s="14"/>
      <c r="Q1776" s="14"/>
      <c r="R1776" s="14"/>
    </row>
    <row r="1777" spans="15:18" x14ac:dyDescent="0.3">
      <c r="O1777" s="14"/>
      <c r="P1777" s="14"/>
      <c r="Q1777" s="14"/>
      <c r="R1777" s="14"/>
    </row>
    <row r="1778" spans="15:18" x14ac:dyDescent="0.3">
      <c r="O1778" s="14"/>
      <c r="P1778" s="14"/>
      <c r="Q1778" s="14"/>
      <c r="R1778" s="14"/>
    </row>
    <row r="1779" spans="15:18" x14ac:dyDescent="0.3">
      <c r="O1779" s="14"/>
      <c r="P1779" s="14"/>
      <c r="Q1779" s="14"/>
      <c r="R1779" s="14"/>
    </row>
    <row r="1780" spans="15:18" x14ac:dyDescent="0.3">
      <c r="O1780" s="14"/>
      <c r="P1780" s="14"/>
      <c r="Q1780" s="14"/>
      <c r="R1780" s="14"/>
    </row>
    <row r="1781" spans="15:18" x14ac:dyDescent="0.3">
      <c r="O1781" s="14"/>
      <c r="P1781" s="14"/>
      <c r="Q1781" s="14"/>
      <c r="R1781" s="14"/>
    </row>
    <row r="1782" spans="15:18" x14ac:dyDescent="0.3">
      <c r="O1782" s="14"/>
      <c r="P1782" s="14"/>
      <c r="Q1782" s="14"/>
      <c r="R1782" s="14"/>
    </row>
    <row r="1783" spans="15:18" x14ac:dyDescent="0.3">
      <c r="O1783" s="14"/>
      <c r="P1783" s="14"/>
      <c r="Q1783" s="14"/>
      <c r="R1783" s="14"/>
    </row>
    <row r="1784" spans="15:18" x14ac:dyDescent="0.3">
      <c r="O1784" s="14"/>
      <c r="P1784" s="14"/>
      <c r="Q1784" s="14"/>
      <c r="R1784" s="14"/>
    </row>
    <row r="1785" spans="15:18" x14ac:dyDescent="0.3">
      <c r="O1785" s="14"/>
      <c r="P1785" s="14"/>
      <c r="Q1785" s="14"/>
      <c r="R1785" s="14"/>
    </row>
    <row r="1786" spans="15:18" x14ac:dyDescent="0.3">
      <c r="O1786" s="14"/>
      <c r="P1786" s="14"/>
      <c r="Q1786" s="14"/>
      <c r="R1786" s="14"/>
    </row>
    <row r="1787" spans="15:18" x14ac:dyDescent="0.3">
      <c r="O1787" s="14"/>
      <c r="P1787" s="14"/>
      <c r="Q1787" s="14"/>
      <c r="R1787" s="14"/>
    </row>
    <row r="1788" spans="15:18" x14ac:dyDescent="0.3">
      <c r="O1788" s="14"/>
      <c r="P1788" s="14"/>
      <c r="Q1788" s="14"/>
      <c r="R1788" s="14"/>
    </row>
    <row r="1789" spans="15:18" x14ac:dyDescent="0.3">
      <c r="O1789" s="14"/>
      <c r="P1789" s="14"/>
      <c r="Q1789" s="14"/>
      <c r="R1789" s="14"/>
    </row>
    <row r="1790" spans="15:18" x14ac:dyDescent="0.3">
      <c r="O1790" s="14"/>
      <c r="P1790" s="14"/>
      <c r="Q1790" s="14"/>
      <c r="R1790" s="14"/>
    </row>
    <row r="1791" spans="15:18" x14ac:dyDescent="0.3">
      <c r="O1791" s="14"/>
      <c r="P1791" s="14"/>
      <c r="Q1791" s="14"/>
      <c r="R1791" s="14"/>
    </row>
    <row r="1792" spans="15:18" x14ac:dyDescent="0.3">
      <c r="O1792" s="14"/>
      <c r="P1792" s="14"/>
      <c r="Q1792" s="14"/>
      <c r="R1792" s="14"/>
    </row>
    <row r="1793" spans="15:18" x14ac:dyDescent="0.3">
      <c r="O1793" s="14"/>
      <c r="P1793" s="14"/>
      <c r="Q1793" s="14"/>
      <c r="R1793" s="14"/>
    </row>
    <row r="1794" spans="15:18" x14ac:dyDescent="0.3">
      <c r="O1794" s="14"/>
      <c r="P1794" s="14"/>
      <c r="Q1794" s="14"/>
      <c r="R1794" s="14"/>
    </row>
    <row r="1795" spans="15:18" x14ac:dyDescent="0.3">
      <c r="O1795" s="14"/>
      <c r="P1795" s="14"/>
      <c r="Q1795" s="14"/>
      <c r="R1795" s="14"/>
    </row>
    <row r="1796" spans="15:18" x14ac:dyDescent="0.3">
      <c r="O1796" s="14"/>
      <c r="P1796" s="14"/>
      <c r="Q1796" s="14"/>
      <c r="R1796" s="14"/>
    </row>
    <row r="1797" spans="15:18" x14ac:dyDescent="0.3">
      <c r="O1797" s="14"/>
      <c r="P1797" s="14"/>
      <c r="Q1797" s="14"/>
      <c r="R1797" s="14"/>
    </row>
    <row r="1798" spans="15:18" x14ac:dyDescent="0.3">
      <c r="O1798" s="14"/>
      <c r="P1798" s="14"/>
      <c r="Q1798" s="14"/>
      <c r="R1798" s="14"/>
    </row>
    <row r="1799" spans="15:18" x14ac:dyDescent="0.3">
      <c r="O1799" s="14"/>
      <c r="P1799" s="14"/>
      <c r="Q1799" s="14"/>
      <c r="R1799" s="14"/>
    </row>
    <row r="1800" spans="15:18" x14ac:dyDescent="0.3">
      <c r="O1800" s="14"/>
      <c r="P1800" s="14"/>
      <c r="Q1800" s="14"/>
      <c r="R1800" s="14"/>
    </row>
    <row r="1801" spans="15:18" x14ac:dyDescent="0.3">
      <c r="O1801" s="14"/>
      <c r="P1801" s="14"/>
      <c r="Q1801" s="14"/>
      <c r="R1801" s="14"/>
    </row>
    <row r="1802" spans="15:18" x14ac:dyDescent="0.3">
      <c r="O1802" s="14"/>
      <c r="P1802" s="14"/>
      <c r="Q1802" s="14"/>
      <c r="R1802" s="14"/>
    </row>
    <row r="1803" spans="15:18" x14ac:dyDescent="0.3">
      <c r="O1803" s="14"/>
      <c r="P1803" s="14"/>
      <c r="Q1803" s="14"/>
      <c r="R1803" s="14"/>
    </row>
    <row r="1804" spans="15:18" x14ac:dyDescent="0.3">
      <c r="O1804" s="14"/>
      <c r="P1804" s="14"/>
      <c r="Q1804" s="14"/>
      <c r="R1804" s="14"/>
    </row>
    <row r="1805" spans="15:18" x14ac:dyDescent="0.3">
      <c r="O1805" s="14"/>
      <c r="P1805" s="14"/>
      <c r="Q1805" s="14"/>
      <c r="R1805" s="14"/>
    </row>
    <row r="1806" spans="15:18" x14ac:dyDescent="0.3">
      <c r="O1806" s="14"/>
      <c r="P1806" s="14"/>
      <c r="Q1806" s="14"/>
      <c r="R1806" s="14"/>
    </row>
    <row r="1807" spans="15:18" x14ac:dyDescent="0.3">
      <c r="O1807" s="14"/>
      <c r="P1807" s="14"/>
      <c r="Q1807" s="14"/>
      <c r="R1807" s="14"/>
    </row>
    <row r="1808" spans="15:18" x14ac:dyDescent="0.3">
      <c r="O1808" s="14"/>
      <c r="P1808" s="14"/>
      <c r="Q1808" s="14"/>
      <c r="R1808" s="14"/>
    </row>
    <row r="1809" spans="15:18" x14ac:dyDescent="0.3">
      <c r="O1809" s="14"/>
      <c r="P1809" s="14"/>
      <c r="Q1809" s="14"/>
      <c r="R1809" s="14"/>
    </row>
    <row r="1810" spans="15:18" x14ac:dyDescent="0.3">
      <c r="O1810" s="14"/>
      <c r="P1810" s="14"/>
      <c r="Q1810" s="14"/>
      <c r="R1810" s="14"/>
    </row>
    <row r="1811" spans="15:18" x14ac:dyDescent="0.3">
      <c r="O1811" s="14"/>
      <c r="P1811" s="14"/>
      <c r="Q1811" s="14"/>
      <c r="R1811" s="14"/>
    </row>
    <row r="1812" spans="15:18" x14ac:dyDescent="0.3">
      <c r="O1812" s="14"/>
      <c r="P1812" s="14"/>
      <c r="Q1812" s="14"/>
      <c r="R1812" s="14"/>
    </row>
    <row r="1813" spans="15:18" x14ac:dyDescent="0.3">
      <c r="O1813" s="14"/>
      <c r="P1813" s="14"/>
      <c r="Q1813" s="14"/>
      <c r="R1813" s="14"/>
    </row>
    <row r="1814" spans="15:18" x14ac:dyDescent="0.3">
      <c r="O1814" s="14"/>
      <c r="P1814" s="14"/>
      <c r="Q1814" s="14"/>
      <c r="R1814" s="14"/>
    </row>
    <row r="1815" spans="15:18" x14ac:dyDescent="0.3">
      <c r="O1815" s="14"/>
      <c r="P1815" s="14"/>
      <c r="Q1815" s="14"/>
      <c r="R1815" s="14"/>
    </row>
    <row r="1816" spans="15:18" x14ac:dyDescent="0.3">
      <c r="O1816" s="14"/>
      <c r="P1816" s="14"/>
      <c r="Q1816" s="14"/>
      <c r="R1816" s="14"/>
    </row>
    <row r="1817" spans="15:18" x14ac:dyDescent="0.3">
      <c r="O1817" s="14"/>
      <c r="P1817" s="14"/>
      <c r="Q1817" s="14"/>
      <c r="R1817" s="14"/>
    </row>
    <row r="1818" spans="15:18" x14ac:dyDescent="0.3">
      <c r="O1818" s="14"/>
      <c r="P1818" s="14"/>
      <c r="Q1818" s="14"/>
      <c r="R1818" s="14"/>
    </row>
    <row r="1819" spans="15:18" x14ac:dyDescent="0.3">
      <c r="O1819" s="14"/>
      <c r="P1819" s="14"/>
      <c r="Q1819" s="14"/>
      <c r="R1819" s="14"/>
    </row>
    <row r="1820" spans="15:18" x14ac:dyDescent="0.3">
      <c r="O1820" s="14"/>
      <c r="P1820" s="14"/>
      <c r="Q1820" s="14"/>
      <c r="R1820" s="14"/>
    </row>
    <row r="1821" spans="15:18" x14ac:dyDescent="0.3">
      <c r="O1821" s="14"/>
      <c r="P1821" s="14"/>
      <c r="Q1821" s="14"/>
      <c r="R1821" s="14"/>
    </row>
    <row r="1822" spans="15:18" x14ac:dyDescent="0.3">
      <c r="O1822" s="14"/>
      <c r="P1822" s="14"/>
      <c r="Q1822" s="14"/>
      <c r="R1822" s="14"/>
    </row>
    <row r="1823" spans="15:18" x14ac:dyDescent="0.3">
      <c r="O1823" s="14"/>
      <c r="P1823" s="14"/>
      <c r="Q1823" s="14"/>
      <c r="R1823" s="14"/>
    </row>
    <row r="1824" spans="15:18" x14ac:dyDescent="0.3">
      <c r="O1824" s="14"/>
      <c r="P1824" s="14"/>
      <c r="Q1824" s="14"/>
      <c r="R1824" s="14"/>
    </row>
    <row r="1825" spans="15:18" x14ac:dyDescent="0.3">
      <c r="O1825" s="14"/>
      <c r="P1825" s="14"/>
      <c r="Q1825" s="14"/>
      <c r="R1825" s="14"/>
    </row>
    <row r="1826" spans="15:18" x14ac:dyDescent="0.3">
      <c r="O1826" s="14"/>
      <c r="P1826" s="14"/>
      <c r="Q1826" s="14"/>
      <c r="R1826" s="14"/>
    </row>
    <row r="1827" spans="15:18" x14ac:dyDescent="0.3">
      <c r="O1827" s="14"/>
      <c r="P1827" s="14"/>
      <c r="Q1827" s="14"/>
      <c r="R1827" s="14"/>
    </row>
    <row r="1828" spans="15:18" x14ac:dyDescent="0.3">
      <c r="O1828" s="14"/>
      <c r="P1828" s="14"/>
      <c r="Q1828" s="14"/>
      <c r="R1828" s="14"/>
    </row>
    <row r="1829" spans="15:18" x14ac:dyDescent="0.3">
      <c r="O1829" s="14"/>
      <c r="P1829" s="14"/>
      <c r="Q1829" s="14"/>
      <c r="R1829" s="14"/>
    </row>
    <row r="1830" spans="15:18" x14ac:dyDescent="0.3">
      <c r="O1830" s="14"/>
      <c r="P1830" s="14"/>
      <c r="Q1830" s="14"/>
      <c r="R1830" s="14"/>
    </row>
    <row r="1831" spans="15:18" x14ac:dyDescent="0.3">
      <c r="O1831" s="14"/>
      <c r="P1831" s="14"/>
      <c r="Q1831" s="14"/>
      <c r="R1831" s="14"/>
    </row>
    <row r="1832" spans="15:18" x14ac:dyDescent="0.3">
      <c r="O1832" s="14"/>
      <c r="P1832" s="14"/>
      <c r="Q1832" s="14"/>
      <c r="R1832" s="14"/>
    </row>
    <row r="1833" spans="15:18" x14ac:dyDescent="0.3">
      <c r="O1833" s="14"/>
      <c r="P1833" s="14"/>
      <c r="Q1833" s="14"/>
      <c r="R1833" s="14"/>
    </row>
    <row r="1834" spans="15:18" x14ac:dyDescent="0.3">
      <c r="O1834" s="14"/>
      <c r="P1834" s="14"/>
      <c r="Q1834" s="14"/>
      <c r="R1834" s="14"/>
    </row>
    <row r="1835" spans="15:18" x14ac:dyDescent="0.3">
      <c r="O1835" s="14"/>
      <c r="P1835" s="14"/>
      <c r="Q1835" s="14"/>
      <c r="R1835" s="14"/>
    </row>
    <row r="1836" spans="15:18" x14ac:dyDescent="0.3">
      <c r="O1836" s="14"/>
      <c r="P1836" s="14"/>
      <c r="Q1836" s="14"/>
      <c r="R1836" s="14"/>
    </row>
    <row r="1837" spans="15:18" x14ac:dyDescent="0.3">
      <c r="O1837" s="14"/>
      <c r="P1837" s="14"/>
      <c r="Q1837" s="14"/>
      <c r="R1837" s="14"/>
    </row>
    <row r="1838" spans="15:18" x14ac:dyDescent="0.3">
      <c r="O1838" s="14"/>
      <c r="P1838" s="14"/>
      <c r="Q1838" s="14"/>
      <c r="R1838" s="14"/>
    </row>
    <row r="1839" spans="15:18" x14ac:dyDescent="0.3">
      <c r="O1839" s="14"/>
      <c r="P1839" s="14"/>
      <c r="Q1839" s="14"/>
      <c r="R1839" s="14"/>
    </row>
    <row r="1840" spans="15:18" x14ac:dyDescent="0.3">
      <c r="O1840" s="14"/>
      <c r="P1840" s="14"/>
      <c r="Q1840" s="14"/>
      <c r="R1840" s="14"/>
    </row>
    <row r="1841" spans="15:18" x14ac:dyDescent="0.3">
      <c r="O1841" s="14"/>
      <c r="P1841" s="14"/>
      <c r="Q1841" s="14"/>
      <c r="R1841" s="14"/>
    </row>
    <row r="1842" spans="15:18" x14ac:dyDescent="0.3">
      <c r="O1842" s="14"/>
      <c r="P1842" s="14"/>
      <c r="Q1842" s="14"/>
      <c r="R1842" s="14"/>
    </row>
    <row r="1843" spans="15:18" x14ac:dyDescent="0.3">
      <c r="O1843" s="14"/>
      <c r="P1843" s="14"/>
      <c r="Q1843" s="14"/>
      <c r="R1843" s="14"/>
    </row>
    <row r="1844" spans="15:18" x14ac:dyDescent="0.3">
      <c r="O1844" s="14"/>
      <c r="P1844" s="14"/>
      <c r="Q1844" s="14"/>
      <c r="R1844" s="14"/>
    </row>
    <row r="1845" spans="15:18" x14ac:dyDescent="0.3">
      <c r="O1845" s="14"/>
      <c r="P1845" s="14"/>
      <c r="Q1845" s="14"/>
      <c r="R1845" s="14"/>
    </row>
    <row r="1846" spans="15:18" x14ac:dyDescent="0.3">
      <c r="O1846" s="14"/>
      <c r="P1846" s="14"/>
      <c r="Q1846" s="14"/>
      <c r="R1846" s="14"/>
    </row>
    <row r="1847" spans="15:18" x14ac:dyDescent="0.3">
      <c r="O1847" s="14"/>
      <c r="P1847" s="14"/>
      <c r="Q1847" s="14"/>
      <c r="R1847" s="14"/>
    </row>
    <row r="1848" spans="15:18" x14ac:dyDescent="0.3">
      <c r="O1848" s="14"/>
      <c r="P1848" s="14"/>
      <c r="Q1848" s="14"/>
      <c r="R1848" s="14"/>
    </row>
    <row r="1849" spans="15:18" x14ac:dyDescent="0.3">
      <c r="O1849" s="14"/>
      <c r="P1849" s="14"/>
      <c r="Q1849" s="14"/>
      <c r="R1849" s="14"/>
    </row>
    <row r="1850" spans="15:18" x14ac:dyDescent="0.3">
      <c r="O1850" s="14"/>
      <c r="P1850" s="14"/>
      <c r="Q1850" s="14"/>
      <c r="R1850" s="14"/>
    </row>
    <row r="1851" spans="15:18" x14ac:dyDescent="0.3">
      <c r="O1851" s="14"/>
      <c r="P1851" s="14"/>
      <c r="Q1851" s="14"/>
      <c r="R1851" s="14"/>
    </row>
    <row r="1852" spans="15:18" x14ac:dyDescent="0.3">
      <c r="O1852" s="14"/>
      <c r="P1852" s="14"/>
      <c r="Q1852" s="14"/>
      <c r="R1852" s="14"/>
    </row>
    <row r="1853" spans="15:18" x14ac:dyDescent="0.3">
      <c r="O1853" s="14"/>
      <c r="P1853" s="14"/>
      <c r="Q1853" s="14"/>
      <c r="R1853" s="14"/>
    </row>
    <row r="1854" spans="15:18" x14ac:dyDescent="0.3">
      <c r="O1854" s="14"/>
      <c r="P1854" s="14"/>
      <c r="Q1854" s="14"/>
      <c r="R1854" s="14"/>
    </row>
    <row r="1855" spans="15:18" x14ac:dyDescent="0.3">
      <c r="O1855" s="14"/>
      <c r="P1855" s="14"/>
      <c r="Q1855" s="14"/>
      <c r="R1855" s="14"/>
    </row>
    <row r="1856" spans="15:18" x14ac:dyDescent="0.3">
      <c r="O1856" s="14"/>
      <c r="P1856" s="14"/>
      <c r="Q1856" s="14"/>
      <c r="R1856" s="14"/>
    </row>
    <row r="1857" spans="15:18" x14ac:dyDescent="0.3">
      <c r="O1857" s="14"/>
      <c r="P1857" s="14"/>
      <c r="Q1857" s="14"/>
      <c r="R1857" s="14"/>
    </row>
    <row r="1858" spans="15:18" x14ac:dyDescent="0.3">
      <c r="O1858" s="14"/>
      <c r="P1858" s="14"/>
      <c r="Q1858" s="14"/>
      <c r="R1858" s="14"/>
    </row>
    <row r="1859" spans="15:18" x14ac:dyDescent="0.3">
      <c r="O1859" s="14"/>
      <c r="P1859" s="14"/>
      <c r="Q1859" s="14"/>
      <c r="R1859" s="14"/>
    </row>
    <row r="1860" spans="15:18" x14ac:dyDescent="0.3">
      <c r="O1860" s="14"/>
      <c r="P1860" s="14"/>
      <c r="Q1860" s="14"/>
      <c r="R1860" s="14"/>
    </row>
    <row r="1861" spans="15:18" x14ac:dyDescent="0.3">
      <c r="O1861" s="14"/>
      <c r="P1861" s="14"/>
      <c r="Q1861" s="14"/>
      <c r="R1861" s="14"/>
    </row>
    <row r="1862" spans="15:18" x14ac:dyDescent="0.3">
      <c r="O1862" s="14"/>
      <c r="P1862" s="14"/>
      <c r="Q1862" s="14"/>
      <c r="R1862" s="14"/>
    </row>
    <row r="1863" spans="15:18" x14ac:dyDescent="0.3">
      <c r="O1863" s="14"/>
      <c r="P1863" s="14"/>
      <c r="Q1863" s="14"/>
      <c r="R1863" s="14"/>
    </row>
    <row r="1864" spans="15:18" x14ac:dyDescent="0.3">
      <c r="O1864" s="14"/>
      <c r="P1864" s="14"/>
      <c r="Q1864" s="14"/>
      <c r="R1864" s="14"/>
    </row>
    <row r="1865" spans="15:18" x14ac:dyDescent="0.3">
      <c r="O1865" s="14"/>
      <c r="P1865" s="14"/>
      <c r="Q1865" s="14"/>
      <c r="R1865" s="14"/>
    </row>
    <row r="1866" spans="15:18" x14ac:dyDescent="0.3">
      <c r="O1866" s="14"/>
      <c r="P1866" s="14"/>
      <c r="Q1866" s="14"/>
      <c r="R1866" s="14"/>
    </row>
    <row r="1867" spans="15:18" x14ac:dyDescent="0.3">
      <c r="O1867" s="14"/>
      <c r="P1867" s="14"/>
      <c r="Q1867" s="14"/>
      <c r="R1867" s="14"/>
    </row>
    <row r="1868" spans="15:18" x14ac:dyDescent="0.3">
      <c r="O1868" s="14"/>
      <c r="P1868" s="14"/>
      <c r="Q1868" s="14"/>
      <c r="R1868" s="14"/>
    </row>
    <row r="1869" spans="15:18" x14ac:dyDescent="0.3">
      <c r="O1869" s="14"/>
      <c r="P1869" s="14"/>
      <c r="Q1869" s="14"/>
      <c r="R1869" s="14"/>
    </row>
    <row r="1870" spans="15:18" x14ac:dyDescent="0.3">
      <c r="O1870" s="14"/>
      <c r="P1870" s="14"/>
      <c r="Q1870" s="14"/>
      <c r="R1870" s="14"/>
    </row>
    <row r="1871" spans="15:18" x14ac:dyDescent="0.3">
      <c r="O1871" s="14"/>
      <c r="P1871" s="14"/>
      <c r="Q1871" s="14"/>
      <c r="R1871" s="14"/>
    </row>
    <row r="1872" spans="15:18" x14ac:dyDescent="0.3">
      <c r="O1872" s="14"/>
      <c r="P1872" s="14"/>
      <c r="Q1872" s="14"/>
      <c r="R1872" s="14"/>
    </row>
    <row r="1873" spans="15:18" x14ac:dyDescent="0.3">
      <c r="O1873" s="14"/>
      <c r="P1873" s="14"/>
      <c r="Q1873" s="14"/>
      <c r="R1873" s="14"/>
    </row>
    <row r="1874" spans="15:18" x14ac:dyDescent="0.3">
      <c r="O1874" s="14"/>
      <c r="P1874" s="14"/>
      <c r="Q1874" s="14"/>
      <c r="R1874" s="14"/>
    </row>
    <row r="1875" spans="15:18" x14ac:dyDescent="0.3">
      <c r="O1875" s="14"/>
      <c r="P1875" s="14"/>
      <c r="Q1875" s="14"/>
      <c r="R1875" s="14"/>
    </row>
    <row r="1876" spans="15:18" x14ac:dyDescent="0.3">
      <c r="O1876" s="14"/>
      <c r="P1876" s="14"/>
      <c r="Q1876" s="14"/>
      <c r="R1876" s="14"/>
    </row>
    <row r="1877" spans="15:18" x14ac:dyDescent="0.3">
      <c r="O1877" s="14"/>
      <c r="P1877" s="14"/>
      <c r="Q1877" s="14"/>
      <c r="R1877" s="14"/>
    </row>
    <row r="1878" spans="15:18" x14ac:dyDescent="0.3">
      <c r="O1878" s="14"/>
      <c r="P1878" s="14"/>
      <c r="Q1878" s="14"/>
      <c r="R1878" s="14"/>
    </row>
    <row r="1879" spans="15:18" x14ac:dyDescent="0.3">
      <c r="O1879" s="14"/>
      <c r="P1879" s="14"/>
      <c r="Q1879" s="14"/>
      <c r="R1879" s="14"/>
    </row>
    <row r="1880" spans="15:18" x14ac:dyDescent="0.3">
      <c r="O1880" s="14"/>
      <c r="P1880" s="14"/>
      <c r="Q1880" s="14"/>
      <c r="R1880" s="14"/>
    </row>
    <row r="1881" spans="15:18" x14ac:dyDescent="0.3">
      <c r="O1881" s="14"/>
      <c r="P1881" s="14"/>
      <c r="Q1881" s="14"/>
      <c r="R1881" s="14"/>
    </row>
    <row r="1882" spans="15:18" x14ac:dyDescent="0.3">
      <c r="O1882" s="14"/>
      <c r="P1882" s="14"/>
      <c r="Q1882" s="14"/>
      <c r="R1882" s="14"/>
    </row>
    <row r="1883" spans="15:18" x14ac:dyDescent="0.3">
      <c r="O1883" s="14"/>
      <c r="P1883" s="14"/>
      <c r="Q1883" s="14"/>
      <c r="R1883" s="14"/>
    </row>
    <row r="1884" spans="15:18" x14ac:dyDescent="0.3">
      <c r="O1884" s="14"/>
      <c r="P1884" s="14"/>
      <c r="Q1884" s="14"/>
      <c r="R1884" s="14"/>
    </row>
    <row r="1885" spans="15:18" x14ac:dyDescent="0.3">
      <c r="O1885" s="14"/>
      <c r="P1885" s="14"/>
      <c r="Q1885" s="14"/>
      <c r="R1885" s="14"/>
    </row>
    <row r="1886" spans="15:18" x14ac:dyDescent="0.3">
      <c r="O1886" s="14"/>
      <c r="P1886" s="14"/>
      <c r="Q1886" s="14"/>
      <c r="R1886" s="14"/>
    </row>
    <row r="1887" spans="15:18" x14ac:dyDescent="0.3">
      <c r="O1887" s="14"/>
      <c r="P1887" s="14"/>
      <c r="Q1887" s="14"/>
      <c r="R1887" s="14"/>
    </row>
    <row r="1888" spans="15:18" x14ac:dyDescent="0.3">
      <c r="O1888" s="14"/>
      <c r="P1888" s="14"/>
      <c r="Q1888" s="14"/>
      <c r="R1888" s="14"/>
    </row>
    <row r="1889" spans="15:18" x14ac:dyDescent="0.3">
      <c r="O1889" s="14"/>
      <c r="P1889" s="14"/>
      <c r="Q1889" s="14"/>
      <c r="R1889" s="14"/>
    </row>
    <row r="1890" spans="15:18" x14ac:dyDescent="0.3">
      <c r="O1890" s="14"/>
      <c r="P1890" s="14"/>
      <c r="Q1890" s="14"/>
      <c r="R1890" s="14"/>
    </row>
    <row r="1891" spans="15:18" x14ac:dyDescent="0.3">
      <c r="O1891" s="14"/>
      <c r="P1891" s="14"/>
      <c r="Q1891" s="14"/>
      <c r="R1891" s="14"/>
    </row>
    <row r="1892" spans="15:18" x14ac:dyDescent="0.3">
      <c r="O1892" s="14"/>
      <c r="P1892" s="14"/>
      <c r="Q1892" s="14"/>
      <c r="R1892" s="14"/>
    </row>
    <row r="1893" spans="15:18" x14ac:dyDescent="0.3">
      <c r="O1893" s="14"/>
      <c r="P1893" s="14"/>
      <c r="Q1893" s="14"/>
      <c r="R1893" s="14"/>
    </row>
    <row r="1894" spans="15:18" x14ac:dyDescent="0.3">
      <c r="O1894" s="14"/>
      <c r="P1894" s="14"/>
      <c r="Q1894" s="14"/>
      <c r="R1894" s="14"/>
    </row>
    <row r="1895" spans="15:18" x14ac:dyDescent="0.3">
      <c r="O1895" s="14"/>
      <c r="P1895" s="14"/>
      <c r="Q1895" s="14"/>
      <c r="R1895" s="14"/>
    </row>
    <row r="1896" spans="15:18" x14ac:dyDescent="0.3">
      <c r="O1896" s="14"/>
      <c r="P1896" s="14"/>
      <c r="Q1896" s="14"/>
      <c r="R1896" s="14"/>
    </row>
    <row r="1897" spans="15:18" x14ac:dyDescent="0.3">
      <c r="O1897" s="14"/>
      <c r="P1897" s="14"/>
      <c r="Q1897" s="14"/>
      <c r="R1897" s="14"/>
    </row>
    <row r="1898" spans="15:18" x14ac:dyDescent="0.3">
      <c r="O1898" s="14"/>
      <c r="P1898" s="14"/>
      <c r="Q1898" s="14"/>
      <c r="R1898" s="14"/>
    </row>
    <row r="1899" spans="15:18" x14ac:dyDescent="0.3">
      <c r="O1899" s="14"/>
      <c r="P1899" s="14"/>
      <c r="Q1899" s="14"/>
      <c r="R1899" s="14"/>
    </row>
    <row r="1900" spans="15:18" x14ac:dyDescent="0.3">
      <c r="O1900" s="14"/>
      <c r="P1900" s="14"/>
      <c r="Q1900" s="14"/>
      <c r="R1900" s="14"/>
    </row>
    <row r="1901" spans="15:18" x14ac:dyDescent="0.3">
      <c r="O1901" s="14"/>
      <c r="P1901" s="14"/>
      <c r="Q1901" s="14"/>
      <c r="R1901" s="14"/>
    </row>
    <row r="1902" spans="15:18" x14ac:dyDescent="0.3">
      <c r="O1902" s="14"/>
      <c r="P1902" s="14"/>
      <c r="Q1902" s="14"/>
      <c r="R1902" s="14"/>
    </row>
    <row r="1903" spans="15:18" x14ac:dyDescent="0.3">
      <c r="O1903" s="14"/>
      <c r="P1903" s="14"/>
      <c r="Q1903" s="14"/>
      <c r="R1903" s="14"/>
    </row>
    <row r="1904" spans="15:18" x14ac:dyDescent="0.3">
      <c r="O1904" s="14"/>
      <c r="P1904" s="14"/>
      <c r="Q1904" s="14"/>
      <c r="R1904" s="14"/>
    </row>
    <row r="1905" spans="15:18" x14ac:dyDescent="0.3">
      <c r="O1905" s="14"/>
      <c r="P1905" s="14"/>
      <c r="Q1905" s="14"/>
      <c r="R1905" s="14"/>
    </row>
    <row r="1906" spans="15:18" x14ac:dyDescent="0.3">
      <c r="O1906" s="14"/>
      <c r="P1906" s="14"/>
      <c r="Q1906" s="14"/>
      <c r="R1906" s="14"/>
    </row>
    <row r="1907" spans="15:18" x14ac:dyDescent="0.3">
      <c r="O1907" s="14"/>
      <c r="P1907" s="14"/>
      <c r="Q1907" s="14"/>
      <c r="R1907" s="14"/>
    </row>
    <row r="1908" spans="15:18" x14ac:dyDescent="0.3">
      <c r="O1908" s="14"/>
      <c r="P1908" s="14"/>
      <c r="Q1908" s="14"/>
      <c r="R1908" s="14"/>
    </row>
    <row r="1909" spans="15:18" x14ac:dyDescent="0.3">
      <c r="O1909" s="14"/>
      <c r="P1909" s="14"/>
      <c r="Q1909" s="14"/>
      <c r="R1909" s="14"/>
    </row>
    <row r="1910" spans="15:18" x14ac:dyDescent="0.3">
      <c r="O1910" s="14"/>
      <c r="P1910" s="14"/>
      <c r="Q1910" s="14"/>
      <c r="R1910" s="14"/>
    </row>
    <row r="1911" spans="15:18" x14ac:dyDescent="0.3">
      <c r="O1911" s="14"/>
      <c r="P1911" s="14"/>
      <c r="Q1911" s="14"/>
      <c r="R1911" s="14"/>
    </row>
    <row r="1912" spans="15:18" x14ac:dyDescent="0.3">
      <c r="O1912" s="14"/>
      <c r="P1912" s="14"/>
      <c r="Q1912" s="14"/>
      <c r="R1912" s="14"/>
    </row>
    <row r="1913" spans="15:18" x14ac:dyDescent="0.3">
      <c r="O1913" s="14"/>
      <c r="P1913" s="14"/>
      <c r="Q1913" s="14"/>
      <c r="R1913" s="14"/>
    </row>
    <row r="1914" spans="15:18" x14ac:dyDescent="0.3">
      <c r="O1914" s="14"/>
      <c r="P1914" s="14"/>
      <c r="Q1914" s="14"/>
      <c r="R1914" s="14"/>
    </row>
    <row r="1915" spans="15:18" x14ac:dyDescent="0.3">
      <c r="O1915" s="14"/>
      <c r="P1915" s="14"/>
      <c r="Q1915" s="14"/>
      <c r="R1915" s="14"/>
    </row>
    <row r="1916" spans="15:18" x14ac:dyDescent="0.3">
      <c r="O1916" s="14"/>
      <c r="P1916" s="14"/>
      <c r="Q1916" s="14"/>
      <c r="R1916" s="14"/>
    </row>
    <row r="1917" spans="15:18" x14ac:dyDescent="0.3">
      <c r="O1917" s="14"/>
      <c r="P1917" s="14"/>
      <c r="Q1917" s="14"/>
      <c r="R1917" s="14"/>
    </row>
    <row r="1918" spans="15:18" x14ac:dyDescent="0.3">
      <c r="O1918" s="14"/>
      <c r="P1918" s="14"/>
      <c r="Q1918" s="14"/>
      <c r="R1918" s="14"/>
    </row>
    <row r="1919" spans="15:18" x14ac:dyDescent="0.3">
      <c r="O1919" s="14"/>
      <c r="P1919" s="14"/>
      <c r="Q1919" s="14"/>
      <c r="R1919" s="14"/>
    </row>
    <row r="1920" spans="15:18" x14ac:dyDescent="0.3">
      <c r="O1920" s="14"/>
      <c r="P1920" s="14"/>
      <c r="Q1920" s="14"/>
      <c r="R1920" s="14"/>
    </row>
    <row r="1921" spans="15:18" x14ac:dyDescent="0.3">
      <c r="O1921" s="14"/>
      <c r="P1921" s="14"/>
      <c r="Q1921" s="14"/>
      <c r="R1921" s="14"/>
    </row>
    <row r="1922" spans="15:18" x14ac:dyDescent="0.3">
      <c r="O1922" s="14"/>
      <c r="P1922" s="14"/>
      <c r="Q1922" s="14"/>
      <c r="R1922" s="14"/>
    </row>
    <row r="1923" spans="15:18" x14ac:dyDescent="0.3">
      <c r="O1923" s="14"/>
      <c r="P1923" s="14"/>
      <c r="Q1923" s="14"/>
      <c r="R1923" s="14"/>
    </row>
    <row r="1924" spans="15:18" x14ac:dyDescent="0.3">
      <c r="O1924" s="14"/>
      <c r="P1924" s="14"/>
      <c r="Q1924" s="14"/>
      <c r="R1924" s="14"/>
    </row>
    <row r="1925" spans="15:18" x14ac:dyDescent="0.3">
      <c r="O1925" s="14"/>
      <c r="P1925" s="14"/>
      <c r="Q1925" s="14"/>
      <c r="R1925" s="14"/>
    </row>
    <row r="1926" spans="15:18" x14ac:dyDescent="0.3">
      <c r="O1926" s="14"/>
      <c r="P1926" s="14"/>
      <c r="Q1926" s="14"/>
      <c r="R1926" s="14"/>
    </row>
    <row r="1927" spans="15:18" x14ac:dyDescent="0.3">
      <c r="O1927" s="14"/>
      <c r="P1927" s="14"/>
      <c r="Q1927" s="14"/>
      <c r="R1927" s="14"/>
    </row>
    <row r="1928" spans="15:18" x14ac:dyDescent="0.3">
      <c r="O1928" s="14"/>
      <c r="P1928" s="14"/>
      <c r="Q1928" s="14"/>
      <c r="R1928" s="14"/>
    </row>
    <row r="1929" spans="15:18" x14ac:dyDescent="0.3">
      <c r="O1929" s="14"/>
      <c r="P1929" s="14"/>
      <c r="Q1929" s="14"/>
      <c r="R1929" s="14"/>
    </row>
    <row r="1930" spans="15:18" x14ac:dyDescent="0.3">
      <c r="O1930" s="14"/>
      <c r="P1930" s="14"/>
      <c r="Q1930" s="14"/>
      <c r="R1930" s="14"/>
    </row>
    <row r="1931" spans="15:18" x14ac:dyDescent="0.3">
      <c r="O1931" s="14"/>
      <c r="P1931" s="14"/>
      <c r="Q1931" s="14"/>
      <c r="R1931" s="14"/>
    </row>
    <row r="1932" spans="15:18" x14ac:dyDescent="0.3">
      <c r="O1932" s="14"/>
      <c r="P1932" s="14"/>
      <c r="Q1932" s="14"/>
      <c r="R1932" s="14"/>
    </row>
    <row r="1933" spans="15:18" x14ac:dyDescent="0.3">
      <c r="O1933" s="14"/>
      <c r="P1933" s="14"/>
      <c r="Q1933" s="14"/>
      <c r="R1933" s="14"/>
    </row>
    <row r="1934" spans="15:18" x14ac:dyDescent="0.3">
      <c r="O1934" s="14"/>
      <c r="P1934" s="14"/>
      <c r="Q1934" s="14"/>
      <c r="R1934" s="14"/>
    </row>
    <row r="1935" spans="15:18" x14ac:dyDescent="0.3">
      <c r="O1935" s="14"/>
      <c r="P1935" s="14"/>
      <c r="Q1935" s="14"/>
      <c r="R1935" s="14"/>
    </row>
    <row r="1936" spans="15:18" x14ac:dyDescent="0.3">
      <c r="O1936" s="14"/>
      <c r="P1936" s="14"/>
      <c r="Q1936" s="14"/>
      <c r="R1936" s="14"/>
    </row>
    <row r="1937" spans="15:18" x14ac:dyDescent="0.3">
      <c r="O1937" s="14"/>
      <c r="P1937" s="14"/>
      <c r="Q1937" s="14"/>
      <c r="R1937" s="14"/>
    </row>
    <row r="1938" spans="15:18" x14ac:dyDescent="0.3">
      <c r="O1938" s="14"/>
      <c r="P1938" s="14"/>
      <c r="Q1938" s="14"/>
      <c r="R1938" s="14"/>
    </row>
    <row r="1939" spans="15:18" x14ac:dyDescent="0.3">
      <c r="O1939" s="14"/>
      <c r="P1939" s="14"/>
      <c r="Q1939" s="14"/>
      <c r="R1939" s="14"/>
    </row>
    <row r="1940" spans="15:18" x14ac:dyDescent="0.3">
      <c r="O1940" s="14"/>
      <c r="P1940" s="14"/>
      <c r="Q1940" s="14"/>
      <c r="R1940" s="14"/>
    </row>
    <row r="1941" spans="15:18" x14ac:dyDescent="0.3">
      <c r="O1941" s="14"/>
      <c r="P1941" s="14"/>
      <c r="Q1941" s="14"/>
      <c r="R1941" s="14"/>
    </row>
    <row r="1942" spans="15:18" x14ac:dyDescent="0.3">
      <c r="O1942" s="14"/>
      <c r="P1942" s="14"/>
      <c r="Q1942" s="14"/>
      <c r="R1942" s="14"/>
    </row>
    <row r="1943" spans="15:18" x14ac:dyDescent="0.3">
      <c r="O1943" s="14"/>
      <c r="P1943" s="14"/>
      <c r="Q1943" s="14"/>
      <c r="R1943" s="14"/>
    </row>
    <row r="1944" spans="15:18" x14ac:dyDescent="0.3">
      <c r="O1944" s="14"/>
      <c r="P1944" s="14"/>
      <c r="Q1944" s="14"/>
      <c r="R1944" s="14"/>
    </row>
    <row r="1945" spans="15:18" x14ac:dyDescent="0.3">
      <c r="O1945" s="14"/>
      <c r="P1945" s="14"/>
      <c r="Q1945" s="14"/>
      <c r="R1945" s="14"/>
    </row>
    <row r="1946" spans="15:18" x14ac:dyDescent="0.3">
      <c r="O1946" s="14"/>
      <c r="P1946" s="14"/>
      <c r="Q1946" s="14"/>
      <c r="R1946" s="14"/>
    </row>
    <row r="1947" spans="15:18" x14ac:dyDescent="0.3">
      <c r="O1947" s="14"/>
      <c r="P1947" s="14"/>
      <c r="Q1947" s="14"/>
      <c r="R1947" s="14"/>
    </row>
    <row r="1948" spans="15:18" x14ac:dyDescent="0.3">
      <c r="O1948" s="14"/>
      <c r="P1948" s="14"/>
      <c r="Q1948" s="14"/>
      <c r="R1948" s="14"/>
    </row>
    <row r="1949" spans="15:18" x14ac:dyDescent="0.3">
      <c r="O1949" s="14"/>
      <c r="P1949" s="14"/>
      <c r="Q1949" s="14"/>
      <c r="R1949" s="14"/>
    </row>
    <row r="1950" spans="15:18" x14ac:dyDescent="0.3">
      <c r="O1950" s="14"/>
      <c r="P1950" s="14"/>
      <c r="Q1950" s="14"/>
      <c r="R1950" s="14"/>
    </row>
    <row r="1951" spans="15:18" x14ac:dyDescent="0.3">
      <c r="O1951" s="14"/>
      <c r="P1951" s="14"/>
      <c r="Q1951" s="14"/>
      <c r="R1951" s="14"/>
    </row>
    <row r="1952" spans="15:18" x14ac:dyDescent="0.3">
      <c r="O1952" s="14"/>
      <c r="P1952" s="14"/>
      <c r="Q1952" s="14"/>
      <c r="R1952" s="14"/>
    </row>
    <row r="1953" spans="15:18" x14ac:dyDescent="0.3">
      <c r="O1953" s="14"/>
      <c r="P1953" s="14"/>
      <c r="Q1953" s="14"/>
      <c r="R1953" s="14"/>
    </row>
    <row r="1954" spans="15:18" x14ac:dyDescent="0.3">
      <c r="O1954" s="14"/>
      <c r="P1954" s="14"/>
      <c r="Q1954" s="14"/>
      <c r="R1954" s="14"/>
    </row>
    <row r="1955" spans="15:18" x14ac:dyDescent="0.3">
      <c r="O1955" s="14"/>
      <c r="P1955" s="14"/>
      <c r="Q1955" s="14"/>
      <c r="R1955" s="14"/>
    </row>
    <row r="1956" spans="15:18" x14ac:dyDescent="0.3">
      <c r="O1956" s="14"/>
      <c r="P1956" s="14"/>
      <c r="Q1956" s="14"/>
      <c r="R1956" s="14"/>
    </row>
    <row r="1957" spans="15:18" x14ac:dyDescent="0.3">
      <c r="O1957" s="14"/>
      <c r="P1957" s="14"/>
      <c r="Q1957" s="14"/>
      <c r="R1957" s="14"/>
    </row>
    <row r="1958" spans="15:18" x14ac:dyDescent="0.3">
      <c r="O1958" s="14"/>
      <c r="P1958" s="14"/>
      <c r="Q1958" s="14"/>
      <c r="R1958" s="14"/>
    </row>
    <row r="1959" spans="15:18" x14ac:dyDescent="0.3">
      <c r="O1959" s="14"/>
      <c r="P1959" s="14"/>
      <c r="Q1959" s="14"/>
      <c r="R1959" s="14"/>
    </row>
    <row r="1960" spans="15:18" x14ac:dyDescent="0.3">
      <c r="O1960" s="14"/>
      <c r="P1960" s="14"/>
      <c r="Q1960" s="14"/>
      <c r="R1960" s="14"/>
    </row>
    <row r="1961" spans="15:18" x14ac:dyDescent="0.3">
      <c r="O1961" s="14"/>
      <c r="P1961" s="14"/>
      <c r="Q1961" s="14"/>
      <c r="R1961" s="14"/>
    </row>
    <row r="1962" spans="15:18" x14ac:dyDescent="0.3">
      <c r="O1962" s="14"/>
      <c r="P1962" s="14"/>
      <c r="Q1962" s="14"/>
      <c r="R1962" s="14"/>
    </row>
    <row r="1963" spans="15:18" x14ac:dyDescent="0.3">
      <c r="O1963" s="14"/>
      <c r="P1963" s="14"/>
      <c r="Q1963" s="14"/>
      <c r="R1963" s="14"/>
    </row>
    <row r="1964" spans="15:18" x14ac:dyDescent="0.3">
      <c r="O1964" s="14"/>
      <c r="P1964" s="14"/>
      <c r="Q1964" s="14"/>
      <c r="R1964" s="14"/>
    </row>
    <row r="1965" spans="15:18" x14ac:dyDescent="0.3">
      <c r="O1965" s="14"/>
      <c r="P1965" s="14"/>
      <c r="Q1965" s="14"/>
      <c r="R1965" s="14"/>
    </row>
    <row r="1966" spans="15:18" x14ac:dyDescent="0.3">
      <c r="O1966" s="14"/>
      <c r="P1966" s="14"/>
      <c r="Q1966" s="14"/>
      <c r="R1966" s="14"/>
    </row>
    <row r="1967" spans="15:18" x14ac:dyDescent="0.3">
      <c r="O1967" s="14"/>
      <c r="P1967" s="14"/>
      <c r="Q1967" s="14"/>
      <c r="R1967" s="14"/>
    </row>
    <row r="1968" spans="15:18" x14ac:dyDescent="0.3">
      <c r="O1968" s="14"/>
      <c r="P1968" s="14"/>
      <c r="Q1968" s="14"/>
      <c r="R1968" s="14"/>
    </row>
    <row r="1969" spans="15:18" x14ac:dyDescent="0.3">
      <c r="O1969" s="14"/>
      <c r="P1969" s="14"/>
      <c r="Q1969" s="14"/>
      <c r="R1969" s="14"/>
    </row>
    <row r="1970" spans="15:18" x14ac:dyDescent="0.3">
      <c r="O1970" s="14"/>
      <c r="P1970" s="14"/>
      <c r="Q1970" s="14"/>
      <c r="R1970" s="14"/>
    </row>
    <row r="1971" spans="15:18" x14ac:dyDescent="0.3">
      <c r="O1971" s="14"/>
      <c r="P1971" s="14"/>
      <c r="Q1971" s="14"/>
      <c r="R1971" s="14"/>
    </row>
    <row r="1972" spans="15:18" x14ac:dyDescent="0.3">
      <c r="O1972" s="14"/>
      <c r="P1972" s="14"/>
      <c r="Q1972" s="14"/>
      <c r="R1972" s="14"/>
    </row>
    <row r="1973" spans="15:18" x14ac:dyDescent="0.3">
      <c r="O1973" s="14"/>
      <c r="P1973" s="14"/>
      <c r="Q1973" s="14"/>
      <c r="R1973" s="14"/>
    </row>
    <row r="1974" spans="15:18" x14ac:dyDescent="0.3">
      <c r="O1974" s="14"/>
      <c r="P1974" s="14"/>
      <c r="Q1974" s="14"/>
      <c r="R1974" s="14"/>
    </row>
    <row r="1975" spans="15:18" x14ac:dyDescent="0.3">
      <c r="O1975" s="14"/>
      <c r="P1975" s="14"/>
      <c r="Q1975" s="14"/>
      <c r="R1975" s="14"/>
    </row>
    <row r="1976" spans="15:18" x14ac:dyDescent="0.3">
      <c r="O1976" s="14"/>
      <c r="P1976" s="14"/>
      <c r="Q1976" s="14"/>
      <c r="R1976" s="14"/>
    </row>
    <row r="1977" spans="15:18" x14ac:dyDescent="0.3">
      <c r="O1977" s="14"/>
      <c r="P1977" s="14"/>
      <c r="Q1977" s="14"/>
      <c r="R1977" s="14"/>
    </row>
    <row r="1978" spans="15:18" x14ac:dyDescent="0.3">
      <c r="O1978" s="14"/>
      <c r="P1978" s="14"/>
      <c r="Q1978" s="14"/>
      <c r="R1978" s="14"/>
    </row>
    <row r="1979" spans="15:18" x14ac:dyDescent="0.3">
      <c r="O1979" s="14"/>
      <c r="P1979" s="14"/>
      <c r="Q1979" s="14"/>
      <c r="R1979" s="14"/>
    </row>
    <row r="1980" spans="15:18" x14ac:dyDescent="0.3">
      <c r="O1980" s="14"/>
      <c r="P1980" s="14"/>
      <c r="Q1980" s="14"/>
      <c r="R1980" s="14"/>
    </row>
    <row r="1981" spans="15:18" x14ac:dyDescent="0.3">
      <c r="O1981" s="14"/>
      <c r="P1981" s="14"/>
      <c r="Q1981" s="14"/>
      <c r="R1981" s="14"/>
    </row>
    <row r="1982" spans="15:18" x14ac:dyDescent="0.3">
      <c r="O1982" s="14"/>
      <c r="P1982" s="14"/>
      <c r="Q1982" s="14"/>
      <c r="R1982" s="14"/>
    </row>
    <row r="1983" spans="15:18" x14ac:dyDescent="0.3">
      <c r="O1983" s="14"/>
      <c r="P1983" s="14"/>
      <c r="Q1983" s="14"/>
      <c r="R1983" s="14"/>
    </row>
    <row r="1984" spans="15:18" x14ac:dyDescent="0.3">
      <c r="O1984" s="14"/>
      <c r="P1984" s="14"/>
      <c r="Q1984" s="14"/>
      <c r="R1984" s="14"/>
    </row>
    <row r="1985" spans="15:18" x14ac:dyDescent="0.3">
      <c r="O1985" s="14"/>
      <c r="P1985" s="14"/>
      <c r="Q1985" s="14"/>
      <c r="R1985" s="14"/>
    </row>
    <row r="1986" spans="15:18" x14ac:dyDescent="0.3">
      <c r="O1986" s="14"/>
      <c r="P1986" s="14"/>
      <c r="Q1986" s="14"/>
      <c r="R1986" s="14"/>
    </row>
    <row r="1987" spans="15:18" x14ac:dyDescent="0.3">
      <c r="O1987" s="14"/>
      <c r="P1987" s="14"/>
      <c r="Q1987" s="14"/>
      <c r="R1987" s="14"/>
    </row>
    <row r="1988" spans="15:18" x14ac:dyDescent="0.3">
      <c r="O1988" s="14"/>
      <c r="P1988" s="14"/>
      <c r="Q1988" s="14"/>
      <c r="R1988" s="14"/>
    </row>
    <row r="1989" spans="15:18" x14ac:dyDescent="0.3">
      <c r="O1989" s="14"/>
      <c r="P1989" s="14"/>
      <c r="Q1989" s="14"/>
      <c r="R1989" s="14"/>
    </row>
    <row r="1990" spans="15:18" x14ac:dyDescent="0.3">
      <c r="O1990" s="14"/>
      <c r="P1990" s="14"/>
      <c r="Q1990" s="14"/>
      <c r="R1990" s="14"/>
    </row>
    <row r="1991" spans="15:18" x14ac:dyDescent="0.3">
      <c r="O1991" s="14"/>
      <c r="P1991" s="14"/>
      <c r="Q1991" s="14"/>
      <c r="R1991" s="14"/>
    </row>
    <row r="1992" spans="15:18" x14ac:dyDescent="0.3">
      <c r="O1992" s="14"/>
      <c r="P1992" s="14"/>
      <c r="Q1992" s="14"/>
      <c r="R1992" s="14"/>
    </row>
    <row r="1993" spans="15:18" x14ac:dyDescent="0.3">
      <c r="O1993" s="14"/>
      <c r="P1993" s="14"/>
      <c r="Q1993" s="14"/>
      <c r="R1993" s="14"/>
    </row>
    <row r="1994" spans="15:18" x14ac:dyDescent="0.3">
      <c r="O1994" s="14"/>
      <c r="P1994" s="14"/>
      <c r="Q1994" s="14"/>
      <c r="R1994" s="14"/>
    </row>
    <row r="1995" spans="15:18" x14ac:dyDescent="0.3">
      <c r="O1995" s="14"/>
      <c r="P1995" s="14"/>
      <c r="Q1995" s="14"/>
      <c r="R1995" s="14"/>
    </row>
    <row r="1996" spans="15:18" x14ac:dyDescent="0.3">
      <c r="O1996" s="14"/>
      <c r="P1996" s="14"/>
      <c r="Q1996" s="14"/>
      <c r="R1996" s="14"/>
    </row>
    <row r="1997" spans="15:18" x14ac:dyDescent="0.3">
      <c r="O1997" s="14"/>
      <c r="P1997" s="14"/>
      <c r="Q1997" s="14"/>
      <c r="R1997" s="14"/>
    </row>
    <row r="1998" spans="15:18" x14ac:dyDescent="0.3">
      <c r="O1998" s="14"/>
      <c r="P1998" s="14"/>
      <c r="Q1998" s="14"/>
      <c r="R1998" s="14"/>
    </row>
    <row r="1999" spans="15:18" x14ac:dyDescent="0.3">
      <c r="O1999" s="14"/>
      <c r="P1999" s="14"/>
      <c r="Q1999" s="14"/>
      <c r="R1999" s="14"/>
    </row>
    <row r="2000" spans="15:18" x14ac:dyDescent="0.3">
      <c r="O2000" s="14"/>
      <c r="P2000" s="14"/>
      <c r="Q2000" s="14"/>
      <c r="R2000" s="14"/>
    </row>
    <row r="2001" spans="15:18" x14ac:dyDescent="0.3">
      <c r="O2001" s="14"/>
      <c r="P2001" s="14"/>
      <c r="Q2001" s="14"/>
      <c r="R2001" s="14"/>
    </row>
    <row r="2002" spans="15:18" x14ac:dyDescent="0.3">
      <c r="O2002" s="14"/>
      <c r="P2002" s="14"/>
      <c r="Q2002" s="14"/>
      <c r="R2002" s="14"/>
    </row>
    <row r="2003" spans="15:18" x14ac:dyDescent="0.3">
      <c r="O2003" s="14"/>
      <c r="P2003" s="14"/>
      <c r="Q2003" s="14"/>
      <c r="R2003" s="14"/>
    </row>
    <row r="2004" spans="15:18" x14ac:dyDescent="0.3">
      <c r="O2004" s="14"/>
      <c r="P2004" s="14"/>
      <c r="Q2004" s="14"/>
      <c r="R2004" s="14"/>
    </row>
    <row r="2005" spans="15:18" x14ac:dyDescent="0.3">
      <c r="O2005" s="14"/>
      <c r="P2005" s="14"/>
      <c r="Q2005" s="14"/>
      <c r="R2005" s="14"/>
    </row>
    <row r="2006" spans="15:18" x14ac:dyDescent="0.3">
      <c r="O2006" s="14"/>
      <c r="P2006" s="14"/>
      <c r="Q2006" s="14"/>
      <c r="R2006" s="14"/>
    </row>
    <row r="2007" spans="15:18" x14ac:dyDescent="0.3">
      <c r="O2007" s="14"/>
      <c r="P2007" s="14"/>
      <c r="Q2007" s="14"/>
      <c r="R2007" s="14"/>
    </row>
    <row r="2008" spans="15:18" x14ac:dyDescent="0.3">
      <c r="O2008" s="14"/>
      <c r="P2008" s="14"/>
      <c r="Q2008" s="14"/>
      <c r="R2008" s="14"/>
    </row>
    <row r="2009" spans="15:18" x14ac:dyDescent="0.3">
      <c r="O2009" s="14"/>
      <c r="P2009" s="14"/>
      <c r="Q2009" s="14"/>
      <c r="R2009" s="14"/>
    </row>
    <row r="2010" spans="15:18" x14ac:dyDescent="0.3">
      <c r="O2010" s="14"/>
      <c r="P2010" s="14"/>
      <c r="Q2010" s="14"/>
      <c r="R2010" s="14"/>
    </row>
    <row r="2011" spans="15:18" x14ac:dyDescent="0.3">
      <c r="O2011" s="14"/>
      <c r="P2011" s="14"/>
      <c r="Q2011" s="14"/>
      <c r="R2011" s="14"/>
    </row>
    <row r="2012" spans="15:18" x14ac:dyDescent="0.3">
      <c r="O2012" s="14"/>
      <c r="P2012" s="14"/>
      <c r="Q2012" s="14"/>
      <c r="R2012" s="14"/>
    </row>
    <row r="2013" spans="15:18" x14ac:dyDescent="0.3">
      <c r="O2013" s="14"/>
      <c r="P2013" s="14"/>
      <c r="Q2013" s="14"/>
      <c r="R2013" s="14"/>
    </row>
    <row r="2014" spans="15:18" x14ac:dyDescent="0.3">
      <c r="O2014" s="14"/>
      <c r="P2014" s="14"/>
      <c r="Q2014" s="14"/>
      <c r="R2014" s="14"/>
    </row>
    <row r="2015" spans="15:18" x14ac:dyDescent="0.3">
      <c r="O2015" s="14"/>
      <c r="P2015" s="14"/>
      <c r="Q2015" s="14"/>
      <c r="R2015" s="14"/>
    </row>
    <row r="2016" spans="15:18" x14ac:dyDescent="0.3">
      <c r="O2016" s="14"/>
      <c r="P2016" s="14"/>
      <c r="Q2016" s="14"/>
      <c r="R2016" s="14"/>
    </row>
    <row r="2017" spans="15:18" x14ac:dyDescent="0.3">
      <c r="O2017" s="14"/>
      <c r="P2017" s="14"/>
      <c r="Q2017" s="14"/>
      <c r="R2017" s="14"/>
    </row>
    <row r="2018" spans="15:18" x14ac:dyDescent="0.3">
      <c r="O2018" s="14"/>
      <c r="P2018" s="14"/>
      <c r="Q2018" s="14"/>
      <c r="R2018" s="14"/>
    </row>
    <row r="2019" spans="15:18" x14ac:dyDescent="0.3">
      <c r="O2019" s="14"/>
      <c r="P2019" s="14"/>
      <c r="Q2019" s="14"/>
      <c r="R2019" s="14"/>
    </row>
    <row r="2020" spans="15:18" x14ac:dyDescent="0.3">
      <c r="O2020" s="14"/>
      <c r="P2020" s="14"/>
      <c r="Q2020" s="14"/>
      <c r="R2020" s="14"/>
    </row>
    <row r="2021" spans="15:18" x14ac:dyDescent="0.3">
      <c r="O2021" s="14"/>
      <c r="P2021" s="14"/>
      <c r="Q2021" s="14"/>
      <c r="R2021" s="14"/>
    </row>
    <row r="2022" spans="15:18" x14ac:dyDescent="0.3">
      <c r="O2022" s="14"/>
      <c r="P2022" s="14"/>
      <c r="Q2022" s="14"/>
      <c r="R2022" s="14"/>
    </row>
    <row r="2023" spans="15:18" x14ac:dyDescent="0.3">
      <c r="O2023" s="14"/>
      <c r="P2023" s="14"/>
      <c r="Q2023" s="14"/>
      <c r="R2023" s="14"/>
    </row>
    <row r="2024" spans="15:18" x14ac:dyDescent="0.3">
      <c r="O2024" s="14"/>
      <c r="P2024" s="14"/>
      <c r="Q2024" s="14"/>
      <c r="R2024" s="14"/>
    </row>
    <row r="2025" spans="15:18" x14ac:dyDescent="0.3">
      <c r="O2025" s="14"/>
      <c r="P2025" s="14"/>
      <c r="Q2025" s="14"/>
      <c r="R2025" s="14"/>
    </row>
    <row r="2026" spans="15:18" x14ac:dyDescent="0.3">
      <c r="O2026" s="14"/>
      <c r="P2026" s="14"/>
      <c r="Q2026" s="14"/>
      <c r="R2026" s="14"/>
    </row>
    <row r="2027" spans="15:18" x14ac:dyDescent="0.3">
      <c r="O2027" s="14"/>
      <c r="P2027" s="14"/>
      <c r="Q2027" s="14"/>
      <c r="R2027" s="14"/>
    </row>
    <row r="2028" spans="15:18" x14ac:dyDescent="0.3">
      <c r="O2028" s="14"/>
      <c r="P2028" s="14"/>
      <c r="Q2028" s="14"/>
      <c r="R2028" s="14"/>
    </row>
    <row r="2029" spans="15:18" x14ac:dyDescent="0.3">
      <c r="O2029" s="14"/>
      <c r="P2029" s="14"/>
      <c r="Q2029" s="14"/>
      <c r="R2029" s="14"/>
    </row>
    <row r="2030" spans="15:18" x14ac:dyDescent="0.3">
      <c r="O2030" s="14"/>
      <c r="P2030" s="14"/>
      <c r="Q2030" s="14"/>
      <c r="R2030" s="14"/>
    </row>
    <row r="2031" spans="15:18" x14ac:dyDescent="0.3">
      <c r="O2031" s="14"/>
      <c r="P2031" s="14"/>
      <c r="Q2031" s="14"/>
      <c r="R2031" s="14"/>
    </row>
    <row r="2032" spans="15:18" x14ac:dyDescent="0.3">
      <c r="O2032" s="14"/>
      <c r="P2032" s="14"/>
      <c r="Q2032" s="14"/>
      <c r="R2032" s="14"/>
    </row>
    <row r="2033" spans="15:18" x14ac:dyDescent="0.3">
      <c r="O2033" s="14"/>
      <c r="P2033" s="14"/>
      <c r="Q2033" s="14"/>
      <c r="R2033" s="14"/>
    </row>
    <row r="2034" spans="15:18" x14ac:dyDescent="0.3">
      <c r="O2034" s="14"/>
      <c r="P2034" s="14"/>
      <c r="Q2034" s="14"/>
      <c r="R2034" s="14"/>
    </row>
    <row r="2035" spans="15:18" x14ac:dyDescent="0.3">
      <c r="O2035" s="14"/>
      <c r="P2035" s="14"/>
      <c r="Q2035" s="14"/>
      <c r="R2035" s="14"/>
    </row>
    <row r="2036" spans="15:18" x14ac:dyDescent="0.3">
      <c r="O2036" s="14"/>
      <c r="P2036" s="14"/>
      <c r="Q2036" s="14"/>
      <c r="R2036" s="14"/>
    </row>
    <row r="2037" spans="15:18" x14ac:dyDescent="0.3">
      <c r="O2037" s="14"/>
      <c r="P2037" s="14"/>
      <c r="Q2037" s="14"/>
      <c r="R2037" s="14"/>
    </row>
    <row r="2038" spans="15:18" x14ac:dyDescent="0.3">
      <c r="O2038" s="14"/>
      <c r="P2038" s="14"/>
      <c r="Q2038" s="14"/>
      <c r="R2038" s="14"/>
    </row>
    <row r="2039" spans="15:18" x14ac:dyDescent="0.3">
      <c r="O2039" s="14"/>
      <c r="P2039" s="14"/>
      <c r="Q2039" s="14"/>
      <c r="R2039" s="14"/>
    </row>
    <row r="2040" spans="15:18" x14ac:dyDescent="0.3">
      <c r="O2040" s="14"/>
      <c r="P2040" s="14"/>
      <c r="Q2040" s="14"/>
      <c r="R2040" s="14"/>
    </row>
    <row r="2041" spans="15:18" x14ac:dyDescent="0.3">
      <c r="O2041" s="14"/>
      <c r="P2041" s="14"/>
      <c r="Q2041" s="14"/>
      <c r="R2041" s="14"/>
    </row>
    <row r="2042" spans="15:18" x14ac:dyDescent="0.3">
      <c r="O2042" s="14"/>
      <c r="P2042" s="14"/>
      <c r="Q2042" s="14"/>
      <c r="R2042" s="14"/>
    </row>
    <row r="2043" spans="15:18" x14ac:dyDescent="0.3">
      <c r="O2043" s="14"/>
      <c r="P2043" s="14"/>
      <c r="Q2043" s="14"/>
      <c r="R2043" s="14"/>
    </row>
    <row r="2044" spans="15:18" x14ac:dyDescent="0.3">
      <c r="O2044" s="14"/>
      <c r="P2044" s="14"/>
      <c r="Q2044" s="14"/>
      <c r="R2044" s="14"/>
    </row>
    <row r="2045" spans="15:18" x14ac:dyDescent="0.3">
      <c r="O2045" s="14"/>
      <c r="P2045" s="14"/>
      <c r="Q2045" s="14"/>
      <c r="R2045" s="14"/>
    </row>
    <row r="2046" spans="15:18" x14ac:dyDescent="0.3">
      <c r="O2046" s="14"/>
      <c r="P2046" s="14"/>
      <c r="Q2046" s="14"/>
      <c r="R2046" s="14"/>
    </row>
    <row r="2047" spans="15:18" x14ac:dyDescent="0.3">
      <c r="O2047" s="14"/>
      <c r="P2047" s="14"/>
      <c r="Q2047" s="14"/>
      <c r="R2047" s="14"/>
    </row>
    <row r="2048" spans="15:18" x14ac:dyDescent="0.3">
      <c r="O2048" s="14"/>
      <c r="P2048" s="14"/>
      <c r="Q2048" s="14"/>
      <c r="R2048" s="14"/>
    </row>
    <row r="2049" spans="15:18" x14ac:dyDescent="0.3">
      <c r="O2049" s="14"/>
      <c r="P2049" s="14"/>
      <c r="Q2049" s="14"/>
      <c r="R2049" s="14"/>
    </row>
    <row r="2050" spans="15:18" x14ac:dyDescent="0.3">
      <c r="O2050" s="14"/>
      <c r="P2050" s="14"/>
      <c r="Q2050" s="14"/>
      <c r="R2050" s="14"/>
    </row>
    <row r="2051" spans="15:18" x14ac:dyDescent="0.3">
      <c r="O2051" s="14"/>
      <c r="P2051" s="14"/>
      <c r="Q2051" s="14"/>
      <c r="R2051" s="14"/>
    </row>
    <row r="2052" spans="15:18" x14ac:dyDescent="0.3">
      <c r="O2052" s="14"/>
      <c r="P2052" s="14"/>
      <c r="Q2052" s="14"/>
      <c r="R2052" s="14"/>
    </row>
    <row r="2053" spans="15:18" x14ac:dyDescent="0.3">
      <c r="O2053" s="14"/>
      <c r="P2053" s="14"/>
      <c r="Q2053" s="14"/>
      <c r="R2053" s="14"/>
    </row>
    <row r="2054" spans="15:18" x14ac:dyDescent="0.3">
      <c r="O2054" s="14"/>
      <c r="P2054" s="14"/>
      <c r="Q2054" s="14"/>
      <c r="R2054" s="14"/>
    </row>
    <row r="2055" spans="15:18" x14ac:dyDescent="0.3">
      <c r="O2055" s="14"/>
      <c r="P2055" s="14"/>
      <c r="Q2055" s="14"/>
      <c r="R2055" s="14"/>
    </row>
    <row r="2056" spans="15:18" x14ac:dyDescent="0.3">
      <c r="O2056" s="14"/>
      <c r="P2056" s="14"/>
      <c r="Q2056" s="14"/>
      <c r="R2056" s="14"/>
    </row>
    <row r="2057" spans="15:18" x14ac:dyDescent="0.3">
      <c r="O2057" s="14"/>
      <c r="P2057" s="14"/>
      <c r="Q2057" s="14"/>
      <c r="R2057" s="14"/>
    </row>
    <row r="2058" spans="15:18" x14ac:dyDescent="0.3">
      <c r="O2058" s="14"/>
      <c r="P2058" s="14"/>
      <c r="Q2058" s="14"/>
      <c r="R2058" s="14"/>
    </row>
    <row r="2059" spans="15:18" x14ac:dyDescent="0.3">
      <c r="O2059" s="14"/>
      <c r="P2059" s="14"/>
      <c r="Q2059" s="14"/>
      <c r="R2059" s="14"/>
    </row>
    <row r="2060" spans="15:18" x14ac:dyDescent="0.3">
      <c r="O2060" s="14"/>
      <c r="P2060" s="14"/>
      <c r="Q2060" s="14"/>
      <c r="R2060" s="14"/>
    </row>
    <row r="2061" spans="15:18" x14ac:dyDescent="0.3">
      <c r="O2061" s="14"/>
      <c r="P2061" s="14"/>
      <c r="Q2061" s="14"/>
      <c r="R2061" s="14"/>
    </row>
    <row r="2062" spans="15:18" x14ac:dyDescent="0.3">
      <c r="O2062" s="14"/>
      <c r="P2062" s="14"/>
      <c r="Q2062" s="14"/>
      <c r="R2062" s="14"/>
    </row>
    <row r="2063" spans="15:18" x14ac:dyDescent="0.3">
      <c r="O2063" s="14"/>
      <c r="P2063" s="14"/>
      <c r="Q2063" s="14"/>
      <c r="R2063" s="14"/>
    </row>
    <row r="2064" spans="15:18" x14ac:dyDescent="0.3">
      <c r="O2064" s="14"/>
      <c r="P2064" s="14"/>
      <c r="Q2064" s="14"/>
      <c r="R2064" s="14"/>
    </row>
    <row r="2065" spans="15:18" x14ac:dyDescent="0.3">
      <c r="O2065" s="14"/>
      <c r="P2065" s="14"/>
      <c r="Q2065" s="14"/>
      <c r="R2065" s="14"/>
    </row>
    <row r="2066" spans="15:18" x14ac:dyDescent="0.3">
      <c r="O2066" s="14"/>
      <c r="P2066" s="14"/>
      <c r="Q2066" s="14"/>
      <c r="R2066" s="14"/>
    </row>
    <row r="2067" spans="15:18" x14ac:dyDescent="0.3">
      <c r="O2067" s="14"/>
      <c r="P2067" s="14"/>
      <c r="Q2067" s="14"/>
      <c r="R2067" s="14"/>
    </row>
    <row r="2068" spans="15:18" x14ac:dyDescent="0.3">
      <c r="O2068" s="14"/>
      <c r="P2068" s="14"/>
      <c r="Q2068" s="14"/>
      <c r="R2068" s="14"/>
    </row>
    <row r="2069" spans="15:18" x14ac:dyDescent="0.3">
      <c r="O2069" s="14"/>
      <c r="P2069" s="14"/>
      <c r="Q2069" s="14"/>
      <c r="R2069" s="14"/>
    </row>
    <row r="2070" spans="15:18" x14ac:dyDescent="0.3">
      <c r="O2070" s="14"/>
      <c r="P2070" s="14"/>
      <c r="Q2070" s="14"/>
      <c r="R2070" s="14"/>
    </row>
    <row r="2071" spans="15:18" x14ac:dyDescent="0.3">
      <c r="O2071" s="14"/>
      <c r="P2071" s="14"/>
      <c r="Q2071" s="14"/>
      <c r="R2071" s="14"/>
    </row>
    <row r="2072" spans="15:18" x14ac:dyDescent="0.3">
      <c r="O2072" s="14"/>
      <c r="P2072" s="14"/>
      <c r="Q2072" s="14"/>
      <c r="R2072" s="14"/>
    </row>
    <row r="2073" spans="15:18" x14ac:dyDescent="0.3">
      <c r="O2073" s="14"/>
      <c r="P2073" s="14"/>
      <c r="Q2073" s="14"/>
      <c r="R2073" s="14"/>
    </row>
    <row r="2074" spans="15:18" x14ac:dyDescent="0.3">
      <c r="O2074" s="14"/>
      <c r="P2074" s="14"/>
      <c r="Q2074" s="14"/>
      <c r="R2074" s="14"/>
    </row>
    <row r="2075" spans="15:18" x14ac:dyDescent="0.3">
      <c r="O2075" s="14"/>
      <c r="P2075" s="14"/>
      <c r="Q2075" s="14"/>
      <c r="R2075" s="14"/>
    </row>
    <row r="2076" spans="15:18" x14ac:dyDescent="0.3">
      <c r="O2076" s="14"/>
      <c r="P2076" s="14"/>
      <c r="Q2076" s="14"/>
      <c r="R2076" s="14"/>
    </row>
    <row r="2077" spans="15:18" x14ac:dyDescent="0.3">
      <c r="O2077" s="14"/>
      <c r="P2077" s="14"/>
      <c r="Q2077" s="14"/>
      <c r="R2077" s="14"/>
    </row>
    <row r="2078" spans="15:18" x14ac:dyDescent="0.3">
      <c r="O2078" s="14"/>
      <c r="P2078" s="14"/>
      <c r="Q2078" s="14"/>
      <c r="R2078" s="14"/>
    </row>
    <row r="2079" spans="15:18" x14ac:dyDescent="0.3">
      <c r="O2079" s="14"/>
      <c r="P2079" s="14"/>
      <c r="Q2079" s="14"/>
      <c r="R2079" s="14"/>
    </row>
    <row r="2080" spans="15:18" x14ac:dyDescent="0.3">
      <c r="O2080" s="14"/>
      <c r="P2080" s="14"/>
      <c r="Q2080" s="14"/>
      <c r="R2080" s="14"/>
    </row>
    <row r="2081" spans="15:18" x14ac:dyDescent="0.3">
      <c r="O2081" s="14"/>
      <c r="P2081" s="14"/>
      <c r="Q2081" s="14"/>
      <c r="R2081" s="14"/>
    </row>
    <row r="2082" spans="15:18" x14ac:dyDescent="0.3">
      <c r="O2082" s="14"/>
      <c r="P2082" s="14"/>
      <c r="Q2082" s="14"/>
      <c r="R2082" s="14"/>
    </row>
    <row r="2083" spans="15:18" x14ac:dyDescent="0.3">
      <c r="O2083" s="14"/>
      <c r="P2083" s="14"/>
      <c r="Q2083" s="14"/>
      <c r="R2083" s="14"/>
    </row>
    <row r="2084" spans="15:18" x14ac:dyDescent="0.3">
      <c r="O2084" s="14"/>
      <c r="P2084" s="14"/>
      <c r="Q2084" s="14"/>
      <c r="R2084" s="14"/>
    </row>
    <row r="2085" spans="15:18" x14ac:dyDescent="0.3">
      <c r="O2085" s="14"/>
      <c r="P2085" s="14"/>
      <c r="Q2085" s="14"/>
      <c r="R2085" s="14"/>
    </row>
    <row r="2086" spans="15:18" x14ac:dyDescent="0.3">
      <c r="O2086" s="14"/>
      <c r="P2086" s="14"/>
      <c r="Q2086" s="14"/>
      <c r="R2086" s="14"/>
    </row>
    <row r="2087" spans="15:18" x14ac:dyDescent="0.3">
      <c r="O2087" s="14"/>
      <c r="P2087" s="14"/>
      <c r="Q2087" s="14"/>
      <c r="R2087" s="14"/>
    </row>
    <row r="2088" spans="15:18" x14ac:dyDescent="0.3">
      <c r="O2088" s="14"/>
      <c r="P2088" s="14"/>
      <c r="Q2088" s="14"/>
      <c r="R2088" s="14"/>
    </row>
    <row r="2089" spans="15:18" x14ac:dyDescent="0.3">
      <c r="O2089" s="14"/>
      <c r="P2089" s="14"/>
      <c r="Q2089" s="14"/>
      <c r="R2089" s="14"/>
    </row>
    <row r="2090" spans="15:18" x14ac:dyDescent="0.3">
      <c r="O2090" s="14"/>
      <c r="P2090" s="14"/>
      <c r="Q2090" s="14"/>
      <c r="R2090" s="14"/>
    </row>
    <row r="2091" spans="15:18" x14ac:dyDescent="0.3">
      <c r="O2091" s="14"/>
      <c r="P2091" s="14"/>
      <c r="Q2091" s="14"/>
      <c r="R2091" s="14"/>
    </row>
    <row r="2092" spans="15:18" x14ac:dyDescent="0.3">
      <c r="O2092" s="14"/>
      <c r="P2092" s="14"/>
      <c r="Q2092" s="14"/>
      <c r="R2092" s="14"/>
    </row>
    <row r="2093" spans="15:18" x14ac:dyDescent="0.3">
      <c r="O2093" s="14"/>
      <c r="P2093" s="14"/>
      <c r="Q2093" s="14"/>
      <c r="R2093" s="14"/>
    </row>
    <row r="2094" spans="15:18" x14ac:dyDescent="0.3">
      <c r="O2094" s="14"/>
      <c r="P2094" s="14"/>
      <c r="Q2094" s="14"/>
      <c r="R2094" s="14"/>
    </row>
    <row r="2095" spans="15:18" x14ac:dyDescent="0.3">
      <c r="O2095" s="14"/>
      <c r="P2095" s="14"/>
      <c r="Q2095" s="14"/>
      <c r="R2095" s="14"/>
    </row>
    <row r="2096" spans="15:18" x14ac:dyDescent="0.3">
      <c r="O2096" s="14"/>
      <c r="P2096" s="14"/>
      <c r="Q2096" s="14"/>
      <c r="R2096" s="14"/>
    </row>
    <row r="2097" spans="15:18" x14ac:dyDescent="0.3">
      <c r="O2097" s="14"/>
      <c r="P2097" s="14"/>
      <c r="Q2097" s="14"/>
      <c r="R2097" s="14"/>
    </row>
    <row r="2098" spans="15:18" x14ac:dyDescent="0.3">
      <c r="O2098" s="14"/>
      <c r="P2098" s="14"/>
      <c r="Q2098" s="14"/>
      <c r="R2098" s="14"/>
    </row>
    <row r="2099" spans="15:18" x14ac:dyDescent="0.3">
      <c r="O2099" s="14"/>
      <c r="P2099" s="14"/>
      <c r="Q2099" s="14"/>
      <c r="R2099" s="14"/>
    </row>
    <row r="2100" spans="15:18" x14ac:dyDescent="0.3">
      <c r="O2100" s="14"/>
      <c r="P2100" s="14"/>
      <c r="Q2100" s="14"/>
      <c r="R2100" s="14"/>
    </row>
    <row r="2101" spans="15:18" x14ac:dyDescent="0.3">
      <c r="O2101" s="14"/>
      <c r="P2101" s="14"/>
      <c r="Q2101" s="14"/>
      <c r="R2101" s="14"/>
    </row>
    <row r="2102" spans="15:18" x14ac:dyDescent="0.3">
      <c r="O2102" s="14"/>
      <c r="P2102" s="14"/>
      <c r="Q2102" s="14"/>
      <c r="R2102" s="14"/>
    </row>
    <row r="2103" spans="15:18" x14ac:dyDescent="0.3">
      <c r="O2103" s="14"/>
      <c r="P2103" s="14"/>
      <c r="Q2103" s="14"/>
      <c r="R2103" s="14"/>
    </row>
    <row r="2104" spans="15:18" x14ac:dyDescent="0.3">
      <c r="O2104" s="14"/>
      <c r="P2104" s="14"/>
      <c r="Q2104" s="14"/>
      <c r="R2104" s="14"/>
    </row>
    <row r="2105" spans="15:18" x14ac:dyDescent="0.3">
      <c r="O2105" s="14"/>
      <c r="P2105" s="14"/>
      <c r="Q2105" s="14"/>
      <c r="R2105" s="14"/>
    </row>
    <row r="2106" spans="15:18" x14ac:dyDescent="0.3">
      <c r="O2106" s="14"/>
      <c r="P2106" s="14"/>
      <c r="Q2106" s="14"/>
      <c r="R2106" s="14"/>
    </row>
    <row r="2107" spans="15:18" x14ac:dyDescent="0.3">
      <c r="O2107" s="14"/>
      <c r="P2107" s="14"/>
      <c r="Q2107" s="14"/>
      <c r="R2107" s="14"/>
    </row>
    <row r="2108" spans="15:18" x14ac:dyDescent="0.3">
      <c r="O2108" s="14"/>
      <c r="P2108" s="14"/>
      <c r="Q2108" s="14"/>
      <c r="R2108" s="14"/>
    </row>
    <row r="2109" spans="15:18" x14ac:dyDescent="0.3">
      <c r="O2109" s="14"/>
      <c r="P2109" s="14"/>
      <c r="Q2109" s="14"/>
      <c r="R2109" s="14"/>
    </row>
    <row r="2110" spans="15:18" x14ac:dyDescent="0.3">
      <c r="O2110" s="14"/>
      <c r="P2110" s="14"/>
      <c r="Q2110" s="14"/>
      <c r="R2110" s="14"/>
    </row>
    <row r="2111" spans="15:18" x14ac:dyDescent="0.3">
      <c r="O2111" s="14"/>
      <c r="P2111" s="14"/>
      <c r="Q2111" s="14"/>
      <c r="R2111" s="14"/>
    </row>
    <row r="2112" spans="15:18" x14ac:dyDescent="0.3">
      <c r="O2112" s="14"/>
      <c r="P2112" s="14"/>
      <c r="Q2112" s="14"/>
      <c r="R2112" s="14"/>
    </row>
    <row r="2113" spans="15:18" x14ac:dyDescent="0.3">
      <c r="O2113" s="14"/>
      <c r="P2113" s="14"/>
      <c r="Q2113" s="14"/>
      <c r="R2113" s="14"/>
    </row>
    <row r="2114" spans="15:18" x14ac:dyDescent="0.3">
      <c r="O2114" s="14"/>
      <c r="P2114" s="14"/>
      <c r="Q2114" s="14"/>
      <c r="R2114" s="14"/>
    </row>
    <row r="2115" spans="15:18" x14ac:dyDescent="0.3">
      <c r="O2115" s="14"/>
      <c r="P2115" s="14"/>
      <c r="Q2115" s="14"/>
      <c r="R2115" s="14"/>
    </row>
    <row r="2116" spans="15:18" x14ac:dyDescent="0.3">
      <c r="O2116" s="14"/>
      <c r="P2116" s="14"/>
      <c r="Q2116" s="14"/>
      <c r="R2116" s="14"/>
    </row>
    <row r="2117" spans="15:18" x14ac:dyDescent="0.3">
      <c r="O2117" s="14"/>
      <c r="P2117" s="14"/>
      <c r="Q2117" s="14"/>
      <c r="R2117" s="14"/>
    </row>
    <row r="2118" spans="15:18" x14ac:dyDescent="0.3">
      <c r="O2118" s="14"/>
      <c r="P2118" s="14"/>
      <c r="Q2118" s="14"/>
      <c r="R2118" s="14"/>
    </row>
    <row r="2119" spans="15:18" x14ac:dyDescent="0.3">
      <c r="O2119" s="14"/>
      <c r="P2119" s="14"/>
      <c r="Q2119" s="14"/>
      <c r="R2119" s="14"/>
    </row>
    <row r="2120" spans="15:18" x14ac:dyDescent="0.3">
      <c r="O2120" s="14"/>
      <c r="P2120" s="14"/>
      <c r="Q2120" s="14"/>
      <c r="R2120" s="14"/>
    </row>
    <row r="2121" spans="15:18" x14ac:dyDescent="0.3">
      <c r="O2121" s="14"/>
      <c r="P2121" s="14"/>
      <c r="Q2121" s="14"/>
      <c r="R2121" s="14"/>
    </row>
    <row r="2122" spans="15:18" x14ac:dyDescent="0.3">
      <c r="O2122" s="14"/>
      <c r="P2122" s="14"/>
      <c r="Q2122" s="14"/>
      <c r="R2122" s="14"/>
    </row>
    <row r="2123" spans="15:18" x14ac:dyDescent="0.3">
      <c r="O2123" s="14"/>
      <c r="P2123" s="14"/>
      <c r="Q2123" s="14"/>
      <c r="R2123" s="14"/>
    </row>
    <row r="2124" spans="15:18" x14ac:dyDescent="0.3">
      <c r="O2124" s="14"/>
      <c r="P2124" s="14"/>
      <c r="Q2124" s="14"/>
      <c r="R2124" s="14"/>
    </row>
    <row r="2125" spans="15:18" x14ac:dyDescent="0.3">
      <c r="O2125" s="14"/>
      <c r="P2125" s="14"/>
      <c r="Q2125" s="14"/>
      <c r="R2125" s="14"/>
    </row>
    <row r="2126" spans="15:18" x14ac:dyDescent="0.3">
      <c r="O2126" s="14"/>
      <c r="P2126" s="14"/>
      <c r="Q2126" s="14"/>
      <c r="R2126" s="14"/>
    </row>
    <row r="2127" spans="15:18" x14ac:dyDescent="0.3">
      <c r="O2127" s="14"/>
      <c r="P2127" s="14"/>
      <c r="Q2127" s="14"/>
      <c r="R2127" s="14"/>
    </row>
    <row r="2128" spans="15:18" x14ac:dyDescent="0.3">
      <c r="O2128" s="14"/>
      <c r="P2128" s="14"/>
      <c r="Q2128" s="14"/>
      <c r="R2128" s="14"/>
    </row>
    <row r="2129" spans="15:18" x14ac:dyDescent="0.3">
      <c r="O2129" s="14"/>
      <c r="P2129" s="14"/>
      <c r="Q2129" s="14"/>
      <c r="R2129" s="14"/>
    </row>
    <row r="2130" spans="15:18" x14ac:dyDescent="0.3">
      <c r="O2130" s="14"/>
      <c r="P2130" s="14"/>
      <c r="Q2130" s="14"/>
      <c r="R2130" s="14"/>
    </row>
    <row r="2131" spans="15:18" x14ac:dyDescent="0.3">
      <c r="O2131" s="14"/>
      <c r="P2131" s="14"/>
      <c r="Q2131" s="14"/>
      <c r="R2131" s="14"/>
    </row>
    <row r="2132" spans="15:18" x14ac:dyDescent="0.3">
      <c r="O2132" s="14"/>
      <c r="P2132" s="14"/>
      <c r="Q2132" s="14"/>
      <c r="R2132" s="14"/>
    </row>
    <row r="2133" spans="15:18" x14ac:dyDescent="0.3">
      <c r="O2133" s="14"/>
      <c r="P2133" s="14"/>
      <c r="Q2133" s="14"/>
      <c r="R2133" s="14"/>
    </row>
    <row r="2134" spans="15:18" x14ac:dyDescent="0.3">
      <c r="O2134" s="14"/>
      <c r="P2134" s="14"/>
      <c r="Q2134" s="14"/>
      <c r="R2134" s="14"/>
    </row>
    <row r="2135" spans="15:18" x14ac:dyDescent="0.3">
      <c r="O2135" s="14"/>
      <c r="P2135" s="14"/>
      <c r="Q2135" s="14"/>
      <c r="R2135" s="14"/>
    </row>
    <row r="2136" spans="15:18" x14ac:dyDescent="0.3">
      <c r="O2136" s="14"/>
      <c r="P2136" s="14"/>
      <c r="Q2136" s="14"/>
      <c r="R2136" s="14"/>
    </row>
    <row r="2137" spans="15:18" x14ac:dyDescent="0.3">
      <c r="O2137" s="14"/>
      <c r="P2137" s="14"/>
      <c r="Q2137" s="14"/>
      <c r="R2137" s="14"/>
    </row>
    <row r="2138" spans="15:18" x14ac:dyDescent="0.3">
      <c r="O2138" s="14"/>
      <c r="P2138" s="14"/>
      <c r="Q2138" s="14"/>
      <c r="R2138" s="14"/>
    </row>
    <row r="2139" spans="15:18" x14ac:dyDescent="0.3">
      <c r="O2139" s="14"/>
      <c r="P2139" s="14"/>
      <c r="Q2139" s="14"/>
      <c r="R2139" s="14"/>
    </row>
    <row r="2140" spans="15:18" x14ac:dyDescent="0.3">
      <c r="O2140" s="14"/>
      <c r="P2140" s="14"/>
      <c r="Q2140" s="14"/>
      <c r="R2140" s="14"/>
    </row>
    <row r="2141" spans="15:18" x14ac:dyDescent="0.3">
      <c r="O2141" s="14"/>
      <c r="P2141" s="14"/>
      <c r="Q2141" s="14"/>
      <c r="R2141" s="14"/>
    </row>
    <row r="2142" spans="15:18" x14ac:dyDescent="0.3">
      <c r="O2142" s="14"/>
      <c r="P2142" s="14"/>
      <c r="Q2142" s="14"/>
      <c r="R2142" s="14"/>
    </row>
    <row r="2143" spans="15:18" x14ac:dyDescent="0.3">
      <c r="O2143" s="14"/>
      <c r="P2143" s="14"/>
      <c r="Q2143" s="14"/>
      <c r="R2143" s="14"/>
    </row>
    <row r="2144" spans="15:18" x14ac:dyDescent="0.3">
      <c r="O2144" s="14"/>
      <c r="P2144" s="14"/>
      <c r="Q2144" s="14"/>
      <c r="R2144" s="14"/>
    </row>
    <row r="2145" spans="15:18" x14ac:dyDescent="0.3">
      <c r="O2145" s="14"/>
      <c r="P2145" s="14"/>
      <c r="Q2145" s="14"/>
      <c r="R2145" s="14"/>
    </row>
    <row r="2146" spans="15:18" x14ac:dyDescent="0.3">
      <c r="O2146" s="14"/>
      <c r="P2146" s="14"/>
      <c r="Q2146" s="14"/>
      <c r="R2146" s="14"/>
    </row>
    <row r="2147" spans="15:18" x14ac:dyDescent="0.3">
      <c r="O2147" s="14"/>
      <c r="P2147" s="14"/>
      <c r="Q2147" s="14"/>
      <c r="R2147" s="14"/>
    </row>
    <row r="2148" spans="15:18" x14ac:dyDescent="0.3">
      <c r="O2148" s="14"/>
      <c r="P2148" s="14"/>
      <c r="Q2148" s="14"/>
      <c r="R2148" s="14"/>
    </row>
    <row r="2149" spans="15:18" x14ac:dyDescent="0.3">
      <c r="O2149" s="14"/>
      <c r="P2149" s="14"/>
      <c r="Q2149" s="14"/>
      <c r="R2149" s="14"/>
    </row>
    <row r="2150" spans="15:18" x14ac:dyDescent="0.3">
      <c r="O2150" s="14"/>
      <c r="P2150" s="14"/>
      <c r="Q2150" s="14"/>
      <c r="R2150" s="14"/>
    </row>
    <row r="2151" spans="15:18" x14ac:dyDescent="0.3">
      <c r="O2151" s="14"/>
      <c r="P2151" s="14"/>
      <c r="Q2151" s="14"/>
      <c r="R2151" s="14"/>
    </row>
    <row r="2152" spans="15:18" x14ac:dyDescent="0.3">
      <c r="O2152" s="14"/>
      <c r="P2152" s="14"/>
      <c r="Q2152" s="14"/>
      <c r="R2152" s="14"/>
    </row>
    <row r="2153" spans="15:18" x14ac:dyDescent="0.3">
      <c r="O2153" s="14"/>
      <c r="P2153" s="14"/>
      <c r="Q2153" s="14"/>
      <c r="R2153" s="14"/>
    </row>
    <row r="2154" spans="15:18" x14ac:dyDescent="0.3">
      <c r="O2154" s="14"/>
      <c r="P2154" s="14"/>
      <c r="Q2154" s="14"/>
      <c r="R2154" s="14"/>
    </row>
    <row r="2155" spans="15:18" x14ac:dyDescent="0.3">
      <c r="O2155" s="14"/>
      <c r="P2155" s="14"/>
      <c r="Q2155" s="14"/>
      <c r="R2155" s="14"/>
    </row>
    <row r="2156" spans="15:18" x14ac:dyDescent="0.3">
      <c r="O2156" s="14"/>
      <c r="P2156" s="14"/>
      <c r="Q2156" s="14"/>
      <c r="R2156" s="14"/>
    </row>
    <row r="2157" spans="15:18" x14ac:dyDescent="0.3">
      <c r="O2157" s="14"/>
      <c r="P2157" s="14"/>
      <c r="Q2157" s="14"/>
      <c r="R2157" s="14"/>
    </row>
    <row r="2158" spans="15:18" x14ac:dyDescent="0.3">
      <c r="O2158" s="14"/>
      <c r="P2158" s="14"/>
      <c r="Q2158" s="14"/>
      <c r="R2158" s="14"/>
    </row>
    <row r="2159" spans="15:18" x14ac:dyDescent="0.3">
      <c r="O2159" s="14"/>
      <c r="P2159" s="14"/>
      <c r="Q2159" s="14"/>
      <c r="R2159" s="14"/>
    </row>
    <row r="2160" spans="15:18" x14ac:dyDescent="0.3">
      <c r="O2160" s="14"/>
      <c r="P2160" s="14"/>
      <c r="Q2160" s="14"/>
      <c r="R2160" s="14"/>
    </row>
    <row r="2161" spans="15:18" x14ac:dyDescent="0.3">
      <c r="O2161" s="14"/>
      <c r="P2161" s="14"/>
      <c r="Q2161" s="14"/>
      <c r="R2161" s="14"/>
    </row>
    <row r="2162" spans="15:18" x14ac:dyDescent="0.3">
      <c r="O2162" s="14"/>
      <c r="P2162" s="14"/>
      <c r="Q2162" s="14"/>
      <c r="R2162" s="14"/>
    </row>
    <row r="2163" spans="15:18" x14ac:dyDescent="0.3">
      <c r="O2163" s="14"/>
      <c r="P2163" s="14"/>
      <c r="Q2163" s="14"/>
      <c r="R2163" s="14"/>
    </row>
    <row r="2164" spans="15:18" x14ac:dyDescent="0.3">
      <c r="O2164" s="14"/>
      <c r="P2164" s="14"/>
      <c r="Q2164" s="14"/>
      <c r="R2164" s="14"/>
    </row>
    <row r="2165" spans="15:18" x14ac:dyDescent="0.3">
      <c r="O2165" s="14"/>
      <c r="P2165" s="14"/>
      <c r="Q2165" s="14"/>
      <c r="R2165" s="14"/>
    </row>
    <row r="2166" spans="15:18" x14ac:dyDescent="0.3">
      <c r="O2166" s="14"/>
      <c r="P2166" s="14"/>
      <c r="Q2166" s="14"/>
      <c r="R2166" s="14"/>
    </row>
    <row r="2167" spans="15:18" x14ac:dyDescent="0.3">
      <c r="O2167" s="14"/>
      <c r="P2167" s="14"/>
      <c r="Q2167" s="14"/>
      <c r="R2167" s="14"/>
    </row>
    <row r="2168" spans="15:18" x14ac:dyDescent="0.3">
      <c r="O2168" s="14"/>
      <c r="P2168" s="14"/>
      <c r="Q2168" s="14"/>
      <c r="R2168" s="14"/>
    </row>
    <row r="2169" spans="15:18" x14ac:dyDescent="0.3">
      <c r="O2169" s="14"/>
      <c r="P2169" s="14"/>
      <c r="Q2169" s="14"/>
      <c r="R2169" s="14"/>
    </row>
    <row r="2170" spans="15:18" x14ac:dyDescent="0.3">
      <c r="O2170" s="14"/>
      <c r="P2170" s="14"/>
      <c r="Q2170" s="14"/>
      <c r="R2170" s="14"/>
    </row>
    <row r="2171" spans="15:18" x14ac:dyDescent="0.3">
      <c r="O2171" s="14"/>
      <c r="P2171" s="14"/>
      <c r="Q2171" s="14"/>
      <c r="R2171" s="14"/>
    </row>
    <row r="2172" spans="15:18" x14ac:dyDescent="0.3">
      <c r="O2172" s="14"/>
      <c r="P2172" s="14"/>
      <c r="Q2172" s="14"/>
      <c r="R2172" s="14"/>
    </row>
    <row r="2173" spans="15:18" x14ac:dyDescent="0.3">
      <c r="O2173" s="14"/>
      <c r="P2173" s="14"/>
      <c r="Q2173" s="14"/>
      <c r="R2173" s="14"/>
    </row>
    <row r="2174" spans="15:18" x14ac:dyDescent="0.3">
      <c r="O2174" s="14"/>
      <c r="P2174" s="14"/>
      <c r="Q2174" s="14"/>
      <c r="R2174" s="14"/>
    </row>
    <row r="2175" spans="15:18" x14ac:dyDescent="0.3">
      <c r="O2175" s="14"/>
      <c r="P2175" s="14"/>
      <c r="Q2175" s="14"/>
      <c r="R2175" s="14"/>
    </row>
    <row r="2176" spans="15:18" x14ac:dyDescent="0.3">
      <c r="O2176" s="14"/>
      <c r="P2176" s="14"/>
      <c r="Q2176" s="14"/>
      <c r="R2176" s="14"/>
    </row>
    <row r="2177" spans="15:18" x14ac:dyDescent="0.3">
      <c r="O2177" s="14"/>
      <c r="P2177" s="14"/>
      <c r="Q2177" s="14"/>
      <c r="R2177" s="14"/>
    </row>
    <row r="2178" spans="15:18" x14ac:dyDescent="0.3">
      <c r="O2178" s="14"/>
      <c r="P2178" s="14"/>
      <c r="Q2178" s="14"/>
      <c r="R2178" s="14"/>
    </row>
    <row r="2179" spans="15:18" x14ac:dyDescent="0.3">
      <c r="O2179" s="14"/>
      <c r="P2179" s="14"/>
      <c r="Q2179" s="14"/>
      <c r="R2179" s="14"/>
    </row>
    <row r="2180" spans="15:18" x14ac:dyDescent="0.3">
      <c r="O2180" s="14"/>
      <c r="P2180" s="14"/>
      <c r="Q2180" s="14"/>
      <c r="R2180" s="14"/>
    </row>
    <row r="2181" spans="15:18" x14ac:dyDescent="0.3">
      <c r="O2181" s="14"/>
      <c r="P2181" s="14"/>
      <c r="Q2181" s="14"/>
      <c r="R2181" s="14"/>
    </row>
    <row r="2182" spans="15:18" x14ac:dyDescent="0.3">
      <c r="O2182" s="14"/>
      <c r="P2182" s="14"/>
      <c r="Q2182" s="14"/>
      <c r="R2182" s="14"/>
    </row>
    <row r="2183" spans="15:18" x14ac:dyDescent="0.3">
      <c r="O2183" s="14"/>
      <c r="P2183" s="14"/>
      <c r="Q2183" s="14"/>
      <c r="R2183" s="14"/>
    </row>
    <row r="2184" spans="15:18" x14ac:dyDescent="0.3">
      <c r="O2184" s="14"/>
      <c r="P2184" s="14"/>
      <c r="Q2184" s="14"/>
      <c r="R2184" s="14"/>
    </row>
    <row r="2185" spans="15:18" x14ac:dyDescent="0.3">
      <c r="O2185" s="14"/>
      <c r="P2185" s="14"/>
      <c r="Q2185" s="14"/>
      <c r="R2185" s="14"/>
    </row>
    <row r="2186" spans="15:18" x14ac:dyDescent="0.3">
      <c r="O2186" s="14"/>
      <c r="P2186" s="14"/>
      <c r="Q2186" s="14"/>
      <c r="R2186" s="14"/>
    </row>
    <row r="2187" spans="15:18" x14ac:dyDescent="0.3">
      <c r="O2187" s="14"/>
      <c r="P2187" s="14"/>
      <c r="Q2187" s="14"/>
      <c r="R2187" s="14"/>
    </row>
    <row r="2188" spans="15:18" x14ac:dyDescent="0.3">
      <c r="O2188" s="14"/>
      <c r="P2188" s="14"/>
      <c r="Q2188" s="14"/>
      <c r="R2188" s="14"/>
    </row>
    <row r="2189" spans="15:18" x14ac:dyDescent="0.3">
      <c r="O2189" s="14"/>
      <c r="P2189" s="14"/>
      <c r="Q2189" s="14"/>
      <c r="R2189" s="14"/>
    </row>
    <row r="2190" spans="15:18" x14ac:dyDescent="0.3">
      <c r="O2190" s="14"/>
      <c r="P2190" s="14"/>
      <c r="Q2190" s="14"/>
      <c r="R2190" s="14"/>
    </row>
    <row r="2191" spans="15:18" x14ac:dyDescent="0.3">
      <c r="O2191" s="14"/>
      <c r="P2191" s="14"/>
      <c r="Q2191" s="14"/>
      <c r="R2191" s="14"/>
    </row>
    <row r="2192" spans="15:18" x14ac:dyDescent="0.3">
      <c r="O2192" s="14"/>
      <c r="P2192" s="14"/>
      <c r="Q2192" s="14"/>
      <c r="R2192" s="14"/>
    </row>
    <row r="2193" spans="15:18" x14ac:dyDescent="0.3">
      <c r="O2193" s="14"/>
      <c r="P2193" s="14"/>
      <c r="Q2193" s="14"/>
      <c r="R2193" s="14"/>
    </row>
    <row r="2194" spans="15:18" x14ac:dyDescent="0.3">
      <c r="O2194" s="14"/>
      <c r="P2194" s="14"/>
      <c r="Q2194" s="14"/>
      <c r="R2194" s="14"/>
    </row>
    <row r="2195" spans="15:18" x14ac:dyDescent="0.3">
      <c r="O2195" s="14"/>
      <c r="P2195" s="14"/>
      <c r="Q2195" s="14"/>
      <c r="R2195" s="14"/>
    </row>
    <row r="2196" spans="15:18" x14ac:dyDescent="0.3">
      <c r="O2196" s="14"/>
      <c r="P2196" s="14"/>
      <c r="Q2196" s="14"/>
      <c r="R2196" s="14"/>
    </row>
    <row r="2197" spans="15:18" x14ac:dyDescent="0.3">
      <c r="O2197" s="14"/>
      <c r="P2197" s="14"/>
      <c r="Q2197" s="14"/>
      <c r="R2197" s="14"/>
    </row>
    <row r="2198" spans="15:18" x14ac:dyDescent="0.3">
      <c r="O2198" s="14"/>
      <c r="P2198" s="14"/>
      <c r="Q2198" s="14"/>
      <c r="R2198" s="14"/>
    </row>
    <row r="2199" spans="15:18" x14ac:dyDescent="0.3">
      <c r="O2199" s="14"/>
      <c r="P2199" s="14"/>
      <c r="Q2199" s="14"/>
      <c r="R2199" s="14"/>
    </row>
    <row r="2200" spans="15:18" x14ac:dyDescent="0.3">
      <c r="O2200" s="14"/>
      <c r="P2200" s="14"/>
      <c r="Q2200" s="14"/>
      <c r="R2200" s="14"/>
    </row>
    <row r="2201" spans="15:18" x14ac:dyDescent="0.3">
      <c r="O2201" s="14"/>
      <c r="P2201" s="14"/>
      <c r="Q2201" s="14"/>
      <c r="R2201" s="14"/>
    </row>
    <row r="2202" spans="15:18" x14ac:dyDescent="0.3">
      <c r="O2202" s="14"/>
      <c r="P2202" s="14"/>
      <c r="Q2202" s="14"/>
      <c r="R2202" s="14"/>
    </row>
    <row r="2203" spans="15:18" x14ac:dyDescent="0.3">
      <c r="O2203" s="14"/>
      <c r="P2203" s="14"/>
      <c r="Q2203" s="14"/>
      <c r="R2203" s="14"/>
    </row>
    <row r="2204" spans="15:18" x14ac:dyDescent="0.3">
      <c r="O2204" s="14"/>
      <c r="P2204" s="14"/>
      <c r="Q2204" s="14"/>
      <c r="R2204" s="14"/>
    </row>
    <row r="2205" spans="15:18" x14ac:dyDescent="0.3">
      <c r="O2205" s="14"/>
      <c r="P2205" s="14"/>
      <c r="Q2205" s="14"/>
      <c r="R2205" s="14"/>
    </row>
    <row r="2206" spans="15:18" x14ac:dyDescent="0.3">
      <c r="O2206" s="14"/>
      <c r="P2206" s="14"/>
      <c r="Q2206" s="14"/>
      <c r="R2206" s="14"/>
    </row>
    <row r="2207" spans="15:18" x14ac:dyDescent="0.3">
      <c r="O2207" s="14"/>
      <c r="P2207" s="14"/>
      <c r="Q2207" s="14"/>
      <c r="R2207" s="14"/>
    </row>
    <row r="2208" spans="15:18" x14ac:dyDescent="0.3">
      <c r="O2208" s="14"/>
      <c r="P2208" s="14"/>
      <c r="Q2208" s="14"/>
      <c r="R2208" s="14"/>
    </row>
    <row r="2209" spans="15:18" x14ac:dyDescent="0.3">
      <c r="O2209" s="14"/>
      <c r="P2209" s="14"/>
      <c r="Q2209" s="14"/>
      <c r="R2209" s="14"/>
    </row>
    <row r="2210" spans="15:18" x14ac:dyDescent="0.3">
      <c r="O2210" s="14"/>
      <c r="P2210" s="14"/>
      <c r="Q2210" s="14"/>
      <c r="R2210" s="14"/>
    </row>
    <row r="2211" spans="15:18" x14ac:dyDescent="0.3">
      <c r="O2211" s="14"/>
      <c r="P2211" s="14"/>
      <c r="Q2211" s="14"/>
      <c r="R2211" s="14"/>
    </row>
    <row r="2212" spans="15:18" x14ac:dyDescent="0.3">
      <c r="O2212" s="14"/>
      <c r="P2212" s="14"/>
      <c r="Q2212" s="14"/>
      <c r="R2212" s="14"/>
    </row>
    <row r="2213" spans="15:18" x14ac:dyDescent="0.3">
      <c r="O2213" s="14"/>
      <c r="P2213" s="14"/>
      <c r="Q2213" s="14"/>
      <c r="R2213" s="14"/>
    </row>
    <row r="2214" spans="15:18" x14ac:dyDescent="0.3">
      <c r="O2214" s="14"/>
      <c r="P2214" s="14"/>
      <c r="Q2214" s="14"/>
      <c r="R2214" s="14"/>
    </row>
    <row r="2215" spans="15:18" x14ac:dyDescent="0.3">
      <c r="O2215" s="14"/>
      <c r="P2215" s="14"/>
      <c r="Q2215" s="14"/>
      <c r="R2215" s="14"/>
    </row>
    <row r="2216" spans="15:18" x14ac:dyDescent="0.3">
      <c r="O2216" s="14"/>
      <c r="P2216" s="14"/>
      <c r="Q2216" s="14"/>
      <c r="R2216" s="14"/>
    </row>
    <row r="2217" spans="15:18" x14ac:dyDescent="0.3">
      <c r="O2217" s="14"/>
      <c r="P2217" s="14"/>
      <c r="Q2217" s="14"/>
      <c r="R2217" s="14"/>
    </row>
    <row r="2218" spans="15:18" x14ac:dyDescent="0.3">
      <c r="O2218" s="14"/>
      <c r="P2218" s="14"/>
      <c r="Q2218" s="14"/>
      <c r="R2218" s="14"/>
    </row>
    <row r="2219" spans="15:18" x14ac:dyDescent="0.3">
      <c r="O2219" s="14"/>
      <c r="P2219" s="14"/>
      <c r="Q2219" s="14"/>
      <c r="R2219" s="14"/>
    </row>
    <row r="2220" spans="15:18" x14ac:dyDescent="0.3">
      <c r="O2220" s="14"/>
      <c r="P2220" s="14"/>
      <c r="Q2220" s="14"/>
      <c r="R2220" s="14"/>
    </row>
    <row r="2221" spans="15:18" x14ac:dyDescent="0.3">
      <c r="O2221" s="14"/>
      <c r="P2221" s="14"/>
      <c r="Q2221" s="14"/>
      <c r="R2221" s="14"/>
    </row>
    <row r="2222" spans="15:18" x14ac:dyDescent="0.3">
      <c r="O2222" s="14"/>
      <c r="P2222" s="14"/>
      <c r="Q2222" s="14"/>
      <c r="R2222" s="14"/>
    </row>
    <row r="2223" spans="15:18" x14ac:dyDescent="0.3">
      <c r="O2223" s="14"/>
      <c r="P2223" s="14"/>
      <c r="Q2223" s="14"/>
      <c r="R2223" s="14"/>
    </row>
    <row r="2224" spans="15:18" x14ac:dyDescent="0.3">
      <c r="O2224" s="14"/>
      <c r="P2224" s="14"/>
      <c r="Q2224" s="14"/>
      <c r="R2224" s="14"/>
    </row>
    <row r="2225" spans="15:18" x14ac:dyDescent="0.3">
      <c r="O2225" s="14"/>
      <c r="P2225" s="14"/>
      <c r="Q2225" s="14"/>
      <c r="R2225" s="14"/>
    </row>
    <row r="2226" spans="15:18" x14ac:dyDescent="0.3">
      <c r="O2226" s="14"/>
      <c r="P2226" s="14"/>
      <c r="Q2226" s="14"/>
      <c r="R2226" s="14"/>
    </row>
    <row r="2227" spans="15:18" x14ac:dyDescent="0.3">
      <c r="O2227" s="14"/>
      <c r="P2227" s="14"/>
      <c r="Q2227" s="14"/>
      <c r="R2227" s="14"/>
    </row>
    <row r="2228" spans="15:18" x14ac:dyDescent="0.3">
      <c r="O2228" s="14"/>
      <c r="P2228" s="14"/>
      <c r="Q2228" s="14"/>
      <c r="R2228" s="14"/>
    </row>
    <row r="2229" spans="15:18" x14ac:dyDescent="0.3">
      <c r="O2229" s="14"/>
      <c r="P2229" s="14"/>
      <c r="Q2229" s="14"/>
      <c r="R2229" s="14"/>
    </row>
    <row r="2230" spans="15:18" x14ac:dyDescent="0.3">
      <c r="O2230" s="14"/>
      <c r="P2230" s="14"/>
      <c r="Q2230" s="14"/>
      <c r="R2230" s="14"/>
    </row>
    <row r="2231" spans="15:18" x14ac:dyDescent="0.3">
      <c r="O2231" s="14"/>
      <c r="P2231" s="14"/>
      <c r="Q2231" s="14"/>
      <c r="R2231" s="14"/>
    </row>
    <row r="2232" spans="15:18" x14ac:dyDescent="0.3">
      <c r="O2232" s="14"/>
      <c r="P2232" s="14"/>
      <c r="Q2232" s="14"/>
      <c r="R2232" s="14"/>
    </row>
    <row r="2233" spans="15:18" x14ac:dyDescent="0.3">
      <c r="O2233" s="14"/>
      <c r="P2233" s="14"/>
      <c r="Q2233" s="14"/>
      <c r="R2233" s="14"/>
    </row>
    <row r="2234" spans="15:18" x14ac:dyDescent="0.3">
      <c r="O2234" s="14"/>
      <c r="P2234" s="14"/>
      <c r="Q2234" s="14"/>
      <c r="R2234" s="14"/>
    </row>
    <row r="2235" spans="15:18" x14ac:dyDescent="0.3">
      <c r="O2235" s="14"/>
      <c r="P2235" s="14"/>
      <c r="Q2235" s="14"/>
      <c r="R2235" s="14"/>
    </row>
    <row r="2236" spans="15:18" x14ac:dyDescent="0.3">
      <c r="O2236" s="14"/>
      <c r="P2236" s="14"/>
      <c r="Q2236" s="14"/>
      <c r="R2236" s="14"/>
    </row>
    <row r="2237" spans="15:18" x14ac:dyDescent="0.3">
      <c r="O2237" s="14"/>
      <c r="P2237" s="14"/>
      <c r="Q2237" s="14"/>
      <c r="R2237" s="14"/>
    </row>
    <row r="2238" spans="15:18" x14ac:dyDescent="0.3">
      <c r="O2238" s="14"/>
      <c r="P2238" s="14"/>
      <c r="Q2238" s="14"/>
      <c r="R2238" s="14"/>
    </row>
    <row r="2239" spans="15:18" x14ac:dyDescent="0.3">
      <c r="O2239" s="14"/>
      <c r="P2239" s="14"/>
      <c r="Q2239" s="14"/>
      <c r="R2239" s="14"/>
    </row>
    <row r="2240" spans="15:18" x14ac:dyDescent="0.3">
      <c r="O2240" s="14"/>
      <c r="P2240" s="14"/>
      <c r="Q2240" s="14"/>
      <c r="R2240" s="14"/>
    </row>
    <row r="2241" spans="15:18" x14ac:dyDescent="0.3">
      <c r="O2241" s="14"/>
      <c r="P2241" s="14"/>
      <c r="Q2241" s="14"/>
      <c r="R2241" s="14"/>
    </row>
    <row r="2242" spans="15:18" x14ac:dyDescent="0.3">
      <c r="O2242" s="14"/>
      <c r="P2242" s="14"/>
      <c r="Q2242" s="14"/>
      <c r="R2242" s="14"/>
    </row>
    <row r="2243" spans="15:18" x14ac:dyDescent="0.3">
      <c r="O2243" s="14"/>
      <c r="P2243" s="14"/>
      <c r="Q2243" s="14"/>
      <c r="R2243" s="14"/>
    </row>
    <row r="2244" spans="15:18" x14ac:dyDescent="0.3">
      <c r="O2244" s="14"/>
      <c r="P2244" s="14"/>
      <c r="Q2244" s="14"/>
      <c r="R2244" s="14"/>
    </row>
    <row r="2245" spans="15:18" x14ac:dyDescent="0.3">
      <c r="O2245" s="14"/>
      <c r="P2245" s="14"/>
      <c r="Q2245" s="14"/>
      <c r="R2245" s="14"/>
    </row>
    <row r="2246" spans="15:18" x14ac:dyDescent="0.3">
      <c r="O2246" s="14"/>
      <c r="P2246" s="14"/>
      <c r="Q2246" s="14"/>
      <c r="R2246" s="14"/>
    </row>
    <row r="2247" spans="15:18" x14ac:dyDescent="0.3">
      <c r="O2247" s="14"/>
      <c r="P2247" s="14"/>
      <c r="Q2247" s="14"/>
      <c r="R2247" s="14"/>
    </row>
    <row r="2248" spans="15:18" x14ac:dyDescent="0.3">
      <c r="O2248" s="14"/>
      <c r="P2248" s="14"/>
      <c r="Q2248" s="14"/>
      <c r="R2248" s="14"/>
    </row>
    <row r="2249" spans="15:18" x14ac:dyDescent="0.3">
      <c r="O2249" s="14"/>
      <c r="P2249" s="14"/>
      <c r="Q2249" s="14"/>
      <c r="R2249" s="14"/>
    </row>
    <row r="2250" spans="15:18" x14ac:dyDescent="0.3">
      <c r="O2250" s="14"/>
      <c r="P2250" s="14"/>
      <c r="Q2250" s="14"/>
      <c r="R2250" s="14"/>
    </row>
    <row r="2251" spans="15:18" x14ac:dyDescent="0.3">
      <c r="O2251" s="14"/>
      <c r="P2251" s="14"/>
      <c r="Q2251" s="14"/>
      <c r="R2251" s="14"/>
    </row>
    <row r="2252" spans="15:18" x14ac:dyDescent="0.3">
      <c r="O2252" s="14"/>
      <c r="P2252" s="14"/>
      <c r="Q2252" s="14"/>
      <c r="R2252" s="14"/>
    </row>
    <row r="2253" spans="15:18" x14ac:dyDescent="0.3">
      <c r="O2253" s="14"/>
      <c r="P2253" s="14"/>
      <c r="Q2253" s="14"/>
      <c r="R2253" s="14"/>
    </row>
    <row r="2254" spans="15:18" x14ac:dyDescent="0.3">
      <c r="O2254" s="14"/>
      <c r="P2254" s="14"/>
      <c r="Q2254" s="14"/>
      <c r="R2254" s="14"/>
    </row>
    <row r="2255" spans="15:18" x14ac:dyDescent="0.3">
      <c r="O2255" s="14"/>
      <c r="P2255" s="14"/>
      <c r="Q2255" s="14"/>
      <c r="R2255" s="14"/>
    </row>
    <row r="2256" spans="15:18" x14ac:dyDescent="0.3">
      <c r="O2256" s="14"/>
      <c r="P2256" s="14"/>
      <c r="Q2256" s="14"/>
      <c r="R2256" s="14"/>
    </row>
    <row r="2257" spans="15:18" x14ac:dyDescent="0.3">
      <c r="O2257" s="14"/>
      <c r="P2257" s="14"/>
      <c r="Q2257" s="14"/>
      <c r="R2257" s="14"/>
    </row>
    <row r="2258" spans="15:18" x14ac:dyDescent="0.3">
      <c r="O2258" s="14"/>
      <c r="P2258" s="14"/>
      <c r="Q2258" s="14"/>
      <c r="R2258" s="14"/>
    </row>
    <row r="2259" spans="15:18" x14ac:dyDescent="0.3">
      <c r="O2259" s="14"/>
      <c r="P2259" s="14"/>
      <c r="Q2259" s="14"/>
      <c r="R2259" s="14"/>
    </row>
    <row r="2260" spans="15:18" x14ac:dyDescent="0.3">
      <c r="O2260" s="14"/>
      <c r="P2260" s="14"/>
      <c r="Q2260" s="14"/>
      <c r="R2260" s="14"/>
    </row>
    <row r="2261" spans="15:18" x14ac:dyDescent="0.3">
      <c r="O2261" s="14"/>
      <c r="P2261" s="14"/>
      <c r="Q2261" s="14"/>
      <c r="R2261" s="14"/>
    </row>
    <row r="2262" spans="15:18" x14ac:dyDescent="0.3">
      <c r="O2262" s="14"/>
      <c r="P2262" s="14"/>
      <c r="Q2262" s="14"/>
      <c r="R2262" s="14"/>
    </row>
    <row r="2263" spans="15:18" x14ac:dyDescent="0.3">
      <c r="O2263" s="14"/>
      <c r="P2263" s="14"/>
      <c r="Q2263" s="14"/>
      <c r="R2263" s="14"/>
    </row>
    <row r="2264" spans="15:18" x14ac:dyDescent="0.3">
      <c r="O2264" s="14"/>
      <c r="P2264" s="14"/>
      <c r="Q2264" s="14"/>
      <c r="R2264" s="14"/>
    </row>
    <row r="2265" spans="15:18" x14ac:dyDescent="0.3">
      <c r="O2265" s="14"/>
      <c r="P2265" s="14"/>
      <c r="Q2265" s="14"/>
      <c r="R2265" s="14"/>
    </row>
    <row r="2266" spans="15:18" x14ac:dyDescent="0.3">
      <c r="O2266" s="14"/>
      <c r="P2266" s="14"/>
      <c r="Q2266" s="14"/>
      <c r="R2266" s="14"/>
    </row>
    <row r="2267" spans="15:18" x14ac:dyDescent="0.3">
      <c r="O2267" s="14"/>
      <c r="P2267" s="14"/>
      <c r="Q2267" s="14"/>
      <c r="R2267" s="14"/>
    </row>
    <row r="2268" spans="15:18" x14ac:dyDescent="0.3">
      <c r="O2268" s="14"/>
      <c r="P2268" s="14"/>
      <c r="Q2268" s="14"/>
      <c r="R2268" s="14"/>
    </row>
    <row r="2269" spans="15:18" x14ac:dyDescent="0.3">
      <c r="O2269" s="14"/>
      <c r="P2269" s="14"/>
      <c r="Q2269" s="14"/>
      <c r="R2269" s="14"/>
    </row>
    <row r="2270" spans="15:18" x14ac:dyDescent="0.3">
      <c r="O2270" s="14"/>
      <c r="P2270" s="14"/>
      <c r="Q2270" s="14"/>
      <c r="R2270" s="14"/>
    </row>
    <row r="2271" spans="15:18" x14ac:dyDescent="0.3">
      <c r="O2271" s="14"/>
      <c r="P2271" s="14"/>
      <c r="Q2271" s="14"/>
      <c r="R2271" s="14"/>
    </row>
    <row r="2272" spans="15:18" x14ac:dyDescent="0.3">
      <c r="O2272" s="14"/>
      <c r="P2272" s="14"/>
      <c r="Q2272" s="14"/>
      <c r="R2272" s="14"/>
    </row>
    <row r="2273" spans="15:18" x14ac:dyDescent="0.3">
      <c r="O2273" s="14"/>
      <c r="P2273" s="14"/>
      <c r="Q2273" s="14"/>
      <c r="R2273" s="14"/>
    </row>
    <row r="2274" spans="15:18" x14ac:dyDescent="0.3">
      <c r="O2274" s="14"/>
      <c r="P2274" s="14"/>
      <c r="Q2274" s="14"/>
      <c r="R2274" s="14"/>
    </row>
    <row r="2275" spans="15:18" x14ac:dyDescent="0.3">
      <c r="O2275" s="14"/>
      <c r="P2275" s="14"/>
      <c r="Q2275" s="14"/>
      <c r="R2275" s="14"/>
    </row>
    <row r="2276" spans="15:18" x14ac:dyDescent="0.3">
      <c r="O2276" s="14"/>
      <c r="P2276" s="14"/>
      <c r="Q2276" s="14"/>
      <c r="R2276" s="14"/>
    </row>
    <row r="2277" spans="15:18" x14ac:dyDescent="0.3">
      <c r="O2277" s="14"/>
      <c r="P2277" s="14"/>
      <c r="Q2277" s="14"/>
      <c r="R2277" s="14"/>
    </row>
    <row r="2278" spans="15:18" x14ac:dyDescent="0.3">
      <c r="O2278" s="14"/>
      <c r="P2278" s="14"/>
      <c r="Q2278" s="14"/>
      <c r="R2278" s="14"/>
    </row>
    <row r="2279" spans="15:18" x14ac:dyDescent="0.3">
      <c r="O2279" s="14"/>
      <c r="P2279" s="14"/>
      <c r="Q2279" s="14"/>
      <c r="R2279" s="14"/>
    </row>
    <row r="2280" spans="15:18" x14ac:dyDescent="0.3">
      <c r="O2280" s="14"/>
      <c r="P2280" s="14"/>
      <c r="Q2280" s="14"/>
      <c r="R2280" s="14"/>
    </row>
    <row r="2281" spans="15:18" x14ac:dyDescent="0.3">
      <c r="O2281" s="14"/>
      <c r="P2281" s="14"/>
      <c r="Q2281" s="14"/>
      <c r="R2281" s="14"/>
    </row>
    <row r="2282" spans="15:18" x14ac:dyDescent="0.3">
      <c r="O2282" s="14"/>
      <c r="P2282" s="14"/>
      <c r="Q2282" s="14"/>
      <c r="R2282" s="14"/>
    </row>
    <row r="2283" spans="15:18" x14ac:dyDescent="0.3">
      <c r="O2283" s="14"/>
      <c r="P2283" s="14"/>
      <c r="Q2283" s="14"/>
      <c r="R2283" s="14"/>
    </row>
    <row r="2284" spans="15:18" x14ac:dyDescent="0.3">
      <c r="O2284" s="14"/>
      <c r="P2284" s="14"/>
      <c r="Q2284" s="14"/>
      <c r="R2284" s="14"/>
    </row>
    <row r="2285" spans="15:18" x14ac:dyDescent="0.3">
      <c r="O2285" s="14"/>
      <c r="P2285" s="14"/>
      <c r="Q2285" s="14"/>
      <c r="R2285" s="14"/>
    </row>
    <row r="2286" spans="15:18" x14ac:dyDescent="0.3">
      <c r="O2286" s="14"/>
      <c r="P2286" s="14"/>
      <c r="Q2286" s="14"/>
      <c r="R2286" s="14"/>
    </row>
    <row r="2287" spans="15:18" x14ac:dyDescent="0.3">
      <c r="O2287" s="14"/>
      <c r="P2287" s="14"/>
      <c r="Q2287" s="14"/>
      <c r="R2287" s="14"/>
    </row>
    <row r="2288" spans="15:18" x14ac:dyDescent="0.3">
      <c r="O2288" s="14"/>
      <c r="P2288" s="14"/>
      <c r="Q2288" s="14"/>
      <c r="R2288" s="14"/>
    </row>
    <row r="2289" spans="15:18" x14ac:dyDescent="0.3">
      <c r="O2289" s="14"/>
      <c r="P2289" s="14"/>
      <c r="Q2289" s="14"/>
      <c r="R2289" s="14"/>
    </row>
    <row r="2290" spans="15:18" x14ac:dyDescent="0.3">
      <c r="O2290" s="14"/>
      <c r="P2290" s="14"/>
      <c r="Q2290" s="14"/>
      <c r="R2290" s="14"/>
    </row>
    <row r="2291" spans="15:18" x14ac:dyDescent="0.3">
      <c r="O2291" s="14"/>
      <c r="P2291" s="14"/>
      <c r="Q2291" s="14"/>
      <c r="R2291" s="14"/>
    </row>
    <row r="2292" spans="15:18" x14ac:dyDescent="0.3">
      <c r="O2292" s="14"/>
      <c r="P2292" s="14"/>
      <c r="Q2292" s="14"/>
      <c r="R2292" s="14"/>
    </row>
    <row r="2293" spans="15:18" x14ac:dyDescent="0.3">
      <c r="O2293" s="14"/>
      <c r="P2293" s="14"/>
      <c r="Q2293" s="14"/>
      <c r="R2293" s="14"/>
    </row>
    <row r="2294" spans="15:18" x14ac:dyDescent="0.3">
      <c r="O2294" s="14"/>
      <c r="P2294" s="14"/>
      <c r="Q2294" s="14"/>
      <c r="R2294" s="14"/>
    </row>
    <row r="2295" spans="15:18" x14ac:dyDescent="0.3">
      <c r="O2295" s="14"/>
      <c r="P2295" s="14"/>
      <c r="Q2295" s="14"/>
      <c r="R2295" s="14"/>
    </row>
    <row r="2296" spans="15:18" x14ac:dyDescent="0.3">
      <c r="O2296" s="14"/>
      <c r="P2296" s="14"/>
      <c r="Q2296" s="14"/>
      <c r="R2296" s="14"/>
    </row>
    <row r="2297" spans="15:18" x14ac:dyDescent="0.3">
      <c r="O2297" s="14"/>
      <c r="P2297" s="14"/>
      <c r="Q2297" s="14"/>
      <c r="R2297" s="14"/>
    </row>
    <row r="2298" spans="15:18" x14ac:dyDescent="0.3">
      <c r="O2298" s="14"/>
      <c r="P2298" s="14"/>
      <c r="Q2298" s="14"/>
      <c r="R2298" s="14"/>
    </row>
    <row r="2299" spans="15:18" x14ac:dyDescent="0.3">
      <c r="O2299" s="14"/>
      <c r="P2299" s="14"/>
      <c r="Q2299" s="14"/>
      <c r="R2299" s="14"/>
    </row>
    <row r="2300" spans="15:18" x14ac:dyDescent="0.3">
      <c r="O2300" s="14"/>
      <c r="P2300" s="14"/>
      <c r="Q2300" s="14"/>
      <c r="R2300" s="14"/>
    </row>
    <row r="2301" spans="15:18" x14ac:dyDescent="0.3">
      <c r="O2301" s="14"/>
      <c r="P2301" s="14"/>
      <c r="Q2301" s="14"/>
      <c r="R2301" s="14"/>
    </row>
    <row r="2302" spans="15:18" x14ac:dyDescent="0.3">
      <c r="O2302" s="14"/>
      <c r="P2302" s="14"/>
      <c r="Q2302" s="14"/>
      <c r="R2302" s="14"/>
    </row>
    <row r="2303" spans="15:18" x14ac:dyDescent="0.3">
      <c r="O2303" s="14"/>
      <c r="P2303" s="14"/>
      <c r="Q2303" s="14"/>
      <c r="R2303" s="14"/>
    </row>
    <row r="2304" spans="15:18" x14ac:dyDescent="0.3">
      <c r="O2304" s="14"/>
      <c r="P2304" s="14"/>
      <c r="Q2304" s="14"/>
      <c r="R2304" s="14"/>
    </row>
    <row r="2305" spans="15:18" x14ac:dyDescent="0.3">
      <c r="O2305" s="14"/>
      <c r="P2305" s="14"/>
      <c r="Q2305" s="14"/>
      <c r="R2305" s="14"/>
    </row>
    <row r="2306" spans="15:18" x14ac:dyDescent="0.3">
      <c r="O2306" s="14"/>
      <c r="P2306" s="14"/>
      <c r="Q2306" s="14"/>
      <c r="R2306" s="14"/>
    </row>
    <row r="2307" spans="15:18" x14ac:dyDescent="0.3">
      <c r="O2307" s="14"/>
      <c r="P2307" s="14"/>
      <c r="Q2307" s="14"/>
      <c r="R2307" s="14"/>
    </row>
    <row r="2308" spans="15:18" x14ac:dyDescent="0.3">
      <c r="O2308" s="14"/>
      <c r="P2308" s="14"/>
      <c r="Q2308" s="14"/>
      <c r="R2308" s="14"/>
    </row>
    <row r="2309" spans="15:18" x14ac:dyDescent="0.3">
      <c r="O2309" s="14"/>
      <c r="P2309" s="14"/>
      <c r="Q2309" s="14"/>
      <c r="R2309" s="14"/>
    </row>
    <row r="2310" spans="15:18" x14ac:dyDescent="0.3">
      <c r="O2310" s="14"/>
      <c r="P2310" s="14"/>
      <c r="Q2310" s="14"/>
      <c r="R2310" s="14"/>
    </row>
    <row r="2311" spans="15:18" x14ac:dyDescent="0.3">
      <c r="O2311" s="14"/>
      <c r="P2311" s="14"/>
      <c r="Q2311" s="14"/>
      <c r="R2311" s="14"/>
    </row>
    <row r="2312" spans="15:18" x14ac:dyDescent="0.3">
      <c r="O2312" s="14"/>
      <c r="P2312" s="14"/>
      <c r="Q2312" s="14"/>
      <c r="R2312" s="14"/>
    </row>
    <row r="2313" spans="15:18" x14ac:dyDescent="0.3">
      <c r="O2313" s="14"/>
      <c r="P2313" s="14"/>
      <c r="Q2313" s="14"/>
      <c r="R2313" s="14"/>
    </row>
    <row r="2314" spans="15:18" x14ac:dyDescent="0.3">
      <c r="O2314" s="14"/>
      <c r="P2314" s="14"/>
      <c r="Q2314" s="14"/>
      <c r="R2314" s="14"/>
    </row>
    <row r="2315" spans="15:18" x14ac:dyDescent="0.3">
      <c r="O2315" s="14"/>
      <c r="P2315" s="14"/>
      <c r="Q2315" s="14"/>
      <c r="R2315" s="14"/>
    </row>
    <row r="2316" spans="15:18" x14ac:dyDescent="0.3">
      <c r="O2316" s="14"/>
      <c r="P2316" s="14"/>
      <c r="Q2316" s="14"/>
      <c r="R2316" s="14"/>
    </row>
    <row r="2317" spans="15:18" x14ac:dyDescent="0.3">
      <c r="O2317" s="14"/>
      <c r="P2317" s="14"/>
      <c r="Q2317" s="14"/>
      <c r="R2317" s="14"/>
    </row>
    <row r="2318" spans="15:18" x14ac:dyDescent="0.3">
      <c r="O2318" s="14"/>
      <c r="P2318" s="14"/>
      <c r="Q2318" s="14"/>
      <c r="R2318" s="14"/>
    </row>
    <row r="2319" spans="15:18" x14ac:dyDescent="0.3">
      <c r="O2319" s="14"/>
      <c r="P2319" s="14"/>
      <c r="Q2319" s="14"/>
      <c r="R2319" s="14"/>
    </row>
    <row r="2320" spans="15:18" x14ac:dyDescent="0.3">
      <c r="O2320" s="14"/>
      <c r="P2320" s="14"/>
      <c r="Q2320" s="14"/>
      <c r="R2320" s="14"/>
    </row>
    <row r="2321" spans="15:18" x14ac:dyDescent="0.3">
      <c r="O2321" s="14"/>
      <c r="P2321" s="14"/>
      <c r="Q2321" s="14"/>
      <c r="R2321" s="14"/>
    </row>
    <row r="2322" spans="15:18" x14ac:dyDescent="0.3">
      <c r="O2322" s="14"/>
      <c r="P2322" s="14"/>
      <c r="Q2322" s="14"/>
      <c r="R2322" s="14"/>
    </row>
    <row r="2323" spans="15:18" x14ac:dyDescent="0.3">
      <c r="O2323" s="14"/>
      <c r="P2323" s="14"/>
      <c r="Q2323" s="14"/>
      <c r="R2323" s="14"/>
    </row>
    <row r="2324" spans="15:18" x14ac:dyDescent="0.3">
      <c r="O2324" s="14"/>
      <c r="P2324" s="14"/>
      <c r="Q2324" s="14"/>
      <c r="R2324" s="14"/>
    </row>
    <row r="2325" spans="15:18" x14ac:dyDescent="0.3">
      <c r="O2325" s="14"/>
      <c r="P2325" s="14"/>
      <c r="Q2325" s="14"/>
      <c r="R2325" s="14"/>
    </row>
    <row r="2326" spans="15:18" x14ac:dyDescent="0.3">
      <c r="O2326" s="14"/>
      <c r="P2326" s="14"/>
      <c r="Q2326" s="14"/>
      <c r="R2326" s="14"/>
    </row>
    <row r="2327" spans="15:18" x14ac:dyDescent="0.3">
      <c r="O2327" s="14"/>
      <c r="P2327" s="14"/>
      <c r="Q2327" s="14"/>
      <c r="R2327" s="14"/>
    </row>
    <row r="2328" spans="15:18" x14ac:dyDescent="0.3">
      <c r="O2328" s="14"/>
      <c r="P2328" s="14"/>
      <c r="Q2328" s="14"/>
      <c r="R2328" s="14"/>
    </row>
    <row r="2329" spans="15:18" x14ac:dyDescent="0.3">
      <c r="O2329" s="14"/>
      <c r="P2329" s="14"/>
      <c r="Q2329" s="14"/>
      <c r="R2329" s="14"/>
    </row>
    <row r="2330" spans="15:18" x14ac:dyDescent="0.3">
      <c r="O2330" s="14"/>
      <c r="P2330" s="14"/>
      <c r="Q2330" s="14"/>
      <c r="R2330" s="14"/>
    </row>
    <row r="2331" spans="15:18" x14ac:dyDescent="0.3">
      <c r="O2331" s="14"/>
      <c r="P2331" s="14"/>
      <c r="Q2331" s="14"/>
      <c r="R2331" s="14"/>
    </row>
    <row r="2332" spans="15:18" x14ac:dyDescent="0.3">
      <c r="O2332" s="14"/>
      <c r="P2332" s="14"/>
      <c r="Q2332" s="14"/>
      <c r="R2332" s="14"/>
    </row>
    <row r="2333" spans="15:18" x14ac:dyDescent="0.3">
      <c r="O2333" s="14"/>
      <c r="P2333" s="14"/>
      <c r="Q2333" s="14"/>
      <c r="R2333" s="14"/>
    </row>
    <row r="2334" spans="15:18" x14ac:dyDescent="0.3">
      <c r="O2334" s="14"/>
      <c r="P2334" s="14"/>
      <c r="Q2334" s="14"/>
      <c r="R2334" s="14"/>
    </row>
    <row r="2335" spans="15:18" x14ac:dyDescent="0.3">
      <c r="O2335" s="14"/>
      <c r="P2335" s="14"/>
      <c r="Q2335" s="14"/>
      <c r="R2335" s="14"/>
    </row>
    <row r="2336" spans="15:18" x14ac:dyDescent="0.3">
      <c r="O2336" s="14"/>
      <c r="P2336" s="14"/>
      <c r="Q2336" s="14"/>
      <c r="R2336" s="14"/>
    </row>
    <row r="2337" spans="15:18" x14ac:dyDescent="0.3">
      <c r="O2337" s="14"/>
      <c r="P2337" s="14"/>
      <c r="Q2337" s="14"/>
      <c r="R2337" s="14"/>
    </row>
    <row r="2338" spans="15:18" x14ac:dyDescent="0.3">
      <c r="O2338" s="14"/>
      <c r="P2338" s="14"/>
      <c r="Q2338" s="14"/>
      <c r="R2338" s="14"/>
    </row>
    <row r="2339" spans="15:18" x14ac:dyDescent="0.3">
      <c r="O2339" s="14"/>
      <c r="P2339" s="14"/>
      <c r="Q2339" s="14"/>
      <c r="R2339" s="14"/>
    </row>
    <row r="2340" spans="15:18" x14ac:dyDescent="0.3">
      <c r="O2340" s="14"/>
      <c r="P2340" s="14"/>
      <c r="Q2340" s="14"/>
      <c r="R2340" s="14"/>
    </row>
    <row r="2341" spans="15:18" x14ac:dyDescent="0.3">
      <c r="O2341" s="14"/>
      <c r="P2341" s="14"/>
      <c r="Q2341" s="14"/>
      <c r="R2341" s="14"/>
    </row>
    <row r="2342" spans="15:18" x14ac:dyDescent="0.3">
      <c r="O2342" s="14"/>
      <c r="P2342" s="14"/>
      <c r="Q2342" s="14"/>
      <c r="R2342" s="14"/>
    </row>
    <row r="2343" spans="15:18" x14ac:dyDescent="0.3">
      <c r="O2343" s="14"/>
      <c r="P2343" s="14"/>
      <c r="Q2343" s="14"/>
      <c r="R2343" s="14"/>
    </row>
    <row r="2344" spans="15:18" x14ac:dyDescent="0.3">
      <c r="O2344" s="14"/>
      <c r="P2344" s="14"/>
      <c r="Q2344" s="14"/>
      <c r="R2344" s="14"/>
    </row>
    <row r="2345" spans="15:18" x14ac:dyDescent="0.3">
      <c r="O2345" s="14"/>
      <c r="P2345" s="14"/>
      <c r="Q2345" s="14"/>
      <c r="R2345" s="14"/>
    </row>
    <row r="2346" spans="15:18" x14ac:dyDescent="0.3">
      <c r="O2346" s="14"/>
      <c r="P2346" s="14"/>
      <c r="Q2346" s="14"/>
      <c r="R2346" s="14"/>
    </row>
    <row r="2347" spans="15:18" x14ac:dyDescent="0.3">
      <c r="O2347" s="14"/>
      <c r="P2347" s="14"/>
      <c r="Q2347" s="14"/>
      <c r="R2347" s="14"/>
    </row>
    <row r="2348" spans="15:18" x14ac:dyDescent="0.3">
      <c r="O2348" s="14"/>
      <c r="P2348" s="14"/>
      <c r="Q2348" s="14"/>
      <c r="R2348" s="14"/>
    </row>
    <row r="2349" spans="15:18" x14ac:dyDescent="0.3">
      <c r="O2349" s="14"/>
      <c r="P2349" s="14"/>
      <c r="Q2349" s="14"/>
      <c r="R2349" s="14"/>
    </row>
    <row r="2350" spans="15:18" x14ac:dyDescent="0.3">
      <c r="O2350" s="14"/>
      <c r="P2350" s="14"/>
      <c r="Q2350" s="14"/>
      <c r="R2350" s="14"/>
    </row>
    <row r="2351" spans="15:18" x14ac:dyDescent="0.3">
      <c r="O2351" s="14"/>
      <c r="P2351" s="14"/>
      <c r="Q2351" s="14"/>
      <c r="R2351" s="14"/>
    </row>
    <row r="2352" spans="15:18" x14ac:dyDescent="0.3">
      <c r="O2352" s="14"/>
      <c r="P2352" s="14"/>
      <c r="Q2352" s="14"/>
      <c r="R2352" s="14"/>
    </row>
    <row r="2353" spans="15:18" x14ac:dyDescent="0.3">
      <c r="O2353" s="14"/>
      <c r="P2353" s="14"/>
      <c r="Q2353" s="14"/>
      <c r="R2353" s="14"/>
    </row>
    <row r="2354" spans="15:18" x14ac:dyDescent="0.3">
      <c r="O2354" s="14"/>
      <c r="P2354" s="14"/>
      <c r="Q2354" s="14"/>
      <c r="R2354" s="14"/>
    </row>
    <row r="2355" spans="15:18" x14ac:dyDescent="0.3">
      <c r="O2355" s="14"/>
      <c r="P2355" s="14"/>
      <c r="Q2355" s="14"/>
      <c r="R2355" s="14"/>
    </row>
    <row r="2356" spans="15:18" x14ac:dyDescent="0.3">
      <c r="O2356" s="14"/>
      <c r="P2356" s="14"/>
      <c r="Q2356" s="14"/>
      <c r="R2356" s="14"/>
    </row>
    <row r="2357" spans="15:18" x14ac:dyDescent="0.3">
      <c r="O2357" s="14"/>
      <c r="P2357" s="14"/>
      <c r="Q2357" s="14"/>
      <c r="R2357" s="14"/>
    </row>
    <row r="2358" spans="15:18" x14ac:dyDescent="0.3">
      <c r="O2358" s="14"/>
      <c r="P2358" s="14"/>
      <c r="Q2358" s="14"/>
      <c r="R2358" s="14"/>
    </row>
    <row r="2359" spans="15:18" x14ac:dyDescent="0.3">
      <c r="O2359" s="14"/>
      <c r="P2359" s="14"/>
      <c r="Q2359" s="14"/>
      <c r="R2359" s="14"/>
    </row>
    <row r="2360" spans="15:18" x14ac:dyDescent="0.3">
      <c r="O2360" s="14"/>
      <c r="P2360" s="14"/>
      <c r="Q2360" s="14"/>
      <c r="R2360" s="14"/>
    </row>
    <row r="2361" spans="15:18" x14ac:dyDescent="0.3">
      <c r="O2361" s="14"/>
      <c r="P2361" s="14"/>
      <c r="Q2361" s="14"/>
      <c r="R2361" s="14"/>
    </row>
    <row r="2362" spans="15:18" x14ac:dyDescent="0.3">
      <c r="O2362" s="14"/>
      <c r="P2362" s="14"/>
      <c r="Q2362" s="14"/>
      <c r="R2362" s="14"/>
    </row>
    <row r="2363" spans="15:18" x14ac:dyDescent="0.3">
      <c r="O2363" s="14"/>
      <c r="P2363" s="14"/>
      <c r="Q2363" s="14"/>
      <c r="R2363" s="14"/>
    </row>
    <row r="2364" spans="15:18" x14ac:dyDescent="0.3">
      <c r="O2364" s="14"/>
      <c r="P2364" s="14"/>
      <c r="Q2364" s="14"/>
      <c r="R2364" s="14"/>
    </row>
    <row r="2365" spans="15:18" x14ac:dyDescent="0.3">
      <c r="O2365" s="14"/>
      <c r="P2365" s="14"/>
      <c r="Q2365" s="14"/>
      <c r="R2365" s="14"/>
    </row>
    <row r="2366" spans="15:18" x14ac:dyDescent="0.3">
      <c r="O2366" s="14"/>
      <c r="P2366" s="14"/>
      <c r="Q2366" s="14"/>
      <c r="R2366" s="14"/>
    </row>
    <row r="2367" spans="15:18" x14ac:dyDescent="0.3">
      <c r="O2367" s="14"/>
      <c r="P2367" s="14"/>
      <c r="Q2367" s="14"/>
      <c r="R2367" s="14"/>
    </row>
    <row r="2368" spans="15:18" x14ac:dyDescent="0.3">
      <c r="O2368" s="14"/>
      <c r="P2368" s="14"/>
      <c r="Q2368" s="14"/>
      <c r="R2368" s="14"/>
    </row>
    <row r="2369" spans="15:18" x14ac:dyDescent="0.3">
      <c r="O2369" s="14"/>
      <c r="P2369" s="14"/>
      <c r="Q2369" s="14"/>
      <c r="R2369" s="14"/>
    </row>
    <row r="2370" spans="15:18" x14ac:dyDescent="0.3">
      <c r="O2370" s="14"/>
      <c r="P2370" s="14"/>
      <c r="Q2370" s="14"/>
      <c r="R2370" s="14"/>
    </row>
    <row r="2371" spans="15:18" x14ac:dyDescent="0.3">
      <c r="O2371" s="14"/>
      <c r="P2371" s="14"/>
      <c r="Q2371" s="14"/>
      <c r="R2371" s="14"/>
    </row>
    <row r="2372" spans="15:18" x14ac:dyDescent="0.3">
      <c r="O2372" s="14"/>
      <c r="P2372" s="14"/>
      <c r="Q2372" s="14"/>
      <c r="R2372" s="14"/>
    </row>
    <row r="2373" spans="15:18" x14ac:dyDescent="0.3">
      <c r="O2373" s="14"/>
      <c r="P2373" s="14"/>
      <c r="Q2373" s="14"/>
      <c r="R2373" s="14"/>
    </row>
    <row r="2374" spans="15:18" x14ac:dyDescent="0.3">
      <c r="O2374" s="14"/>
      <c r="P2374" s="14"/>
      <c r="Q2374" s="14"/>
      <c r="R2374" s="14"/>
    </row>
    <row r="2375" spans="15:18" x14ac:dyDescent="0.3">
      <c r="O2375" s="14"/>
      <c r="P2375" s="14"/>
      <c r="Q2375" s="14"/>
      <c r="R2375" s="14"/>
    </row>
    <row r="2376" spans="15:18" x14ac:dyDescent="0.3">
      <c r="O2376" s="14"/>
      <c r="P2376" s="14"/>
      <c r="Q2376" s="14"/>
      <c r="R2376" s="14"/>
    </row>
    <row r="2377" spans="15:18" x14ac:dyDescent="0.3">
      <c r="O2377" s="14"/>
      <c r="P2377" s="14"/>
      <c r="Q2377" s="14"/>
      <c r="R2377" s="14"/>
    </row>
    <row r="2378" spans="15:18" x14ac:dyDescent="0.3">
      <c r="O2378" s="14"/>
      <c r="P2378" s="14"/>
      <c r="Q2378" s="14"/>
      <c r="R2378" s="14"/>
    </row>
    <row r="2379" spans="15:18" x14ac:dyDescent="0.3">
      <c r="O2379" s="14"/>
      <c r="P2379" s="14"/>
      <c r="Q2379" s="14"/>
      <c r="R2379" s="14"/>
    </row>
    <row r="2380" spans="15:18" x14ac:dyDescent="0.3">
      <c r="O2380" s="14"/>
      <c r="P2380" s="14"/>
      <c r="Q2380" s="14"/>
      <c r="R2380" s="14"/>
    </row>
    <row r="2381" spans="15:18" x14ac:dyDescent="0.3">
      <c r="O2381" s="14"/>
      <c r="P2381" s="14"/>
      <c r="Q2381" s="14"/>
      <c r="R2381" s="14"/>
    </row>
    <row r="2382" spans="15:18" x14ac:dyDescent="0.3">
      <c r="O2382" s="14"/>
      <c r="P2382" s="14"/>
      <c r="Q2382" s="14"/>
      <c r="R2382" s="14"/>
    </row>
    <row r="2383" spans="15:18" x14ac:dyDescent="0.3">
      <c r="O2383" s="14"/>
      <c r="P2383" s="14"/>
      <c r="Q2383" s="14"/>
      <c r="R2383" s="14"/>
    </row>
    <row r="2384" spans="15:18" x14ac:dyDescent="0.3">
      <c r="O2384" s="14"/>
      <c r="P2384" s="14"/>
      <c r="Q2384" s="14"/>
      <c r="R2384" s="14"/>
    </row>
    <row r="2385" spans="15:18" x14ac:dyDescent="0.3">
      <c r="O2385" s="14"/>
      <c r="P2385" s="14"/>
      <c r="Q2385" s="14"/>
      <c r="R2385" s="14"/>
    </row>
    <row r="2386" spans="15:18" x14ac:dyDescent="0.3">
      <c r="O2386" s="14"/>
      <c r="P2386" s="14"/>
      <c r="Q2386" s="14"/>
      <c r="R2386" s="14"/>
    </row>
    <row r="2387" spans="15:18" x14ac:dyDescent="0.3">
      <c r="O2387" s="14"/>
      <c r="P2387" s="14"/>
      <c r="Q2387" s="14"/>
      <c r="R2387" s="14"/>
    </row>
    <row r="2388" spans="15:18" x14ac:dyDescent="0.3">
      <c r="O2388" s="14"/>
      <c r="P2388" s="14"/>
      <c r="Q2388" s="14"/>
      <c r="R2388" s="14"/>
    </row>
    <row r="2389" spans="15:18" x14ac:dyDescent="0.3">
      <c r="O2389" s="14"/>
      <c r="P2389" s="14"/>
      <c r="Q2389" s="14"/>
      <c r="R2389" s="14"/>
    </row>
    <row r="2390" spans="15:18" x14ac:dyDescent="0.3">
      <c r="O2390" s="14"/>
      <c r="P2390" s="14"/>
      <c r="Q2390" s="14"/>
      <c r="R2390" s="14"/>
    </row>
    <row r="2391" spans="15:18" x14ac:dyDescent="0.3">
      <c r="O2391" s="14"/>
      <c r="P2391" s="14"/>
      <c r="Q2391" s="14"/>
      <c r="R2391" s="14"/>
    </row>
    <row r="2392" spans="15:18" x14ac:dyDescent="0.3">
      <c r="O2392" s="14"/>
      <c r="P2392" s="14"/>
      <c r="Q2392" s="14"/>
      <c r="R2392" s="14"/>
    </row>
    <row r="2393" spans="15:18" x14ac:dyDescent="0.3">
      <c r="O2393" s="14"/>
      <c r="P2393" s="14"/>
      <c r="Q2393" s="14"/>
      <c r="R2393" s="14"/>
    </row>
    <row r="2394" spans="15:18" x14ac:dyDescent="0.3">
      <c r="O2394" s="14"/>
      <c r="P2394" s="14"/>
      <c r="Q2394" s="14"/>
      <c r="R2394" s="14"/>
    </row>
    <row r="2395" spans="15:18" x14ac:dyDescent="0.3">
      <c r="O2395" s="14"/>
      <c r="P2395" s="14"/>
      <c r="Q2395" s="14"/>
      <c r="R2395" s="14"/>
    </row>
    <row r="2396" spans="15:18" x14ac:dyDescent="0.3">
      <c r="O2396" s="14"/>
      <c r="P2396" s="14"/>
      <c r="Q2396" s="14"/>
      <c r="R2396" s="14"/>
    </row>
    <row r="2397" spans="15:18" x14ac:dyDescent="0.3">
      <c r="O2397" s="14"/>
      <c r="P2397" s="14"/>
      <c r="Q2397" s="14"/>
      <c r="R2397" s="14"/>
    </row>
    <row r="2398" spans="15:18" x14ac:dyDescent="0.3">
      <c r="O2398" s="14"/>
      <c r="P2398" s="14"/>
      <c r="Q2398" s="14"/>
      <c r="R2398" s="14"/>
    </row>
    <row r="2399" spans="15:18" x14ac:dyDescent="0.3">
      <c r="O2399" s="14"/>
      <c r="P2399" s="14"/>
      <c r="Q2399" s="14"/>
      <c r="R2399" s="14"/>
    </row>
    <row r="2400" spans="15:18" x14ac:dyDescent="0.3">
      <c r="O2400" s="14"/>
      <c r="P2400" s="14"/>
      <c r="Q2400" s="14"/>
      <c r="R2400" s="14"/>
    </row>
    <row r="2401" spans="15:18" x14ac:dyDescent="0.3">
      <c r="O2401" s="14"/>
      <c r="P2401" s="14"/>
      <c r="Q2401" s="14"/>
      <c r="R2401" s="14"/>
    </row>
    <row r="2402" spans="15:18" x14ac:dyDescent="0.3">
      <c r="O2402" s="14"/>
      <c r="P2402" s="14"/>
      <c r="Q2402" s="14"/>
      <c r="R2402" s="14"/>
    </row>
    <row r="2403" spans="15:18" x14ac:dyDescent="0.3">
      <c r="O2403" s="14"/>
      <c r="P2403" s="14"/>
      <c r="Q2403" s="14"/>
      <c r="R2403" s="14"/>
    </row>
    <row r="2404" spans="15:18" x14ac:dyDescent="0.3">
      <c r="O2404" s="14"/>
      <c r="P2404" s="14"/>
      <c r="Q2404" s="14"/>
      <c r="R2404" s="14"/>
    </row>
    <row r="2405" spans="15:18" x14ac:dyDescent="0.3">
      <c r="O2405" s="14"/>
      <c r="P2405" s="14"/>
      <c r="Q2405" s="14"/>
      <c r="R2405" s="14"/>
    </row>
    <row r="2406" spans="15:18" x14ac:dyDescent="0.3">
      <c r="O2406" s="14"/>
      <c r="P2406" s="14"/>
      <c r="Q2406" s="14"/>
      <c r="R2406" s="14"/>
    </row>
    <row r="2407" spans="15:18" x14ac:dyDescent="0.3">
      <c r="O2407" s="14"/>
      <c r="P2407" s="14"/>
      <c r="Q2407" s="14"/>
      <c r="R2407" s="14"/>
    </row>
    <row r="2408" spans="15:18" x14ac:dyDescent="0.3">
      <c r="O2408" s="14"/>
      <c r="P2408" s="14"/>
      <c r="Q2408" s="14"/>
      <c r="R2408" s="14"/>
    </row>
    <row r="2409" spans="15:18" x14ac:dyDescent="0.3">
      <c r="O2409" s="14"/>
      <c r="P2409" s="14"/>
      <c r="Q2409" s="14"/>
      <c r="R2409" s="14"/>
    </row>
    <row r="2410" spans="15:18" x14ac:dyDescent="0.3">
      <c r="O2410" s="14"/>
      <c r="P2410" s="14"/>
      <c r="Q2410" s="14"/>
      <c r="R2410" s="14"/>
    </row>
    <row r="2411" spans="15:18" x14ac:dyDescent="0.3">
      <c r="O2411" s="14"/>
      <c r="P2411" s="14"/>
      <c r="Q2411" s="14"/>
      <c r="R2411" s="14"/>
    </row>
    <row r="2412" spans="15:18" x14ac:dyDescent="0.3">
      <c r="O2412" s="14"/>
      <c r="P2412" s="14"/>
      <c r="Q2412" s="14"/>
      <c r="R2412" s="14"/>
    </row>
    <row r="2413" spans="15:18" x14ac:dyDescent="0.3">
      <c r="O2413" s="14"/>
      <c r="P2413" s="14"/>
      <c r="Q2413" s="14"/>
      <c r="R2413" s="14"/>
    </row>
    <row r="2414" spans="15:18" x14ac:dyDescent="0.3">
      <c r="O2414" s="14"/>
      <c r="P2414" s="14"/>
      <c r="Q2414" s="14"/>
      <c r="R2414" s="14"/>
    </row>
    <row r="2415" spans="15:18" x14ac:dyDescent="0.3">
      <c r="O2415" s="14"/>
      <c r="P2415" s="14"/>
      <c r="Q2415" s="14"/>
      <c r="R2415" s="14"/>
    </row>
    <row r="2416" spans="15:18" x14ac:dyDescent="0.3">
      <c r="O2416" s="14"/>
      <c r="P2416" s="14"/>
      <c r="Q2416" s="14"/>
      <c r="R2416" s="14"/>
    </row>
    <row r="2417" spans="15:18" x14ac:dyDescent="0.3">
      <c r="O2417" s="14"/>
      <c r="P2417" s="14"/>
      <c r="Q2417" s="14"/>
      <c r="R2417" s="14"/>
    </row>
    <row r="2418" spans="15:18" x14ac:dyDescent="0.3">
      <c r="O2418" s="14"/>
      <c r="P2418" s="14"/>
      <c r="Q2418" s="14"/>
      <c r="R2418" s="14"/>
    </row>
    <row r="2419" spans="15:18" x14ac:dyDescent="0.3">
      <c r="O2419" s="14"/>
      <c r="P2419" s="14"/>
      <c r="Q2419" s="14"/>
      <c r="R2419" s="14"/>
    </row>
    <row r="2420" spans="15:18" x14ac:dyDescent="0.3">
      <c r="O2420" s="14"/>
      <c r="P2420" s="14"/>
      <c r="Q2420" s="14"/>
      <c r="R2420" s="14"/>
    </row>
    <row r="2421" spans="15:18" x14ac:dyDescent="0.3">
      <c r="O2421" s="14"/>
      <c r="P2421" s="14"/>
      <c r="Q2421" s="14"/>
      <c r="R2421" s="14"/>
    </row>
    <row r="2422" spans="15:18" x14ac:dyDescent="0.3">
      <c r="O2422" s="14"/>
      <c r="P2422" s="14"/>
      <c r="Q2422" s="14"/>
      <c r="R2422" s="14"/>
    </row>
    <row r="2423" spans="15:18" x14ac:dyDescent="0.3">
      <c r="O2423" s="14"/>
      <c r="P2423" s="14"/>
      <c r="Q2423" s="14"/>
      <c r="R2423" s="14"/>
    </row>
    <row r="2424" spans="15:18" x14ac:dyDescent="0.3">
      <c r="O2424" s="14"/>
      <c r="P2424" s="14"/>
      <c r="Q2424" s="14"/>
      <c r="R2424" s="14"/>
    </row>
    <row r="2425" spans="15:18" x14ac:dyDescent="0.3">
      <c r="O2425" s="14"/>
      <c r="P2425" s="14"/>
      <c r="Q2425" s="14"/>
      <c r="R2425" s="14"/>
    </row>
    <row r="2426" spans="15:18" x14ac:dyDescent="0.3">
      <c r="O2426" s="14"/>
      <c r="P2426" s="14"/>
      <c r="Q2426" s="14"/>
      <c r="R2426" s="14"/>
    </row>
    <row r="2427" spans="15:18" x14ac:dyDescent="0.3">
      <c r="O2427" s="14"/>
      <c r="P2427" s="14"/>
      <c r="Q2427" s="14"/>
      <c r="R2427" s="14"/>
    </row>
    <row r="2428" spans="15:18" x14ac:dyDescent="0.3">
      <c r="O2428" s="14"/>
      <c r="P2428" s="14"/>
      <c r="Q2428" s="14"/>
      <c r="R2428" s="14"/>
    </row>
    <row r="2429" spans="15:18" x14ac:dyDescent="0.3">
      <c r="O2429" s="14"/>
      <c r="P2429" s="14"/>
      <c r="Q2429" s="14"/>
      <c r="R2429" s="14"/>
    </row>
    <row r="2430" spans="15:18" x14ac:dyDescent="0.3">
      <c r="O2430" s="14"/>
      <c r="P2430" s="14"/>
      <c r="Q2430" s="14"/>
      <c r="R2430" s="14"/>
    </row>
    <row r="2431" spans="15:18" x14ac:dyDescent="0.3">
      <c r="O2431" s="14"/>
      <c r="P2431" s="14"/>
      <c r="Q2431" s="14"/>
      <c r="R2431" s="14"/>
    </row>
    <row r="2432" spans="15:18" x14ac:dyDescent="0.3">
      <c r="O2432" s="14"/>
      <c r="P2432" s="14"/>
      <c r="Q2432" s="14"/>
      <c r="R2432" s="14"/>
    </row>
    <row r="2433" spans="15:18" x14ac:dyDescent="0.3">
      <c r="O2433" s="14"/>
      <c r="P2433" s="14"/>
      <c r="Q2433" s="14"/>
      <c r="R2433" s="14"/>
    </row>
    <row r="2434" spans="15:18" x14ac:dyDescent="0.3">
      <c r="O2434" s="14"/>
      <c r="P2434" s="14"/>
      <c r="Q2434" s="14"/>
      <c r="R2434" s="14"/>
    </row>
    <row r="2435" spans="15:18" x14ac:dyDescent="0.3">
      <c r="O2435" s="14"/>
      <c r="P2435" s="14"/>
      <c r="Q2435" s="14"/>
      <c r="R2435" s="14"/>
    </row>
    <row r="2436" spans="15:18" x14ac:dyDescent="0.3">
      <c r="O2436" s="14"/>
      <c r="P2436" s="14"/>
      <c r="Q2436" s="14"/>
      <c r="R2436" s="14"/>
    </row>
    <row r="2437" spans="15:18" x14ac:dyDescent="0.3">
      <c r="O2437" s="14"/>
      <c r="P2437" s="14"/>
      <c r="Q2437" s="14"/>
      <c r="R2437" s="14"/>
    </row>
    <row r="2438" spans="15:18" x14ac:dyDescent="0.3">
      <c r="O2438" s="14"/>
      <c r="P2438" s="14"/>
      <c r="Q2438" s="14"/>
      <c r="R2438" s="14"/>
    </row>
    <row r="2439" spans="15:18" x14ac:dyDescent="0.3">
      <c r="O2439" s="14"/>
      <c r="P2439" s="14"/>
      <c r="Q2439" s="14"/>
      <c r="R2439" s="14"/>
    </row>
    <row r="2440" spans="15:18" x14ac:dyDescent="0.3">
      <c r="O2440" s="14"/>
      <c r="P2440" s="14"/>
      <c r="Q2440" s="14"/>
      <c r="R2440" s="14"/>
    </row>
    <row r="2441" spans="15:18" x14ac:dyDescent="0.3">
      <c r="O2441" s="14"/>
      <c r="P2441" s="14"/>
      <c r="Q2441" s="14"/>
      <c r="R2441" s="14"/>
    </row>
    <row r="2442" spans="15:18" x14ac:dyDescent="0.3">
      <c r="O2442" s="14"/>
      <c r="P2442" s="14"/>
      <c r="Q2442" s="14"/>
      <c r="R2442" s="14"/>
    </row>
    <row r="2443" spans="15:18" x14ac:dyDescent="0.3">
      <c r="O2443" s="14"/>
      <c r="P2443" s="14"/>
      <c r="Q2443" s="14"/>
      <c r="R2443" s="14"/>
    </row>
    <row r="2444" spans="15:18" x14ac:dyDescent="0.3">
      <c r="O2444" s="14"/>
      <c r="P2444" s="14"/>
      <c r="Q2444" s="14"/>
      <c r="R2444" s="14"/>
    </row>
    <row r="2445" spans="15:18" x14ac:dyDescent="0.3">
      <c r="O2445" s="14"/>
      <c r="P2445" s="14"/>
      <c r="Q2445" s="14"/>
      <c r="R2445" s="14"/>
    </row>
    <row r="2446" spans="15:18" x14ac:dyDescent="0.3">
      <c r="O2446" s="14"/>
      <c r="P2446" s="14"/>
      <c r="Q2446" s="14"/>
      <c r="R2446" s="14"/>
    </row>
    <row r="2447" spans="15:18" x14ac:dyDescent="0.3">
      <c r="O2447" s="14"/>
      <c r="P2447" s="14"/>
      <c r="Q2447" s="14"/>
      <c r="R2447" s="14"/>
    </row>
    <row r="2448" spans="15:18" x14ac:dyDescent="0.3">
      <c r="O2448" s="14"/>
      <c r="P2448" s="14"/>
      <c r="Q2448" s="14"/>
      <c r="R2448" s="14"/>
    </row>
    <row r="2449" spans="15:18" x14ac:dyDescent="0.3">
      <c r="O2449" s="14"/>
      <c r="P2449" s="14"/>
      <c r="Q2449" s="14"/>
      <c r="R2449" s="14"/>
    </row>
    <row r="2450" spans="15:18" x14ac:dyDescent="0.3">
      <c r="O2450" s="14"/>
      <c r="P2450" s="14"/>
      <c r="Q2450" s="14"/>
      <c r="R2450" s="14"/>
    </row>
    <row r="2451" spans="15:18" x14ac:dyDescent="0.3">
      <c r="O2451" s="14"/>
      <c r="P2451" s="14"/>
      <c r="Q2451" s="14"/>
      <c r="R2451" s="14"/>
    </row>
    <row r="2452" spans="15:18" x14ac:dyDescent="0.3">
      <c r="O2452" s="14"/>
      <c r="P2452" s="14"/>
      <c r="Q2452" s="14"/>
      <c r="R2452" s="14"/>
    </row>
    <row r="2453" spans="15:18" x14ac:dyDescent="0.3">
      <c r="O2453" s="14"/>
      <c r="P2453" s="14"/>
      <c r="Q2453" s="14"/>
      <c r="R2453" s="14"/>
    </row>
    <row r="2454" spans="15:18" x14ac:dyDescent="0.3">
      <c r="O2454" s="14"/>
      <c r="P2454" s="14"/>
      <c r="Q2454" s="14"/>
      <c r="R2454" s="14"/>
    </row>
    <row r="2455" spans="15:18" x14ac:dyDescent="0.3">
      <c r="O2455" s="14"/>
      <c r="P2455" s="14"/>
      <c r="Q2455" s="14"/>
      <c r="R2455" s="14"/>
    </row>
    <row r="2456" spans="15:18" x14ac:dyDescent="0.3">
      <c r="O2456" s="14"/>
      <c r="P2456" s="14"/>
      <c r="Q2456" s="14"/>
      <c r="R2456" s="14"/>
    </row>
    <row r="2457" spans="15:18" x14ac:dyDescent="0.3">
      <c r="O2457" s="14"/>
      <c r="P2457" s="14"/>
      <c r="Q2457" s="14"/>
      <c r="R2457" s="14"/>
    </row>
    <row r="2458" spans="15:18" x14ac:dyDescent="0.3">
      <c r="O2458" s="14"/>
      <c r="P2458" s="14"/>
      <c r="Q2458" s="14"/>
      <c r="R2458" s="14"/>
    </row>
    <row r="2459" spans="15:18" x14ac:dyDescent="0.3">
      <c r="O2459" s="14"/>
      <c r="P2459" s="14"/>
      <c r="Q2459" s="14"/>
      <c r="R2459" s="14"/>
    </row>
    <row r="2460" spans="15:18" x14ac:dyDescent="0.3">
      <c r="O2460" s="14"/>
      <c r="P2460" s="14"/>
      <c r="Q2460" s="14"/>
      <c r="R2460" s="14"/>
    </row>
    <row r="2461" spans="15:18" x14ac:dyDescent="0.3">
      <c r="O2461" s="14"/>
      <c r="P2461" s="14"/>
      <c r="Q2461" s="14"/>
      <c r="R2461" s="14"/>
    </row>
    <row r="2462" spans="15:18" x14ac:dyDescent="0.3">
      <c r="O2462" s="14"/>
      <c r="P2462" s="14"/>
      <c r="Q2462" s="14"/>
      <c r="R2462" s="14"/>
    </row>
    <row r="2463" spans="15:18" x14ac:dyDescent="0.3">
      <c r="O2463" s="14"/>
      <c r="P2463" s="14"/>
      <c r="Q2463" s="14"/>
      <c r="R2463" s="14"/>
    </row>
    <row r="2464" spans="15:18" x14ac:dyDescent="0.3">
      <c r="O2464" s="14"/>
      <c r="P2464" s="14"/>
      <c r="Q2464" s="14"/>
      <c r="R2464" s="14"/>
    </row>
    <row r="2465" spans="15:18" x14ac:dyDescent="0.3">
      <c r="O2465" s="14"/>
      <c r="P2465" s="14"/>
      <c r="Q2465" s="14"/>
      <c r="R2465" s="14"/>
    </row>
    <row r="2466" spans="15:18" x14ac:dyDescent="0.3">
      <c r="O2466" s="14"/>
      <c r="P2466" s="14"/>
      <c r="Q2466" s="14"/>
      <c r="R2466" s="14"/>
    </row>
    <row r="2467" spans="15:18" x14ac:dyDescent="0.3">
      <c r="O2467" s="14"/>
      <c r="P2467" s="14"/>
      <c r="Q2467" s="14"/>
      <c r="R2467" s="14"/>
    </row>
    <row r="2468" spans="15:18" x14ac:dyDescent="0.3">
      <c r="O2468" s="14"/>
      <c r="P2468" s="14"/>
      <c r="Q2468" s="14"/>
      <c r="R2468" s="14"/>
    </row>
    <row r="2469" spans="15:18" x14ac:dyDescent="0.3">
      <c r="O2469" s="14"/>
      <c r="P2469" s="14"/>
      <c r="Q2469" s="14"/>
      <c r="R2469" s="14"/>
    </row>
    <row r="2470" spans="15:18" x14ac:dyDescent="0.3">
      <c r="O2470" s="14"/>
      <c r="P2470" s="14"/>
      <c r="Q2470" s="14"/>
      <c r="R2470" s="14"/>
    </row>
    <row r="2471" spans="15:18" x14ac:dyDescent="0.3">
      <c r="O2471" s="14"/>
      <c r="P2471" s="14"/>
      <c r="Q2471" s="14"/>
      <c r="R2471" s="14"/>
    </row>
    <row r="2472" spans="15:18" x14ac:dyDescent="0.3">
      <c r="O2472" s="14"/>
      <c r="P2472" s="14"/>
      <c r="Q2472" s="14"/>
      <c r="R2472" s="14"/>
    </row>
    <row r="2473" spans="15:18" x14ac:dyDescent="0.3">
      <c r="O2473" s="14"/>
      <c r="P2473" s="14"/>
      <c r="Q2473" s="14"/>
      <c r="R2473" s="14"/>
    </row>
    <row r="2474" spans="15:18" x14ac:dyDescent="0.3">
      <c r="O2474" s="14"/>
      <c r="P2474" s="14"/>
      <c r="Q2474" s="14"/>
      <c r="R2474" s="14"/>
    </row>
    <row r="2475" spans="15:18" x14ac:dyDescent="0.3">
      <c r="O2475" s="14"/>
      <c r="P2475" s="14"/>
      <c r="Q2475" s="14"/>
      <c r="R2475" s="14"/>
    </row>
    <row r="2476" spans="15:18" x14ac:dyDescent="0.3">
      <c r="O2476" s="14"/>
      <c r="P2476" s="14"/>
      <c r="Q2476" s="14"/>
      <c r="R2476" s="14"/>
    </row>
    <row r="2477" spans="15:18" x14ac:dyDescent="0.3">
      <c r="O2477" s="14"/>
      <c r="P2477" s="14"/>
      <c r="Q2477" s="14"/>
      <c r="R2477" s="14"/>
    </row>
    <row r="2478" spans="15:18" x14ac:dyDescent="0.3">
      <c r="O2478" s="14"/>
      <c r="P2478" s="14"/>
      <c r="Q2478" s="14"/>
      <c r="R2478" s="14"/>
    </row>
    <row r="2479" spans="15:18" x14ac:dyDescent="0.3">
      <c r="O2479" s="14"/>
      <c r="P2479" s="14"/>
      <c r="Q2479" s="14"/>
      <c r="R2479" s="14"/>
    </row>
    <row r="2480" spans="15:18" x14ac:dyDescent="0.3">
      <c r="O2480" s="14"/>
      <c r="P2480" s="14"/>
      <c r="Q2480" s="14"/>
      <c r="R2480" s="14"/>
    </row>
    <row r="2481" spans="15:18" x14ac:dyDescent="0.3">
      <c r="O2481" s="14"/>
      <c r="P2481" s="14"/>
      <c r="Q2481" s="14"/>
      <c r="R2481" s="14"/>
    </row>
    <row r="2482" spans="15:18" x14ac:dyDescent="0.3">
      <c r="O2482" s="14"/>
      <c r="P2482" s="14"/>
      <c r="Q2482" s="14"/>
      <c r="R2482" s="14"/>
    </row>
    <row r="2483" spans="15:18" x14ac:dyDescent="0.3">
      <c r="O2483" s="14"/>
      <c r="P2483" s="14"/>
      <c r="Q2483" s="14"/>
      <c r="R2483" s="14"/>
    </row>
    <row r="2484" spans="15:18" x14ac:dyDescent="0.3">
      <c r="O2484" s="14"/>
      <c r="P2484" s="14"/>
      <c r="Q2484" s="14"/>
      <c r="R2484" s="14"/>
    </row>
    <row r="2485" spans="15:18" x14ac:dyDescent="0.3">
      <c r="O2485" s="14"/>
      <c r="P2485" s="14"/>
      <c r="Q2485" s="14"/>
      <c r="R2485" s="14"/>
    </row>
    <row r="2486" spans="15:18" x14ac:dyDescent="0.3">
      <c r="O2486" s="14"/>
      <c r="P2486" s="14"/>
      <c r="Q2486" s="14"/>
      <c r="R2486" s="14"/>
    </row>
    <row r="2487" spans="15:18" x14ac:dyDescent="0.3">
      <c r="O2487" s="14"/>
      <c r="P2487" s="14"/>
      <c r="Q2487" s="14"/>
      <c r="R2487" s="14"/>
    </row>
    <row r="2488" spans="15:18" x14ac:dyDescent="0.3">
      <c r="O2488" s="14"/>
      <c r="P2488" s="14"/>
      <c r="Q2488" s="14"/>
      <c r="R2488" s="14"/>
    </row>
    <row r="2489" spans="15:18" x14ac:dyDescent="0.3">
      <c r="O2489" s="14"/>
      <c r="P2489" s="14"/>
      <c r="Q2489" s="14"/>
      <c r="R2489" s="14"/>
    </row>
    <row r="2490" spans="15:18" x14ac:dyDescent="0.3">
      <c r="O2490" s="14"/>
      <c r="P2490" s="14"/>
      <c r="Q2490" s="14"/>
      <c r="R2490" s="14"/>
    </row>
    <row r="2491" spans="15:18" x14ac:dyDescent="0.3">
      <c r="O2491" s="14"/>
      <c r="P2491" s="14"/>
      <c r="Q2491" s="14"/>
      <c r="R2491" s="14"/>
    </row>
    <row r="2492" spans="15:18" x14ac:dyDescent="0.3">
      <c r="O2492" s="14"/>
      <c r="P2492" s="14"/>
      <c r="Q2492" s="14"/>
      <c r="R2492" s="14"/>
    </row>
    <row r="2493" spans="15:18" x14ac:dyDescent="0.3">
      <c r="O2493" s="14"/>
      <c r="P2493" s="14"/>
      <c r="Q2493" s="14"/>
      <c r="R2493" s="14"/>
    </row>
    <row r="2494" spans="15:18" x14ac:dyDescent="0.3">
      <c r="O2494" s="14"/>
      <c r="P2494" s="14"/>
      <c r="Q2494" s="14"/>
      <c r="R2494" s="14"/>
    </row>
    <row r="2495" spans="15:18" x14ac:dyDescent="0.3">
      <c r="O2495" s="14"/>
      <c r="P2495" s="14"/>
      <c r="Q2495" s="14"/>
      <c r="R2495" s="14"/>
    </row>
    <row r="2496" spans="15:18" x14ac:dyDescent="0.3">
      <c r="O2496" s="14"/>
      <c r="P2496" s="14"/>
      <c r="Q2496" s="14"/>
      <c r="R2496" s="14"/>
    </row>
    <row r="2497" spans="15:18" x14ac:dyDescent="0.3">
      <c r="O2497" s="14"/>
      <c r="P2497" s="14"/>
      <c r="Q2497" s="14"/>
      <c r="R2497" s="14"/>
    </row>
    <row r="2498" spans="15:18" x14ac:dyDescent="0.3">
      <c r="O2498" s="14"/>
      <c r="P2498" s="14"/>
      <c r="Q2498" s="14"/>
      <c r="R2498" s="14"/>
    </row>
    <row r="2499" spans="15:18" x14ac:dyDescent="0.3">
      <c r="O2499" s="14"/>
      <c r="P2499" s="14"/>
      <c r="Q2499" s="14"/>
      <c r="R2499" s="14"/>
    </row>
    <row r="2500" spans="15:18" x14ac:dyDescent="0.3">
      <c r="O2500" s="14"/>
      <c r="P2500" s="14"/>
      <c r="Q2500" s="14"/>
      <c r="R2500" s="14"/>
    </row>
    <row r="2501" spans="15:18" x14ac:dyDescent="0.3">
      <c r="O2501" s="14"/>
      <c r="P2501" s="14"/>
      <c r="Q2501" s="14"/>
      <c r="R2501" s="14"/>
    </row>
    <row r="2502" spans="15:18" x14ac:dyDescent="0.3">
      <c r="O2502" s="14"/>
      <c r="P2502" s="14"/>
      <c r="Q2502" s="14"/>
      <c r="R2502" s="14"/>
    </row>
    <row r="2503" spans="15:18" x14ac:dyDescent="0.3">
      <c r="O2503" s="14"/>
      <c r="P2503" s="14"/>
      <c r="Q2503" s="14"/>
      <c r="R2503" s="14"/>
    </row>
    <row r="2504" spans="15:18" x14ac:dyDescent="0.3">
      <c r="O2504" s="14"/>
      <c r="P2504" s="14"/>
      <c r="Q2504" s="14"/>
      <c r="R2504" s="14"/>
    </row>
    <row r="2505" spans="15:18" x14ac:dyDescent="0.3">
      <c r="O2505" s="14"/>
      <c r="P2505" s="14"/>
      <c r="Q2505" s="14"/>
      <c r="R2505" s="14"/>
    </row>
    <row r="2506" spans="15:18" x14ac:dyDescent="0.3">
      <c r="O2506" s="14"/>
      <c r="P2506" s="14"/>
      <c r="Q2506" s="14"/>
      <c r="R2506" s="14"/>
    </row>
    <row r="2507" spans="15:18" x14ac:dyDescent="0.3">
      <c r="O2507" s="14"/>
      <c r="P2507" s="14"/>
      <c r="Q2507" s="14"/>
      <c r="R2507" s="14"/>
    </row>
    <row r="2508" spans="15:18" x14ac:dyDescent="0.3">
      <c r="O2508" s="14"/>
      <c r="P2508" s="14"/>
      <c r="Q2508" s="14"/>
      <c r="R2508" s="14"/>
    </row>
    <row r="2509" spans="15:18" x14ac:dyDescent="0.3">
      <c r="O2509" s="14"/>
      <c r="P2509" s="14"/>
      <c r="Q2509" s="14"/>
      <c r="R2509" s="14"/>
    </row>
    <row r="2510" spans="15:18" x14ac:dyDescent="0.3">
      <c r="O2510" s="14"/>
      <c r="P2510" s="14"/>
      <c r="Q2510" s="14"/>
      <c r="R2510" s="14"/>
    </row>
    <row r="2511" spans="15:18" x14ac:dyDescent="0.3">
      <c r="O2511" s="14"/>
      <c r="P2511" s="14"/>
      <c r="Q2511" s="14"/>
      <c r="R2511" s="14"/>
    </row>
    <row r="2512" spans="15:18" x14ac:dyDescent="0.3">
      <c r="O2512" s="14"/>
      <c r="P2512" s="14"/>
      <c r="Q2512" s="14"/>
      <c r="R2512" s="14"/>
    </row>
    <row r="2513" spans="15:18" x14ac:dyDescent="0.3">
      <c r="O2513" s="14"/>
      <c r="P2513" s="14"/>
      <c r="Q2513" s="14"/>
      <c r="R2513" s="14"/>
    </row>
    <row r="2514" spans="15:18" x14ac:dyDescent="0.3">
      <c r="O2514" s="14"/>
      <c r="P2514" s="14"/>
      <c r="Q2514" s="14"/>
      <c r="R2514" s="14"/>
    </row>
    <row r="2515" spans="15:18" x14ac:dyDescent="0.3">
      <c r="O2515" s="14"/>
      <c r="P2515" s="14"/>
      <c r="Q2515" s="14"/>
      <c r="R2515" s="14"/>
    </row>
    <row r="2516" spans="15:18" x14ac:dyDescent="0.3">
      <c r="O2516" s="14"/>
      <c r="P2516" s="14"/>
      <c r="Q2516" s="14"/>
      <c r="R2516" s="14"/>
    </row>
    <row r="2517" spans="15:18" x14ac:dyDescent="0.3">
      <c r="O2517" s="14"/>
      <c r="P2517" s="14"/>
      <c r="Q2517" s="14"/>
      <c r="R2517" s="14"/>
    </row>
    <row r="2518" spans="15:18" x14ac:dyDescent="0.3">
      <c r="O2518" s="14"/>
      <c r="P2518" s="14"/>
      <c r="Q2518" s="14"/>
      <c r="R2518" s="14"/>
    </row>
    <row r="2519" spans="15:18" x14ac:dyDescent="0.3">
      <c r="O2519" s="14"/>
      <c r="P2519" s="14"/>
      <c r="Q2519" s="14"/>
      <c r="R2519" s="14"/>
    </row>
    <row r="2520" spans="15:18" x14ac:dyDescent="0.3">
      <c r="O2520" s="14"/>
      <c r="P2520" s="14"/>
      <c r="Q2520" s="14"/>
      <c r="R2520" s="14"/>
    </row>
    <row r="2521" spans="15:18" x14ac:dyDescent="0.3">
      <c r="O2521" s="14"/>
      <c r="P2521" s="14"/>
      <c r="Q2521" s="14"/>
      <c r="R2521" s="14"/>
    </row>
    <row r="2522" spans="15:18" x14ac:dyDescent="0.3">
      <c r="O2522" s="14"/>
      <c r="P2522" s="14"/>
      <c r="Q2522" s="14"/>
      <c r="R2522" s="14"/>
    </row>
    <row r="2523" spans="15:18" x14ac:dyDescent="0.3">
      <c r="O2523" s="14"/>
      <c r="P2523" s="14"/>
      <c r="Q2523" s="14"/>
      <c r="R2523" s="14"/>
    </row>
    <row r="2524" spans="15:18" x14ac:dyDescent="0.3">
      <c r="O2524" s="14"/>
      <c r="P2524" s="14"/>
      <c r="Q2524" s="14"/>
      <c r="R2524" s="14"/>
    </row>
    <row r="2525" spans="15:18" x14ac:dyDescent="0.3">
      <c r="O2525" s="14"/>
      <c r="P2525" s="14"/>
      <c r="Q2525" s="14"/>
      <c r="R2525" s="14"/>
    </row>
    <row r="2526" spans="15:18" x14ac:dyDescent="0.3">
      <c r="O2526" s="14"/>
      <c r="P2526" s="14"/>
      <c r="Q2526" s="14"/>
      <c r="R2526" s="14"/>
    </row>
    <row r="2527" spans="15:18" x14ac:dyDescent="0.3">
      <c r="O2527" s="14"/>
      <c r="P2527" s="14"/>
      <c r="Q2527" s="14"/>
      <c r="R2527" s="14"/>
    </row>
    <row r="2528" spans="15:18" x14ac:dyDescent="0.3">
      <c r="O2528" s="14"/>
      <c r="P2528" s="14"/>
      <c r="Q2528" s="14"/>
      <c r="R2528" s="14"/>
    </row>
    <row r="2529" spans="15:18" x14ac:dyDescent="0.3">
      <c r="O2529" s="14"/>
      <c r="P2529" s="14"/>
      <c r="Q2529" s="14"/>
      <c r="R2529" s="14"/>
    </row>
    <row r="2530" spans="15:18" x14ac:dyDescent="0.3">
      <c r="O2530" s="14"/>
      <c r="P2530" s="14"/>
      <c r="Q2530" s="14"/>
      <c r="R2530" s="14"/>
    </row>
    <row r="2531" spans="15:18" x14ac:dyDescent="0.3">
      <c r="O2531" s="14"/>
      <c r="P2531" s="14"/>
      <c r="Q2531" s="14"/>
      <c r="R2531" s="14"/>
    </row>
    <row r="2532" spans="15:18" x14ac:dyDescent="0.3">
      <c r="O2532" s="14"/>
      <c r="P2532" s="14"/>
      <c r="Q2532" s="14"/>
      <c r="R2532" s="14"/>
    </row>
    <row r="2533" spans="15:18" x14ac:dyDescent="0.3">
      <c r="O2533" s="14"/>
      <c r="P2533" s="14"/>
      <c r="Q2533" s="14"/>
      <c r="R2533" s="14"/>
    </row>
    <row r="2534" spans="15:18" x14ac:dyDescent="0.3">
      <c r="O2534" s="14"/>
      <c r="P2534" s="14"/>
      <c r="Q2534" s="14"/>
      <c r="R2534" s="14"/>
    </row>
    <row r="2535" spans="15:18" x14ac:dyDescent="0.3">
      <c r="O2535" s="14"/>
      <c r="P2535" s="14"/>
      <c r="Q2535" s="14"/>
      <c r="R2535" s="14"/>
    </row>
    <row r="2536" spans="15:18" x14ac:dyDescent="0.3">
      <c r="O2536" s="14"/>
      <c r="P2536" s="14"/>
      <c r="Q2536" s="14"/>
      <c r="R2536" s="14"/>
    </row>
    <row r="2537" spans="15:18" x14ac:dyDescent="0.3">
      <c r="O2537" s="14"/>
      <c r="P2537" s="14"/>
      <c r="Q2537" s="14"/>
      <c r="R2537" s="14"/>
    </row>
    <row r="2538" spans="15:18" x14ac:dyDescent="0.3">
      <c r="O2538" s="14"/>
      <c r="P2538" s="14"/>
      <c r="Q2538" s="14"/>
      <c r="R2538" s="14"/>
    </row>
    <row r="2539" spans="15:18" x14ac:dyDescent="0.3">
      <c r="O2539" s="14"/>
      <c r="P2539" s="14"/>
      <c r="Q2539" s="14"/>
      <c r="R2539" s="14"/>
    </row>
    <row r="2540" spans="15:18" x14ac:dyDescent="0.3">
      <c r="O2540" s="14"/>
      <c r="P2540" s="14"/>
      <c r="Q2540" s="14"/>
      <c r="R2540" s="14"/>
    </row>
    <row r="2541" spans="15:18" x14ac:dyDescent="0.3">
      <c r="O2541" s="14"/>
      <c r="P2541" s="14"/>
      <c r="Q2541" s="14"/>
      <c r="R2541" s="14"/>
    </row>
    <row r="2542" spans="15:18" x14ac:dyDescent="0.3">
      <c r="O2542" s="14"/>
      <c r="P2542" s="14"/>
      <c r="Q2542" s="14"/>
      <c r="R2542" s="14"/>
    </row>
    <row r="2543" spans="15:18" x14ac:dyDescent="0.3">
      <c r="O2543" s="14"/>
      <c r="P2543" s="14"/>
      <c r="Q2543" s="14"/>
      <c r="R2543" s="14"/>
    </row>
    <row r="2544" spans="15:18" x14ac:dyDescent="0.3">
      <c r="O2544" s="14"/>
      <c r="P2544" s="14"/>
      <c r="Q2544" s="14"/>
      <c r="R2544" s="14"/>
    </row>
    <row r="2545" spans="15:18" x14ac:dyDescent="0.3">
      <c r="O2545" s="14"/>
      <c r="P2545" s="14"/>
      <c r="Q2545" s="14"/>
      <c r="R2545" s="14"/>
    </row>
    <row r="2546" spans="15:18" x14ac:dyDescent="0.3">
      <c r="O2546" s="14"/>
      <c r="P2546" s="14"/>
      <c r="Q2546" s="14"/>
      <c r="R2546" s="14"/>
    </row>
    <row r="2547" spans="15:18" x14ac:dyDescent="0.3">
      <c r="O2547" s="14"/>
      <c r="P2547" s="14"/>
      <c r="Q2547" s="14"/>
      <c r="R2547" s="14"/>
    </row>
    <row r="2548" spans="15:18" x14ac:dyDescent="0.3">
      <c r="O2548" s="14"/>
      <c r="P2548" s="14"/>
      <c r="Q2548" s="14"/>
      <c r="R2548" s="14"/>
    </row>
    <row r="2549" spans="15:18" x14ac:dyDescent="0.3">
      <c r="O2549" s="14"/>
      <c r="P2549" s="14"/>
      <c r="Q2549" s="14"/>
      <c r="R2549" s="14"/>
    </row>
    <row r="2550" spans="15:18" x14ac:dyDescent="0.3">
      <c r="O2550" s="14"/>
      <c r="P2550" s="14"/>
      <c r="Q2550" s="14"/>
      <c r="R2550" s="14"/>
    </row>
    <row r="2551" spans="15:18" x14ac:dyDescent="0.3">
      <c r="O2551" s="14"/>
      <c r="P2551" s="14"/>
      <c r="Q2551" s="14"/>
      <c r="R2551" s="14"/>
    </row>
    <row r="2552" spans="15:18" x14ac:dyDescent="0.3">
      <c r="O2552" s="14"/>
      <c r="P2552" s="14"/>
      <c r="Q2552" s="14"/>
      <c r="R2552" s="14"/>
    </row>
    <row r="2553" spans="15:18" x14ac:dyDescent="0.3">
      <c r="O2553" s="14"/>
      <c r="P2553" s="14"/>
      <c r="Q2553" s="14"/>
      <c r="R2553" s="14"/>
    </row>
    <row r="2554" spans="15:18" x14ac:dyDescent="0.3">
      <c r="O2554" s="14"/>
      <c r="P2554" s="14"/>
      <c r="Q2554" s="14"/>
      <c r="R2554" s="14"/>
    </row>
    <row r="2555" spans="15:18" x14ac:dyDescent="0.3">
      <c r="O2555" s="14"/>
      <c r="P2555" s="14"/>
      <c r="Q2555" s="14"/>
      <c r="R2555" s="14"/>
    </row>
    <row r="2556" spans="15:18" x14ac:dyDescent="0.3">
      <c r="O2556" s="14"/>
      <c r="P2556" s="14"/>
      <c r="Q2556" s="14"/>
      <c r="R2556" s="14"/>
    </row>
    <row r="2557" spans="15:18" x14ac:dyDescent="0.3">
      <c r="O2557" s="14"/>
      <c r="P2557" s="14"/>
      <c r="Q2557" s="14"/>
      <c r="R2557" s="14"/>
    </row>
    <row r="2558" spans="15:18" x14ac:dyDescent="0.3">
      <c r="O2558" s="14"/>
      <c r="P2558" s="14"/>
      <c r="Q2558" s="14"/>
      <c r="R2558" s="14"/>
    </row>
    <row r="2559" spans="15:18" x14ac:dyDescent="0.3">
      <c r="O2559" s="14"/>
      <c r="P2559" s="14"/>
      <c r="Q2559" s="14"/>
      <c r="R2559" s="14"/>
    </row>
    <row r="2560" spans="15:18" x14ac:dyDescent="0.3">
      <c r="O2560" s="14"/>
      <c r="P2560" s="14"/>
      <c r="Q2560" s="14"/>
      <c r="R2560" s="14"/>
    </row>
    <row r="2561" spans="15:18" x14ac:dyDescent="0.3">
      <c r="O2561" s="14"/>
      <c r="P2561" s="14"/>
      <c r="Q2561" s="14"/>
      <c r="R2561" s="14"/>
    </row>
    <row r="2562" spans="15:18" x14ac:dyDescent="0.3">
      <c r="O2562" s="14"/>
      <c r="P2562" s="14"/>
      <c r="Q2562" s="14"/>
      <c r="R2562" s="14"/>
    </row>
    <row r="2563" spans="15:18" x14ac:dyDescent="0.3">
      <c r="O2563" s="14"/>
      <c r="P2563" s="14"/>
      <c r="Q2563" s="14"/>
      <c r="R2563" s="14"/>
    </row>
    <row r="2564" spans="15:18" x14ac:dyDescent="0.3">
      <c r="O2564" s="14"/>
      <c r="P2564" s="14"/>
      <c r="Q2564" s="14"/>
      <c r="R2564" s="14"/>
    </row>
    <row r="2565" spans="15:18" x14ac:dyDescent="0.3">
      <c r="O2565" s="14"/>
      <c r="P2565" s="14"/>
      <c r="Q2565" s="14"/>
      <c r="R2565" s="14"/>
    </row>
    <row r="2566" spans="15:18" x14ac:dyDescent="0.3">
      <c r="O2566" s="14"/>
      <c r="P2566" s="14"/>
      <c r="Q2566" s="14"/>
      <c r="R2566" s="14"/>
    </row>
    <row r="2567" spans="15:18" x14ac:dyDescent="0.3">
      <c r="O2567" s="14"/>
      <c r="P2567" s="14"/>
      <c r="Q2567" s="14"/>
      <c r="R2567" s="14"/>
    </row>
    <row r="2568" spans="15:18" x14ac:dyDescent="0.3">
      <c r="O2568" s="14"/>
      <c r="P2568" s="14"/>
      <c r="Q2568" s="14"/>
      <c r="R2568" s="14"/>
    </row>
    <row r="2569" spans="15:18" x14ac:dyDescent="0.3">
      <c r="O2569" s="14"/>
      <c r="P2569" s="14"/>
      <c r="Q2569" s="14"/>
      <c r="R2569" s="14"/>
    </row>
    <row r="2570" spans="15:18" x14ac:dyDescent="0.3">
      <c r="O2570" s="14"/>
      <c r="P2570" s="14"/>
      <c r="Q2570" s="14"/>
      <c r="R2570" s="14"/>
    </row>
    <row r="2571" spans="15:18" x14ac:dyDescent="0.3">
      <c r="O2571" s="14"/>
      <c r="P2571" s="14"/>
      <c r="Q2571" s="14"/>
      <c r="R2571" s="14"/>
    </row>
    <row r="2572" spans="15:18" x14ac:dyDescent="0.3">
      <c r="O2572" s="14"/>
      <c r="P2572" s="14"/>
      <c r="Q2572" s="14"/>
      <c r="R2572" s="14"/>
    </row>
    <row r="2573" spans="15:18" x14ac:dyDescent="0.3">
      <c r="O2573" s="14"/>
      <c r="P2573" s="14"/>
      <c r="Q2573" s="14"/>
      <c r="R2573" s="14"/>
    </row>
    <row r="2574" spans="15:18" x14ac:dyDescent="0.3">
      <c r="O2574" s="14"/>
      <c r="P2574" s="14"/>
      <c r="Q2574" s="14"/>
      <c r="R2574" s="14"/>
    </row>
    <row r="2575" spans="15:18" x14ac:dyDescent="0.3">
      <c r="O2575" s="14"/>
      <c r="P2575" s="14"/>
      <c r="Q2575" s="14"/>
      <c r="R2575" s="14"/>
    </row>
    <row r="2576" spans="15:18" x14ac:dyDescent="0.3">
      <c r="O2576" s="14"/>
      <c r="P2576" s="14"/>
      <c r="Q2576" s="14"/>
      <c r="R2576" s="14"/>
    </row>
    <row r="2577" spans="15:18" x14ac:dyDescent="0.3">
      <c r="O2577" s="14"/>
      <c r="P2577" s="14"/>
      <c r="Q2577" s="14"/>
      <c r="R2577" s="14"/>
    </row>
    <row r="2578" spans="15:18" x14ac:dyDescent="0.3">
      <c r="O2578" s="14"/>
      <c r="P2578" s="14"/>
      <c r="Q2578" s="14"/>
      <c r="R2578" s="14"/>
    </row>
    <row r="2579" spans="15:18" x14ac:dyDescent="0.3">
      <c r="O2579" s="14"/>
      <c r="P2579" s="14"/>
      <c r="Q2579" s="14"/>
      <c r="R2579" s="14"/>
    </row>
    <row r="2580" spans="15:18" x14ac:dyDescent="0.3">
      <c r="O2580" s="14"/>
      <c r="P2580" s="14"/>
      <c r="Q2580" s="14"/>
      <c r="R2580" s="14"/>
    </row>
    <row r="2581" spans="15:18" x14ac:dyDescent="0.3">
      <c r="O2581" s="14"/>
      <c r="P2581" s="14"/>
      <c r="Q2581" s="14"/>
      <c r="R2581" s="14"/>
    </row>
    <row r="2582" spans="15:18" x14ac:dyDescent="0.3">
      <c r="O2582" s="14"/>
      <c r="P2582" s="14"/>
      <c r="Q2582" s="14"/>
      <c r="R2582" s="14"/>
    </row>
    <row r="2583" spans="15:18" x14ac:dyDescent="0.3">
      <c r="O2583" s="14"/>
      <c r="P2583" s="14"/>
      <c r="Q2583" s="14"/>
      <c r="R2583" s="14"/>
    </row>
    <row r="2584" spans="15:18" x14ac:dyDescent="0.3">
      <c r="O2584" s="14"/>
      <c r="P2584" s="14"/>
      <c r="Q2584" s="14"/>
      <c r="R2584" s="14"/>
    </row>
    <row r="2585" spans="15:18" x14ac:dyDescent="0.3">
      <c r="O2585" s="14"/>
      <c r="P2585" s="14"/>
      <c r="Q2585" s="14"/>
      <c r="R2585" s="14"/>
    </row>
    <row r="2586" spans="15:18" x14ac:dyDescent="0.3">
      <c r="O2586" s="14"/>
      <c r="P2586" s="14"/>
      <c r="Q2586" s="14"/>
      <c r="R2586" s="14"/>
    </row>
    <row r="2587" spans="15:18" x14ac:dyDescent="0.3">
      <c r="O2587" s="14"/>
      <c r="P2587" s="14"/>
      <c r="Q2587" s="14"/>
      <c r="R2587" s="14"/>
    </row>
    <row r="2588" spans="15:18" x14ac:dyDescent="0.3">
      <c r="O2588" s="14"/>
      <c r="P2588" s="14"/>
      <c r="Q2588" s="14"/>
      <c r="R2588" s="14"/>
    </row>
    <row r="2589" spans="15:18" x14ac:dyDescent="0.3">
      <c r="O2589" s="14"/>
      <c r="P2589" s="14"/>
      <c r="Q2589" s="14"/>
      <c r="R2589" s="14"/>
    </row>
    <row r="2590" spans="15:18" x14ac:dyDescent="0.3">
      <c r="O2590" s="14"/>
      <c r="P2590" s="14"/>
      <c r="Q2590" s="14"/>
      <c r="R2590" s="14"/>
    </row>
    <row r="2591" spans="15:18" x14ac:dyDescent="0.3">
      <c r="O2591" s="14"/>
      <c r="P2591" s="14"/>
      <c r="Q2591" s="14"/>
      <c r="R2591" s="14"/>
    </row>
    <row r="2592" spans="15:18" x14ac:dyDescent="0.3">
      <c r="O2592" s="14"/>
      <c r="P2592" s="14"/>
      <c r="Q2592" s="14"/>
      <c r="R2592" s="14"/>
    </row>
    <row r="2593" spans="15:18" x14ac:dyDescent="0.3">
      <c r="O2593" s="14"/>
      <c r="P2593" s="14"/>
      <c r="Q2593" s="14"/>
      <c r="R2593" s="14"/>
    </row>
    <row r="2594" spans="15:18" x14ac:dyDescent="0.3">
      <c r="O2594" s="14"/>
      <c r="P2594" s="14"/>
      <c r="Q2594" s="14"/>
      <c r="R2594" s="14"/>
    </row>
    <row r="2595" spans="15:18" x14ac:dyDescent="0.3">
      <c r="O2595" s="14"/>
      <c r="P2595" s="14"/>
      <c r="Q2595" s="14"/>
      <c r="R2595" s="14"/>
    </row>
    <row r="2596" spans="15:18" x14ac:dyDescent="0.3">
      <c r="O2596" s="14"/>
      <c r="P2596" s="14"/>
      <c r="Q2596" s="14"/>
      <c r="R2596" s="14"/>
    </row>
    <row r="2597" spans="15:18" x14ac:dyDescent="0.3">
      <c r="O2597" s="14"/>
      <c r="P2597" s="14"/>
      <c r="Q2597" s="14"/>
      <c r="R2597" s="14"/>
    </row>
    <row r="2598" spans="15:18" x14ac:dyDescent="0.3">
      <c r="O2598" s="14"/>
      <c r="P2598" s="14"/>
      <c r="Q2598" s="14"/>
      <c r="R2598" s="14"/>
    </row>
    <row r="2599" spans="15:18" x14ac:dyDescent="0.3">
      <c r="O2599" s="14"/>
      <c r="P2599" s="14"/>
      <c r="Q2599" s="14"/>
      <c r="R2599" s="14"/>
    </row>
    <row r="2600" spans="15:18" x14ac:dyDescent="0.3">
      <c r="O2600" s="14"/>
      <c r="P2600" s="14"/>
      <c r="Q2600" s="14"/>
      <c r="R2600" s="14"/>
    </row>
    <row r="2601" spans="15:18" x14ac:dyDescent="0.3">
      <c r="O2601" s="14"/>
      <c r="P2601" s="14"/>
      <c r="Q2601" s="14"/>
      <c r="R2601" s="14"/>
    </row>
    <row r="2602" spans="15:18" x14ac:dyDescent="0.3">
      <c r="O2602" s="14"/>
      <c r="P2602" s="14"/>
      <c r="Q2602" s="14"/>
      <c r="R2602" s="14"/>
    </row>
    <row r="2603" spans="15:18" x14ac:dyDescent="0.3">
      <c r="O2603" s="14"/>
      <c r="P2603" s="14"/>
      <c r="Q2603" s="14"/>
      <c r="R2603" s="14"/>
    </row>
    <row r="2604" spans="15:18" x14ac:dyDescent="0.3">
      <c r="O2604" s="14"/>
      <c r="P2604" s="14"/>
      <c r="Q2604" s="14"/>
      <c r="R2604" s="14"/>
    </row>
    <row r="2605" spans="15:18" x14ac:dyDescent="0.3">
      <c r="O2605" s="14"/>
      <c r="P2605" s="14"/>
      <c r="Q2605" s="14"/>
      <c r="R2605" s="14"/>
    </row>
    <row r="2606" spans="15:18" x14ac:dyDescent="0.3">
      <c r="O2606" s="14"/>
      <c r="P2606" s="14"/>
      <c r="Q2606" s="14"/>
      <c r="R2606" s="14"/>
    </row>
    <row r="2607" spans="15:18" x14ac:dyDescent="0.3">
      <c r="O2607" s="14"/>
      <c r="P2607" s="14"/>
      <c r="Q2607" s="14"/>
      <c r="R2607" s="14"/>
    </row>
    <row r="2608" spans="15:18" x14ac:dyDescent="0.3">
      <c r="O2608" s="14"/>
      <c r="P2608" s="14"/>
      <c r="Q2608" s="14"/>
      <c r="R2608" s="14"/>
    </row>
    <row r="2609" spans="15:18" x14ac:dyDescent="0.3">
      <c r="O2609" s="14"/>
      <c r="P2609" s="14"/>
      <c r="Q2609" s="14"/>
      <c r="R2609" s="14"/>
    </row>
    <row r="2610" spans="15:18" x14ac:dyDescent="0.3">
      <c r="O2610" s="14"/>
      <c r="P2610" s="14"/>
      <c r="Q2610" s="14"/>
      <c r="R2610" s="14"/>
    </row>
    <row r="2611" spans="15:18" x14ac:dyDescent="0.3">
      <c r="O2611" s="14"/>
      <c r="P2611" s="14"/>
      <c r="Q2611" s="14"/>
      <c r="R2611" s="14"/>
    </row>
    <row r="2612" spans="15:18" x14ac:dyDescent="0.3">
      <c r="O2612" s="14"/>
      <c r="P2612" s="14"/>
      <c r="Q2612" s="14"/>
      <c r="R2612" s="14"/>
    </row>
    <row r="2613" spans="15:18" x14ac:dyDescent="0.3">
      <c r="O2613" s="14"/>
      <c r="P2613" s="14"/>
      <c r="Q2613" s="14"/>
      <c r="R2613" s="14"/>
    </row>
    <row r="2614" spans="15:18" x14ac:dyDescent="0.3">
      <c r="O2614" s="14"/>
      <c r="P2614" s="14"/>
      <c r="Q2614" s="14"/>
      <c r="R2614" s="14"/>
    </row>
    <row r="2615" spans="15:18" x14ac:dyDescent="0.3">
      <c r="O2615" s="14"/>
      <c r="P2615" s="14"/>
      <c r="Q2615" s="14"/>
      <c r="R2615" s="14"/>
    </row>
    <row r="2616" spans="15:18" x14ac:dyDescent="0.3">
      <c r="O2616" s="14"/>
      <c r="P2616" s="14"/>
      <c r="Q2616" s="14"/>
      <c r="R2616" s="14"/>
    </row>
    <row r="2617" spans="15:18" x14ac:dyDescent="0.3">
      <c r="O2617" s="14"/>
      <c r="P2617" s="14"/>
      <c r="Q2617" s="14"/>
      <c r="R2617" s="14"/>
    </row>
    <row r="2618" spans="15:18" x14ac:dyDescent="0.3">
      <c r="O2618" s="14"/>
      <c r="P2618" s="14"/>
      <c r="Q2618" s="14"/>
      <c r="R2618" s="14"/>
    </row>
    <row r="2619" spans="15:18" x14ac:dyDescent="0.3">
      <c r="O2619" s="14"/>
      <c r="P2619" s="14"/>
      <c r="Q2619" s="14"/>
      <c r="R2619" s="14"/>
    </row>
    <row r="2620" spans="15:18" x14ac:dyDescent="0.3">
      <c r="O2620" s="14"/>
      <c r="P2620" s="14"/>
      <c r="Q2620" s="14"/>
      <c r="R2620" s="14"/>
    </row>
    <row r="2621" spans="15:18" x14ac:dyDescent="0.3">
      <c r="O2621" s="14"/>
      <c r="P2621" s="14"/>
      <c r="Q2621" s="14"/>
      <c r="R2621" s="14"/>
    </row>
    <row r="2622" spans="15:18" x14ac:dyDescent="0.3">
      <c r="O2622" s="14"/>
      <c r="P2622" s="14"/>
      <c r="Q2622" s="14"/>
      <c r="R2622" s="14"/>
    </row>
    <row r="2623" spans="15:18" x14ac:dyDescent="0.3">
      <c r="O2623" s="14"/>
      <c r="P2623" s="14"/>
      <c r="Q2623" s="14"/>
      <c r="R2623" s="14"/>
    </row>
    <row r="2624" spans="15:18" x14ac:dyDescent="0.3">
      <c r="O2624" s="14"/>
      <c r="P2624" s="14"/>
      <c r="Q2624" s="14"/>
      <c r="R2624" s="14"/>
    </row>
    <row r="2625" spans="15:18" x14ac:dyDescent="0.3">
      <c r="O2625" s="14"/>
      <c r="P2625" s="14"/>
      <c r="Q2625" s="14"/>
      <c r="R2625" s="14"/>
    </row>
    <row r="2626" spans="15:18" x14ac:dyDescent="0.3">
      <c r="O2626" s="14"/>
      <c r="P2626" s="14"/>
      <c r="Q2626" s="14"/>
      <c r="R2626" s="14"/>
    </row>
    <row r="2627" spans="15:18" x14ac:dyDescent="0.3">
      <c r="O2627" s="14"/>
      <c r="P2627" s="14"/>
      <c r="Q2627" s="14"/>
      <c r="R2627" s="14"/>
    </row>
    <row r="2628" spans="15:18" x14ac:dyDescent="0.3">
      <c r="O2628" s="14"/>
      <c r="P2628" s="14"/>
      <c r="Q2628" s="14"/>
      <c r="R2628" s="14"/>
    </row>
    <row r="2629" spans="15:18" x14ac:dyDescent="0.3">
      <c r="O2629" s="14"/>
      <c r="P2629" s="14"/>
      <c r="Q2629" s="14"/>
      <c r="R2629" s="14"/>
    </row>
    <row r="2630" spans="15:18" x14ac:dyDescent="0.3">
      <c r="O2630" s="14"/>
      <c r="P2630" s="14"/>
      <c r="Q2630" s="14"/>
      <c r="R2630" s="14"/>
    </row>
    <row r="2631" spans="15:18" x14ac:dyDescent="0.3">
      <c r="O2631" s="14"/>
      <c r="P2631" s="14"/>
      <c r="Q2631" s="14"/>
      <c r="R2631" s="14"/>
    </row>
    <row r="2632" spans="15:18" x14ac:dyDescent="0.3">
      <c r="O2632" s="14"/>
      <c r="P2632" s="14"/>
      <c r="Q2632" s="14"/>
      <c r="R2632" s="14"/>
    </row>
    <row r="2633" spans="15:18" x14ac:dyDescent="0.3">
      <c r="O2633" s="14"/>
      <c r="P2633" s="14"/>
      <c r="Q2633" s="14"/>
      <c r="R2633" s="14"/>
    </row>
    <row r="2634" spans="15:18" x14ac:dyDescent="0.3">
      <c r="O2634" s="14"/>
      <c r="P2634" s="14"/>
      <c r="Q2634" s="14"/>
      <c r="R2634" s="14"/>
    </row>
    <row r="2635" spans="15:18" x14ac:dyDescent="0.3">
      <c r="O2635" s="14"/>
      <c r="P2635" s="14"/>
      <c r="Q2635" s="14"/>
      <c r="R2635" s="14"/>
    </row>
    <row r="2636" spans="15:18" x14ac:dyDescent="0.3">
      <c r="O2636" s="14"/>
      <c r="P2636" s="14"/>
      <c r="Q2636" s="14"/>
      <c r="R2636" s="14"/>
    </row>
    <row r="2637" spans="15:18" x14ac:dyDescent="0.3">
      <c r="O2637" s="14"/>
      <c r="P2637" s="14"/>
      <c r="Q2637" s="14"/>
      <c r="R2637" s="14"/>
    </row>
    <row r="2638" spans="15:18" x14ac:dyDescent="0.3">
      <c r="O2638" s="14"/>
      <c r="P2638" s="14"/>
      <c r="Q2638" s="14"/>
      <c r="R2638" s="14"/>
    </row>
    <row r="2639" spans="15:18" x14ac:dyDescent="0.3">
      <c r="O2639" s="14"/>
      <c r="P2639" s="14"/>
      <c r="Q2639" s="14"/>
      <c r="R2639" s="14"/>
    </row>
    <row r="2640" spans="15:18" x14ac:dyDescent="0.3">
      <c r="O2640" s="14"/>
      <c r="P2640" s="14"/>
      <c r="Q2640" s="14"/>
      <c r="R2640" s="14"/>
    </row>
    <row r="2641" spans="15:18" x14ac:dyDescent="0.3">
      <c r="O2641" s="14"/>
      <c r="P2641" s="14"/>
      <c r="Q2641" s="14"/>
      <c r="R2641" s="14"/>
    </row>
    <row r="2642" spans="15:18" x14ac:dyDescent="0.3">
      <c r="O2642" s="14"/>
      <c r="P2642" s="14"/>
      <c r="Q2642" s="14"/>
      <c r="R2642" s="14"/>
    </row>
    <row r="2643" spans="15:18" x14ac:dyDescent="0.3">
      <c r="O2643" s="14"/>
      <c r="P2643" s="14"/>
      <c r="Q2643" s="14"/>
      <c r="R2643" s="14"/>
    </row>
    <row r="2644" spans="15:18" x14ac:dyDescent="0.3">
      <c r="O2644" s="14"/>
      <c r="P2644" s="14"/>
      <c r="Q2644" s="14"/>
      <c r="R2644" s="14"/>
    </row>
    <row r="2645" spans="15:18" x14ac:dyDescent="0.3">
      <c r="O2645" s="14"/>
      <c r="P2645" s="14"/>
      <c r="Q2645" s="14"/>
      <c r="R2645" s="14"/>
    </row>
    <row r="2646" spans="15:18" x14ac:dyDescent="0.3">
      <c r="O2646" s="14"/>
      <c r="P2646" s="14"/>
      <c r="Q2646" s="14"/>
      <c r="R2646" s="14"/>
    </row>
    <row r="2647" spans="15:18" x14ac:dyDescent="0.3">
      <c r="O2647" s="14"/>
      <c r="P2647" s="14"/>
      <c r="Q2647" s="14"/>
      <c r="R2647" s="14"/>
    </row>
    <row r="2648" spans="15:18" x14ac:dyDescent="0.3">
      <c r="O2648" s="14"/>
      <c r="P2648" s="14"/>
      <c r="Q2648" s="14"/>
      <c r="R2648" s="14"/>
    </row>
    <row r="2649" spans="15:18" x14ac:dyDescent="0.3">
      <c r="O2649" s="14"/>
      <c r="P2649" s="14"/>
      <c r="Q2649" s="14"/>
      <c r="R2649" s="14"/>
    </row>
    <row r="2650" spans="15:18" x14ac:dyDescent="0.3">
      <c r="O2650" s="14"/>
      <c r="P2650" s="14"/>
      <c r="Q2650" s="14"/>
      <c r="R2650" s="14"/>
    </row>
    <row r="2651" spans="15:18" x14ac:dyDescent="0.3">
      <c r="O2651" s="14"/>
      <c r="P2651" s="14"/>
      <c r="Q2651" s="14"/>
      <c r="R2651" s="14"/>
    </row>
    <row r="2652" spans="15:18" x14ac:dyDescent="0.3">
      <c r="O2652" s="14"/>
      <c r="P2652" s="14"/>
      <c r="Q2652" s="14"/>
      <c r="R2652" s="14"/>
    </row>
    <row r="2653" spans="15:18" x14ac:dyDescent="0.3">
      <c r="O2653" s="14"/>
      <c r="P2653" s="14"/>
      <c r="Q2653" s="14"/>
      <c r="R2653" s="14"/>
    </row>
    <row r="2654" spans="15:18" x14ac:dyDescent="0.3">
      <c r="O2654" s="14"/>
      <c r="P2654" s="14"/>
      <c r="Q2654" s="14"/>
      <c r="R2654" s="14"/>
    </row>
    <row r="2655" spans="15:18" x14ac:dyDescent="0.3">
      <c r="O2655" s="14"/>
      <c r="P2655" s="14"/>
      <c r="Q2655" s="14"/>
      <c r="R2655" s="14"/>
    </row>
    <row r="2656" spans="15:18" x14ac:dyDescent="0.3">
      <c r="O2656" s="14"/>
      <c r="P2656" s="14"/>
      <c r="Q2656" s="14"/>
      <c r="R2656" s="14"/>
    </row>
    <row r="2657" spans="15:18" x14ac:dyDescent="0.3">
      <c r="O2657" s="14"/>
      <c r="P2657" s="14"/>
      <c r="Q2657" s="14"/>
      <c r="R2657" s="14"/>
    </row>
    <row r="2658" spans="15:18" x14ac:dyDescent="0.3">
      <c r="O2658" s="14"/>
      <c r="P2658" s="14"/>
      <c r="Q2658" s="14"/>
      <c r="R2658" s="14"/>
    </row>
    <row r="2659" spans="15:18" x14ac:dyDescent="0.3">
      <c r="O2659" s="14"/>
      <c r="P2659" s="14"/>
      <c r="Q2659" s="14"/>
      <c r="R2659" s="14"/>
    </row>
    <row r="2660" spans="15:18" x14ac:dyDescent="0.3">
      <c r="O2660" s="14"/>
      <c r="P2660" s="14"/>
      <c r="Q2660" s="14"/>
      <c r="R2660" s="14"/>
    </row>
    <row r="2661" spans="15:18" x14ac:dyDescent="0.3">
      <c r="O2661" s="14"/>
      <c r="P2661" s="14"/>
      <c r="Q2661" s="14"/>
      <c r="R2661" s="14"/>
    </row>
    <row r="2662" spans="15:18" x14ac:dyDescent="0.3">
      <c r="O2662" s="14"/>
      <c r="P2662" s="14"/>
      <c r="Q2662" s="14"/>
      <c r="R2662" s="14"/>
    </row>
    <row r="2663" spans="15:18" x14ac:dyDescent="0.3">
      <c r="O2663" s="14"/>
      <c r="P2663" s="14"/>
      <c r="Q2663" s="14"/>
      <c r="R2663" s="14"/>
    </row>
    <row r="2664" spans="15:18" x14ac:dyDescent="0.3">
      <c r="O2664" s="14"/>
      <c r="P2664" s="14"/>
      <c r="Q2664" s="14"/>
      <c r="R2664" s="14"/>
    </row>
    <row r="2665" spans="15:18" x14ac:dyDescent="0.3">
      <c r="O2665" s="14"/>
      <c r="P2665" s="14"/>
      <c r="Q2665" s="14"/>
      <c r="R2665" s="14"/>
    </row>
    <row r="2666" spans="15:18" x14ac:dyDescent="0.3">
      <c r="O2666" s="14"/>
      <c r="P2666" s="14"/>
      <c r="Q2666" s="14"/>
      <c r="R2666" s="14"/>
    </row>
    <row r="2667" spans="15:18" x14ac:dyDescent="0.3">
      <c r="O2667" s="14"/>
      <c r="P2667" s="14"/>
      <c r="Q2667" s="14"/>
      <c r="R2667" s="14"/>
    </row>
    <row r="2668" spans="15:18" x14ac:dyDescent="0.3">
      <c r="O2668" s="14"/>
      <c r="P2668" s="14"/>
      <c r="Q2668" s="14"/>
      <c r="R2668" s="14"/>
    </row>
    <row r="2669" spans="15:18" x14ac:dyDescent="0.3">
      <c r="O2669" s="14"/>
      <c r="P2669" s="14"/>
      <c r="Q2669" s="14"/>
      <c r="R2669" s="14"/>
    </row>
    <row r="2670" spans="15:18" x14ac:dyDescent="0.3">
      <c r="O2670" s="14"/>
      <c r="P2670" s="14"/>
      <c r="Q2670" s="14"/>
      <c r="R2670" s="14"/>
    </row>
    <row r="2671" spans="15:18" x14ac:dyDescent="0.3">
      <c r="O2671" s="14"/>
      <c r="P2671" s="14"/>
      <c r="Q2671" s="14"/>
      <c r="R2671" s="14"/>
    </row>
    <row r="2672" spans="15:18" x14ac:dyDescent="0.3">
      <c r="O2672" s="14"/>
      <c r="P2672" s="14"/>
      <c r="Q2672" s="14"/>
      <c r="R2672" s="14"/>
    </row>
    <row r="2673" spans="15:18" x14ac:dyDescent="0.3">
      <c r="O2673" s="14"/>
      <c r="P2673" s="14"/>
      <c r="Q2673" s="14"/>
      <c r="R2673" s="14"/>
    </row>
    <row r="2674" spans="15:18" x14ac:dyDescent="0.3">
      <c r="O2674" s="14"/>
      <c r="P2674" s="14"/>
      <c r="Q2674" s="14"/>
      <c r="R2674" s="14"/>
    </row>
    <row r="2675" spans="15:18" x14ac:dyDescent="0.3">
      <c r="O2675" s="14"/>
      <c r="P2675" s="14"/>
      <c r="Q2675" s="14"/>
      <c r="R2675" s="14"/>
    </row>
    <row r="2676" spans="15:18" x14ac:dyDescent="0.3">
      <c r="O2676" s="14"/>
      <c r="P2676" s="14"/>
      <c r="Q2676" s="14"/>
      <c r="R2676" s="14"/>
    </row>
    <row r="2677" spans="15:18" x14ac:dyDescent="0.3">
      <c r="O2677" s="14"/>
      <c r="P2677" s="14"/>
      <c r="Q2677" s="14"/>
      <c r="R2677" s="14"/>
    </row>
    <row r="2678" spans="15:18" x14ac:dyDescent="0.3">
      <c r="O2678" s="14"/>
      <c r="P2678" s="14"/>
      <c r="Q2678" s="14"/>
      <c r="R2678" s="14"/>
    </row>
    <row r="2679" spans="15:18" x14ac:dyDescent="0.3">
      <c r="O2679" s="14"/>
      <c r="P2679" s="14"/>
      <c r="Q2679" s="14"/>
      <c r="R2679" s="14"/>
    </row>
    <row r="2680" spans="15:18" x14ac:dyDescent="0.3">
      <c r="O2680" s="14"/>
      <c r="P2680" s="14"/>
      <c r="Q2680" s="14"/>
      <c r="R2680" s="14"/>
    </row>
    <row r="2681" spans="15:18" x14ac:dyDescent="0.3">
      <c r="O2681" s="14"/>
      <c r="P2681" s="14"/>
      <c r="Q2681" s="14"/>
      <c r="R2681" s="14"/>
    </row>
    <row r="2682" spans="15:18" x14ac:dyDescent="0.3">
      <c r="O2682" s="14"/>
      <c r="P2682" s="14"/>
      <c r="Q2682" s="14"/>
      <c r="R2682" s="14"/>
    </row>
    <row r="2683" spans="15:18" x14ac:dyDescent="0.3">
      <c r="O2683" s="14"/>
      <c r="P2683" s="14"/>
      <c r="Q2683" s="14"/>
      <c r="R2683" s="14"/>
    </row>
    <row r="2684" spans="15:18" x14ac:dyDescent="0.3">
      <c r="O2684" s="14"/>
      <c r="P2684" s="14"/>
      <c r="Q2684" s="14"/>
      <c r="R2684" s="14"/>
    </row>
    <row r="2685" spans="15:18" x14ac:dyDescent="0.3">
      <c r="O2685" s="14"/>
      <c r="P2685" s="14"/>
      <c r="Q2685" s="14"/>
      <c r="R2685" s="14"/>
    </row>
    <row r="2686" spans="15:18" x14ac:dyDescent="0.3">
      <c r="O2686" s="14"/>
      <c r="P2686" s="14"/>
      <c r="Q2686" s="14"/>
      <c r="R2686" s="14"/>
    </row>
    <row r="2687" spans="15:18" x14ac:dyDescent="0.3">
      <c r="O2687" s="14"/>
      <c r="P2687" s="14"/>
      <c r="Q2687" s="14"/>
      <c r="R2687" s="14"/>
    </row>
    <row r="2688" spans="15:18" x14ac:dyDescent="0.3">
      <c r="O2688" s="14"/>
      <c r="P2688" s="14"/>
      <c r="Q2688" s="14"/>
      <c r="R2688" s="14"/>
    </row>
    <row r="2689" spans="15:18" x14ac:dyDescent="0.3">
      <c r="O2689" s="14"/>
      <c r="P2689" s="14"/>
      <c r="Q2689" s="14"/>
      <c r="R2689" s="14"/>
    </row>
    <row r="2690" spans="15:18" x14ac:dyDescent="0.3">
      <c r="O2690" s="14"/>
      <c r="P2690" s="14"/>
      <c r="Q2690" s="14"/>
      <c r="R2690" s="14"/>
    </row>
    <row r="2691" spans="15:18" x14ac:dyDescent="0.3">
      <c r="O2691" s="14"/>
      <c r="P2691" s="14"/>
      <c r="Q2691" s="14"/>
      <c r="R2691" s="14"/>
    </row>
    <row r="2692" spans="15:18" x14ac:dyDescent="0.3">
      <c r="O2692" s="14"/>
      <c r="P2692" s="14"/>
      <c r="Q2692" s="14"/>
      <c r="R2692" s="14"/>
    </row>
    <row r="2693" spans="15:18" x14ac:dyDescent="0.3">
      <c r="O2693" s="14"/>
      <c r="P2693" s="14"/>
      <c r="Q2693" s="14"/>
      <c r="R2693" s="14"/>
    </row>
    <row r="2694" spans="15:18" x14ac:dyDescent="0.3">
      <c r="O2694" s="14"/>
      <c r="P2694" s="14"/>
      <c r="Q2694" s="14"/>
      <c r="R2694" s="14"/>
    </row>
    <row r="2695" spans="15:18" x14ac:dyDescent="0.3">
      <c r="O2695" s="14"/>
      <c r="P2695" s="14"/>
      <c r="Q2695" s="14"/>
      <c r="R2695" s="14"/>
    </row>
    <row r="2696" spans="15:18" x14ac:dyDescent="0.3">
      <c r="O2696" s="14"/>
      <c r="P2696" s="14"/>
      <c r="Q2696" s="14"/>
      <c r="R2696" s="14"/>
    </row>
    <row r="2697" spans="15:18" x14ac:dyDescent="0.3">
      <c r="O2697" s="14"/>
      <c r="P2697" s="14"/>
      <c r="Q2697" s="14"/>
      <c r="R2697" s="14"/>
    </row>
    <row r="2698" spans="15:18" x14ac:dyDescent="0.3">
      <c r="O2698" s="14"/>
      <c r="P2698" s="14"/>
      <c r="Q2698" s="14"/>
      <c r="R2698" s="14"/>
    </row>
    <row r="2699" spans="15:18" x14ac:dyDescent="0.3">
      <c r="O2699" s="14"/>
      <c r="P2699" s="14"/>
      <c r="Q2699" s="14"/>
      <c r="R2699" s="14"/>
    </row>
    <row r="2700" spans="15:18" x14ac:dyDescent="0.3">
      <c r="O2700" s="14"/>
      <c r="P2700" s="14"/>
      <c r="Q2700" s="14"/>
      <c r="R2700" s="14"/>
    </row>
    <row r="2701" spans="15:18" x14ac:dyDescent="0.3">
      <c r="O2701" s="14"/>
      <c r="P2701" s="14"/>
      <c r="Q2701" s="14"/>
      <c r="R2701" s="14"/>
    </row>
    <row r="2702" spans="15:18" x14ac:dyDescent="0.3">
      <c r="O2702" s="14"/>
      <c r="P2702" s="14"/>
      <c r="Q2702" s="14"/>
      <c r="R2702" s="14"/>
    </row>
    <row r="2703" spans="15:18" x14ac:dyDescent="0.3">
      <c r="O2703" s="14"/>
      <c r="P2703" s="14"/>
      <c r="Q2703" s="14"/>
      <c r="R2703" s="14"/>
    </row>
    <row r="2704" spans="15:18" x14ac:dyDescent="0.3">
      <c r="O2704" s="14"/>
      <c r="P2704" s="14"/>
      <c r="Q2704" s="14"/>
      <c r="R2704" s="14"/>
    </row>
    <row r="2705" spans="15:18" x14ac:dyDescent="0.3">
      <c r="O2705" s="14"/>
      <c r="P2705" s="14"/>
      <c r="Q2705" s="14"/>
      <c r="R2705" s="14"/>
    </row>
    <row r="2706" spans="15:18" x14ac:dyDescent="0.3">
      <c r="O2706" s="14"/>
      <c r="P2706" s="14"/>
      <c r="Q2706" s="14"/>
      <c r="R2706" s="14"/>
    </row>
    <row r="2707" spans="15:18" x14ac:dyDescent="0.3">
      <c r="O2707" s="14"/>
      <c r="P2707" s="14"/>
      <c r="Q2707" s="14"/>
      <c r="R2707" s="14"/>
    </row>
    <row r="2708" spans="15:18" x14ac:dyDescent="0.3">
      <c r="O2708" s="14"/>
      <c r="P2708" s="14"/>
      <c r="Q2708" s="14"/>
      <c r="R2708" s="14"/>
    </row>
    <row r="2709" spans="15:18" x14ac:dyDescent="0.3">
      <c r="O2709" s="14"/>
      <c r="P2709" s="14"/>
      <c r="Q2709" s="14"/>
      <c r="R2709" s="14"/>
    </row>
    <row r="2710" spans="15:18" x14ac:dyDescent="0.3">
      <c r="O2710" s="14"/>
      <c r="P2710" s="14"/>
      <c r="Q2710" s="14"/>
      <c r="R2710" s="14"/>
    </row>
    <row r="2711" spans="15:18" x14ac:dyDescent="0.3">
      <c r="O2711" s="14"/>
      <c r="P2711" s="14"/>
      <c r="Q2711" s="14"/>
      <c r="R2711" s="14"/>
    </row>
    <row r="2712" spans="15:18" x14ac:dyDescent="0.3">
      <c r="O2712" s="14"/>
      <c r="P2712" s="14"/>
      <c r="Q2712" s="14"/>
      <c r="R2712" s="14"/>
    </row>
    <row r="2713" spans="15:18" x14ac:dyDescent="0.3">
      <c r="O2713" s="14"/>
      <c r="P2713" s="14"/>
      <c r="Q2713" s="14"/>
      <c r="R2713" s="14"/>
    </row>
    <row r="2714" spans="15:18" x14ac:dyDescent="0.3">
      <c r="O2714" s="14"/>
      <c r="P2714" s="14"/>
      <c r="Q2714" s="14"/>
      <c r="R2714" s="14"/>
    </row>
    <row r="2715" spans="15:18" x14ac:dyDescent="0.3">
      <c r="O2715" s="14"/>
      <c r="P2715" s="14"/>
      <c r="Q2715" s="14"/>
      <c r="R2715" s="14"/>
    </row>
    <row r="2716" spans="15:18" x14ac:dyDescent="0.3">
      <c r="O2716" s="14"/>
      <c r="P2716" s="14"/>
      <c r="Q2716" s="14"/>
      <c r="R2716" s="14"/>
    </row>
    <row r="2717" spans="15:18" x14ac:dyDescent="0.3">
      <c r="O2717" s="14"/>
      <c r="P2717" s="14"/>
      <c r="Q2717" s="14"/>
      <c r="R2717" s="14"/>
    </row>
    <row r="2718" spans="15:18" x14ac:dyDescent="0.3">
      <c r="O2718" s="14"/>
      <c r="P2718" s="14"/>
      <c r="Q2718" s="14"/>
      <c r="R2718" s="14"/>
    </row>
    <row r="2719" spans="15:18" x14ac:dyDescent="0.3">
      <c r="O2719" s="14"/>
      <c r="P2719" s="14"/>
      <c r="Q2719" s="14"/>
      <c r="R2719" s="14"/>
    </row>
    <row r="2720" spans="15:18" x14ac:dyDescent="0.3">
      <c r="O2720" s="14"/>
      <c r="P2720" s="14"/>
      <c r="Q2720" s="14"/>
      <c r="R2720" s="14"/>
    </row>
    <row r="2721" spans="15:18" x14ac:dyDescent="0.3">
      <c r="O2721" s="14"/>
      <c r="P2721" s="14"/>
      <c r="Q2721" s="14"/>
      <c r="R2721" s="14"/>
    </row>
    <row r="2722" spans="15:18" x14ac:dyDescent="0.3">
      <c r="O2722" s="14"/>
      <c r="P2722" s="14"/>
      <c r="Q2722" s="14"/>
      <c r="R2722" s="14"/>
    </row>
    <row r="2723" spans="15:18" x14ac:dyDescent="0.3">
      <c r="O2723" s="14"/>
      <c r="P2723" s="14"/>
      <c r="Q2723" s="14"/>
      <c r="R2723" s="14"/>
    </row>
    <row r="2724" spans="15:18" x14ac:dyDescent="0.3">
      <c r="O2724" s="14"/>
      <c r="P2724" s="14"/>
      <c r="Q2724" s="14"/>
      <c r="R2724" s="14"/>
    </row>
    <row r="2725" spans="15:18" x14ac:dyDescent="0.3">
      <c r="O2725" s="14"/>
      <c r="P2725" s="14"/>
      <c r="Q2725" s="14"/>
      <c r="R2725" s="14"/>
    </row>
    <row r="2726" spans="15:18" x14ac:dyDescent="0.3">
      <c r="O2726" s="14"/>
      <c r="P2726" s="14"/>
      <c r="Q2726" s="14"/>
      <c r="R2726" s="14"/>
    </row>
    <row r="2727" spans="15:18" x14ac:dyDescent="0.3">
      <c r="O2727" s="14"/>
      <c r="P2727" s="14"/>
      <c r="Q2727" s="14"/>
      <c r="R2727" s="14"/>
    </row>
    <row r="2728" spans="15:18" x14ac:dyDescent="0.3">
      <c r="O2728" s="14"/>
      <c r="P2728" s="14"/>
      <c r="Q2728" s="14"/>
      <c r="R2728" s="14"/>
    </row>
    <row r="2729" spans="15:18" x14ac:dyDescent="0.3">
      <c r="O2729" s="14"/>
      <c r="P2729" s="14"/>
      <c r="Q2729" s="14"/>
      <c r="R2729" s="14"/>
    </row>
    <row r="2730" spans="15:18" x14ac:dyDescent="0.3">
      <c r="O2730" s="14"/>
      <c r="P2730" s="14"/>
      <c r="Q2730" s="14"/>
      <c r="R2730" s="14"/>
    </row>
    <row r="2731" spans="15:18" x14ac:dyDescent="0.3">
      <c r="O2731" s="14"/>
      <c r="P2731" s="14"/>
      <c r="Q2731" s="14"/>
      <c r="R2731" s="14"/>
    </row>
    <row r="2732" spans="15:18" x14ac:dyDescent="0.3">
      <c r="O2732" s="14"/>
      <c r="P2732" s="14"/>
      <c r="Q2732" s="14"/>
      <c r="R2732" s="14"/>
    </row>
    <row r="2733" spans="15:18" x14ac:dyDescent="0.3">
      <c r="O2733" s="14"/>
      <c r="P2733" s="14"/>
      <c r="Q2733" s="14"/>
      <c r="R2733" s="14"/>
    </row>
    <row r="2734" spans="15:18" x14ac:dyDescent="0.3">
      <c r="O2734" s="14"/>
      <c r="P2734" s="14"/>
      <c r="Q2734" s="14"/>
      <c r="R2734" s="14"/>
    </row>
    <row r="2735" spans="15:18" x14ac:dyDescent="0.3">
      <c r="O2735" s="14"/>
      <c r="P2735" s="14"/>
      <c r="Q2735" s="14"/>
      <c r="R2735" s="14"/>
    </row>
    <row r="2736" spans="15:18" x14ac:dyDescent="0.3">
      <c r="O2736" s="14"/>
      <c r="P2736" s="14"/>
      <c r="Q2736" s="14"/>
      <c r="R2736" s="14"/>
    </row>
    <row r="2737" spans="15:18" x14ac:dyDescent="0.3">
      <c r="O2737" s="14"/>
      <c r="P2737" s="14"/>
      <c r="Q2737" s="14"/>
      <c r="R2737" s="14"/>
    </row>
    <row r="2738" spans="15:18" x14ac:dyDescent="0.3">
      <c r="O2738" s="14"/>
      <c r="P2738" s="14"/>
      <c r="Q2738" s="14"/>
      <c r="R2738" s="14"/>
    </row>
    <row r="2739" spans="15:18" x14ac:dyDescent="0.3">
      <c r="O2739" s="14"/>
      <c r="P2739" s="14"/>
      <c r="Q2739" s="14"/>
      <c r="R2739" s="14"/>
    </row>
    <row r="2740" spans="15:18" x14ac:dyDescent="0.3">
      <c r="O2740" s="14"/>
      <c r="P2740" s="14"/>
      <c r="Q2740" s="14"/>
      <c r="R2740" s="14"/>
    </row>
    <row r="2741" spans="15:18" x14ac:dyDescent="0.3">
      <c r="O2741" s="14"/>
      <c r="P2741" s="14"/>
      <c r="Q2741" s="14"/>
      <c r="R2741" s="14"/>
    </row>
    <row r="2742" spans="15:18" x14ac:dyDescent="0.3">
      <c r="O2742" s="14"/>
      <c r="P2742" s="14"/>
      <c r="Q2742" s="14"/>
      <c r="R2742" s="14"/>
    </row>
    <row r="2743" spans="15:18" x14ac:dyDescent="0.3">
      <c r="O2743" s="14"/>
      <c r="P2743" s="14"/>
      <c r="Q2743" s="14"/>
      <c r="R2743" s="14"/>
    </row>
    <row r="2744" spans="15:18" x14ac:dyDescent="0.3">
      <c r="O2744" s="14"/>
      <c r="P2744" s="14"/>
      <c r="Q2744" s="14"/>
      <c r="R2744" s="14"/>
    </row>
    <row r="2745" spans="15:18" x14ac:dyDescent="0.3">
      <c r="O2745" s="14"/>
      <c r="P2745" s="14"/>
      <c r="Q2745" s="14"/>
      <c r="R2745" s="14"/>
    </row>
    <row r="2746" spans="15:18" x14ac:dyDescent="0.3">
      <c r="O2746" s="14"/>
      <c r="P2746" s="14"/>
      <c r="Q2746" s="14"/>
      <c r="R2746" s="14"/>
    </row>
    <row r="2747" spans="15:18" x14ac:dyDescent="0.3">
      <c r="O2747" s="14"/>
      <c r="P2747" s="14"/>
      <c r="Q2747" s="14"/>
      <c r="R2747" s="14"/>
    </row>
    <row r="2748" spans="15:18" x14ac:dyDescent="0.3">
      <c r="O2748" s="14"/>
      <c r="P2748" s="14"/>
      <c r="Q2748" s="14"/>
      <c r="R2748" s="14"/>
    </row>
    <row r="2749" spans="15:18" x14ac:dyDescent="0.3">
      <c r="O2749" s="14"/>
      <c r="P2749" s="14"/>
      <c r="Q2749" s="14"/>
      <c r="R2749" s="14"/>
    </row>
    <row r="2750" spans="15:18" x14ac:dyDescent="0.3">
      <c r="O2750" s="14"/>
      <c r="P2750" s="14"/>
      <c r="Q2750" s="14"/>
      <c r="R2750" s="14"/>
    </row>
    <row r="2751" spans="15:18" x14ac:dyDescent="0.3">
      <c r="O2751" s="14"/>
      <c r="P2751" s="14"/>
      <c r="Q2751" s="14"/>
      <c r="R2751" s="14"/>
    </row>
    <row r="2752" spans="15:18" x14ac:dyDescent="0.3">
      <c r="O2752" s="14"/>
      <c r="P2752" s="14"/>
      <c r="Q2752" s="14"/>
      <c r="R2752" s="14"/>
    </row>
    <row r="2753" spans="15:18" x14ac:dyDescent="0.3">
      <c r="O2753" s="14"/>
      <c r="P2753" s="14"/>
      <c r="Q2753" s="14"/>
      <c r="R2753" s="14"/>
    </row>
    <row r="2754" spans="15:18" x14ac:dyDescent="0.3">
      <c r="O2754" s="14"/>
      <c r="P2754" s="14"/>
      <c r="Q2754" s="14"/>
      <c r="R2754" s="14"/>
    </row>
    <row r="2755" spans="15:18" x14ac:dyDescent="0.3">
      <c r="O2755" s="14"/>
      <c r="P2755" s="14"/>
      <c r="Q2755" s="14"/>
      <c r="R2755" s="14"/>
    </row>
    <row r="2756" spans="15:18" x14ac:dyDescent="0.3">
      <c r="O2756" s="14"/>
      <c r="P2756" s="14"/>
      <c r="Q2756" s="14"/>
      <c r="R2756" s="14"/>
    </row>
    <row r="2757" spans="15:18" x14ac:dyDescent="0.3">
      <c r="O2757" s="14"/>
      <c r="P2757" s="14"/>
      <c r="Q2757" s="14"/>
      <c r="R2757" s="14"/>
    </row>
    <row r="2758" spans="15:18" x14ac:dyDescent="0.3">
      <c r="O2758" s="14"/>
      <c r="P2758" s="14"/>
      <c r="Q2758" s="14"/>
      <c r="R2758" s="14"/>
    </row>
    <row r="2759" spans="15:18" x14ac:dyDescent="0.3">
      <c r="O2759" s="14"/>
      <c r="P2759" s="14"/>
      <c r="Q2759" s="14"/>
      <c r="R2759" s="14"/>
    </row>
    <row r="2760" spans="15:18" x14ac:dyDescent="0.3">
      <c r="O2760" s="14"/>
      <c r="P2760" s="14"/>
      <c r="Q2760" s="14"/>
      <c r="R2760" s="14"/>
    </row>
    <row r="2761" spans="15:18" x14ac:dyDescent="0.3">
      <c r="O2761" s="14"/>
      <c r="P2761" s="14"/>
      <c r="Q2761" s="14"/>
      <c r="R2761" s="14"/>
    </row>
    <row r="2762" spans="15:18" x14ac:dyDescent="0.3">
      <c r="O2762" s="14"/>
      <c r="P2762" s="14"/>
      <c r="Q2762" s="14"/>
      <c r="R2762" s="14"/>
    </row>
    <row r="2763" spans="15:18" x14ac:dyDescent="0.3">
      <c r="O2763" s="14"/>
      <c r="P2763" s="14"/>
      <c r="Q2763" s="14"/>
      <c r="R2763" s="14"/>
    </row>
    <row r="2764" spans="15:18" x14ac:dyDescent="0.3">
      <c r="O2764" s="14"/>
      <c r="P2764" s="14"/>
      <c r="Q2764" s="14"/>
      <c r="R2764" s="14"/>
    </row>
    <row r="2765" spans="15:18" x14ac:dyDescent="0.3">
      <c r="O2765" s="14"/>
      <c r="P2765" s="14"/>
      <c r="Q2765" s="14"/>
      <c r="R2765" s="14"/>
    </row>
    <row r="2766" spans="15:18" x14ac:dyDescent="0.3">
      <c r="O2766" s="14"/>
      <c r="P2766" s="14"/>
      <c r="Q2766" s="14"/>
      <c r="R2766" s="14"/>
    </row>
    <row r="2767" spans="15:18" x14ac:dyDescent="0.3">
      <c r="O2767" s="14"/>
      <c r="P2767" s="14"/>
      <c r="Q2767" s="14"/>
      <c r="R2767" s="14"/>
    </row>
    <row r="2768" spans="15:18" x14ac:dyDescent="0.3">
      <c r="O2768" s="14"/>
      <c r="P2768" s="14"/>
      <c r="Q2768" s="14"/>
      <c r="R2768" s="14"/>
    </row>
    <row r="2769" spans="15:18" x14ac:dyDescent="0.3">
      <c r="O2769" s="14"/>
      <c r="P2769" s="14"/>
      <c r="Q2769" s="14"/>
      <c r="R2769" s="14"/>
    </row>
    <row r="2770" spans="15:18" x14ac:dyDescent="0.3">
      <c r="O2770" s="14"/>
      <c r="P2770" s="14"/>
      <c r="Q2770" s="14"/>
      <c r="R2770" s="14"/>
    </row>
    <row r="2771" spans="15:18" x14ac:dyDescent="0.3">
      <c r="O2771" s="14"/>
      <c r="P2771" s="14"/>
      <c r="Q2771" s="14"/>
      <c r="R2771" s="14"/>
    </row>
    <row r="2772" spans="15:18" x14ac:dyDescent="0.3">
      <c r="O2772" s="14"/>
      <c r="P2772" s="14"/>
      <c r="Q2772" s="14"/>
      <c r="R2772" s="14"/>
    </row>
    <row r="2773" spans="15:18" x14ac:dyDescent="0.3">
      <c r="O2773" s="14"/>
      <c r="P2773" s="14"/>
      <c r="Q2773" s="14"/>
      <c r="R2773" s="14"/>
    </row>
    <row r="2774" spans="15:18" x14ac:dyDescent="0.3">
      <c r="O2774" s="14"/>
      <c r="P2774" s="14"/>
      <c r="Q2774" s="14"/>
      <c r="R2774" s="14"/>
    </row>
    <row r="2775" spans="15:18" x14ac:dyDescent="0.3">
      <c r="O2775" s="14"/>
      <c r="P2775" s="14"/>
      <c r="Q2775" s="14"/>
      <c r="R2775" s="14"/>
    </row>
    <row r="2776" spans="15:18" x14ac:dyDescent="0.3">
      <c r="O2776" s="14"/>
      <c r="P2776" s="14"/>
      <c r="Q2776" s="14"/>
      <c r="R2776" s="14"/>
    </row>
    <row r="2777" spans="15:18" x14ac:dyDescent="0.3">
      <c r="O2777" s="14"/>
      <c r="P2777" s="14"/>
      <c r="Q2777" s="14"/>
      <c r="R2777" s="14"/>
    </row>
    <row r="2778" spans="15:18" x14ac:dyDescent="0.3">
      <c r="O2778" s="14"/>
      <c r="P2778" s="14"/>
      <c r="Q2778" s="14"/>
      <c r="R2778" s="14"/>
    </row>
    <row r="2779" spans="15:18" x14ac:dyDescent="0.3">
      <c r="O2779" s="14"/>
      <c r="P2779" s="14"/>
      <c r="Q2779" s="14"/>
      <c r="R2779" s="14"/>
    </row>
    <row r="2780" spans="15:18" x14ac:dyDescent="0.3">
      <c r="O2780" s="14"/>
      <c r="P2780" s="14"/>
      <c r="Q2780" s="14"/>
      <c r="R2780" s="14"/>
    </row>
    <row r="2781" spans="15:18" x14ac:dyDescent="0.3">
      <c r="O2781" s="14"/>
      <c r="P2781" s="14"/>
      <c r="Q2781" s="14"/>
      <c r="R2781" s="14"/>
    </row>
    <row r="2782" spans="15:18" x14ac:dyDescent="0.3">
      <c r="O2782" s="14"/>
      <c r="P2782" s="14"/>
      <c r="Q2782" s="14"/>
      <c r="R2782" s="14"/>
    </row>
    <row r="2783" spans="15:18" x14ac:dyDescent="0.3">
      <c r="O2783" s="14"/>
      <c r="P2783" s="14"/>
      <c r="Q2783" s="14"/>
      <c r="R2783" s="14"/>
    </row>
    <row r="2784" spans="15:18" x14ac:dyDescent="0.3">
      <c r="O2784" s="14"/>
      <c r="P2784" s="14"/>
      <c r="Q2784" s="14"/>
      <c r="R2784" s="14"/>
    </row>
    <row r="2785" spans="15:18" x14ac:dyDescent="0.3">
      <c r="O2785" s="14"/>
      <c r="P2785" s="14"/>
      <c r="Q2785" s="14"/>
      <c r="R2785" s="14"/>
    </row>
    <row r="2786" spans="15:18" x14ac:dyDescent="0.3">
      <c r="O2786" s="14"/>
      <c r="P2786" s="14"/>
      <c r="Q2786" s="14"/>
      <c r="R2786" s="14"/>
    </row>
    <row r="2787" spans="15:18" x14ac:dyDescent="0.3">
      <c r="O2787" s="14"/>
      <c r="P2787" s="14"/>
      <c r="Q2787" s="14"/>
      <c r="R2787" s="14"/>
    </row>
    <row r="2788" spans="15:18" x14ac:dyDescent="0.3">
      <c r="O2788" s="14"/>
      <c r="P2788" s="14"/>
      <c r="Q2788" s="14"/>
      <c r="R2788" s="14"/>
    </row>
    <row r="2789" spans="15:18" x14ac:dyDescent="0.3">
      <c r="O2789" s="14"/>
      <c r="P2789" s="14"/>
      <c r="Q2789" s="14"/>
      <c r="R2789" s="14"/>
    </row>
    <row r="2790" spans="15:18" x14ac:dyDescent="0.3">
      <c r="O2790" s="14"/>
      <c r="P2790" s="14"/>
      <c r="Q2790" s="14"/>
      <c r="R2790" s="14"/>
    </row>
    <row r="2791" spans="15:18" x14ac:dyDescent="0.3">
      <c r="O2791" s="14"/>
      <c r="P2791" s="14"/>
      <c r="Q2791" s="14"/>
      <c r="R2791" s="14"/>
    </row>
    <row r="2792" spans="15:18" x14ac:dyDescent="0.3">
      <c r="O2792" s="14"/>
      <c r="P2792" s="14"/>
      <c r="Q2792" s="14"/>
      <c r="R2792" s="14"/>
    </row>
    <row r="2793" spans="15:18" x14ac:dyDescent="0.3">
      <c r="O2793" s="14"/>
      <c r="P2793" s="14"/>
      <c r="Q2793" s="14"/>
      <c r="R2793" s="14"/>
    </row>
    <row r="2794" spans="15:18" x14ac:dyDescent="0.3">
      <c r="O2794" s="14"/>
      <c r="P2794" s="14"/>
      <c r="Q2794" s="14"/>
      <c r="R2794" s="14"/>
    </row>
    <row r="2795" spans="15:18" x14ac:dyDescent="0.3">
      <c r="O2795" s="14"/>
      <c r="P2795" s="14"/>
      <c r="Q2795" s="14"/>
      <c r="R2795" s="14"/>
    </row>
    <row r="2796" spans="15:18" x14ac:dyDescent="0.3">
      <c r="O2796" s="14"/>
      <c r="P2796" s="14"/>
      <c r="Q2796" s="14"/>
      <c r="R2796" s="14"/>
    </row>
    <row r="2797" spans="15:18" x14ac:dyDescent="0.3">
      <c r="O2797" s="14"/>
      <c r="P2797" s="14"/>
      <c r="Q2797" s="14"/>
      <c r="R2797" s="14"/>
    </row>
    <row r="2798" spans="15:18" x14ac:dyDescent="0.3">
      <c r="O2798" s="14"/>
      <c r="P2798" s="14"/>
      <c r="Q2798" s="14"/>
      <c r="R2798" s="14"/>
    </row>
    <row r="2799" spans="15:18" x14ac:dyDescent="0.3">
      <c r="O2799" s="14"/>
      <c r="P2799" s="14"/>
      <c r="Q2799" s="14"/>
      <c r="R2799" s="14"/>
    </row>
    <row r="2800" spans="15:18" x14ac:dyDescent="0.3">
      <c r="O2800" s="14"/>
      <c r="P2800" s="14"/>
      <c r="Q2800" s="14"/>
      <c r="R2800" s="14"/>
    </row>
    <row r="2801" spans="15:18" x14ac:dyDescent="0.3">
      <c r="O2801" s="14"/>
      <c r="P2801" s="14"/>
      <c r="Q2801" s="14"/>
      <c r="R2801" s="14"/>
    </row>
    <row r="2802" spans="15:18" x14ac:dyDescent="0.3">
      <c r="O2802" s="14"/>
      <c r="P2802" s="14"/>
      <c r="Q2802" s="14"/>
      <c r="R2802" s="14"/>
    </row>
    <row r="2803" spans="15:18" x14ac:dyDescent="0.3">
      <c r="O2803" s="14"/>
      <c r="P2803" s="14"/>
      <c r="Q2803" s="14"/>
      <c r="R2803" s="14"/>
    </row>
    <row r="2804" spans="15:18" x14ac:dyDescent="0.3">
      <c r="O2804" s="14"/>
      <c r="P2804" s="14"/>
      <c r="Q2804" s="14"/>
      <c r="R2804" s="14"/>
    </row>
    <row r="2805" spans="15:18" x14ac:dyDescent="0.3">
      <c r="O2805" s="14"/>
      <c r="P2805" s="14"/>
      <c r="Q2805" s="14"/>
      <c r="R2805" s="14"/>
    </row>
    <row r="2806" spans="15:18" x14ac:dyDescent="0.3">
      <c r="O2806" s="14"/>
      <c r="P2806" s="14"/>
      <c r="Q2806" s="14"/>
      <c r="R2806" s="14"/>
    </row>
    <row r="2807" spans="15:18" x14ac:dyDescent="0.3">
      <c r="O2807" s="14"/>
      <c r="P2807" s="14"/>
      <c r="Q2807" s="14"/>
      <c r="R2807" s="14"/>
    </row>
    <row r="2808" spans="15:18" x14ac:dyDescent="0.3">
      <c r="O2808" s="14"/>
      <c r="P2808" s="14"/>
      <c r="Q2808" s="14"/>
      <c r="R2808" s="14"/>
    </row>
    <row r="2809" spans="15:18" x14ac:dyDescent="0.3">
      <c r="O2809" s="14"/>
      <c r="P2809" s="14"/>
      <c r="Q2809" s="14"/>
      <c r="R2809" s="14"/>
    </row>
    <row r="2810" spans="15:18" x14ac:dyDescent="0.3">
      <c r="O2810" s="14"/>
      <c r="P2810" s="14"/>
      <c r="Q2810" s="14"/>
      <c r="R2810" s="14"/>
    </row>
    <row r="2811" spans="15:18" x14ac:dyDescent="0.3">
      <c r="O2811" s="14"/>
      <c r="P2811" s="14"/>
      <c r="Q2811" s="14"/>
      <c r="R2811" s="14"/>
    </row>
    <row r="2812" spans="15:18" x14ac:dyDescent="0.3">
      <c r="O2812" s="14"/>
      <c r="P2812" s="14"/>
      <c r="Q2812" s="14"/>
      <c r="R2812" s="14"/>
    </row>
    <row r="2813" spans="15:18" x14ac:dyDescent="0.3">
      <c r="O2813" s="14"/>
      <c r="P2813" s="14"/>
      <c r="Q2813" s="14"/>
      <c r="R2813" s="14"/>
    </row>
    <row r="2814" spans="15:18" x14ac:dyDescent="0.3">
      <c r="O2814" s="14"/>
      <c r="P2814" s="14"/>
      <c r="Q2814" s="14"/>
      <c r="R2814" s="14"/>
    </row>
    <row r="2815" spans="15:18" x14ac:dyDescent="0.3">
      <c r="O2815" s="14"/>
      <c r="P2815" s="14"/>
      <c r="Q2815" s="14"/>
      <c r="R2815" s="14"/>
    </row>
    <row r="2816" spans="15:18" x14ac:dyDescent="0.3">
      <c r="O2816" s="14"/>
      <c r="P2816" s="14"/>
      <c r="Q2816" s="14"/>
      <c r="R2816" s="14"/>
    </row>
    <row r="2817" spans="15:18" x14ac:dyDescent="0.3">
      <c r="O2817" s="14"/>
      <c r="P2817" s="14"/>
      <c r="Q2817" s="14"/>
      <c r="R2817" s="14"/>
    </row>
    <row r="2818" spans="15:18" x14ac:dyDescent="0.3">
      <c r="O2818" s="14"/>
      <c r="P2818" s="14"/>
      <c r="Q2818" s="14"/>
      <c r="R2818" s="14"/>
    </row>
    <row r="2819" spans="15:18" x14ac:dyDescent="0.3">
      <c r="O2819" s="14"/>
      <c r="P2819" s="14"/>
      <c r="Q2819" s="14"/>
      <c r="R2819" s="14"/>
    </row>
    <row r="2820" spans="15:18" x14ac:dyDescent="0.3">
      <c r="O2820" s="14"/>
      <c r="P2820" s="14"/>
      <c r="Q2820" s="14"/>
      <c r="R2820" s="14"/>
    </row>
    <row r="2821" spans="15:18" x14ac:dyDescent="0.3">
      <c r="O2821" s="14"/>
      <c r="P2821" s="14"/>
      <c r="Q2821" s="14"/>
      <c r="R2821" s="14"/>
    </row>
    <row r="2822" spans="15:18" x14ac:dyDescent="0.3">
      <c r="O2822" s="14"/>
      <c r="P2822" s="14"/>
      <c r="Q2822" s="14"/>
      <c r="R2822" s="14"/>
    </row>
    <row r="2823" spans="15:18" x14ac:dyDescent="0.3">
      <c r="O2823" s="14"/>
      <c r="P2823" s="14"/>
      <c r="Q2823" s="14"/>
      <c r="R2823" s="14"/>
    </row>
    <row r="2824" spans="15:18" x14ac:dyDescent="0.3">
      <c r="O2824" s="14"/>
      <c r="P2824" s="14"/>
      <c r="Q2824" s="14"/>
      <c r="R2824" s="14"/>
    </row>
    <row r="2825" spans="15:18" x14ac:dyDescent="0.3">
      <c r="O2825" s="14"/>
      <c r="P2825" s="14"/>
      <c r="Q2825" s="14"/>
      <c r="R2825" s="14"/>
    </row>
    <row r="2826" spans="15:18" x14ac:dyDescent="0.3">
      <c r="O2826" s="14"/>
      <c r="P2826" s="14"/>
      <c r="Q2826" s="14"/>
      <c r="R2826" s="14"/>
    </row>
    <row r="2827" spans="15:18" x14ac:dyDescent="0.3">
      <c r="O2827" s="14"/>
      <c r="P2827" s="14"/>
      <c r="Q2827" s="14"/>
      <c r="R2827" s="14"/>
    </row>
    <row r="2828" spans="15:18" x14ac:dyDescent="0.3">
      <c r="O2828" s="14"/>
      <c r="P2828" s="14"/>
      <c r="Q2828" s="14"/>
      <c r="R2828" s="14"/>
    </row>
    <row r="2829" spans="15:18" x14ac:dyDescent="0.3">
      <c r="O2829" s="14"/>
      <c r="P2829" s="14"/>
      <c r="Q2829" s="14"/>
      <c r="R2829" s="14"/>
    </row>
    <row r="2830" spans="15:18" x14ac:dyDescent="0.3">
      <c r="O2830" s="14"/>
      <c r="P2830" s="14"/>
      <c r="Q2830" s="14"/>
      <c r="R2830" s="14"/>
    </row>
    <row r="2831" spans="15:18" x14ac:dyDescent="0.3">
      <c r="O2831" s="14"/>
      <c r="P2831" s="14"/>
      <c r="Q2831" s="14"/>
      <c r="R2831" s="14"/>
    </row>
    <row r="2832" spans="15:18" x14ac:dyDescent="0.3">
      <c r="O2832" s="14"/>
      <c r="P2832" s="14"/>
      <c r="Q2832" s="14"/>
      <c r="R2832" s="14"/>
    </row>
    <row r="2833" spans="15:18" x14ac:dyDescent="0.3">
      <c r="O2833" s="14"/>
      <c r="P2833" s="14"/>
      <c r="Q2833" s="14"/>
      <c r="R2833" s="14"/>
    </row>
    <row r="2834" spans="15:18" x14ac:dyDescent="0.3">
      <c r="O2834" s="14"/>
      <c r="P2834" s="14"/>
      <c r="Q2834" s="14"/>
      <c r="R2834" s="14"/>
    </row>
    <row r="2835" spans="15:18" x14ac:dyDescent="0.3">
      <c r="O2835" s="14"/>
      <c r="P2835" s="14"/>
      <c r="Q2835" s="14"/>
      <c r="R2835" s="14"/>
    </row>
    <row r="2836" spans="15:18" x14ac:dyDescent="0.3">
      <c r="O2836" s="14"/>
      <c r="P2836" s="14"/>
      <c r="Q2836" s="14"/>
      <c r="R2836" s="14"/>
    </row>
    <row r="2837" spans="15:18" x14ac:dyDescent="0.3">
      <c r="O2837" s="14"/>
      <c r="P2837" s="14"/>
      <c r="Q2837" s="14"/>
      <c r="R2837" s="14"/>
    </row>
    <row r="2838" spans="15:18" x14ac:dyDescent="0.3">
      <c r="O2838" s="14"/>
      <c r="P2838" s="14"/>
      <c r="Q2838" s="14"/>
      <c r="R2838" s="14"/>
    </row>
    <row r="2839" spans="15:18" x14ac:dyDescent="0.3">
      <c r="O2839" s="14"/>
      <c r="P2839" s="14"/>
      <c r="Q2839" s="14"/>
      <c r="R2839" s="14"/>
    </row>
    <row r="2840" spans="15:18" x14ac:dyDescent="0.3">
      <c r="O2840" s="14"/>
      <c r="P2840" s="14"/>
      <c r="Q2840" s="14"/>
      <c r="R2840" s="14"/>
    </row>
    <row r="2841" spans="15:18" x14ac:dyDescent="0.3">
      <c r="O2841" s="14"/>
      <c r="P2841" s="14"/>
      <c r="Q2841" s="14"/>
      <c r="R2841" s="14"/>
    </row>
    <row r="2842" spans="15:18" x14ac:dyDescent="0.3">
      <c r="O2842" s="14"/>
      <c r="P2842" s="14"/>
      <c r="Q2842" s="14"/>
      <c r="R2842" s="14"/>
    </row>
    <row r="2843" spans="15:18" x14ac:dyDescent="0.3">
      <c r="O2843" s="14"/>
      <c r="P2843" s="14"/>
      <c r="Q2843" s="14"/>
      <c r="R2843" s="14"/>
    </row>
    <row r="2844" spans="15:18" x14ac:dyDescent="0.3">
      <c r="O2844" s="14"/>
      <c r="P2844" s="14"/>
      <c r="Q2844" s="14"/>
      <c r="R2844" s="14"/>
    </row>
    <row r="2845" spans="15:18" x14ac:dyDescent="0.3">
      <c r="O2845" s="14"/>
      <c r="P2845" s="14"/>
      <c r="Q2845" s="14"/>
      <c r="R2845" s="14"/>
    </row>
    <row r="2846" spans="15:18" x14ac:dyDescent="0.3">
      <c r="O2846" s="14"/>
      <c r="P2846" s="14"/>
      <c r="Q2846" s="14"/>
      <c r="R2846" s="14"/>
    </row>
    <row r="2847" spans="15:18" x14ac:dyDescent="0.3">
      <c r="O2847" s="14"/>
      <c r="P2847" s="14"/>
      <c r="Q2847" s="14"/>
      <c r="R2847" s="14"/>
    </row>
    <row r="2848" spans="15:18" x14ac:dyDescent="0.3">
      <c r="O2848" s="14"/>
      <c r="P2848" s="14"/>
      <c r="Q2848" s="14"/>
      <c r="R2848" s="14"/>
    </row>
    <row r="2849" spans="15:18" x14ac:dyDescent="0.3">
      <c r="O2849" s="14"/>
      <c r="P2849" s="14"/>
      <c r="Q2849" s="14"/>
      <c r="R2849" s="14"/>
    </row>
    <row r="2850" spans="15:18" x14ac:dyDescent="0.3">
      <c r="O2850" s="14"/>
      <c r="P2850" s="14"/>
      <c r="Q2850" s="14"/>
      <c r="R2850" s="14"/>
    </row>
    <row r="2851" spans="15:18" x14ac:dyDescent="0.3">
      <c r="O2851" s="14"/>
      <c r="P2851" s="14"/>
      <c r="Q2851" s="14"/>
      <c r="R2851" s="14"/>
    </row>
    <row r="2852" spans="15:18" x14ac:dyDescent="0.3">
      <c r="O2852" s="14"/>
      <c r="P2852" s="14"/>
      <c r="Q2852" s="14"/>
      <c r="R2852" s="14"/>
    </row>
    <row r="2853" spans="15:18" x14ac:dyDescent="0.3">
      <c r="O2853" s="14"/>
      <c r="P2853" s="14"/>
      <c r="Q2853" s="14"/>
      <c r="R2853" s="14"/>
    </row>
    <row r="2854" spans="15:18" x14ac:dyDescent="0.3">
      <c r="O2854" s="14"/>
      <c r="P2854" s="14"/>
      <c r="Q2854" s="14"/>
      <c r="R2854" s="14"/>
    </row>
    <row r="2855" spans="15:18" x14ac:dyDescent="0.3">
      <c r="O2855" s="14"/>
      <c r="P2855" s="14"/>
      <c r="Q2855" s="14"/>
      <c r="R2855" s="14"/>
    </row>
    <row r="2856" spans="15:18" x14ac:dyDescent="0.3">
      <c r="O2856" s="14"/>
      <c r="P2856" s="14"/>
      <c r="Q2856" s="14"/>
      <c r="R2856" s="14"/>
    </row>
    <row r="2857" spans="15:18" x14ac:dyDescent="0.3">
      <c r="O2857" s="14"/>
      <c r="P2857" s="14"/>
      <c r="Q2857" s="14"/>
      <c r="R2857" s="14"/>
    </row>
    <row r="2858" spans="15:18" x14ac:dyDescent="0.3">
      <c r="O2858" s="14"/>
      <c r="P2858" s="14"/>
      <c r="Q2858" s="14"/>
      <c r="R2858" s="14"/>
    </row>
    <row r="2859" spans="15:18" x14ac:dyDescent="0.3">
      <c r="O2859" s="14"/>
      <c r="P2859" s="14"/>
      <c r="Q2859" s="14"/>
      <c r="R2859" s="14"/>
    </row>
    <row r="2860" spans="15:18" x14ac:dyDescent="0.3">
      <c r="O2860" s="14"/>
      <c r="P2860" s="14"/>
      <c r="Q2860" s="14"/>
      <c r="R2860" s="14"/>
    </row>
    <row r="2861" spans="15:18" x14ac:dyDescent="0.3">
      <c r="O2861" s="14"/>
      <c r="P2861" s="14"/>
      <c r="Q2861" s="14"/>
      <c r="R2861" s="14"/>
    </row>
    <row r="2862" spans="15:18" x14ac:dyDescent="0.3">
      <c r="O2862" s="14"/>
      <c r="P2862" s="14"/>
      <c r="Q2862" s="14"/>
      <c r="R2862" s="14"/>
    </row>
    <row r="2863" spans="15:18" x14ac:dyDescent="0.3">
      <c r="O2863" s="14"/>
      <c r="P2863" s="14"/>
      <c r="Q2863" s="14"/>
      <c r="R2863" s="14"/>
    </row>
    <row r="2864" spans="15:18" x14ac:dyDescent="0.3">
      <c r="O2864" s="14"/>
      <c r="P2864" s="14"/>
      <c r="Q2864" s="14"/>
      <c r="R2864" s="14"/>
    </row>
    <row r="2865" spans="15:18" x14ac:dyDescent="0.3">
      <c r="O2865" s="14"/>
      <c r="P2865" s="14"/>
      <c r="Q2865" s="14"/>
      <c r="R2865" s="14"/>
    </row>
    <row r="2866" spans="15:18" x14ac:dyDescent="0.3">
      <c r="O2866" s="14"/>
      <c r="P2866" s="14"/>
      <c r="Q2866" s="14"/>
      <c r="R2866" s="14"/>
    </row>
    <row r="2867" spans="15:18" x14ac:dyDescent="0.3">
      <c r="O2867" s="14"/>
      <c r="P2867" s="14"/>
      <c r="Q2867" s="14"/>
      <c r="R2867" s="14"/>
    </row>
    <row r="2868" spans="15:18" x14ac:dyDescent="0.3">
      <c r="O2868" s="14"/>
      <c r="P2868" s="14"/>
      <c r="Q2868" s="14"/>
      <c r="R2868" s="14"/>
    </row>
    <row r="2869" spans="15:18" x14ac:dyDescent="0.3">
      <c r="O2869" s="14"/>
      <c r="P2869" s="14"/>
      <c r="Q2869" s="14"/>
      <c r="R2869" s="14"/>
    </row>
    <row r="2870" spans="15:18" x14ac:dyDescent="0.3">
      <c r="O2870" s="14"/>
      <c r="P2870" s="14"/>
      <c r="Q2870" s="14"/>
      <c r="R2870" s="14"/>
    </row>
    <row r="2871" spans="15:18" x14ac:dyDescent="0.3">
      <c r="O2871" s="14"/>
      <c r="P2871" s="14"/>
      <c r="Q2871" s="14"/>
      <c r="R2871" s="14"/>
    </row>
    <row r="2872" spans="15:18" x14ac:dyDescent="0.3">
      <c r="O2872" s="14"/>
      <c r="P2872" s="14"/>
      <c r="Q2872" s="14"/>
      <c r="R2872" s="14"/>
    </row>
    <row r="2873" spans="15:18" x14ac:dyDescent="0.3">
      <c r="O2873" s="14"/>
      <c r="P2873" s="14"/>
      <c r="Q2873" s="14"/>
      <c r="R2873" s="14"/>
    </row>
    <row r="2874" spans="15:18" x14ac:dyDescent="0.3">
      <c r="O2874" s="14"/>
      <c r="P2874" s="14"/>
      <c r="Q2874" s="14"/>
      <c r="R2874" s="14"/>
    </row>
    <row r="2875" spans="15:18" x14ac:dyDescent="0.3">
      <c r="O2875" s="14"/>
      <c r="P2875" s="14"/>
      <c r="Q2875" s="14"/>
      <c r="R2875" s="14"/>
    </row>
    <row r="2876" spans="15:18" x14ac:dyDescent="0.3">
      <c r="O2876" s="14"/>
      <c r="P2876" s="14"/>
      <c r="Q2876" s="14"/>
      <c r="R2876" s="14"/>
    </row>
    <row r="2877" spans="15:18" x14ac:dyDescent="0.3">
      <c r="O2877" s="14"/>
      <c r="P2877" s="14"/>
      <c r="Q2877" s="14"/>
      <c r="R2877" s="14"/>
    </row>
    <row r="2878" spans="15:18" x14ac:dyDescent="0.3">
      <c r="O2878" s="14"/>
      <c r="P2878" s="14"/>
      <c r="Q2878" s="14"/>
      <c r="R2878" s="14"/>
    </row>
    <row r="2879" spans="15:18" x14ac:dyDescent="0.3">
      <c r="O2879" s="14"/>
      <c r="P2879" s="14"/>
      <c r="Q2879" s="14"/>
      <c r="R2879" s="14"/>
    </row>
    <row r="2880" spans="15:18" x14ac:dyDescent="0.3">
      <c r="O2880" s="14"/>
      <c r="P2880" s="14"/>
      <c r="Q2880" s="14"/>
      <c r="R2880" s="14"/>
    </row>
    <row r="2881" spans="15:18" x14ac:dyDescent="0.3">
      <c r="O2881" s="14"/>
      <c r="P2881" s="14"/>
      <c r="Q2881" s="14"/>
      <c r="R2881" s="14"/>
    </row>
    <row r="2882" spans="15:18" x14ac:dyDescent="0.3">
      <c r="O2882" s="14"/>
      <c r="P2882" s="14"/>
      <c r="Q2882" s="14"/>
      <c r="R2882" s="14"/>
    </row>
    <row r="2883" spans="15:18" x14ac:dyDescent="0.3">
      <c r="O2883" s="14"/>
      <c r="P2883" s="14"/>
      <c r="Q2883" s="14"/>
      <c r="R2883" s="14"/>
    </row>
    <row r="2884" spans="15:18" x14ac:dyDescent="0.3">
      <c r="O2884" s="14"/>
      <c r="P2884" s="14"/>
      <c r="Q2884" s="14"/>
      <c r="R2884" s="14"/>
    </row>
    <row r="2885" spans="15:18" x14ac:dyDescent="0.3">
      <c r="O2885" s="14"/>
      <c r="P2885" s="14"/>
      <c r="Q2885" s="14"/>
      <c r="R2885" s="14"/>
    </row>
    <row r="2886" spans="15:18" x14ac:dyDescent="0.3">
      <c r="O2886" s="14"/>
      <c r="P2886" s="14"/>
      <c r="Q2886" s="14"/>
      <c r="R2886" s="14"/>
    </row>
    <row r="2887" spans="15:18" x14ac:dyDescent="0.3">
      <c r="O2887" s="14"/>
      <c r="P2887" s="14"/>
      <c r="Q2887" s="14"/>
      <c r="R2887" s="14"/>
    </row>
    <row r="2888" spans="15:18" x14ac:dyDescent="0.3">
      <c r="O2888" s="14"/>
      <c r="P2888" s="14"/>
      <c r="Q2888" s="14"/>
      <c r="R2888" s="14"/>
    </row>
    <row r="2889" spans="15:18" x14ac:dyDescent="0.3">
      <c r="O2889" s="14"/>
      <c r="P2889" s="14"/>
      <c r="Q2889" s="14"/>
      <c r="R2889" s="14"/>
    </row>
    <row r="2890" spans="15:18" x14ac:dyDescent="0.3">
      <c r="O2890" s="14"/>
      <c r="P2890" s="14"/>
      <c r="Q2890" s="14"/>
      <c r="R2890" s="14"/>
    </row>
    <row r="2891" spans="15:18" x14ac:dyDescent="0.3">
      <c r="O2891" s="14"/>
      <c r="P2891" s="14"/>
      <c r="Q2891" s="14"/>
      <c r="R2891" s="14"/>
    </row>
    <row r="2892" spans="15:18" x14ac:dyDescent="0.3">
      <c r="O2892" s="14"/>
      <c r="P2892" s="14"/>
      <c r="Q2892" s="14"/>
      <c r="R2892" s="14"/>
    </row>
    <row r="2893" spans="15:18" x14ac:dyDescent="0.3">
      <c r="O2893" s="14"/>
      <c r="P2893" s="14"/>
      <c r="Q2893" s="14"/>
      <c r="R2893" s="14"/>
    </row>
    <row r="2894" spans="15:18" x14ac:dyDescent="0.3">
      <c r="O2894" s="14"/>
      <c r="P2894" s="14"/>
      <c r="Q2894" s="14"/>
      <c r="R2894" s="14"/>
    </row>
    <row r="2895" spans="15:18" x14ac:dyDescent="0.3">
      <c r="O2895" s="14"/>
      <c r="P2895" s="14"/>
      <c r="Q2895" s="14"/>
      <c r="R2895" s="14"/>
    </row>
    <row r="2896" spans="15:18" x14ac:dyDescent="0.3">
      <c r="O2896" s="14"/>
      <c r="P2896" s="14"/>
      <c r="Q2896" s="14"/>
      <c r="R2896" s="14"/>
    </row>
    <row r="2897" spans="15:18" x14ac:dyDescent="0.3">
      <c r="O2897" s="14"/>
      <c r="P2897" s="14"/>
      <c r="Q2897" s="14"/>
      <c r="R2897" s="14"/>
    </row>
    <row r="2898" spans="15:18" x14ac:dyDescent="0.3">
      <c r="O2898" s="14"/>
      <c r="P2898" s="14"/>
      <c r="Q2898" s="14"/>
      <c r="R2898" s="14"/>
    </row>
    <row r="2899" spans="15:18" x14ac:dyDescent="0.3">
      <c r="O2899" s="14"/>
      <c r="P2899" s="14"/>
      <c r="Q2899" s="14"/>
      <c r="R2899" s="14"/>
    </row>
    <row r="2900" spans="15:18" x14ac:dyDescent="0.3">
      <c r="O2900" s="14"/>
      <c r="P2900" s="14"/>
      <c r="Q2900" s="14"/>
      <c r="R2900" s="14"/>
    </row>
    <row r="2901" spans="15:18" x14ac:dyDescent="0.3">
      <c r="O2901" s="14"/>
      <c r="P2901" s="14"/>
      <c r="Q2901" s="14"/>
      <c r="R2901" s="14"/>
    </row>
    <row r="2902" spans="15:18" x14ac:dyDescent="0.3">
      <c r="O2902" s="14"/>
      <c r="P2902" s="14"/>
      <c r="Q2902" s="14"/>
      <c r="R2902" s="14"/>
    </row>
    <row r="2903" spans="15:18" x14ac:dyDescent="0.3">
      <c r="O2903" s="14"/>
      <c r="P2903" s="14"/>
      <c r="Q2903" s="14"/>
      <c r="R2903" s="14"/>
    </row>
    <row r="2904" spans="15:18" x14ac:dyDescent="0.3">
      <c r="O2904" s="14"/>
      <c r="P2904" s="14"/>
      <c r="Q2904" s="14"/>
      <c r="R2904" s="14"/>
    </row>
    <row r="2905" spans="15:18" x14ac:dyDescent="0.3">
      <c r="O2905" s="14"/>
      <c r="P2905" s="14"/>
      <c r="Q2905" s="14"/>
      <c r="R2905" s="14"/>
    </row>
    <row r="2906" spans="15:18" x14ac:dyDescent="0.3">
      <c r="O2906" s="14"/>
      <c r="P2906" s="14"/>
      <c r="Q2906" s="14"/>
      <c r="R2906" s="14"/>
    </row>
    <row r="2907" spans="15:18" x14ac:dyDescent="0.3">
      <c r="O2907" s="14"/>
      <c r="P2907" s="14"/>
      <c r="Q2907" s="14"/>
      <c r="R2907" s="14"/>
    </row>
    <row r="2908" spans="15:18" x14ac:dyDescent="0.3">
      <c r="O2908" s="14"/>
      <c r="P2908" s="14"/>
      <c r="Q2908" s="14"/>
      <c r="R2908" s="14"/>
    </row>
    <row r="2909" spans="15:18" x14ac:dyDescent="0.3">
      <c r="O2909" s="14"/>
      <c r="P2909" s="14"/>
      <c r="Q2909" s="14"/>
      <c r="R2909" s="14"/>
    </row>
    <row r="2910" spans="15:18" x14ac:dyDescent="0.3">
      <c r="O2910" s="14"/>
      <c r="P2910" s="14"/>
      <c r="Q2910" s="14"/>
      <c r="R2910" s="14"/>
    </row>
    <row r="2911" spans="15:18" x14ac:dyDescent="0.3">
      <c r="O2911" s="14"/>
      <c r="P2911" s="14"/>
      <c r="Q2911" s="14"/>
      <c r="R2911" s="14"/>
    </row>
    <row r="2912" spans="15:18" x14ac:dyDescent="0.3">
      <c r="O2912" s="14"/>
      <c r="P2912" s="14"/>
      <c r="Q2912" s="14"/>
      <c r="R2912" s="14"/>
    </row>
    <row r="2913" spans="15:18" x14ac:dyDescent="0.3">
      <c r="O2913" s="14"/>
      <c r="P2913" s="14"/>
      <c r="Q2913" s="14"/>
      <c r="R2913" s="14"/>
    </row>
    <row r="2914" spans="15:18" x14ac:dyDescent="0.3">
      <c r="O2914" s="14"/>
      <c r="P2914" s="14"/>
      <c r="Q2914" s="14"/>
      <c r="R2914" s="14"/>
    </row>
    <row r="2915" spans="15:18" x14ac:dyDescent="0.3">
      <c r="O2915" s="14"/>
      <c r="P2915" s="14"/>
      <c r="Q2915" s="14"/>
      <c r="R2915" s="14"/>
    </row>
    <row r="2916" spans="15:18" x14ac:dyDescent="0.3">
      <c r="O2916" s="14"/>
      <c r="P2916" s="14"/>
      <c r="Q2916" s="14"/>
      <c r="R2916" s="14"/>
    </row>
    <row r="2917" spans="15:18" x14ac:dyDescent="0.3">
      <c r="O2917" s="14"/>
      <c r="P2917" s="14"/>
      <c r="Q2917" s="14"/>
      <c r="R2917" s="14"/>
    </row>
    <row r="2918" spans="15:18" x14ac:dyDescent="0.3">
      <c r="O2918" s="14"/>
      <c r="P2918" s="14"/>
      <c r="Q2918" s="14"/>
      <c r="R2918" s="14"/>
    </row>
    <row r="2919" spans="15:18" x14ac:dyDescent="0.3">
      <c r="O2919" s="14"/>
      <c r="P2919" s="14"/>
      <c r="Q2919" s="14"/>
      <c r="R2919" s="14"/>
    </row>
    <row r="2920" spans="15:18" x14ac:dyDescent="0.3">
      <c r="O2920" s="14"/>
      <c r="P2920" s="14"/>
      <c r="Q2920" s="14"/>
      <c r="R2920" s="14"/>
    </row>
    <row r="2921" spans="15:18" x14ac:dyDescent="0.3">
      <c r="O2921" s="14"/>
      <c r="P2921" s="14"/>
      <c r="Q2921" s="14"/>
      <c r="R2921" s="14"/>
    </row>
    <row r="2922" spans="15:18" x14ac:dyDescent="0.3">
      <c r="O2922" s="14"/>
      <c r="P2922" s="14"/>
      <c r="Q2922" s="14"/>
      <c r="R2922" s="14"/>
    </row>
    <row r="2923" spans="15:18" x14ac:dyDescent="0.3">
      <c r="O2923" s="14"/>
      <c r="P2923" s="14"/>
      <c r="Q2923" s="14"/>
      <c r="R2923" s="14"/>
    </row>
    <row r="2924" spans="15:18" x14ac:dyDescent="0.3">
      <c r="O2924" s="14"/>
      <c r="P2924" s="14"/>
      <c r="Q2924" s="14"/>
      <c r="R2924" s="14"/>
    </row>
    <row r="2925" spans="15:18" x14ac:dyDescent="0.3">
      <c r="O2925" s="14"/>
      <c r="P2925" s="14"/>
      <c r="Q2925" s="14"/>
      <c r="R2925" s="14"/>
    </row>
    <row r="2926" spans="15:18" x14ac:dyDescent="0.3">
      <c r="O2926" s="14"/>
      <c r="P2926" s="14"/>
      <c r="Q2926" s="14"/>
      <c r="R2926" s="14"/>
    </row>
    <row r="2927" spans="15:18" x14ac:dyDescent="0.3">
      <c r="O2927" s="14"/>
      <c r="P2927" s="14"/>
      <c r="Q2927" s="14"/>
      <c r="R2927" s="14"/>
    </row>
    <row r="2928" spans="15:18" x14ac:dyDescent="0.3">
      <c r="O2928" s="14"/>
      <c r="P2928" s="14"/>
      <c r="Q2928" s="14"/>
      <c r="R2928" s="14"/>
    </row>
    <row r="2929" spans="15:18" x14ac:dyDescent="0.3">
      <c r="O2929" s="14"/>
      <c r="P2929" s="14"/>
      <c r="Q2929" s="14"/>
      <c r="R2929" s="14"/>
    </row>
    <row r="2930" spans="15:18" x14ac:dyDescent="0.3">
      <c r="O2930" s="14"/>
      <c r="P2930" s="14"/>
      <c r="Q2930" s="14"/>
      <c r="R2930" s="14"/>
    </row>
    <row r="2931" spans="15:18" x14ac:dyDescent="0.3">
      <c r="O2931" s="14"/>
      <c r="P2931" s="14"/>
      <c r="Q2931" s="14"/>
      <c r="R2931" s="14"/>
    </row>
    <row r="2932" spans="15:18" x14ac:dyDescent="0.3">
      <c r="O2932" s="14"/>
      <c r="P2932" s="14"/>
      <c r="Q2932" s="14"/>
      <c r="R2932" s="14"/>
    </row>
    <row r="2933" spans="15:18" x14ac:dyDescent="0.3">
      <c r="O2933" s="14"/>
      <c r="P2933" s="14"/>
      <c r="Q2933" s="14"/>
      <c r="R2933" s="14"/>
    </row>
    <row r="2934" spans="15:18" x14ac:dyDescent="0.3">
      <c r="O2934" s="14"/>
      <c r="P2934" s="14"/>
      <c r="Q2934" s="14"/>
      <c r="R2934" s="14"/>
    </row>
    <row r="2935" spans="15:18" x14ac:dyDescent="0.3">
      <c r="O2935" s="14"/>
      <c r="P2935" s="14"/>
      <c r="Q2935" s="14"/>
      <c r="R2935" s="14"/>
    </row>
    <row r="2936" spans="15:18" x14ac:dyDescent="0.3">
      <c r="O2936" s="14"/>
      <c r="P2936" s="14"/>
      <c r="Q2936" s="14"/>
      <c r="R2936" s="14"/>
    </row>
    <row r="2937" spans="15:18" x14ac:dyDescent="0.3">
      <c r="O2937" s="14"/>
      <c r="P2937" s="14"/>
      <c r="Q2937" s="14"/>
      <c r="R2937" s="14"/>
    </row>
    <row r="2938" spans="15:18" x14ac:dyDescent="0.3">
      <c r="O2938" s="14"/>
      <c r="P2938" s="14"/>
      <c r="Q2938" s="14"/>
      <c r="R2938" s="14"/>
    </row>
    <row r="2939" spans="15:18" x14ac:dyDescent="0.3">
      <c r="O2939" s="14"/>
      <c r="P2939" s="14"/>
      <c r="Q2939" s="14"/>
      <c r="R2939" s="14"/>
    </row>
    <row r="2940" spans="15:18" x14ac:dyDescent="0.3">
      <c r="O2940" s="14"/>
      <c r="P2940" s="14"/>
      <c r="Q2940" s="14"/>
      <c r="R2940" s="14"/>
    </row>
    <row r="2941" spans="15:18" x14ac:dyDescent="0.3">
      <c r="O2941" s="14"/>
      <c r="P2941" s="14"/>
      <c r="Q2941" s="14"/>
      <c r="R2941" s="14"/>
    </row>
    <row r="2942" spans="15:18" x14ac:dyDescent="0.3">
      <c r="O2942" s="14"/>
      <c r="P2942" s="14"/>
      <c r="Q2942" s="14"/>
      <c r="R2942" s="14"/>
    </row>
    <row r="2943" spans="15:18" x14ac:dyDescent="0.3">
      <c r="O2943" s="14"/>
      <c r="P2943" s="14"/>
      <c r="Q2943" s="14"/>
      <c r="R2943" s="14"/>
    </row>
    <row r="2944" spans="15:18" x14ac:dyDescent="0.3">
      <c r="O2944" s="14"/>
      <c r="P2944" s="14"/>
      <c r="Q2944" s="14"/>
      <c r="R2944" s="14"/>
    </row>
    <row r="2945" spans="15:18" x14ac:dyDescent="0.3">
      <c r="O2945" s="14"/>
      <c r="P2945" s="14"/>
      <c r="Q2945" s="14"/>
      <c r="R2945" s="14"/>
    </row>
    <row r="2946" spans="15:18" x14ac:dyDescent="0.3">
      <c r="O2946" s="14"/>
      <c r="P2946" s="14"/>
      <c r="Q2946" s="14"/>
      <c r="R2946" s="14"/>
    </row>
    <row r="2947" spans="15:18" x14ac:dyDescent="0.3">
      <c r="O2947" s="14"/>
      <c r="P2947" s="14"/>
      <c r="Q2947" s="14"/>
      <c r="R2947" s="14"/>
    </row>
    <row r="2948" spans="15:18" x14ac:dyDescent="0.3">
      <c r="O2948" s="14"/>
      <c r="P2948" s="14"/>
      <c r="Q2948" s="14"/>
      <c r="R2948" s="14"/>
    </row>
    <row r="2949" spans="15:18" x14ac:dyDescent="0.3">
      <c r="O2949" s="14"/>
      <c r="P2949" s="14"/>
      <c r="Q2949" s="14"/>
      <c r="R2949" s="14"/>
    </row>
    <row r="2950" spans="15:18" x14ac:dyDescent="0.3">
      <c r="O2950" s="14"/>
      <c r="P2950" s="14"/>
      <c r="Q2950" s="14"/>
      <c r="R2950" s="14"/>
    </row>
    <row r="2951" spans="15:18" x14ac:dyDescent="0.3">
      <c r="O2951" s="14"/>
      <c r="P2951" s="14"/>
      <c r="Q2951" s="14"/>
      <c r="R2951" s="14"/>
    </row>
    <row r="2952" spans="15:18" x14ac:dyDescent="0.3">
      <c r="O2952" s="14"/>
      <c r="P2952" s="14"/>
      <c r="Q2952" s="14"/>
      <c r="R2952" s="14"/>
    </row>
    <row r="2953" spans="15:18" x14ac:dyDescent="0.3">
      <c r="O2953" s="14"/>
      <c r="P2953" s="14"/>
      <c r="Q2953" s="14"/>
      <c r="R2953" s="14"/>
    </row>
    <row r="2954" spans="15:18" x14ac:dyDescent="0.3">
      <c r="O2954" s="14"/>
      <c r="P2954" s="14"/>
      <c r="Q2954" s="14"/>
      <c r="R2954" s="14"/>
    </row>
    <row r="2955" spans="15:18" x14ac:dyDescent="0.3">
      <c r="O2955" s="14"/>
      <c r="P2955" s="14"/>
      <c r="Q2955" s="14"/>
      <c r="R2955" s="14"/>
    </row>
    <row r="2956" spans="15:18" x14ac:dyDescent="0.3">
      <c r="O2956" s="14"/>
      <c r="P2956" s="14"/>
      <c r="Q2956" s="14"/>
      <c r="R2956" s="14"/>
    </row>
    <row r="2957" spans="15:18" x14ac:dyDescent="0.3">
      <c r="O2957" s="14"/>
      <c r="P2957" s="14"/>
      <c r="Q2957" s="14"/>
      <c r="R2957" s="14"/>
    </row>
    <row r="2958" spans="15:18" x14ac:dyDescent="0.3">
      <c r="O2958" s="14"/>
      <c r="P2958" s="14"/>
      <c r="Q2958" s="14"/>
      <c r="R2958" s="14"/>
    </row>
    <row r="2959" spans="15:18" x14ac:dyDescent="0.3">
      <c r="O2959" s="14"/>
      <c r="P2959" s="14"/>
      <c r="Q2959" s="14"/>
      <c r="R2959" s="14"/>
    </row>
    <row r="2960" spans="15:18" x14ac:dyDescent="0.3">
      <c r="O2960" s="14"/>
      <c r="P2960" s="14"/>
      <c r="Q2960" s="14"/>
      <c r="R2960" s="14"/>
    </row>
    <row r="2961" spans="15:18" x14ac:dyDescent="0.3">
      <c r="O2961" s="14"/>
      <c r="P2961" s="14"/>
      <c r="Q2961" s="14"/>
      <c r="R2961" s="14"/>
    </row>
    <row r="2962" spans="15:18" x14ac:dyDescent="0.3">
      <c r="O2962" s="14"/>
      <c r="P2962" s="14"/>
      <c r="Q2962" s="14"/>
      <c r="R2962" s="14"/>
    </row>
    <row r="2963" spans="15:18" x14ac:dyDescent="0.3">
      <c r="O2963" s="14"/>
      <c r="P2963" s="14"/>
      <c r="Q2963" s="14"/>
      <c r="R2963" s="14"/>
    </row>
    <row r="2964" spans="15:18" x14ac:dyDescent="0.3">
      <c r="O2964" s="14"/>
      <c r="P2964" s="14"/>
      <c r="Q2964" s="14"/>
      <c r="R2964" s="14"/>
    </row>
    <row r="2965" spans="15:18" x14ac:dyDescent="0.3">
      <c r="O2965" s="14"/>
      <c r="P2965" s="14"/>
      <c r="Q2965" s="14"/>
      <c r="R2965" s="14"/>
    </row>
    <row r="2966" spans="15:18" x14ac:dyDescent="0.3">
      <c r="O2966" s="14"/>
      <c r="P2966" s="14"/>
      <c r="Q2966" s="14"/>
      <c r="R2966" s="14"/>
    </row>
    <row r="2967" spans="15:18" x14ac:dyDescent="0.3">
      <c r="O2967" s="14"/>
      <c r="P2967" s="14"/>
      <c r="Q2967" s="14"/>
      <c r="R2967" s="14"/>
    </row>
    <row r="2968" spans="15:18" x14ac:dyDescent="0.3">
      <c r="O2968" s="14"/>
      <c r="P2968" s="14"/>
      <c r="Q2968" s="14"/>
      <c r="R2968" s="14"/>
    </row>
    <row r="2969" spans="15:18" x14ac:dyDescent="0.3">
      <c r="O2969" s="14"/>
      <c r="P2969" s="14"/>
      <c r="Q2969" s="14"/>
      <c r="R2969" s="14"/>
    </row>
    <row r="2970" spans="15:18" x14ac:dyDescent="0.3">
      <c r="O2970" s="14"/>
      <c r="P2970" s="14"/>
      <c r="Q2970" s="14"/>
      <c r="R2970" s="14"/>
    </row>
    <row r="2971" spans="15:18" x14ac:dyDescent="0.3">
      <c r="O2971" s="14"/>
      <c r="P2971" s="14"/>
      <c r="Q2971" s="14"/>
      <c r="R2971" s="14"/>
    </row>
    <row r="2972" spans="15:18" x14ac:dyDescent="0.3">
      <c r="O2972" s="14"/>
      <c r="P2972" s="14"/>
      <c r="Q2972" s="14"/>
      <c r="R2972" s="14"/>
    </row>
    <row r="2973" spans="15:18" x14ac:dyDescent="0.3">
      <c r="O2973" s="14"/>
      <c r="P2973" s="14"/>
      <c r="Q2973" s="14"/>
      <c r="R2973" s="14"/>
    </row>
    <row r="2974" spans="15:18" x14ac:dyDescent="0.3">
      <c r="O2974" s="14"/>
      <c r="P2974" s="14"/>
      <c r="Q2974" s="14"/>
      <c r="R2974" s="14"/>
    </row>
    <row r="2975" spans="15:18" x14ac:dyDescent="0.3">
      <c r="O2975" s="14"/>
      <c r="P2975" s="14"/>
      <c r="Q2975" s="14"/>
      <c r="R2975" s="14"/>
    </row>
    <row r="2976" spans="15:18" x14ac:dyDescent="0.3">
      <c r="O2976" s="14"/>
      <c r="P2976" s="14"/>
      <c r="Q2976" s="14"/>
      <c r="R2976" s="14"/>
    </row>
    <row r="2977" spans="15:18" x14ac:dyDescent="0.3">
      <c r="O2977" s="14"/>
      <c r="P2977" s="14"/>
      <c r="Q2977" s="14"/>
      <c r="R2977" s="14"/>
    </row>
    <row r="2978" spans="15:18" x14ac:dyDescent="0.3">
      <c r="O2978" s="14"/>
      <c r="P2978" s="14"/>
      <c r="Q2978" s="14"/>
      <c r="R2978" s="14"/>
    </row>
    <row r="2979" spans="15:18" x14ac:dyDescent="0.3">
      <c r="O2979" s="14"/>
      <c r="P2979" s="14"/>
      <c r="Q2979" s="14"/>
      <c r="R2979" s="14"/>
    </row>
    <row r="2980" spans="15:18" x14ac:dyDescent="0.3">
      <c r="O2980" s="14"/>
      <c r="P2980" s="14"/>
      <c r="Q2980" s="14"/>
      <c r="R2980" s="14"/>
    </row>
    <row r="2981" spans="15:18" x14ac:dyDescent="0.3">
      <c r="O2981" s="14"/>
      <c r="P2981" s="14"/>
      <c r="Q2981" s="14"/>
      <c r="R2981" s="14"/>
    </row>
    <row r="2982" spans="15:18" x14ac:dyDescent="0.3">
      <c r="O2982" s="14"/>
      <c r="P2982" s="14"/>
      <c r="Q2982" s="14"/>
      <c r="R2982" s="14"/>
    </row>
    <row r="2983" spans="15:18" x14ac:dyDescent="0.3">
      <c r="O2983" s="14"/>
      <c r="P2983" s="14"/>
      <c r="Q2983" s="14"/>
      <c r="R2983" s="14"/>
    </row>
    <row r="2984" spans="15:18" x14ac:dyDescent="0.3">
      <c r="O2984" s="14"/>
      <c r="P2984" s="14"/>
      <c r="Q2984" s="14"/>
      <c r="R2984" s="14"/>
    </row>
    <row r="2985" spans="15:18" x14ac:dyDescent="0.3">
      <c r="O2985" s="14"/>
      <c r="P2985" s="14"/>
      <c r="Q2985" s="14"/>
      <c r="R2985" s="14"/>
    </row>
    <row r="2986" spans="15:18" x14ac:dyDescent="0.3">
      <c r="O2986" s="14"/>
      <c r="P2986" s="14"/>
      <c r="Q2986" s="14"/>
      <c r="R2986" s="14"/>
    </row>
    <row r="2987" spans="15:18" x14ac:dyDescent="0.3">
      <c r="O2987" s="14"/>
      <c r="P2987" s="14"/>
      <c r="Q2987" s="14"/>
      <c r="R2987" s="14"/>
    </row>
    <row r="2988" spans="15:18" x14ac:dyDescent="0.3">
      <c r="O2988" s="14"/>
      <c r="P2988" s="14"/>
      <c r="Q2988" s="14"/>
      <c r="R2988" s="14"/>
    </row>
    <row r="2989" spans="15:18" x14ac:dyDescent="0.3">
      <c r="O2989" s="14"/>
      <c r="P2989" s="14"/>
      <c r="Q2989" s="14"/>
      <c r="R2989" s="14"/>
    </row>
    <row r="2990" spans="15:18" x14ac:dyDescent="0.3">
      <c r="O2990" s="14"/>
      <c r="P2990" s="14"/>
      <c r="Q2990" s="14"/>
      <c r="R2990" s="14"/>
    </row>
    <row r="2991" spans="15:18" x14ac:dyDescent="0.3">
      <c r="O2991" s="14"/>
      <c r="P2991" s="14"/>
      <c r="Q2991" s="14"/>
      <c r="R2991" s="14"/>
    </row>
    <row r="2992" spans="15:18" x14ac:dyDescent="0.3">
      <c r="O2992" s="14"/>
      <c r="P2992" s="14"/>
      <c r="Q2992" s="14"/>
      <c r="R2992" s="14"/>
    </row>
    <row r="2993" spans="15:18" x14ac:dyDescent="0.3">
      <c r="O2993" s="14"/>
      <c r="P2993" s="14"/>
      <c r="Q2993" s="14"/>
      <c r="R2993" s="14"/>
    </row>
    <row r="2994" spans="15:18" x14ac:dyDescent="0.3">
      <c r="O2994" s="14"/>
      <c r="P2994" s="14"/>
      <c r="Q2994" s="14"/>
      <c r="R2994" s="14"/>
    </row>
    <row r="2995" spans="15:18" x14ac:dyDescent="0.3">
      <c r="O2995" s="14"/>
      <c r="P2995" s="14"/>
      <c r="Q2995" s="14"/>
      <c r="R2995" s="14"/>
    </row>
    <row r="2996" spans="15:18" x14ac:dyDescent="0.3">
      <c r="O2996" s="14"/>
      <c r="P2996" s="14"/>
      <c r="Q2996" s="14"/>
      <c r="R2996" s="14"/>
    </row>
    <row r="2997" spans="15:18" x14ac:dyDescent="0.3">
      <c r="O2997" s="14"/>
      <c r="P2997" s="14"/>
      <c r="Q2997" s="14"/>
      <c r="R2997" s="14"/>
    </row>
    <row r="2998" spans="15:18" x14ac:dyDescent="0.3">
      <c r="O2998" s="14"/>
      <c r="P2998" s="14"/>
      <c r="Q2998" s="14"/>
      <c r="R2998" s="14"/>
    </row>
    <row r="2999" spans="15:18" x14ac:dyDescent="0.3">
      <c r="O2999" s="14"/>
      <c r="P2999" s="14"/>
      <c r="Q2999" s="14"/>
      <c r="R2999" s="14"/>
    </row>
    <row r="3000" spans="15:18" x14ac:dyDescent="0.3">
      <c r="O3000" s="14"/>
      <c r="P3000" s="14"/>
      <c r="Q3000" s="14"/>
      <c r="R3000" s="14"/>
    </row>
    <row r="3001" spans="15:18" x14ac:dyDescent="0.3">
      <c r="O3001" s="14"/>
      <c r="P3001" s="14"/>
      <c r="Q3001" s="14"/>
      <c r="R3001" s="14"/>
    </row>
    <row r="3002" spans="15:18" x14ac:dyDescent="0.3">
      <c r="O3002" s="14"/>
      <c r="P3002" s="14"/>
      <c r="Q3002" s="14"/>
      <c r="R3002" s="14"/>
    </row>
    <row r="3003" spans="15:18" x14ac:dyDescent="0.3">
      <c r="O3003" s="14"/>
      <c r="P3003" s="14"/>
      <c r="Q3003" s="14"/>
      <c r="R3003" s="14"/>
    </row>
    <row r="3004" spans="15:18" x14ac:dyDescent="0.3">
      <c r="O3004" s="14"/>
      <c r="P3004" s="14"/>
      <c r="Q3004" s="14"/>
      <c r="R3004" s="14"/>
    </row>
    <row r="3005" spans="15:18" x14ac:dyDescent="0.3">
      <c r="O3005" s="14"/>
      <c r="P3005" s="14"/>
      <c r="Q3005" s="14"/>
      <c r="R3005" s="14"/>
    </row>
    <row r="3006" spans="15:18" x14ac:dyDescent="0.3">
      <c r="O3006" s="14"/>
      <c r="P3006" s="14"/>
      <c r="Q3006" s="14"/>
      <c r="R3006" s="14"/>
    </row>
    <row r="3007" spans="15:18" x14ac:dyDescent="0.3">
      <c r="O3007" s="14"/>
      <c r="P3007" s="14"/>
      <c r="Q3007" s="14"/>
      <c r="R3007" s="14"/>
    </row>
    <row r="3008" spans="15:18" x14ac:dyDescent="0.3">
      <c r="O3008" s="14"/>
      <c r="P3008" s="14"/>
      <c r="Q3008" s="14"/>
      <c r="R3008" s="14"/>
    </row>
    <row r="3009" spans="15:18" x14ac:dyDescent="0.3">
      <c r="O3009" s="14"/>
      <c r="P3009" s="14"/>
      <c r="Q3009" s="14"/>
      <c r="R3009" s="14"/>
    </row>
    <row r="3010" spans="15:18" x14ac:dyDescent="0.3">
      <c r="O3010" s="14"/>
      <c r="P3010" s="14"/>
      <c r="Q3010" s="14"/>
      <c r="R3010" s="14"/>
    </row>
    <row r="3011" spans="15:18" x14ac:dyDescent="0.3">
      <c r="O3011" s="14"/>
      <c r="P3011" s="14"/>
      <c r="Q3011" s="14"/>
      <c r="R3011" s="14"/>
    </row>
    <row r="3012" spans="15:18" x14ac:dyDescent="0.3">
      <c r="O3012" s="14"/>
      <c r="P3012" s="14"/>
      <c r="Q3012" s="14"/>
      <c r="R3012" s="14"/>
    </row>
    <row r="3013" spans="15:18" x14ac:dyDescent="0.3">
      <c r="O3013" s="14"/>
      <c r="P3013" s="14"/>
      <c r="Q3013" s="14"/>
      <c r="R3013" s="14"/>
    </row>
    <row r="3014" spans="15:18" x14ac:dyDescent="0.3">
      <c r="O3014" s="14"/>
      <c r="P3014" s="14"/>
      <c r="Q3014" s="14"/>
      <c r="R3014" s="14"/>
    </row>
    <row r="3015" spans="15:18" x14ac:dyDescent="0.3">
      <c r="O3015" s="14"/>
      <c r="P3015" s="14"/>
      <c r="Q3015" s="14"/>
      <c r="R3015" s="14"/>
    </row>
    <row r="3016" spans="15:18" x14ac:dyDescent="0.3">
      <c r="O3016" s="14"/>
      <c r="P3016" s="14"/>
      <c r="Q3016" s="14"/>
      <c r="R3016" s="14"/>
    </row>
    <row r="3017" spans="15:18" x14ac:dyDescent="0.3">
      <c r="O3017" s="14"/>
      <c r="P3017" s="14"/>
      <c r="Q3017" s="14"/>
      <c r="R3017" s="14"/>
    </row>
    <row r="3018" spans="15:18" x14ac:dyDescent="0.3">
      <c r="O3018" s="14"/>
      <c r="P3018" s="14"/>
      <c r="Q3018" s="14"/>
      <c r="R3018" s="14"/>
    </row>
    <row r="3019" spans="15:18" x14ac:dyDescent="0.3">
      <c r="O3019" s="14"/>
      <c r="P3019" s="14"/>
      <c r="Q3019" s="14"/>
      <c r="R3019" s="14"/>
    </row>
    <row r="3020" spans="15:18" x14ac:dyDescent="0.3">
      <c r="O3020" s="14"/>
      <c r="P3020" s="14"/>
      <c r="Q3020" s="14"/>
      <c r="R3020" s="14"/>
    </row>
    <row r="3021" spans="15:18" x14ac:dyDescent="0.3">
      <c r="O3021" s="14"/>
      <c r="P3021" s="14"/>
      <c r="Q3021" s="14"/>
      <c r="R3021" s="14"/>
    </row>
    <row r="3022" spans="15:18" x14ac:dyDescent="0.3">
      <c r="O3022" s="14"/>
      <c r="P3022" s="14"/>
      <c r="Q3022" s="14"/>
      <c r="R3022" s="14"/>
    </row>
    <row r="3023" spans="15:18" x14ac:dyDescent="0.3">
      <c r="O3023" s="14"/>
      <c r="P3023" s="14"/>
      <c r="Q3023" s="14"/>
      <c r="R3023" s="14"/>
    </row>
    <row r="3024" spans="15:18" x14ac:dyDescent="0.3">
      <c r="O3024" s="14"/>
      <c r="P3024" s="14"/>
      <c r="Q3024" s="14"/>
      <c r="R3024" s="14"/>
    </row>
    <row r="3025" spans="15:18" x14ac:dyDescent="0.3">
      <c r="O3025" s="14"/>
      <c r="P3025" s="14"/>
      <c r="Q3025" s="14"/>
      <c r="R3025" s="14"/>
    </row>
    <row r="3026" spans="15:18" x14ac:dyDescent="0.3">
      <c r="O3026" s="14"/>
      <c r="P3026" s="14"/>
      <c r="Q3026" s="14"/>
      <c r="R3026" s="14"/>
    </row>
    <row r="3027" spans="15:18" x14ac:dyDescent="0.3">
      <c r="O3027" s="14"/>
      <c r="P3027" s="14"/>
      <c r="Q3027" s="14"/>
      <c r="R3027" s="14"/>
    </row>
    <row r="3028" spans="15:18" x14ac:dyDescent="0.3">
      <c r="O3028" s="14"/>
      <c r="P3028" s="14"/>
      <c r="Q3028" s="14"/>
      <c r="R3028" s="14"/>
    </row>
    <row r="3029" spans="15:18" x14ac:dyDescent="0.3">
      <c r="O3029" s="14"/>
      <c r="P3029" s="14"/>
      <c r="Q3029" s="14"/>
      <c r="R3029" s="14"/>
    </row>
    <row r="3030" spans="15:18" x14ac:dyDescent="0.3">
      <c r="O3030" s="14"/>
      <c r="P3030" s="14"/>
      <c r="Q3030" s="14"/>
      <c r="R3030" s="14"/>
    </row>
    <row r="3031" spans="15:18" x14ac:dyDescent="0.3">
      <c r="O3031" s="14"/>
      <c r="P3031" s="14"/>
      <c r="Q3031" s="14"/>
      <c r="R3031" s="14"/>
    </row>
    <row r="3032" spans="15:18" x14ac:dyDescent="0.3">
      <c r="O3032" s="14"/>
      <c r="P3032" s="14"/>
      <c r="Q3032" s="14"/>
      <c r="R3032" s="14"/>
    </row>
    <row r="3033" spans="15:18" x14ac:dyDescent="0.3">
      <c r="O3033" s="14"/>
      <c r="P3033" s="14"/>
      <c r="Q3033" s="14"/>
      <c r="R3033" s="14"/>
    </row>
    <row r="3034" spans="15:18" x14ac:dyDescent="0.3">
      <c r="O3034" s="14"/>
      <c r="P3034" s="14"/>
      <c r="Q3034" s="14"/>
      <c r="R3034" s="14"/>
    </row>
    <row r="3035" spans="15:18" x14ac:dyDescent="0.3">
      <c r="O3035" s="14"/>
      <c r="P3035" s="14"/>
      <c r="Q3035" s="14"/>
      <c r="R3035" s="14"/>
    </row>
    <row r="3036" spans="15:18" x14ac:dyDescent="0.3">
      <c r="O3036" s="14"/>
      <c r="P3036" s="14"/>
      <c r="Q3036" s="14"/>
      <c r="R3036" s="14"/>
    </row>
    <row r="3037" spans="15:18" x14ac:dyDescent="0.3">
      <c r="O3037" s="14"/>
      <c r="P3037" s="14"/>
      <c r="Q3037" s="14"/>
      <c r="R3037" s="14"/>
    </row>
    <row r="3038" spans="15:18" x14ac:dyDescent="0.3">
      <c r="O3038" s="14"/>
      <c r="P3038" s="14"/>
      <c r="Q3038" s="14"/>
      <c r="R3038" s="14"/>
    </row>
    <row r="3039" spans="15:18" x14ac:dyDescent="0.3">
      <c r="O3039" s="14"/>
      <c r="P3039" s="14"/>
      <c r="Q3039" s="14"/>
      <c r="R3039" s="14"/>
    </row>
    <row r="3040" spans="15:18" x14ac:dyDescent="0.3">
      <c r="O3040" s="14"/>
      <c r="P3040" s="14"/>
      <c r="Q3040" s="14"/>
      <c r="R3040" s="14"/>
    </row>
    <row r="3041" spans="15:18" x14ac:dyDescent="0.3">
      <c r="O3041" s="14"/>
      <c r="P3041" s="14"/>
      <c r="Q3041" s="14"/>
      <c r="R3041" s="14"/>
    </row>
    <row r="3042" spans="15:18" x14ac:dyDescent="0.3">
      <c r="O3042" s="14"/>
      <c r="P3042" s="14"/>
      <c r="Q3042" s="14"/>
      <c r="R3042" s="14"/>
    </row>
    <row r="3043" spans="15:18" x14ac:dyDescent="0.3">
      <c r="O3043" s="14"/>
      <c r="P3043" s="14"/>
      <c r="Q3043" s="14"/>
      <c r="R3043" s="14"/>
    </row>
    <row r="3044" spans="15:18" x14ac:dyDescent="0.3">
      <c r="O3044" s="14"/>
      <c r="P3044" s="14"/>
      <c r="Q3044" s="14"/>
      <c r="R3044" s="14"/>
    </row>
    <row r="3045" spans="15:18" x14ac:dyDescent="0.3">
      <c r="O3045" s="14"/>
      <c r="P3045" s="14"/>
      <c r="Q3045" s="14"/>
      <c r="R3045" s="14"/>
    </row>
    <row r="3046" spans="15:18" x14ac:dyDescent="0.3">
      <c r="O3046" s="14"/>
      <c r="P3046" s="14"/>
      <c r="Q3046" s="14"/>
      <c r="R3046" s="14"/>
    </row>
    <row r="3047" spans="15:18" x14ac:dyDescent="0.3">
      <c r="O3047" s="14"/>
      <c r="P3047" s="14"/>
      <c r="Q3047" s="14"/>
      <c r="R3047" s="14"/>
    </row>
    <row r="3048" spans="15:18" x14ac:dyDescent="0.3">
      <c r="O3048" s="14"/>
      <c r="P3048" s="14"/>
      <c r="Q3048" s="14"/>
      <c r="R3048" s="14"/>
    </row>
    <row r="3049" spans="15:18" x14ac:dyDescent="0.3">
      <c r="O3049" s="14"/>
      <c r="P3049" s="14"/>
      <c r="Q3049" s="14"/>
      <c r="R3049" s="14"/>
    </row>
    <row r="3050" spans="15:18" x14ac:dyDescent="0.3">
      <c r="O3050" s="14"/>
      <c r="P3050" s="14"/>
      <c r="Q3050" s="14"/>
      <c r="R3050" s="14"/>
    </row>
    <row r="3051" spans="15:18" x14ac:dyDescent="0.3">
      <c r="O3051" s="14"/>
      <c r="P3051" s="14"/>
      <c r="Q3051" s="14"/>
      <c r="R3051" s="14"/>
    </row>
    <row r="3052" spans="15:18" x14ac:dyDescent="0.3">
      <c r="O3052" s="14"/>
      <c r="P3052" s="14"/>
      <c r="Q3052" s="14"/>
      <c r="R3052" s="14"/>
    </row>
    <row r="3053" spans="15:18" x14ac:dyDescent="0.3">
      <c r="O3053" s="14"/>
      <c r="P3053" s="14"/>
      <c r="Q3053" s="14"/>
      <c r="R3053" s="14"/>
    </row>
    <row r="3054" spans="15:18" x14ac:dyDescent="0.3">
      <c r="O3054" s="14"/>
      <c r="P3054" s="14"/>
      <c r="Q3054" s="14"/>
      <c r="R3054" s="14"/>
    </row>
    <row r="3055" spans="15:18" x14ac:dyDescent="0.3">
      <c r="O3055" s="14"/>
      <c r="P3055" s="14"/>
      <c r="Q3055" s="14"/>
      <c r="R3055" s="14"/>
    </row>
    <row r="3056" spans="15:18" x14ac:dyDescent="0.3">
      <c r="O3056" s="14"/>
      <c r="P3056" s="14"/>
      <c r="Q3056" s="14"/>
      <c r="R3056" s="14"/>
    </row>
    <row r="3057" spans="15:18" x14ac:dyDescent="0.3">
      <c r="O3057" s="14"/>
      <c r="P3057" s="14"/>
      <c r="Q3057" s="14"/>
      <c r="R3057" s="14"/>
    </row>
    <row r="3058" spans="15:18" x14ac:dyDescent="0.3">
      <c r="O3058" s="14"/>
      <c r="P3058" s="14"/>
      <c r="Q3058" s="14"/>
      <c r="R3058" s="14"/>
    </row>
    <row r="3059" spans="15:18" x14ac:dyDescent="0.3">
      <c r="O3059" s="14"/>
      <c r="P3059" s="14"/>
      <c r="Q3059" s="14"/>
      <c r="R3059" s="14"/>
    </row>
    <row r="3060" spans="15:18" x14ac:dyDescent="0.3">
      <c r="O3060" s="14"/>
      <c r="P3060" s="14"/>
      <c r="Q3060" s="14"/>
      <c r="R3060" s="14"/>
    </row>
    <row r="3061" spans="15:18" x14ac:dyDescent="0.3">
      <c r="O3061" s="14"/>
      <c r="P3061" s="14"/>
      <c r="Q3061" s="14"/>
      <c r="R3061" s="14"/>
    </row>
    <row r="3062" spans="15:18" x14ac:dyDescent="0.3">
      <c r="O3062" s="14"/>
      <c r="P3062" s="14"/>
      <c r="Q3062" s="14"/>
      <c r="R3062" s="14"/>
    </row>
    <row r="3063" spans="15:18" x14ac:dyDescent="0.3">
      <c r="O3063" s="14"/>
      <c r="P3063" s="14"/>
      <c r="Q3063" s="14"/>
      <c r="R3063" s="14"/>
    </row>
    <row r="3064" spans="15:18" x14ac:dyDescent="0.3">
      <c r="O3064" s="14"/>
      <c r="P3064" s="14"/>
      <c r="Q3064" s="14"/>
      <c r="R3064" s="14"/>
    </row>
    <row r="3065" spans="15:18" x14ac:dyDescent="0.3">
      <c r="O3065" s="14"/>
      <c r="P3065" s="14"/>
      <c r="Q3065" s="14"/>
      <c r="R3065" s="14"/>
    </row>
    <row r="3066" spans="15:18" x14ac:dyDescent="0.3">
      <c r="O3066" s="14"/>
      <c r="P3066" s="14"/>
      <c r="Q3066" s="14"/>
      <c r="R3066" s="14"/>
    </row>
    <row r="3067" spans="15:18" x14ac:dyDescent="0.3">
      <c r="O3067" s="14"/>
      <c r="P3067" s="14"/>
      <c r="Q3067" s="14"/>
      <c r="R3067" s="14"/>
    </row>
    <row r="3068" spans="15:18" x14ac:dyDescent="0.3">
      <c r="O3068" s="14"/>
      <c r="P3068" s="14"/>
      <c r="Q3068" s="14"/>
      <c r="R3068" s="14"/>
    </row>
    <row r="3069" spans="15:18" x14ac:dyDescent="0.3">
      <c r="O3069" s="14"/>
      <c r="P3069" s="14"/>
      <c r="Q3069" s="14"/>
      <c r="R3069" s="14"/>
    </row>
    <row r="3070" spans="15:18" x14ac:dyDescent="0.3">
      <c r="O3070" s="14"/>
      <c r="P3070" s="14"/>
      <c r="Q3070" s="14"/>
      <c r="R3070" s="14"/>
    </row>
    <row r="3071" spans="15:18" x14ac:dyDescent="0.3">
      <c r="O3071" s="14"/>
      <c r="P3071" s="14"/>
      <c r="Q3071" s="14"/>
      <c r="R3071" s="14"/>
    </row>
    <row r="3072" spans="15:18" x14ac:dyDescent="0.3">
      <c r="O3072" s="14"/>
      <c r="P3072" s="14"/>
      <c r="Q3072" s="14"/>
      <c r="R3072" s="14"/>
    </row>
    <row r="3073" spans="15:18" x14ac:dyDescent="0.3">
      <c r="O3073" s="14"/>
      <c r="P3073" s="14"/>
      <c r="Q3073" s="14"/>
      <c r="R3073" s="14"/>
    </row>
    <row r="3074" spans="15:18" x14ac:dyDescent="0.3">
      <c r="O3074" s="14"/>
      <c r="P3074" s="14"/>
      <c r="Q3074" s="14"/>
      <c r="R3074" s="14"/>
    </row>
    <row r="3075" spans="15:18" x14ac:dyDescent="0.3">
      <c r="O3075" s="14"/>
      <c r="P3075" s="14"/>
      <c r="Q3075" s="14"/>
      <c r="R3075" s="14"/>
    </row>
    <row r="3076" spans="15:18" x14ac:dyDescent="0.3">
      <c r="O3076" s="14"/>
      <c r="P3076" s="14"/>
      <c r="Q3076" s="14"/>
      <c r="R3076" s="14"/>
    </row>
    <row r="3077" spans="15:18" x14ac:dyDescent="0.3">
      <c r="O3077" s="14"/>
      <c r="P3077" s="14"/>
      <c r="Q3077" s="14"/>
      <c r="R3077" s="14"/>
    </row>
    <row r="3078" spans="15:18" x14ac:dyDescent="0.3">
      <c r="O3078" s="14"/>
      <c r="P3078" s="14"/>
      <c r="Q3078" s="14"/>
      <c r="R3078" s="14"/>
    </row>
    <row r="3079" spans="15:18" x14ac:dyDescent="0.3">
      <c r="O3079" s="14"/>
      <c r="P3079" s="14"/>
      <c r="Q3079" s="14"/>
      <c r="R3079" s="14"/>
    </row>
    <row r="3080" spans="15:18" x14ac:dyDescent="0.3">
      <c r="O3080" s="14"/>
      <c r="P3080" s="14"/>
      <c r="Q3080" s="14"/>
      <c r="R3080" s="14"/>
    </row>
    <row r="3081" spans="15:18" x14ac:dyDescent="0.3">
      <c r="O3081" s="14"/>
      <c r="P3081" s="14"/>
      <c r="Q3081" s="14"/>
      <c r="R3081" s="14"/>
    </row>
    <row r="3082" spans="15:18" x14ac:dyDescent="0.3">
      <c r="O3082" s="14"/>
      <c r="P3082" s="14"/>
      <c r="Q3082" s="14"/>
      <c r="R3082" s="14"/>
    </row>
    <row r="3083" spans="15:18" x14ac:dyDescent="0.3">
      <c r="O3083" s="14"/>
      <c r="P3083" s="14"/>
      <c r="Q3083" s="14"/>
      <c r="R3083" s="14"/>
    </row>
    <row r="3084" spans="15:18" x14ac:dyDescent="0.3">
      <c r="O3084" s="14"/>
      <c r="P3084" s="14"/>
      <c r="Q3084" s="14"/>
      <c r="R3084" s="14"/>
    </row>
    <row r="3085" spans="15:18" x14ac:dyDescent="0.3">
      <c r="O3085" s="14"/>
      <c r="P3085" s="14"/>
      <c r="Q3085" s="14"/>
      <c r="R3085" s="14"/>
    </row>
    <row r="3086" spans="15:18" x14ac:dyDescent="0.3">
      <c r="O3086" s="14"/>
      <c r="P3086" s="14"/>
      <c r="Q3086" s="14"/>
      <c r="R3086" s="14"/>
    </row>
    <row r="3087" spans="15:18" x14ac:dyDescent="0.3">
      <c r="O3087" s="14"/>
      <c r="P3087" s="14"/>
      <c r="Q3087" s="14"/>
      <c r="R3087" s="14"/>
    </row>
    <row r="3088" spans="15:18" x14ac:dyDescent="0.3">
      <c r="O3088" s="14"/>
      <c r="P3088" s="14"/>
      <c r="Q3088" s="14"/>
      <c r="R3088" s="14"/>
    </row>
    <row r="3089" spans="15:18" x14ac:dyDescent="0.3">
      <c r="O3089" s="14"/>
      <c r="P3089" s="14"/>
      <c r="Q3089" s="14"/>
      <c r="R3089" s="14"/>
    </row>
    <row r="3090" spans="15:18" x14ac:dyDescent="0.3">
      <c r="O3090" s="14"/>
      <c r="P3090" s="14"/>
      <c r="Q3090" s="14"/>
      <c r="R3090" s="14"/>
    </row>
    <row r="3091" spans="15:18" x14ac:dyDescent="0.3">
      <c r="O3091" s="14"/>
      <c r="P3091" s="14"/>
      <c r="Q3091" s="14"/>
      <c r="R3091" s="14"/>
    </row>
    <row r="3092" spans="15:18" x14ac:dyDescent="0.3">
      <c r="O3092" s="14"/>
      <c r="P3092" s="14"/>
      <c r="Q3092" s="14"/>
      <c r="R3092" s="14"/>
    </row>
    <row r="3093" spans="15:18" x14ac:dyDescent="0.3">
      <c r="O3093" s="14"/>
      <c r="P3093" s="14"/>
      <c r="Q3093" s="14"/>
      <c r="R3093" s="14"/>
    </row>
    <row r="3094" spans="15:18" x14ac:dyDescent="0.3">
      <c r="O3094" s="14"/>
      <c r="P3094" s="14"/>
      <c r="Q3094" s="14"/>
      <c r="R3094" s="14"/>
    </row>
    <row r="3095" spans="15:18" x14ac:dyDescent="0.3">
      <c r="O3095" s="14"/>
      <c r="P3095" s="14"/>
      <c r="Q3095" s="14"/>
      <c r="R3095" s="14"/>
    </row>
    <row r="3096" spans="15:18" x14ac:dyDescent="0.3">
      <c r="O3096" s="14"/>
      <c r="P3096" s="14"/>
      <c r="Q3096" s="14"/>
      <c r="R3096" s="14"/>
    </row>
    <row r="3097" spans="15:18" x14ac:dyDescent="0.3">
      <c r="O3097" s="14"/>
      <c r="P3097" s="14"/>
      <c r="Q3097" s="14"/>
      <c r="R3097" s="14"/>
    </row>
    <row r="3098" spans="15:18" x14ac:dyDescent="0.3">
      <c r="O3098" s="14"/>
      <c r="P3098" s="14"/>
      <c r="Q3098" s="14"/>
      <c r="R3098" s="14"/>
    </row>
    <row r="3099" spans="15:18" x14ac:dyDescent="0.3">
      <c r="O3099" s="14"/>
      <c r="P3099" s="14"/>
      <c r="Q3099" s="14"/>
      <c r="R3099" s="14"/>
    </row>
    <row r="3100" spans="15:18" x14ac:dyDescent="0.3">
      <c r="O3100" s="14"/>
      <c r="P3100" s="14"/>
      <c r="Q3100" s="14"/>
      <c r="R3100" s="14"/>
    </row>
    <row r="3101" spans="15:18" x14ac:dyDescent="0.3">
      <c r="O3101" s="14"/>
      <c r="P3101" s="14"/>
      <c r="Q3101" s="14"/>
      <c r="R3101" s="14"/>
    </row>
    <row r="3102" spans="15:18" x14ac:dyDescent="0.3">
      <c r="O3102" s="14"/>
      <c r="P3102" s="14"/>
      <c r="Q3102" s="14"/>
      <c r="R3102" s="14"/>
    </row>
    <row r="3103" spans="15:18" x14ac:dyDescent="0.3">
      <c r="O3103" s="14"/>
      <c r="P3103" s="14"/>
      <c r="Q3103" s="14"/>
      <c r="R3103" s="14"/>
    </row>
    <row r="3104" spans="15:18" x14ac:dyDescent="0.3">
      <c r="O3104" s="14"/>
      <c r="P3104" s="14"/>
      <c r="Q3104" s="14"/>
      <c r="R3104" s="14"/>
    </row>
    <row r="3105" spans="15:18" x14ac:dyDescent="0.3">
      <c r="O3105" s="14"/>
      <c r="P3105" s="14"/>
      <c r="Q3105" s="14"/>
      <c r="R3105" s="14"/>
    </row>
    <row r="3106" spans="15:18" x14ac:dyDescent="0.3">
      <c r="O3106" s="14"/>
      <c r="P3106" s="14"/>
      <c r="Q3106" s="14"/>
      <c r="R3106" s="14"/>
    </row>
    <row r="3107" spans="15:18" x14ac:dyDescent="0.3">
      <c r="O3107" s="14"/>
      <c r="P3107" s="14"/>
      <c r="Q3107" s="14"/>
      <c r="R3107" s="14"/>
    </row>
    <row r="3108" spans="15:18" x14ac:dyDescent="0.3">
      <c r="O3108" s="14"/>
      <c r="P3108" s="14"/>
      <c r="Q3108" s="14"/>
      <c r="R3108" s="14"/>
    </row>
    <row r="3109" spans="15:18" x14ac:dyDescent="0.3">
      <c r="O3109" s="14"/>
      <c r="P3109" s="14"/>
      <c r="Q3109" s="14"/>
      <c r="R3109" s="14"/>
    </row>
    <row r="3110" spans="15:18" x14ac:dyDescent="0.3">
      <c r="O3110" s="14"/>
      <c r="P3110" s="14"/>
      <c r="Q3110" s="14"/>
      <c r="R3110" s="14"/>
    </row>
    <row r="3111" spans="15:18" x14ac:dyDescent="0.3">
      <c r="O3111" s="14"/>
      <c r="P3111" s="14"/>
      <c r="Q3111" s="14"/>
      <c r="R3111" s="14"/>
    </row>
    <row r="3112" spans="15:18" x14ac:dyDescent="0.3">
      <c r="O3112" s="14"/>
      <c r="P3112" s="14"/>
      <c r="Q3112" s="14"/>
      <c r="R3112" s="14"/>
    </row>
    <row r="3113" spans="15:18" x14ac:dyDescent="0.3">
      <c r="O3113" s="14"/>
      <c r="P3113" s="14"/>
      <c r="Q3113" s="14"/>
      <c r="R3113" s="14"/>
    </row>
    <row r="3114" spans="15:18" x14ac:dyDescent="0.3">
      <c r="O3114" s="14"/>
      <c r="P3114" s="14"/>
      <c r="Q3114" s="14"/>
      <c r="R3114" s="14"/>
    </row>
    <row r="3115" spans="15:18" x14ac:dyDescent="0.3">
      <c r="O3115" s="14"/>
      <c r="P3115" s="14"/>
      <c r="Q3115" s="14"/>
      <c r="R3115" s="14"/>
    </row>
    <row r="3116" spans="15:18" x14ac:dyDescent="0.3">
      <c r="O3116" s="14"/>
      <c r="P3116" s="14"/>
      <c r="Q3116" s="14"/>
      <c r="R3116" s="14"/>
    </row>
    <row r="3117" spans="15:18" x14ac:dyDescent="0.3">
      <c r="O3117" s="14"/>
      <c r="P3117" s="14"/>
      <c r="Q3117" s="14"/>
      <c r="R3117" s="14"/>
    </row>
    <row r="3118" spans="15:18" x14ac:dyDescent="0.3">
      <c r="O3118" s="14"/>
      <c r="P3118" s="14"/>
      <c r="Q3118" s="14"/>
      <c r="R3118" s="14"/>
    </row>
    <row r="3119" spans="15:18" x14ac:dyDescent="0.3">
      <c r="O3119" s="14"/>
      <c r="P3119" s="14"/>
      <c r="Q3119" s="14"/>
      <c r="R3119" s="14"/>
    </row>
    <row r="3120" spans="15:18" x14ac:dyDescent="0.3">
      <c r="O3120" s="14"/>
      <c r="P3120" s="14"/>
      <c r="Q3120" s="14"/>
      <c r="R3120" s="14"/>
    </row>
    <row r="3121" spans="15:18" x14ac:dyDescent="0.3">
      <c r="O3121" s="14"/>
      <c r="P3121" s="14"/>
      <c r="Q3121" s="14"/>
      <c r="R3121" s="14"/>
    </row>
    <row r="3122" spans="15:18" x14ac:dyDescent="0.3">
      <c r="O3122" s="14"/>
      <c r="P3122" s="14"/>
      <c r="Q3122" s="14"/>
      <c r="R3122" s="14"/>
    </row>
    <row r="3123" spans="15:18" x14ac:dyDescent="0.3">
      <c r="O3123" s="14"/>
      <c r="P3123" s="14"/>
      <c r="Q3123" s="14"/>
      <c r="R3123" s="14"/>
    </row>
    <row r="3124" spans="15:18" x14ac:dyDescent="0.3">
      <c r="O3124" s="14"/>
      <c r="P3124" s="14"/>
      <c r="Q3124" s="14"/>
      <c r="R3124" s="14"/>
    </row>
    <row r="3125" spans="15:18" x14ac:dyDescent="0.3">
      <c r="O3125" s="14"/>
      <c r="P3125" s="14"/>
      <c r="Q3125" s="14"/>
      <c r="R3125" s="14"/>
    </row>
    <row r="3126" spans="15:18" x14ac:dyDescent="0.3">
      <c r="O3126" s="14"/>
      <c r="P3126" s="14"/>
      <c r="Q3126" s="14"/>
      <c r="R3126" s="14"/>
    </row>
    <row r="3127" spans="15:18" x14ac:dyDescent="0.3">
      <c r="O3127" s="14"/>
      <c r="P3127" s="14"/>
      <c r="Q3127" s="14"/>
      <c r="R3127" s="14"/>
    </row>
    <row r="3128" spans="15:18" x14ac:dyDescent="0.3">
      <c r="O3128" s="14"/>
      <c r="P3128" s="14"/>
      <c r="Q3128" s="14"/>
      <c r="R3128" s="14"/>
    </row>
    <row r="3129" spans="15:18" x14ac:dyDescent="0.3">
      <c r="O3129" s="14"/>
      <c r="P3129" s="14"/>
      <c r="Q3129" s="14"/>
      <c r="R3129" s="14"/>
    </row>
    <row r="3130" spans="15:18" x14ac:dyDescent="0.3">
      <c r="O3130" s="14"/>
      <c r="P3130" s="14"/>
      <c r="Q3130" s="14"/>
      <c r="R3130" s="14"/>
    </row>
    <row r="3131" spans="15:18" x14ac:dyDescent="0.3">
      <c r="O3131" s="14"/>
      <c r="P3131" s="14"/>
      <c r="Q3131" s="14"/>
      <c r="R3131" s="14"/>
    </row>
    <row r="3132" spans="15:18" x14ac:dyDescent="0.3">
      <c r="O3132" s="14"/>
      <c r="P3132" s="14"/>
      <c r="Q3132" s="14"/>
      <c r="R3132" s="14"/>
    </row>
    <row r="3133" spans="15:18" x14ac:dyDescent="0.3">
      <c r="O3133" s="14"/>
      <c r="P3133" s="14"/>
      <c r="Q3133" s="14"/>
      <c r="R3133" s="14"/>
    </row>
    <row r="3134" spans="15:18" x14ac:dyDescent="0.3">
      <c r="O3134" s="14"/>
      <c r="P3134" s="14"/>
      <c r="Q3134" s="14"/>
      <c r="R3134" s="14"/>
    </row>
    <row r="3135" spans="15:18" x14ac:dyDescent="0.3">
      <c r="O3135" s="14"/>
      <c r="P3135" s="14"/>
      <c r="Q3135" s="14"/>
      <c r="R3135" s="14"/>
    </row>
    <row r="3136" spans="15:18" x14ac:dyDescent="0.3">
      <c r="O3136" s="14"/>
      <c r="P3136" s="14"/>
      <c r="Q3136" s="14"/>
      <c r="R3136" s="14"/>
    </row>
    <row r="3137" spans="15:18" x14ac:dyDescent="0.3">
      <c r="O3137" s="14"/>
      <c r="P3137" s="14"/>
      <c r="Q3137" s="14"/>
      <c r="R3137" s="14"/>
    </row>
    <row r="3138" spans="15:18" x14ac:dyDescent="0.3">
      <c r="O3138" s="14"/>
      <c r="P3138" s="14"/>
      <c r="Q3138" s="14"/>
      <c r="R3138" s="14"/>
    </row>
    <row r="3139" spans="15:18" x14ac:dyDescent="0.3">
      <c r="O3139" s="14"/>
      <c r="P3139" s="14"/>
      <c r="Q3139" s="14"/>
      <c r="R3139" s="14"/>
    </row>
    <row r="3140" spans="15:18" x14ac:dyDescent="0.3">
      <c r="O3140" s="14"/>
      <c r="P3140" s="14"/>
      <c r="Q3140" s="14"/>
      <c r="R3140" s="14"/>
    </row>
    <row r="3141" spans="15:18" x14ac:dyDescent="0.3">
      <c r="O3141" s="14"/>
      <c r="P3141" s="14"/>
      <c r="Q3141" s="14"/>
      <c r="R3141" s="14"/>
    </row>
    <row r="3142" spans="15:18" x14ac:dyDescent="0.3">
      <c r="O3142" s="14"/>
      <c r="P3142" s="14"/>
      <c r="Q3142" s="14"/>
      <c r="R3142" s="14"/>
    </row>
    <row r="3143" spans="15:18" x14ac:dyDescent="0.3">
      <c r="O3143" s="14"/>
      <c r="P3143" s="14"/>
      <c r="Q3143" s="14"/>
      <c r="R3143" s="14"/>
    </row>
    <row r="3144" spans="15:18" x14ac:dyDescent="0.3">
      <c r="O3144" s="14"/>
      <c r="P3144" s="14"/>
      <c r="Q3144" s="14"/>
      <c r="R3144" s="14"/>
    </row>
    <row r="3145" spans="15:18" x14ac:dyDescent="0.3">
      <c r="O3145" s="14"/>
      <c r="P3145" s="14"/>
      <c r="Q3145" s="14"/>
      <c r="R3145" s="14"/>
    </row>
    <row r="3146" spans="15:18" x14ac:dyDescent="0.3">
      <c r="O3146" s="14"/>
      <c r="P3146" s="14"/>
      <c r="Q3146" s="14"/>
      <c r="R3146" s="14"/>
    </row>
    <row r="3147" spans="15:18" x14ac:dyDescent="0.3">
      <c r="O3147" s="14"/>
      <c r="P3147" s="14"/>
      <c r="Q3147" s="14"/>
      <c r="R3147" s="14"/>
    </row>
    <row r="3148" spans="15:18" x14ac:dyDescent="0.3">
      <c r="O3148" s="14"/>
      <c r="P3148" s="14"/>
      <c r="Q3148" s="14"/>
      <c r="R3148" s="14"/>
    </row>
    <row r="3149" spans="15:18" x14ac:dyDescent="0.3">
      <c r="O3149" s="14"/>
      <c r="P3149" s="14"/>
      <c r="Q3149" s="14"/>
      <c r="R3149" s="14"/>
    </row>
    <row r="3150" spans="15:18" x14ac:dyDescent="0.3">
      <c r="O3150" s="14"/>
      <c r="P3150" s="14"/>
      <c r="Q3150" s="14"/>
      <c r="R3150" s="14"/>
    </row>
    <row r="3151" spans="15:18" x14ac:dyDescent="0.3">
      <c r="O3151" s="14"/>
      <c r="P3151" s="14"/>
      <c r="Q3151" s="14"/>
      <c r="R3151" s="14"/>
    </row>
    <row r="3152" spans="15:18" x14ac:dyDescent="0.3">
      <c r="O3152" s="14"/>
      <c r="P3152" s="14"/>
      <c r="Q3152" s="14"/>
      <c r="R3152" s="14"/>
    </row>
    <row r="3153" spans="15:18" x14ac:dyDescent="0.3">
      <c r="O3153" s="14"/>
      <c r="P3153" s="14"/>
      <c r="Q3153" s="14"/>
      <c r="R3153" s="14"/>
    </row>
    <row r="3154" spans="15:18" x14ac:dyDescent="0.3">
      <c r="O3154" s="14"/>
      <c r="P3154" s="14"/>
      <c r="Q3154" s="14"/>
      <c r="R3154" s="14"/>
    </row>
    <row r="3155" spans="15:18" x14ac:dyDescent="0.3">
      <c r="O3155" s="14"/>
      <c r="P3155" s="14"/>
      <c r="Q3155" s="14"/>
      <c r="R3155" s="14"/>
    </row>
    <row r="3156" spans="15:18" x14ac:dyDescent="0.3">
      <c r="O3156" s="14"/>
      <c r="P3156" s="14"/>
      <c r="Q3156" s="14"/>
      <c r="R3156" s="14"/>
    </row>
    <row r="3157" spans="15:18" x14ac:dyDescent="0.3">
      <c r="O3157" s="14"/>
      <c r="P3157" s="14"/>
      <c r="Q3157" s="14"/>
      <c r="R3157" s="14"/>
    </row>
    <row r="3158" spans="15:18" x14ac:dyDescent="0.3">
      <c r="O3158" s="14"/>
      <c r="P3158" s="14"/>
      <c r="Q3158" s="14"/>
      <c r="R3158" s="14"/>
    </row>
    <row r="3159" spans="15:18" x14ac:dyDescent="0.3">
      <c r="O3159" s="14"/>
      <c r="P3159" s="14"/>
      <c r="Q3159" s="14"/>
      <c r="R3159" s="14"/>
    </row>
    <row r="3160" spans="15:18" x14ac:dyDescent="0.3">
      <c r="O3160" s="14"/>
      <c r="P3160" s="14"/>
      <c r="Q3160" s="14"/>
      <c r="R3160" s="14"/>
    </row>
    <row r="3161" spans="15:18" x14ac:dyDescent="0.3">
      <c r="O3161" s="14"/>
      <c r="P3161" s="14"/>
      <c r="Q3161" s="14"/>
      <c r="R3161" s="14"/>
    </row>
    <row r="3162" spans="15:18" x14ac:dyDescent="0.3">
      <c r="O3162" s="14"/>
      <c r="P3162" s="14"/>
      <c r="Q3162" s="14"/>
      <c r="R3162" s="14"/>
    </row>
    <row r="3163" spans="15:18" x14ac:dyDescent="0.3">
      <c r="O3163" s="14"/>
      <c r="P3163" s="14"/>
      <c r="Q3163" s="14"/>
      <c r="R3163" s="14"/>
    </row>
    <row r="3164" spans="15:18" x14ac:dyDescent="0.3">
      <c r="O3164" s="14"/>
      <c r="P3164" s="14"/>
      <c r="Q3164" s="14"/>
      <c r="R3164" s="14"/>
    </row>
    <row r="3165" spans="15:18" x14ac:dyDescent="0.3">
      <c r="O3165" s="14"/>
      <c r="P3165" s="14"/>
      <c r="Q3165" s="14"/>
      <c r="R3165" s="14"/>
    </row>
    <row r="3166" spans="15:18" x14ac:dyDescent="0.3">
      <c r="O3166" s="14"/>
      <c r="P3166" s="14"/>
      <c r="Q3166" s="14"/>
      <c r="R3166" s="14"/>
    </row>
    <row r="3167" spans="15:18" x14ac:dyDescent="0.3">
      <c r="O3167" s="14"/>
      <c r="P3167" s="14"/>
      <c r="Q3167" s="14"/>
      <c r="R3167" s="14"/>
    </row>
    <row r="3168" spans="15:18" x14ac:dyDescent="0.3">
      <c r="O3168" s="14"/>
      <c r="P3168" s="14"/>
      <c r="Q3168" s="14"/>
      <c r="R3168" s="14"/>
    </row>
    <row r="3169" spans="15:18" x14ac:dyDescent="0.3">
      <c r="O3169" s="14"/>
      <c r="P3169" s="14"/>
      <c r="Q3169" s="14"/>
      <c r="R3169" s="14"/>
    </row>
    <row r="3170" spans="15:18" x14ac:dyDescent="0.3">
      <c r="O3170" s="14"/>
      <c r="P3170" s="14"/>
      <c r="Q3170" s="14"/>
      <c r="R3170" s="14"/>
    </row>
    <row r="3171" spans="15:18" x14ac:dyDescent="0.3">
      <c r="O3171" s="14"/>
      <c r="P3171" s="14"/>
      <c r="Q3171" s="14"/>
      <c r="R3171" s="14"/>
    </row>
    <row r="3172" spans="15:18" x14ac:dyDescent="0.3">
      <c r="O3172" s="14"/>
      <c r="P3172" s="14"/>
      <c r="Q3172" s="14"/>
      <c r="R3172" s="14"/>
    </row>
    <row r="3173" spans="15:18" x14ac:dyDescent="0.3">
      <c r="O3173" s="14"/>
      <c r="P3173" s="14"/>
      <c r="Q3173" s="14"/>
      <c r="R3173" s="14"/>
    </row>
    <row r="3174" spans="15:18" x14ac:dyDescent="0.3">
      <c r="O3174" s="14"/>
      <c r="P3174" s="14"/>
      <c r="Q3174" s="14"/>
      <c r="R3174" s="14"/>
    </row>
    <row r="3175" spans="15:18" x14ac:dyDescent="0.3">
      <c r="O3175" s="14"/>
      <c r="P3175" s="14"/>
      <c r="Q3175" s="14"/>
      <c r="R3175" s="14"/>
    </row>
    <row r="3176" spans="15:18" x14ac:dyDescent="0.3">
      <c r="O3176" s="14"/>
      <c r="P3176" s="14"/>
      <c r="Q3176" s="14"/>
      <c r="R3176" s="14"/>
    </row>
    <row r="3177" spans="15:18" x14ac:dyDescent="0.3">
      <c r="O3177" s="14"/>
      <c r="P3177" s="14"/>
      <c r="Q3177" s="14"/>
      <c r="R3177" s="14"/>
    </row>
    <row r="3178" spans="15:18" x14ac:dyDescent="0.3">
      <c r="O3178" s="14"/>
      <c r="P3178" s="14"/>
      <c r="Q3178" s="14"/>
      <c r="R3178" s="14"/>
    </row>
    <row r="3179" spans="15:18" x14ac:dyDescent="0.3">
      <c r="O3179" s="14"/>
      <c r="P3179" s="14"/>
      <c r="Q3179" s="14"/>
      <c r="R3179" s="14"/>
    </row>
    <row r="3180" spans="15:18" x14ac:dyDescent="0.3">
      <c r="O3180" s="14"/>
      <c r="P3180" s="14"/>
      <c r="Q3180" s="14"/>
      <c r="R3180" s="14"/>
    </row>
    <row r="3181" spans="15:18" x14ac:dyDescent="0.3">
      <c r="O3181" s="14"/>
      <c r="P3181" s="14"/>
      <c r="Q3181" s="14"/>
      <c r="R3181" s="14"/>
    </row>
    <row r="3182" spans="15:18" x14ac:dyDescent="0.3">
      <c r="O3182" s="14"/>
      <c r="P3182" s="14"/>
      <c r="Q3182" s="14"/>
      <c r="R3182" s="14"/>
    </row>
    <row r="3183" spans="15:18" x14ac:dyDescent="0.3">
      <c r="O3183" s="14"/>
      <c r="P3183" s="14"/>
      <c r="Q3183" s="14"/>
      <c r="R3183" s="14"/>
    </row>
    <row r="3184" spans="15:18" x14ac:dyDescent="0.3">
      <c r="O3184" s="14"/>
      <c r="P3184" s="14"/>
      <c r="Q3184" s="14"/>
      <c r="R3184" s="14"/>
    </row>
    <row r="3185" spans="15:18" x14ac:dyDescent="0.3">
      <c r="O3185" s="14"/>
      <c r="P3185" s="14"/>
      <c r="Q3185" s="14"/>
      <c r="R3185" s="14"/>
    </row>
    <row r="3186" spans="15:18" x14ac:dyDescent="0.3">
      <c r="O3186" s="14"/>
      <c r="P3186" s="14"/>
      <c r="Q3186" s="14"/>
      <c r="R3186" s="14"/>
    </row>
    <row r="3187" spans="15:18" x14ac:dyDescent="0.3">
      <c r="O3187" s="14"/>
      <c r="P3187" s="14"/>
      <c r="Q3187" s="14"/>
      <c r="R3187" s="14"/>
    </row>
    <row r="3188" spans="15:18" x14ac:dyDescent="0.3">
      <c r="O3188" s="14"/>
      <c r="P3188" s="14"/>
      <c r="Q3188" s="14"/>
      <c r="R3188" s="14"/>
    </row>
    <row r="3189" spans="15:18" x14ac:dyDescent="0.3">
      <c r="O3189" s="14"/>
      <c r="P3189" s="14"/>
      <c r="Q3189" s="14"/>
      <c r="R3189" s="14"/>
    </row>
    <row r="3190" spans="15:18" x14ac:dyDescent="0.3">
      <c r="O3190" s="14"/>
      <c r="P3190" s="14"/>
      <c r="Q3190" s="14"/>
      <c r="R3190" s="14"/>
    </row>
    <row r="3191" spans="15:18" x14ac:dyDescent="0.3">
      <c r="O3191" s="14"/>
      <c r="P3191" s="14"/>
      <c r="Q3191" s="14"/>
      <c r="R3191" s="14"/>
    </row>
    <row r="3192" spans="15:18" x14ac:dyDescent="0.3">
      <c r="O3192" s="14"/>
      <c r="P3192" s="14"/>
      <c r="Q3192" s="14"/>
      <c r="R3192" s="14"/>
    </row>
    <row r="3193" spans="15:18" x14ac:dyDescent="0.3">
      <c r="O3193" s="14"/>
      <c r="P3193" s="14"/>
      <c r="Q3193" s="14"/>
      <c r="R3193" s="14"/>
    </row>
    <row r="3194" spans="15:18" x14ac:dyDescent="0.3">
      <c r="O3194" s="14"/>
      <c r="P3194" s="14"/>
      <c r="Q3194" s="14"/>
      <c r="R3194" s="14"/>
    </row>
    <row r="3195" spans="15:18" x14ac:dyDescent="0.3">
      <c r="O3195" s="14"/>
      <c r="P3195" s="14"/>
      <c r="Q3195" s="14"/>
      <c r="R3195" s="14"/>
    </row>
    <row r="3196" spans="15:18" x14ac:dyDescent="0.3">
      <c r="O3196" s="14"/>
      <c r="P3196" s="14"/>
      <c r="Q3196" s="14"/>
      <c r="R3196" s="14"/>
    </row>
    <row r="3197" spans="15:18" x14ac:dyDescent="0.3">
      <c r="O3197" s="14"/>
      <c r="P3197" s="14"/>
      <c r="Q3197" s="14"/>
      <c r="R3197" s="14"/>
    </row>
    <row r="3198" spans="15:18" x14ac:dyDescent="0.3">
      <c r="O3198" s="14"/>
      <c r="P3198" s="14"/>
      <c r="Q3198" s="14"/>
      <c r="R3198" s="14"/>
    </row>
    <row r="3199" spans="15:18" x14ac:dyDescent="0.3">
      <c r="O3199" s="14"/>
      <c r="P3199" s="14"/>
      <c r="Q3199" s="14"/>
      <c r="R3199" s="14"/>
    </row>
    <row r="3200" spans="15:18" x14ac:dyDescent="0.3">
      <c r="O3200" s="14"/>
      <c r="P3200" s="14"/>
      <c r="Q3200" s="14"/>
      <c r="R3200" s="14"/>
    </row>
    <row r="3201" spans="15:18" x14ac:dyDescent="0.3">
      <c r="O3201" s="14"/>
      <c r="P3201" s="14"/>
      <c r="Q3201" s="14"/>
      <c r="R3201" s="14"/>
    </row>
    <row r="3202" spans="15:18" x14ac:dyDescent="0.3">
      <c r="O3202" s="14"/>
      <c r="P3202" s="14"/>
      <c r="Q3202" s="14"/>
      <c r="R3202" s="14"/>
    </row>
    <row r="3203" spans="15:18" x14ac:dyDescent="0.3">
      <c r="O3203" s="14"/>
      <c r="P3203" s="14"/>
      <c r="Q3203" s="14"/>
      <c r="R3203" s="14"/>
    </row>
    <row r="3204" spans="15:18" x14ac:dyDescent="0.3">
      <c r="O3204" s="14"/>
      <c r="P3204" s="14"/>
      <c r="Q3204" s="14"/>
      <c r="R3204" s="14"/>
    </row>
    <row r="3205" spans="15:18" x14ac:dyDescent="0.3">
      <c r="O3205" s="14"/>
      <c r="P3205" s="14"/>
      <c r="Q3205" s="14"/>
      <c r="R3205" s="14"/>
    </row>
    <row r="3206" spans="15:18" x14ac:dyDescent="0.3">
      <c r="O3206" s="14"/>
      <c r="P3206" s="14"/>
      <c r="Q3206" s="14"/>
      <c r="R3206" s="14"/>
    </row>
    <row r="3207" spans="15:18" x14ac:dyDescent="0.3">
      <c r="O3207" s="14"/>
      <c r="P3207" s="14"/>
      <c r="Q3207" s="14"/>
      <c r="R3207" s="14"/>
    </row>
    <row r="3208" spans="15:18" x14ac:dyDescent="0.3">
      <c r="O3208" s="14"/>
      <c r="P3208" s="14"/>
      <c r="Q3208" s="14"/>
      <c r="R3208" s="14"/>
    </row>
    <row r="3209" spans="15:18" x14ac:dyDescent="0.3">
      <c r="O3209" s="14"/>
      <c r="P3209" s="14"/>
      <c r="Q3209" s="14"/>
      <c r="R3209" s="14"/>
    </row>
    <row r="3210" spans="15:18" x14ac:dyDescent="0.3">
      <c r="O3210" s="14"/>
      <c r="P3210" s="14"/>
      <c r="Q3210" s="14"/>
      <c r="R3210" s="14"/>
    </row>
    <row r="3211" spans="15:18" x14ac:dyDescent="0.3">
      <c r="O3211" s="14"/>
      <c r="P3211" s="14"/>
      <c r="Q3211" s="14"/>
      <c r="R3211" s="14"/>
    </row>
    <row r="3212" spans="15:18" x14ac:dyDescent="0.3">
      <c r="O3212" s="14"/>
      <c r="P3212" s="14"/>
      <c r="Q3212" s="14"/>
      <c r="R3212" s="14"/>
    </row>
    <row r="3213" spans="15:18" x14ac:dyDescent="0.3">
      <c r="O3213" s="14"/>
      <c r="P3213" s="14"/>
      <c r="Q3213" s="14"/>
      <c r="R3213" s="14"/>
    </row>
    <row r="3214" spans="15:18" x14ac:dyDescent="0.3">
      <c r="O3214" s="14"/>
      <c r="P3214" s="14"/>
      <c r="Q3214" s="14"/>
      <c r="R3214" s="14"/>
    </row>
    <row r="3215" spans="15:18" x14ac:dyDescent="0.3">
      <c r="O3215" s="14"/>
      <c r="P3215" s="14"/>
      <c r="Q3215" s="14"/>
      <c r="R3215" s="14"/>
    </row>
    <row r="3216" spans="15:18" x14ac:dyDescent="0.3">
      <c r="O3216" s="14"/>
      <c r="P3216" s="14"/>
      <c r="Q3216" s="14"/>
      <c r="R3216" s="14"/>
    </row>
    <row r="3217" spans="15:18" x14ac:dyDescent="0.3">
      <c r="O3217" s="14"/>
      <c r="P3217" s="14"/>
      <c r="Q3217" s="14"/>
      <c r="R3217" s="14"/>
    </row>
    <row r="3218" spans="15:18" x14ac:dyDescent="0.3">
      <c r="O3218" s="14"/>
      <c r="P3218" s="14"/>
      <c r="Q3218" s="14"/>
      <c r="R3218" s="14"/>
    </row>
    <row r="3219" spans="15:18" x14ac:dyDescent="0.3">
      <c r="O3219" s="14"/>
      <c r="P3219" s="14"/>
      <c r="Q3219" s="14"/>
      <c r="R3219" s="14"/>
    </row>
    <row r="3220" spans="15:18" x14ac:dyDescent="0.3">
      <c r="O3220" s="14"/>
      <c r="P3220" s="14"/>
      <c r="Q3220" s="14"/>
      <c r="R3220" s="14"/>
    </row>
    <row r="3221" spans="15:18" x14ac:dyDescent="0.3">
      <c r="O3221" s="14"/>
      <c r="P3221" s="14"/>
      <c r="Q3221" s="14"/>
      <c r="R3221" s="14"/>
    </row>
    <row r="3222" spans="15:18" x14ac:dyDescent="0.3">
      <c r="O3222" s="14"/>
      <c r="P3222" s="14"/>
      <c r="Q3222" s="14"/>
      <c r="R3222" s="14"/>
    </row>
    <row r="3223" spans="15:18" x14ac:dyDescent="0.3">
      <c r="O3223" s="14"/>
      <c r="P3223" s="14"/>
      <c r="Q3223" s="14"/>
      <c r="R3223" s="14"/>
    </row>
    <row r="3224" spans="15:18" x14ac:dyDescent="0.3">
      <c r="O3224" s="14"/>
      <c r="P3224" s="14"/>
      <c r="Q3224" s="14"/>
      <c r="R3224" s="14"/>
    </row>
    <row r="3225" spans="15:18" x14ac:dyDescent="0.3">
      <c r="O3225" s="14"/>
      <c r="P3225" s="14"/>
      <c r="Q3225" s="14"/>
      <c r="R3225" s="14"/>
    </row>
    <row r="3226" spans="15:18" x14ac:dyDescent="0.3">
      <c r="O3226" s="14"/>
      <c r="P3226" s="14"/>
      <c r="Q3226" s="14"/>
      <c r="R3226" s="14"/>
    </row>
    <row r="3227" spans="15:18" x14ac:dyDescent="0.3">
      <c r="O3227" s="14"/>
      <c r="P3227" s="14"/>
      <c r="Q3227" s="14"/>
      <c r="R3227" s="14"/>
    </row>
    <row r="3228" spans="15:18" x14ac:dyDescent="0.3">
      <c r="O3228" s="14"/>
      <c r="P3228" s="14"/>
      <c r="Q3228" s="14"/>
      <c r="R3228" s="14"/>
    </row>
    <row r="3229" spans="15:18" x14ac:dyDescent="0.3">
      <c r="O3229" s="14"/>
      <c r="P3229" s="14"/>
      <c r="Q3229" s="14"/>
      <c r="R3229" s="14"/>
    </row>
    <row r="3230" spans="15:18" x14ac:dyDescent="0.3">
      <c r="O3230" s="14"/>
      <c r="P3230" s="14"/>
      <c r="Q3230" s="14"/>
      <c r="R3230" s="14"/>
    </row>
    <row r="3231" spans="15:18" x14ac:dyDescent="0.3">
      <c r="O3231" s="14"/>
      <c r="P3231" s="14"/>
      <c r="Q3231" s="14"/>
      <c r="R3231" s="14"/>
    </row>
    <row r="3232" spans="15:18" x14ac:dyDescent="0.3">
      <c r="O3232" s="14"/>
      <c r="P3232" s="14"/>
      <c r="Q3232" s="14"/>
      <c r="R3232" s="14"/>
    </row>
    <row r="3233" spans="15:18" x14ac:dyDescent="0.3">
      <c r="O3233" s="14"/>
      <c r="P3233" s="14"/>
      <c r="Q3233" s="14"/>
      <c r="R3233" s="14"/>
    </row>
    <row r="3234" spans="15:18" x14ac:dyDescent="0.3">
      <c r="O3234" s="14"/>
      <c r="P3234" s="14"/>
      <c r="Q3234" s="14"/>
      <c r="R3234" s="14"/>
    </row>
    <row r="3235" spans="15:18" x14ac:dyDescent="0.3">
      <c r="O3235" s="14"/>
      <c r="P3235" s="14"/>
      <c r="Q3235" s="14"/>
      <c r="R3235" s="14"/>
    </row>
    <row r="3236" spans="15:18" x14ac:dyDescent="0.3">
      <c r="O3236" s="14"/>
      <c r="P3236" s="14"/>
      <c r="Q3236" s="14"/>
      <c r="R3236" s="14"/>
    </row>
    <row r="3237" spans="15:18" x14ac:dyDescent="0.3">
      <c r="O3237" s="14"/>
      <c r="P3237" s="14"/>
      <c r="Q3237" s="14"/>
      <c r="R3237" s="14"/>
    </row>
    <row r="3238" spans="15:18" x14ac:dyDescent="0.3">
      <c r="O3238" s="14"/>
      <c r="P3238" s="14"/>
      <c r="Q3238" s="14"/>
      <c r="R3238" s="14"/>
    </row>
    <row r="3239" spans="15:18" x14ac:dyDescent="0.3">
      <c r="O3239" s="14"/>
      <c r="P3239" s="14"/>
      <c r="Q3239" s="14"/>
      <c r="R3239" s="14"/>
    </row>
    <row r="3240" spans="15:18" x14ac:dyDescent="0.3">
      <c r="O3240" s="14"/>
      <c r="P3240" s="14"/>
      <c r="Q3240" s="14"/>
      <c r="R3240" s="14"/>
    </row>
    <row r="3241" spans="15:18" x14ac:dyDescent="0.3">
      <c r="O3241" s="14"/>
      <c r="P3241" s="14"/>
      <c r="Q3241" s="14"/>
      <c r="R3241" s="14"/>
    </row>
    <row r="3242" spans="15:18" x14ac:dyDescent="0.3">
      <c r="O3242" s="14"/>
      <c r="P3242" s="14"/>
      <c r="Q3242" s="14"/>
      <c r="R3242" s="14"/>
    </row>
    <row r="3243" spans="15:18" x14ac:dyDescent="0.3">
      <c r="O3243" s="14"/>
      <c r="P3243" s="14"/>
      <c r="Q3243" s="14"/>
      <c r="R3243" s="14"/>
    </row>
    <row r="3244" spans="15:18" x14ac:dyDescent="0.3">
      <c r="O3244" s="14"/>
      <c r="P3244" s="14"/>
      <c r="Q3244" s="14"/>
      <c r="R3244" s="14"/>
    </row>
    <row r="3245" spans="15:18" x14ac:dyDescent="0.3">
      <c r="O3245" s="14"/>
      <c r="P3245" s="14"/>
      <c r="Q3245" s="14"/>
      <c r="R3245" s="14"/>
    </row>
    <row r="3246" spans="15:18" x14ac:dyDescent="0.3">
      <c r="O3246" s="14"/>
      <c r="P3246" s="14"/>
      <c r="Q3246" s="14"/>
      <c r="R3246" s="14"/>
    </row>
    <row r="3247" spans="15:18" x14ac:dyDescent="0.3">
      <c r="O3247" s="14"/>
      <c r="P3247" s="14"/>
      <c r="Q3247" s="14"/>
      <c r="R3247" s="14"/>
    </row>
    <row r="3248" spans="15:18" x14ac:dyDescent="0.3">
      <c r="O3248" s="14"/>
      <c r="P3248" s="14"/>
      <c r="Q3248" s="14"/>
      <c r="R3248" s="14"/>
    </row>
    <row r="3249" spans="15:18" x14ac:dyDescent="0.3">
      <c r="O3249" s="14"/>
      <c r="P3249" s="14"/>
      <c r="Q3249" s="14"/>
      <c r="R3249" s="14"/>
    </row>
    <row r="3250" spans="15:18" x14ac:dyDescent="0.3">
      <c r="O3250" s="14"/>
      <c r="P3250" s="14"/>
      <c r="Q3250" s="14"/>
      <c r="R3250" s="14"/>
    </row>
    <row r="3251" spans="15:18" x14ac:dyDescent="0.3">
      <c r="O3251" s="14"/>
      <c r="P3251" s="14"/>
      <c r="Q3251" s="14"/>
      <c r="R3251" s="14"/>
    </row>
    <row r="3252" spans="15:18" x14ac:dyDescent="0.3">
      <c r="O3252" s="14"/>
      <c r="P3252" s="14"/>
      <c r="Q3252" s="14"/>
      <c r="R3252" s="14"/>
    </row>
    <row r="3253" spans="15:18" x14ac:dyDescent="0.3">
      <c r="O3253" s="14"/>
      <c r="P3253" s="14"/>
      <c r="Q3253" s="14"/>
      <c r="R3253" s="14"/>
    </row>
    <row r="3254" spans="15:18" x14ac:dyDescent="0.3">
      <c r="O3254" s="14"/>
      <c r="P3254" s="14"/>
      <c r="Q3254" s="14"/>
      <c r="R3254" s="14"/>
    </row>
    <row r="3255" spans="15:18" x14ac:dyDescent="0.3">
      <c r="O3255" s="14"/>
      <c r="P3255" s="14"/>
      <c r="Q3255" s="14"/>
      <c r="R3255" s="14"/>
    </row>
    <row r="3256" spans="15:18" x14ac:dyDescent="0.3">
      <c r="O3256" s="14"/>
      <c r="P3256" s="14"/>
      <c r="Q3256" s="14"/>
      <c r="R3256" s="14"/>
    </row>
    <row r="3257" spans="15:18" x14ac:dyDescent="0.3">
      <c r="O3257" s="14"/>
      <c r="P3257" s="14"/>
      <c r="Q3257" s="14"/>
      <c r="R3257" s="14"/>
    </row>
    <row r="3258" spans="15:18" x14ac:dyDescent="0.3">
      <c r="O3258" s="14"/>
      <c r="P3258" s="14"/>
      <c r="Q3258" s="14"/>
      <c r="R3258" s="14"/>
    </row>
    <row r="3259" spans="15:18" x14ac:dyDescent="0.3">
      <c r="O3259" s="14"/>
      <c r="P3259" s="14"/>
      <c r="Q3259" s="14"/>
      <c r="R3259" s="14"/>
    </row>
    <row r="3260" spans="15:18" x14ac:dyDescent="0.3">
      <c r="O3260" s="14"/>
      <c r="P3260" s="14"/>
      <c r="Q3260" s="14"/>
      <c r="R3260" s="14"/>
    </row>
    <row r="3261" spans="15:18" x14ac:dyDescent="0.3">
      <c r="O3261" s="14"/>
      <c r="P3261" s="14"/>
      <c r="Q3261" s="14"/>
      <c r="R3261" s="14"/>
    </row>
    <row r="3262" spans="15:18" x14ac:dyDescent="0.3">
      <c r="O3262" s="14"/>
      <c r="P3262" s="14"/>
      <c r="Q3262" s="14"/>
      <c r="R3262" s="14"/>
    </row>
    <row r="3263" spans="15:18" x14ac:dyDescent="0.3">
      <c r="O3263" s="14"/>
      <c r="P3263" s="14"/>
      <c r="Q3263" s="14"/>
      <c r="R3263" s="14"/>
    </row>
    <row r="3264" spans="15:18" x14ac:dyDescent="0.3">
      <c r="O3264" s="14"/>
      <c r="P3264" s="14"/>
      <c r="Q3264" s="14"/>
      <c r="R3264" s="14"/>
    </row>
    <row r="3265" spans="15:18" x14ac:dyDescent="0.3">
      <c r="O3265" s="14"/>
      <c r="P3265" s="14"/>
      <c r="Q3265" s="14"/>
      <c r="R3265" s="14"/>
    </row>
    <row r="3266" spans="15:18" x14ac:dyDescent="0.3">
      <c r="O3266" s="14"/>
      <c r="P3266" s="14"/>
      <c r="Q3266" s="14"/>
      <c r="R3266" s="14"/>
    </row>
    <row r="3267" spans="15:18" x14ac:dyDescent="0.3">
      <c r="O3267" s="14"/>
      <c r="P3267" s="14"/>
      <c r="Q3267" s="14"/>
      <c r="R3267" s="14"/>
    </row>
    <row r="3268" spans="15:18" x14ac:dyDescent="0.3">
      <c r="O3268" s="14"/>
      <c r="P3268" s="14"/>
      <c r="Q3268" s="14"/>
      <c r="R3268" s="14"/>
    </row>
    <row r="3269" spans="15:18" x14ac:dyDescent="0.3">
      <c r="O3269" s="14"/>
      <c r="P3269" s="14"/>
      <c r="Q3269" s="14"/>
      <c r="R3269" s="14"/>
    </row>
    <row r="3270" spans="15:18" x14ac:dyDescent="0.3">
      <c r="O3270" s="14"/>
      <c r="P3270" s="14"/>
      <c r="Q3270" s="14"/>
      <c r="R3270" s="14"/>
    </row>
    <row r="3271" spans="15:18" x14ac:dyDescent="0.3">
      <c r="O3271" s="14"/>
      <c r="P3271" s="14"/>
      <c r="Q3271" s="14"/>
      <c r="R3271" s="14"/>
    </row>
    <row r="3272" spans="15:18" x14ac:dyDescent="0.3">
      <c r="O3272" s="14"/>
      <c r="P3272" s="14"/>
      <c r="Q3272" s="14"/>
      <c r="R3272" s="14"/>
    </row>
    <row r="3273" spans="15:18" x14ac:dyDescent="0.3">
      <c r="O3273" s="14"/>
      <c r="P3273" s="14"/>
      <c r="Q3273" s="14"/>
      <c r="R3273" s="14"/>
    </row>
    <row r="3274" spans="15:18" x14ac:dyDescent="0.3">
      <c r="O3274" s="14"/>
      <c r="P3274" s="14"/>
      <c r="Q3274" s="14"/>
      <c r="R3274" s="14"/>
    </row>
    <row r="3275" spans="15:18" x14ac:dyDescent="0.3">
      <c r="O3275" s="14"/>
      <c r="P3275" s="14"/>
      <c r="Q3275" s="14"/>
      <c r="R3275" s="14"/>
    </row>
    <row r="3276" spans="15:18" x14ac:dyDescent="0.3">
      <c r="O3276" s="14"/>
      <c r="P3276" s="14"/>
      <c r="Q3276" s="14"/>
      <c r="R3276" s="14"/>
    </row>
    <row r="3277" spans="15:18" x14ac:dyDescent="0.3">
      <c r="O3277" s="14"/>
      <c r="P3277" s="14"/>
      <c r="Q3277" s="14"/>
      <c r="R3277" s="14"/>
    </row>
    <row r="3278" spans="15:18" x14ac:dyDescent="0.3">
      <c r="O3278" s="14"/>
      <c r="P3278" s="14"/>
      <c r="Q3278" s="14"/>
      <c r="R3278" s="14"/>
    </row>
    <row r="3279" spans="15:18" x14ac:dyDescent="0.3">
      <c r="O3279" s="14"/>
      <c r="P3279" s="14"/>
      <c r="Q3279" s="14"/>
      <c r="R3279" s="14"/>
    </row>
    <row r="3280" spans="15:18" x14ac:dyDescent="0.3">
      <c r="O3280" s="14"/>
      <c r="P3280" s="14"/>
      <c r="Q3280" s="14"/>
      <c r="R3280" s="14"/>
    </row>
    <row r="3281" spans="15:18" x14ac:dyDescent="0.3">
      <c r="O3281" s="14"/>
      <c r="P3281" s="14"/>
      <c r="Q3281" s="14"/>
      <c r="R3281" s="14"/>
    </row>
    <row r="3282" spans="15:18" x14ac:dyDescent="0.3">
      <c r="O3282" s="14"/>
      <c r="P3282" s="14"/>
      <c r="Q3282" s="14"/>
      <c r="R3282" s="14"/>
    </row>
    <row r="3283" spans="15:18" x14ac:dyDescent="0.3">
      <c r="O3283" s="14"/>
      <c r="P3283" s="14"/>
      <c r="Q3283" s="14"/>
      <c r="R3283" s="14"/>
    </row>
    <row r="3284" spans="15:18" x14ac:dyDescent="0.3">
      <c r="O3284" s="14"/>
      <c r="P3284" s="14"/>
      <c r="Q3284" s="14"/>
      <c r="R3284" s="14"/>
    </row>
    <row r="3285" spans="15:18" x14ac:dyDescent="0.3">
      <c r="O3285" s="14"/>
      <c r="P3285" s="14"/>
      <c r="Q3285" s="14"/>
      <c r="R3285" s="14"/>
    </row>
    <row r="3286" spans="15:18" x14ac:dyDescent="0.3">
      <c r="O3286" s="14"/>
      <c r="P3286" s="14"/>
      <c r="Q3286" s="14"/>
      <c r="R3286" s="14"/>
    </row>
    <row r="3287" spans="15:18" x14ac:dyDescent="0.3">
      <c r="O3287" s="14"/>
      <c r="P3287" s="14"/>
      <c r="Q3287" s="14"/>
      <c r="R3287" s="14"/>
    </row>
    <row r="3288" spans="15:18" x14ac:dyDescent="0.3">
      <c r="O3288" s="14"/>
      <c r="P3288" s="14"/>
      <c r="Q3288" s="14"/>
      <c r="R3288" s="14"/>
    </row>
    <row r="3289" spans="15:18" x14ac:dyDescent="0.3">
      <c r="O3289" s="14"/>
      <c r="P3289" s="14"/>
      <c r="Q3289" s="14"/>
      <c r="R3289" s="14"/>
    </row>
    <row r="3290" spans="15:18" x14ac:dyDescent="0.3">
      <c r="O3290" s="14"/>
      <c r="P3290" s="14"/>
      <c r="Q3290" s="14"/>
      <c r="R3290" s="14"/>
    </row>
    <row r="3291" spans="15:18" x14ac:dyDescent="0.3">
      <c r="O3291" s="14"/>
      <c r="P3291" s="14"/>
      <c r="Q3291" s="14"/>
      <c r="R3291" s="14"/>
    </row>
    <row r="3292" spans="15:18" x14ac:dyDescent="0.3">
      <c r="O3292" s="14"/>
      <c r="P3292" s="14"/>
      <c r="Q3292" s="14"/>
      <c r="R3292" s="14"/>
    </row>
    <row r="3293" spans="15:18" x14ac:dyDescent="0.3">
      <c r="O3293" s="14"/>
      <c r="P3293" s="14"/>
      <c r="Q3293" s="14"/>
      <c r="R3293" s="14"/>
    </row>
    <row r="3294" spans="15:18" x14ac:dyDescent="0.3">
      <c r="O3294" s="14"/>
      <c r="P3294" s="14"/>
      <c r="Q3294" s="14"/>
      <c r="R3294" s="14"/>
    </row>
    <row r="3295" spans="15:18" x14ac:dyDescent="0.3">
      <c r="O3295" s="14"/>
      <c r="P3295" s="14"/>
      <c r="Q3295" s="14"/>
      <c r="R3295" s="14"/>
    </row>
    <row r="3296" spans="15:18" x14ac:dyDescent="0.3">
      <c r="O3296" s="14"/>
      <c r="P3296" s="14"/>
      <c r="Q3296" s="14"/>
      <c r="R3296" s="14"/>
    </row>
    <row r="3297" spans="15:18" x14ac:dyDescent="0.3">
      <c r="O3297" s="14"/>
      <c r="P3297" s="14"/>
      <c r="Q3297" s="14"/>
      <c r="R3297" s="14"/>
    </row>
    <row r="3298" spans="15:18" x14ac:dyDescent="0.3">
      <c r="O3298" s="14"/>
      <c r="P3298" s="14"/>
      <c r="Q3298" s="14"/>
      <c r="R3298" s="14"/>
    </row>
    <row r="3299" spans="15:18" x14ac:dyDescent="0.3">
      <c r="O3299" s="14"/>
      <c r="P3299" s="14"/>
      <c r="Q3299" s="14"/>
      <c r="R3299" s="14"/>
    </row>
    <row r="3300" spans="15:18" x14ac:dyDescent="0.3">
      <c r="O3300" s="14"/>
      <c r="P3300" s="14"/>
      <c r="Q3300" s="14"/>
      <c r="R3300" s="14"/>
    </row>
    <row r="3301" spans="15:18" x14ac:dyDescent="0.3">
      <c r="O3301" s="14"/>
      <c r="P3301" s="14"/>
      <c r="Q3301" s="14"/>
      <c r="R3301" s="14"/>
    </row>
    <row r="3302" spans="15:18" x14ac:dyDescent="0.3">
      <c r="O3302" s="14"/>
      <c r="P3302" s="14"/>
      <c r="Q3302" s="14"/>
      <c r="R3302" s="14"/>
    </row>
    <row r="3303" spans="15:18" x14ac:dyDescent="0.3">
      <c r="O3303" s="14"/>
      <c r="P3303" s="14"/>
      <c r="Q3303" s="14"/>
      <c r="R3303" s="14"/>
    </row>
    <row r="3304" spans="15:18" x14ac:dyDescent="0.3">
      <c r="O3304" s="14"/>
      <c r="P3304" s="14"/>
      <c r="Q3304" s="14"/>
      <c r="R3304" s="14"/>
    </row>
    <row r="3305" spans="15:18" x14ac:dyDescent="0.3">
      <c r="O3305" s="14"/>
      <c r="P3305" s="14"/>
      <c r="Q3305" s="14"/>
      <c r="R3305" s="14"/>
    </row>
    <row r="3306" spans="15:18" x14ac:dyDescent="0.3">
      <c r="O3306" s="14"/>
      <c r="P3306" s="14"/>
      <c r="Q3306" s="14"/>
      <c r="R3306" s="14"/>
    </row>
    <row r="3307" spans="15:18" x14ac:dyDescent="0.3">
      <c r="O3307" s="14"/>
      <c r="P3307" s="14"/>
      <c r="Q3307" s="14"/>
      <c r="R3307" s="14"/>
    </row>
    <row r="3308" spans="15:18" x14ac:dyDescent="0.3">
      <c r="O3308" s="14"/>
      <c r="P3308" s="14"/>
      <c r="Q3308" s="14"/>
      <c r="R3308" s="14"/>
    </row>
    <row r="3309" spans="15:18" x14ac:dyDescent="0.3">
      <c r="O3309" s="14"/>
      <c r="P3309" s="14"/>
      <c r="Q3309" s="14"/>
      <c r="R3309" s="14"/>
    </row>
    <row r="3310" spans="15:18" x14ac:dyDescent="0.3">
      <c r="O3310" s="14"/>
      <c r="P3310" s="14"/>
      <c r="Q3310" s="14"/>
      <c r="R3310" s="14"/>
    </row>
    <row r="3311" spans="15:18" x14ac:dyDescent="0.3">
      <c r="O3311" s="14"/>
      <c r="P3311" s="14"/>
      <c r="Q3311" s="14"/>
      <c r="R3311" s="14"/>
    </row>
    <row r="3312" spans="15:18" x14ac:dyDescent="0.3">
      <c r="O3312" s="14"/>
      <c r="P3312" s="14"/>
      <c r="Q3312" s="14"/>
      <c r="R3312" s="14"/>
    </row>
    <row r="3313" spans="15:18" x14ac:dyDescent="0.3">
      <c r="O3313" s="14"/>
      <c r="P3313" s="14"/>
      <c r="Q3313" s="14"/>
      <c r="R3313" s="14"/>
    </row>
    <row r="3314" spans="15:18" x14ac:dyDescent="0.3">
      <c r="O3314" s="14"/>
      <c r="P3314" s="14"/>
      <c r="Q3314" s="14"/>
      <c r="R3314" s="14"/>
    </row>
    <row r="3315" spans="15:18" x14ac:dyDescent="0.3">
      <c r="O3315" s="14"/>
      <c r="P3315" s="14"/>
      <c r="Q3315" s="14"/>
      <c r="R3315" s="14"/>
    </row>
    <row r="3316" spans="15:18" x14ac:dyDescent="0.3">
      <c r="O3316" s="14"/>
      <c r="P3316" s="14"/>
      <c r="Q3316" s="14"/>
      <c r="R3316" s="14"/>
    </row>
    <row r="3317" spans="15:18" x14ac:dyDescent="0.3">
      <c r="O3317" s="14"/>
      <c r="P3317" s="14"/>
      <c r="Q3317" s="14"/>
      <c r="R3317" s="14"/>
    </row>
    <row r="3318" spans="15:18" x14ac:dyDescent="0.3">
      <c r="O3318" s="14"/>
      <c r="P3318" s="14"/>
      <c r="Q3318" s="14"/>
      <c r="R3318" s="14"/>
    </row>
    <row r="3319" spans="15:18" x14ac:dyDescent="0.3">
      <c r="O3319" s="14"/>
      <c r="P3319" s="14"/>
      <c r="Q3319" s="14"/>
      <c r="R3319" s="14"/>
    </row>
    <row r="3320" spans="15:18" x14ac:dyDescent="0.3">
      <c r="O3320" s="14"/>
      <c r="P3320" s="14"/>
      <c r="Q3320" s="14"/>
      <c r="R3320" s="14"/>
    </row>
    <row r="3321" spans="15:18" x14ac:dyDescent="0.3">
      <c r="O3321" s="14"/>
      <c r="P3321" s="14"/>
      <c r="Q3321" s="14"/>
      <c r="R3321" s="14"/>
    </row>
    <row r="3322" spans="15:18" x14ac:dyDescent="0.3">
      <c r="O3322" s="14"/>
      <c r="P3322" s="14"/>
      <c r="Q3322" s="14"/>
      <c r="R3322" s="14"/>
    </row>
    <row r="3323" spans="15:18" x14ac:dyDescent="0.3">
      <c r="O3323" s="14"/>
      <c r="P3323" s="14"/>
      <c r="Q3323" s="14"/>
      <c r="R3323" s="14"/>
    </row>
    <row r="3324" spans="15:18" x14ac:dyDescent="0.3">
      <c r="O3324" s="14"/>
      <c r="P3324" s="14"/>
      <c r="Q3324" s="14"/>
      <c r="R3324" s="14"/>
    </row>
    <row r="3325" spans="15:18" x14ac:dyDescent="0.3">
      <c r="O3325" s="14"/>
      <c r="P3325" s="14"/>
      <c r="Q3325" s="14"/>
      <c r="R3325" s="14"/>
    </row>
    <row r="3326" spans="15:18" x14ac:dyDescent="0.3">
      <c r="O3326" s="14"/>
      <c r="P3326" s="14"/>
      <c r="Q3326" s="14"/>
      <c r="R3326" s="14"/>
    </row>
    <row r="3327" spans="15:18" x14ac:dyDescent="0.3">
      <c r="O3327" s="14"/>
      <c r="P3327" s="14"/>
      <c r="Q3327" s="14"/>
      <c r="R3327" s="14"/>
    </row>
    <row r="3328" spans="15:18" x14ac:dyDescent="0.3">
      <c r="O3328" s="14"/>
      <c r="P3328" s="14"/>
      <c r="Q3328" s="14"/>
      <c r="R3328" s="14"/>
    </row>
    <row r="3329" spans="15:18" x14ac:dyDescent="0.3">
      <c r="O3329" s="14"/>
      <c r="P3329" s="14"/>
      <c r="Q3329" s="14"/>
      <c r="R3329" s="14"/>
    </row>
    <row r="3330" spans="15:18" x14ac:dyDescent="0.3">
      <c r="O3330" s="14"/>
      <c r="P3330" s="14"/>
      <c r="Q3330" s="14"/>
      <c r="R3330" s="14"/>
    </row>
    <row r="3331" spans="15:18" x14ac:dyDescent="0.3">
      <c r="O3331" s="14"/>
      <c r="P3331" s="14"/>
      <c r="Q3331" s="14"/>
      <c r="R3331" s="14"/>
    </row>
    <row r="3332" spans="15:18" x14ac:dyDescent="0.3">
      <c r="O3332" s="14"/>
      <c r="P3332" s="14"/>
      <c r="Q3332" s="14"/>
      <c r="R3332" s="14"/>
    </row>
    <row r="3333" spans="15:18" x14ac:dyDescent="0.3">
      <c r="O3333" s="14"/>
      <c r="P3333" s="14"/>
      <c r="Q3333" s="14"/>
      <c r="R3333" s="14"/>
    </row>
    <row r="3334" spans="15:18" x14ac:dyDescent="0.3">
      <c r="O3334" s="14"/>
      <c r="P3334" s="14"/>
      <c r="Q3334" s="14"/>
      <c r="R3334" s="14"/>
    </row>
    <row r="3335" spans="15:18" x14ac:dyDescent="0.3">
      <c r="O3335" s="14"/>
      <c r="P3335" s="14"/>
      <c r="Q3335" s="14"/>
      <c r="R3335" s="14"/>
    </row>
    <row r="3336" spans="15:18" x14ac:dyDescent="0.3">
      <c r="O3336" s="14"/>
      <c r="P3336" s="14"/>
      <c r="Q3336" s="14"/>
      <c r="R3336" s="14"/>
    </row>
    <row r="3337" spans="15:18" x14ac:dyDescent="0.3">
      <c r="O3337" s="14"/>
      <c r="P3337" s="14"/>
      <c r="Q3337" s="14"/>
      <c r="R3337" s="14"/>
    </row>
    <row r="3338" spans="15:18" x14ac:dyDescent="0.3">
      <c r="O3338" s="14"/>
      <c r="P3338" s="14"/>
      <c r="Q3338" s="14"/>
      <c r="R3338" s="14"/>
    </row>
    <row r="3339" spans="15:18" x14ac:dyDescent="0.3">
      <c r="O3339" s="14"/>
      <c r="P3339" s="14"/>
      <c r="Q3339" s="14"/>
      <c r="R3339" s="14"/>
    </row>
    <row r="3340" spans="15:18" x14ac:dyDescent="0.3">
      <c r="O3340" s="14"/>
      <c r="P3340" s="14"/>
      <c r="Q3340" s="14"/>
      <c r="R3340" s="14"/>
    </row>
    <row r="3341" spans="15:18" x14ac:dyDescent="0.3">
      <c r="O3341" s="14"/>
      <c r="P3341" s="14"/>
      <c r="Q3341" s="14"/>
      <c r="R3341" s="14"/>
    </row>
    <row r="3342" spans="15:18" x14ac:dyDescent="0.3">
      <c r="O3342" s="14"/>
      <c r="P3342" s="14"/>
      <c r="Q3342" s="14"/>
      <c r="R3342" s="14"/>
    </row>
    <row r="3343" spans="15:18" x14ac:dyDescent="0.3">
      <c r="O3343" s="14"/>
      <c r="P3343" s="14"/>
      <c r="Q3343" s="14"/>
      <c r="R3343" s="14"/>
    </row>
    <row r="3344" spans="15:18" x14ac:dyDescent="0.3">
      <c r="O3344" s="14"/>
      <c r="P3344" s="14"/>
      <c r="Q3344" s="14"/>
      <c r="R3344" s="14"/>
    </row>
    <row r="3345" spans="15:18" x14ac:dyDescent="0.3">
      <c r="O3345" s="14"/>
      <c r="P3345" s="14"/>
      <c r="Q3345" s="14"/>
      <c r="R3345" s="14"/>
    </row>
    <row r="3346" spans="15:18" x14ac:dyDescent="0.3">
      <c r="O3346" s="14"/>
      <c r="P3346" s="14"/>
      <c r="Q3346" s="14"/>
      <c r="R3346" s="14"/>
    </row>
    <row r="3347" spans="15:18" x14ac:dyDescent="0.3">
      <c r="O3347" s="14"/>
      <c r="P3347" s="14"/>
      <c r="Q3347" s="14"/>
      <c r="R3347" s="14"/>
    </row>
    <row r="3348" spans="15:18" x14ac:dyDescent="0.3">
      <c r="O3348" s="14"/>
      <c r="P3348" s="14"/>
      <c r="Q3348" s="14"/>
      <c r="R3348" s="14"/>
    </row>
    <row r="3349" spans="15:18" x14ac:dyDescent="0.3">
      <c r="O3349" s="14"/>
      <c r="P3349" s="14"/>
      <c r="Q3349" s="14"/>
      <c r="R3349" s="14"/>
    </row>
    <row r="3350" spans="15:18" x14ac:dyDescent="0.3">
      <c r="O3350" s="14"/>
      <c r="P3350" s="14"/>
      <c r="Q3350" s="14"/>
      <c r="R3350" s="14"/>
    </row>
    <row r="3351" spans="15:18" x14ac:dyDescent="0.3">
      <c r="O3351" s="14"/>
      <c r="P3351" s="14"/>
      <c r="Q3351" s="14"/>
      <c r="R3351" s="14"/>
    </row>
    <row r="3352" spans="15:18" x14ac:dyDescent="0.3">
      <c r="O3352" s="14"/>
      <c r="P3352" s="14"/>
      <c r="Q3352" s="14"/>
      <c r="R3352" s="14"/>
    </row>
    <row r="3353" spans="15:18" x14ac:dyDescent="0.3">
      <c r="O3353" s="14"/>
      <c r="P3353" s="14"/>
      <c r="Q3353" s="14"/>
      <c r="R3353" s="14"/>
    </row>
    <row r="3354" spans="15:18" x14ac:dyDescent="0.3">
      <c r="O3354" s="14"/>
      <c r="P3354" s="14"/>
      <c r="Q3354" s="14"/>
      <c r="R3354" s="14"/>
    </row>
    <row r="3355" spans="15:18" x14ac:dyDescent="0.3">
      <c r="O3355" s="14"/>
      <c r="P3355" s="14"/>
      <c r="Q3355" s="14"/>
      <c r="R3355" s="14"/>
    </row>
    <row r="3356" spans="15:18" x14ac:dyDescent="0.3">
      <c r="O3356" s="14"/>
      <c r="P3356" s="14"/>
      <c r="Q3356" s="14"/>
      <c r="R3356" s="14"/>
    </row>
    <row r="3357" spans="15:18" x14ac:dyDescent="0.3">
      <c r="O3357" s="14"/>
      <c r="P3357" s="14"/>
      <c r="Q3357" s="14"/>
      <c r="R3357" s="14"/>
    </row>
    <row r="3358" spans="15:18" x14ac:dyDescent="0.3">
      <c r="O3358" s="14"/>
      <c r="P3358" s="14"/>
      <c r="Q3358" s="14"/>
      <c r="R3358" s="14"/>
    </row>
    <row r="3359" spans="15:18" x14ac:dyDescent="0.3">
      <c r="O3359" s="14"/>
      <c r="P3359" s="14"/>
      <c r="Q3359" s="14"/>
      <c r="R3359" s="14"/>
    </row>
    <row r="3360" spans="15:18" x14ac:dyDescent="0.3">
      <c r="O3360" s="14"/>
      <c r="P3360" s="14"/>
      <c r="Q3360" s="14"/>
      <c r="R3360" s="14"/>
    </row>
    <row r="3361" spans="15:18" x14ac:dyDescent="0.3">
      <c r="O3361" s="14"/>
      <c r="P3361" s="14"/>
      <c r="Q3361" s="14"/>
      <c r="R3361" s="14"/>
    </row>
    <row r="3362" spans="15:18" x14ac:dyDescent="0.3">
      <c r="O3362" s="14"/>
      <c r="P3362" s="14"/>
      <c r="Q3362" s="14"/>
      <c r="R3362" s="14"/>
    </row>
    <row r="3363" spans="15:18" x14ac:dyDescent="0.3">
      <c r="O3363" s="14"/>
      <c r="P3363" s="14"/>
      <c r="Q3363" s="14"/>
      <c r="R3363" s="14"/>
    </row>
    <row r="3364" spans="15:18" x14ac:dyDescent="0.3">
      <c r="O3364" s="14"/>
      <c r="P3364" s="14"/>
      <c r="Q3364" s="14"/>
      <c r="R3364" s="14"/>
    </row>
    <row r="3365" spans="15:18" x14ac:dyDescent="0.3">
      <c r="O3365" s="14"/>
      <c r="P3365" s="14"/>
      <c r="Q3365" s="14"/>
      <c r="R3365" s="14"/>
    </row>
    <row r="3366" spans="15:18" x14ac:dyDescent="0.3">
      <c r="O3366" s="14"/>
      <c r="P3366" s="14"/>
      <c r="Q3366" s="14"/>
      <c r="R3366" s="14"/>
    </row>
    <row r="3367" spans="15:18" x14ac:dyDescent="0.3">
      <c r="O3367" s="14"/>
      <c r="P3367" s="14"/>
      <c r="Q3367" s="14"/>
      <c r="R3367" s="14"/>
    </row>
    <row r="3368" spans="15:18" x14ac:dyDescent="0.3">
      <c r="O3368" s="14"/>
      <c r="P3368" s="14"/>
      <c r="Q3368" s="14"/>
      <c r="R3368" s="14"/>
    </row>
    <row r="3369" spans="15:18" x14ac:dyDescent="0.3">
      <c r="O3369" s="14"/>
      <c r="P3369" s="14"/>
      <c r="Q3369" s="14"/>
      <c r="R3369" s="14"/>
    </row>
    <row r="3370" spans="15:18" x14ac:dyDescent="0.3">
      <c r="O3370" s="14"/>
      <c r="P3370" s="14"/>
      <c r="Q3370" s="14"/>
      <c r="R3370" s="14"/>
    </row>
    <row r="3371" spans="15:18" x14ac:dyDescent="0.3">
      <c r="O3371" s="14"/>
      <c r="P3371" s="14"/>
      <c r="Q3371" s="14"/>
      <c r="R3371" s="14"/>
    </row>
    <row r="3372" spans="15:18" x14ac:dyDescent="0.3">
      <c r="O3372" s="14"/>
      <c r="P3372" s="14"/>
      <c r="Q3372" s="14"/>
      <c r="R3372" s="14"/>
    </row>
    <row r="3373" spans="15:18" x14ac:dyDescent="0.3">
      <c r="O3373" s="14"/>
      <c r="P3373" s="14"/>
      <c r="Q3373" s="14"/>
      <c r="R3373" s="14"/>
    </row>
    <row r="3374" spans="15:18" x14ac:dyDescent="0.3">
      <c r="O3374" s="14"/>
      <c r="P3374" s="14"/>
      <c r="Q3374" s="14"/>
      <c r="R3374" s="14"/>
    </row>
    <row r="3375" spans="15:18" x14ac:dyDescent="0.3">
      <c r="O3375" s="14"/>
      <c r="P3375" s="14"/>
      <c r="Q3375" s="14"/>
      <c r="R3375" s="14"/>
    </row>
    <row r="3376" spans="15:18" x14ac:dyDescent="0.3">
      <c r="O3376" s="14"/>
      <c r="P3376" s="14"/>
      <c r="Q3376" s="14"/>
      <c r="R3376" s="14"/>
    </row>
    <row r="3377" spans="15:18" x14ac:dyDescent="0.3">
      <c r="O3377" s="14"/>
      <c r="P3377" s="14"/>
      <c r="Q3377" s="14"/>
      <c r="R3377" s="14"/>
    </row>
    <row r="3378" spans="15:18" x14ac:dyDescent="0.3">
      <c r="O3378" s="14"/>
      <c r="P3378" s="14"/>
      <c r="Q3378" s="14"/>
      <c r="R3378" s="14"/>
    </row>
    <row r="3379" spans="15:18" x14ac:dyDescent="0.3">
      <c r="O3379" s="14"/>
      <c r="P3379" s="14"/>
      <c r="Q3379" s="14"/>
      <c r="R3379" s="14"/>
    </row>
    <row r="3380" spans="15:18" x14ac:dyDescent="0.3">
      <c r="O3380" s="14"/>
      <c r="P3380" s="14"/>
      <c r="Q3380" s="14"/>
      <c r="R3380" s="14"/>
    </row>
    <row r="3381" spans="15:18" x14ac:dyDescent="0.3">
      <c r="O3381" s="14"/>
      <c r="P3381" s="14"/>
      <c r="Q3381" s="14"/>
      <c r="R3381" s="14"/>
    </row>
    <row r="3382" spans="15:18" x14ac:dyDescent="0.3">
      <c r="O3382" s="14"/>
      <c r="P3382" s="14"/>
      <c r="Q3382" s="14"/>
      <c r="R3382" s="14"/>
    </row>
    <row r="3383" spans="15:18" x14ac:dyDescent="0.3">
      <c r="O3383" s="14"/>
      <c r="P3383" s="14"/>
      <c r="Q3383" s="14"/>
      <c r="R3383" s="14"/>
    </row>
    <row r="3384" spans="15:18" x14ac:dyDescent="0.3">
      <c r="O3384" s="14"/>
      <c r="P3384" s="14"/>
      <c r="Q3384" s="14"/>
      <c r="R3384" s="14"/>
    </row>
    <row r="3385" spans="15:18" x14ac:dyDescent="0.3">
      <c r="O3385" s="14"/>
      <c r="P3385" s="14"/>
      <c r="Q3385" s="14"/>
      <c r="R3385" s="14"/>
    </row>
    <row r="3386" spans="15:18" x14ac:dyDescent="0.3">
      <c r="O3386" s="14"/>
      <c r="P3386" s="14"/>
      <c r="Q3386" s="14"/>
      <c r="R3386" s="14"/>
    </row>
    <row r="3387" spans="15:18" x14ac:dyDescent="0.3">
      <c r="O3387" s="14"/>
      <c r="P3387" s="14"/>
      <c r="Q3387" s="14"/>
      <c r="R3387" s="14"/>
    </row>
    <row r="3388" spans="15:18" x14ac:dyDescent="0.3">
      <c r="O3388" s="14"/>
      <c r="P3388" s="14"/>
      <c r="Q3388" s="14"/>
      <c r="R3388" s="14"/>
    </row>
    <row r="3389" spans="15:18" x14ac:dyDescent="0.3">
      <c r="O3389" s="14"/>
      <c r="P3389" s="14"/>
      <c r="Q3389" s="14"/>
      <c r="R3389" s="14"/>
    </row>
    <row r="3390" spans="15:18" x14ac:dyDescent="0.3">
      <c r="O3390" s="14"/>
      <c r="P3390" s="14"/>
      <c r="Q3390" s="14"/>
      <c r="R3390" s="14"/>
    </row>
    <row r="3391" spans="15:18" x14ac:dyDescent="0.3">
      <c r="O3391" s="14"/>
      <c r="P3391" s="14"/>
      <c r="Q3391" s="14"/>
      <c r="R3391" s="14"/>
    </row>
    <row r="3392" spans="15:18" x14ac:dyDescent="0.3">
      <c r="O3392" s="14"/>
      <c r="P3392" s="14"/>
      <c r="Q3392" s="14"/>
      <c r="R3392" s="14"/>
    </row>
    <row r="3393" spans="15:18" x14ac:dyDescent="0.3">
      <c r="O3393" s="14"/>
      <c r="P3393" s="14"/>
      <c r="Q3393" s="14"/>
      <c r="R3393" s="14"/>
    </row>
    <row r="3394" spans="15:18" x14ac:dyDescent="0.3">
      <c r="O3394" s="14"/>
      <c r="P3394" s="14"/>
      <c r="Q3394" s="14"/>
      <c r="R3394" s="14"/>
    </row>
    <row r="3395" spans="15:18" x14ac:dyDescent="0.3">
      <c r="O3395" s="14"/>
      <c r="P3395" s="14"/>
      <c r="Q3395" s="14"/>
      <c r="R3395" s="14"/>
    </row>
    <row r="3396" spans="15:18" x14ac:dyDescent="0.3">
      <c r="O3396" s="14"/>
      <c r="P3396" s="14"/>
      <c r="Q3396" s="14"/>
      <c r="R3396" s="14"/>
    </row>
    <row r="3397" spans="15:18" x14ac:dyDescent="0.3">
      <c r="O3397" s="14"/>
      <c r="P3397" s="14"/>
      <c r="Q3397" s="14"/>
      <c r="R3397" s="14"/>
    </row>
    <row r="3398" spans="15:18" x14ac:dyDescent="0.3">
      <c r="O3398" s="14"/>
      <c r="P3398" s="14"/>
      <c r="Q3398" s="14"/>
      <c r="R3398" s="14"/>
    </row>
    <row r="3399" spans="15:18" x14ac:dyDescent="0.3">
      <c r="O3399" s="14"/>
      <c r="P3399" s="14"/>
      <c r="Q3399" s="14"/>
      <c r="R3399" s="14"/>
    </row>
    <row r="3400" spans="15:18" x14ac:dyDescent="0.3">
      <c r="O3400" s="14"/>
      <c r="P3400" s="14"/>
      <c r="Q3400" s="14"/>
      <c r="R3400" s="14"/>
    </row>
    <row r="3401" spans="15:18" x14ac:dyDescent="0.3">
      <c r="O3401" s="14"/>
      <c r="P3401" s="14"/>
      <c r="Q3401" s="14"/>
      <c r="R3401" s="14"/>
    </row>
    <row r="3402" spans="15:18" x14ac:dyDescent="0.3">
      <c r="O3402" s="14"/>
      <c r="P3402" s="14"/>
      <c r="Q3402" s="14"/>
      <c r="R3402" s="14"/>
    </row>
    <row r="3403" spans="15:18" x14ac:dyDescent="0.3">
      <c r="O3403" s="14"/>
      <c r="P3403" s="14"/>
      <c r="Q3403" s="14"/>
      <c r="R3403" s="14"/>
    </row>
    <row r="3404" spans="15:18" x14ac:dyDescent="0.3">
      <c r="O3404" s="14"/>
      <c r="P3404" s="14"/>
      <c r="Q3404" s="14"/>
      <c r="R3404" s="14"/>
    </row>
    <row r="3405" spans="15:18" x14ac:dyDescent="0.3">
      <c r="O3405" s="14"/>
      <c r="P3405" s="14"/>
      <c r="Q3405" s="14"/>
      <c r="R3405" s="14"/>
    </row>
    <row r="3406" spans="15:18" x14ac:dyDescent="0.3">
      <c r="O3406" s="14"/>
      <c r="P3406" s="14"/>
      <c r="Q3406" s="14"/>
      <c r="R3406" s="14"/>
    </row>
    <row r="3407" spans="15:18" x14ac:dyDescent="0.3">
      <c r="O3407" s="14"/>
      <c r="P3407" s="14"/>
      <c r="Q3407" s="14"/>
      <c r="R3407" s="14"/>
    </row>
    <row r="3408" spans="15:18" x14ac:dyDescent="0.3">
      <c r="O3408" s="14"/>
      <c r="P3408" s="14"/>
      <c r="Q3408" s="14"/>
      <c r="R3408" s="14"/>
    </row>
    <row r="3409" spans="15:18" x14ac:dyDescent="0.3">
      <c r="O3409" s="14"/>
      <c r="P3409" s="14"/>
      <c r="Q3409" s="14"/>
      <c r="R3409" s="14"/>
    </row>
    <row r="3410" spans="15:18" x14ac:dyDescent="0.3">
      <c r="O3410" s="14"/>
      <c r="P3410" s="14"/>
      <c r="Q3410" s="14"/>
      <c r="R3410" s="14"/>
    </row>
    <row r="3411" spans="15:18" x14ac:dyDescent="0.3">
      <c r="O3411" s="14"/>
      <c r="P3411" s="14"/>
      <c r="Q3411" s="14"/>
      <c r="R3411" s="14"/>
    </row>
    <row r="3412" spans="15:18" x14ac:dyDescent="0.3">
      <c r="O3412" s="14"/>
      <c r="P3412" s="14"/>
      <c r="Q3412" s="14"/>
      <c r="R3412" s="14"/>
    </row>
    <row r="3413" spans="15:18" x14ac:dyDescent="0.3">
      <c r="O3413" s="14"/>
      <c r="P3413" s="14"/>
      <c r="Q3413" s="14"/>
      <c r="R3413" s="14"/>
    </row>
    <row r="3414" spans="15:18" x14ac:dyDescent="0.3">
      <c r="O3414" s="14"/>
      <c r="P3414" s="14"/>
      <c r="Q3414" s="14"/>
      <c r="R3414" s="14"/>
    </row>
    <row r="3415" spans="15:18" x14ac:dyDescent="0.3">
      <c r="O3415" s="14"/>
      <c r="P3415" s="14"/>
      <c r="Q3415" s="14"/>
      <c r="R3415" s="14"/>
    </row>
    <row r="3416" spans="15:18" x14ac:dyDescent="0.3">
      <c r="O3416" s="14"/>
      <c r="P3416" s="14"/>
      <c r="Q3416" s="14"/>
      <c r="R3416" s="14"/>
    </row>
    <row r="3417" spans="15:18" x14ac:dyDescent="0.3">
      <c r="O3417" s="14"/>
      <c r="P3417" s="14"/>
      <c r="Q3417" s="14"/>
      <c r="R3417" s="14"/>
    </row>
    <row r="3418" spans="15:18" x14ac:dyDescent="0.3">
      <c r="O3418" s="14"/>
      <c r="P3418" s="14"/>
      <c r="Q3418" s="14"/>
      <c r="R3418" s="14"/>
    </row>
    <row r="3419" spans="15:18" x14ac:dyDescent="0.3">
      <c r="O3419" s="14"/>
      <c r="P3419" s="14"/>
      <c r="Q3419" s="14"/>
      <c r="R3419" s="14"/>
    </row>
    <row r="3420" spans="15:18" x14ac:dyDescent="0.3">
      <c r="O3420" s="14"/>
      <c r="P3420" s="14"/>
      <c r="Q3420" s="14"/>
      <c r="R3420" s="14"/>
    </row>
    <row r="3421" spans="15:18" x14ac:dyDescent="0.3">
      <c r="O3421" s="14"/>
      <c r="P3421" s="14"/>
      <c r="Q3421" s="14"/>
      <c r="R3421" s="14"/>
    </row>
    <row r="3422" spans="15:18" x14ac:dyDescent="0.3">
      <c r="O3422" s="14"/>
      <c r="P3422" s="14"/>
      <c r="Q3422" s="14"/>
      <c r="R3422" s="14"/>
    </row>
    <row r="3423" spans="15:18" x14ac:dyDescent="0.3">
      <c r="O3423" s="14"/>
      <c r="P3423" s="14"/>
      <c r="Q3423" s="14"/>
      <c r="R3423" s="14"/>
    </row>
    <row r="3424" spans="15:18" x14ac:dyDescent="0.3">
      <c r="O3424" s="14"/>
      <c r="P3424" s="14"/>
      <c r="Q3424" s="14"/>
      <c r="R3424" s="14"/>
    </row>
    <row r="3425" spans="15:18" x14ac:dyDescent="0.3">
      <c r="O3425" s="14"/>
      <c r="P3425" s="14"/>
      <c r="Q3425" s="14"/>
      <c r="R3425" s="14"/>
    </row>
    <row r="3426" spans="15:18" x14ac:dyDescent="0.3">
      <c r="O3426" s="14"/>
      <c r="P3426" s="14"/>
      <c r="Q3426" s="14"/>
      <c r="R3426" s="14"/>
    </row>
    <row r="3427" spans="15:18" x14ac:dyDescent="0.3">
      <c r="O3427" s="14"/>
      <c r="P3427" s="14"/>
      <c r="Q3427" s="14"/>
      <c r="R3427" s="14"/>
    </row>
    <row r="3428" spans="15:18" x14ac:dyDescent="0.3">
      <c r="O3428" s="14"/>
      <c r="P3428" s="14"/>
      <c r="Q3428" s="14"/>
      <c r="R3428" s="14"/>
    </row>
    <row r="3429" spans="15:18" x14ac:dyDescent="0.3">
      <c r="O3429" s="14"/>
      <c r="P3429" s="14"/>
      <c r="Q3429" s="14"/>
      <c r="R3429" s="14"/>
    </row>
    <row r="3430" spans="15:18" x14ac:dyDescent="0.3">
      <c r="O3430" s="14"/>
      <c r="P3430" s="14"/>
      <c r="Q3430" s="14"/>
      <c r="R3430" s="14"/>
    </row>
    <row r="3431" spans="15:18" x14ac:dyDescent="0.3">
      <c r="O3431" s="14"/>
      <c r="P3431" s="14"/>
      <c r="Q3431" s="14"/>
      <c r="R3431" s="14"/>
    </row>
    <row r="3432" spans="15:18" x14ac:dyDescent="0.3">
      <c r="O3432" s="14"/>
      <c r="P3432" s="14"/>
      <c r="Q3432" s="14"/>
      <c r="R3432" s="14"/>
    </row>
    <row r="3433" spans="15:18" x14ac:dyDescent="0.3">
      <c r="O3433" s="14"/>
      <c r="P3433" s="14"/>
      <c r="Q3433" s="14"/>
      <c r="R3433" s="14"/>
    </row>
    <row r="3434" spans="15:18" x14ac:dyDescent="0.3">
      <c r="O3434" s="14"/>
      <c r="P3434" s="14"/>
      <c r="Q3434" s="14"/>
      <c r="R3434" s="14"/>
    </row>
    <row r="3435" spans="15:18" x14ac:dyDescent="0.3">
      <c r="O3435" s="14"/>
      <c r="P3435" s="14"/>
      <c r="Q3435" s="14"/>
      <c r="R3435" s="14"/>
    </row>
    <row r="3436" spans="15:18" x14ac:dyDescent="0.3">
      <c r="O3436" s="14"/>
      <c r="P3436" s="14"/>
      <c r="Q3436" s="14"/>
      <c r="R3436" s="14"/>
    </row>
    <row r="3437" spans="15:18" x14ac:dyDescent="0.3">
      <c r="O3437" s="14"/>
      <c r="P3437" s="14"/>
      <c r="Q3437" s="14"/>
      <c r="R3437" s="14"/>
    </row>
    <row r="3438" spans="15:18" x14ac:dyDescent="0.3">
      <c r="O3438" s="14"/>
      <c r="P3438" s="14"/>
      <c r="Q3438" s="14"/>
      <c r="R3438" s="14"/>
    </row>
    <row r="3439" spans="15:18" x14ac:dyDescent="0.3">
      <c r="O3439" s="14"/>
      <c r="P3439" s="14"/>
      <c r="Q3439" s="14"/>
      <c r="R3439" s="14"/>
    </row>
    <row r="3440" spans="15:18" x14ac:dyDescent="0.3">
      <c r="O3440" s="14"/>
      <c r="P3440" s="14"/>
      <c r="Q3440" s="14"/>
      <c r="R3440" s="14"/>
    </row>
    <row r="3441" spans="15:18" x14ac:dyDescent="0.3">
      <c r="O3441" s="14"/>
      <c r="P3441" s="14"/>
      <c r="Q3441" s="14"/>
      <c r="R3441" s="14"/>
    </row>
    <row r="3442" spans="15:18" x14ac:dyDescent="0.3">
      <c r="O3442" s="14"/>
      <c r="P3442" s="14"/>
      <c r="Q3442" s="14"/>
      <c r="R3442" s="14"/>
    </row>
    <row r="3443" spans="15:18" x14ac:dyDescent="0.3">
      <c r="O3443" s="14"/>
      <c r="P3443" s="14"/>
      <c r="Q3443" s="14"/>
      <c r="R3443" s="14"/>
    </row>
    <row r="3444" spans="15:18" x14ac:dyDescent="0.3">
      <c r="O3444" s="14"/>
      <c r="P3444" s="14"/>
      <c r="Q3444" s="14"/>
      <c r="R3444" s="14"/>
    </row>
    <row r="3445" spans="15:18" x14ac:dyDescent="0.3">
      <c r="O3445" s="14"/>
      <c r="P3445" s="14"/>
      <c r="Q3445" s="14"/>
      <c r="R3445" s="14"/>
    </row>
    <row r="3446" spans="15:18" x14ac:dyDescent="0.3">
      <c r="O3446" s="14"/>
      <c r="P3446" s="14"/>
      <c r="Q3446" s="14"/>
      <c r="R3446" s="14"/>
    </row>
    <row r="3447" spans="15:18" x14ac:dyDescent="0.3">
      <c r="O3447" s="14"/>
      <c r="P3447" s="14"/>
      <c r="Q3447" s="14"/>
      <c r="R3447" s="14"/>
    </row>
    <row r="3448" spans="15:18" x14ac:dyDescent="0.3">
      <c r="O3448" s="14"/>
      <c r="P3448" s="14"/>
      <c r="Q3448" s="14"/>
      <c r="R3448" s="14"/>
    </row>
    <row r="3449" spans="15:18" x14ac:dyDescent="0.3">
      <c r="O3449" s="14"/>
      <c r="P3449" s="14"/>
      <c r="Q3449" s="14"/>
      <c r="R3449" s="14"/>
    </row>
    <row r="3450" spans="15:18" x14ac:dyDescent="0.3">
      <c r="O3450" s="14"/>
      <c r="P3450" s="14"/>
      <c r="Q3450" s="14"/>
      <c r="R3450" s="14"/>
    </row>
    <row r="3451" spans="15:18" x14ac:dyDescent="0.3">
      <c r="O3451" s="14"/>
      <c r="P3451" s="14"/>
      <c r="Q3451" s="14"/>
      <c r="R3451" s="14"/>
    </row>
    <row r="3452" spans="15:18" x14ac:dyDescent="0.3">
      <c r="O3452" s="14"/>
      <c r="P3452" s="14"/>
      <c r="Q3452" s="14"/>
      <c r="R3452" s="14"/>
    </row>
    <row r="3453" spans="15:18" x14ac:dyDescent="0.3">
      <c r="O3453" s="14"/>
      <c r="P3453" s="14"/>
      <c r="Q3453" s="14"/>
      <c r="R3453" s="14"/>
    </row>
    <row r="3454" spans="15:18" x14ac:dyDescent="0.3">
      <c r="O3454" s="14"/>
      <c r="P3454" s="14"/>
      <c r="Q3454" s="14"/>
      <c r="R3454" s="14"/>
    </row>
    <row r="3455" spans="15:18" x14ac:dyDescent="0.3">
      <c r="O3455" s="14"/>
      <c r="P3455" s="14"/>
      <c r="Q3455" s="14"/>
      <c r="R3455" s="14"/>
    </row>
    <row r="3456" spans="15:18" x14ac:dyDescent="0.3">
      <c r="O3456" s="14"/>
      <c r="P3456" s="14"/>
      <c r="Q3456" s="14"/>
      <c r="R3456" s="14"/>
    </row>
    <row r="3457" spans="15:18" x14ac:dyDescent="0.3">
      <c r="O3457" s="14"/>
      <c r="P3457" s="14"/>
      <c r="Q3457" s="14"/>
      <c r="R3457" s="14"/>
    </row>
    <row r="3458" spans="15:18" x14ac:dyDescent="0.3">
      <c r="O3458" s="14"/>
      <c r="P3458" s="14"/>
      <c r="Q3458" s="14"/>
      <c r="R3458" s="14"/>
    </row>
    <row r="3459" spans="15:18" x14ac:dyDescent="0.3">
      <c r="O3459" s="14"/>
      <c r="P3459" s="14"/>
      <c r="Q3459" s="14"/>
      <c r="R3459" s="14"/>
    </row>
    <row r="3460" spans="15:18" x14ac:dyDescent="0.3">
      <c r="O3460" s="14"/>
      <c r="P3460" s="14"/>
      <c r="Q3460" s="14"/>
      <c r="R3460" s="14"/>
    </row>
    <row r="3461" spans="15:18" x14ac:dyDescent="0.3">
      <c r="O3461" s="14"/>
      <c r="P3461" s="14"/>
      <c r="Q3461" s="14"/>
      <c r="R3461" s="14"/>
    </row>
    <row r="3462" spans="15:18" x14ac:dyDescent="0.3">
      <c r="O3462" s="14"/>
      <c r="P3462" s="14"/>
      <c r="Q3462" s="14"/>
      <c r="R3462" s="14"/>
    </row>
    <row r="3463" spans="15:18" x14ac:dyDescent="0.3">
      <c r="O3463" s="14"/>
      <c r="P3463" s="14"/>
      <c r="Q3463" s="14"/>
      <c r="R3463" s="14"/>
    </row>
    <row r="3464" spans="15:18" x14ac:dyDescent="0.3">
      <c r="O3464" s="14"/>
      <c r="P3464" s="14"/>
      <c r="Q3464" s="14"/>
      <c r="R3464" s="14"/>
    </row>
    <row r="3465" spans="15:18" x14ac:dyDescent="0.3">
      <c r="O3465" s="14"/>
      <c r="P3465" s="14"/>
      <c r="Q3465" s="14"/>
      <c r="R3465" s="14"/>
    </row>
    <row r="3466" spans="15:18" x14ac:dyDescent="0.3">
      <c r="O3466" s="14"/>
      <c r="P3466" s="14"/>
      <c r="Q3466" s="14"/>
      <c r="R3466" s="14"/>
    </row>
    <row r="3467" spans="15:18" x14ac:dyDescent="0.3">
      <c r="O3467" s="14"/>
      <c r="P3467" s="14"/>
      <c r="Q3467" s="14"/>
      <c r="R3467" s="14"/>
    </row>
    <row r="3468" spans="15:18" x14ac:dyDescent="0.3">
      <c r="O3468" s="14"/>
      <c r="P3468" s="14"/>
      <c r="Q3468" s="14"/>
      <c r="R3468" s="14"/>
    </row>
    <row r="3469" spans="15:18" x14ac:dyDescent="0.3">
      <c r="O3469" s="14"/>
      <c r="P3469" s="14"/>
      <c r="Q3469" s="14"/>
      <c r="R3469" s="14"/>
    </row>
    <row r="3470" spans="15:18" x14ac:dyDescent="0.3">
      <c r="O3470" s="14"/>
      <c r="P3470" s="14"/>
      <c r="Q3470" s="14"/>
      <c r="R3470" s="14"/>
    </row>
    <row r="3471" spans="15:18" x14ac:dyDescent="0.3">
      <c r="O3471" s="14"/>
      <c r="P3471" s="14"/>
      <c r="Q3471" s="14"/>
      <c r="R3471" s="14"/>
    </row>
    <row r="3472" spans="15:18" x14ac:dyDescent="0.3">
      <c r="O3472" s="14"/>
      <c r="P3472" s="14"/>
      <c r="Q3472" s="14"/>
      <c r="R3472" s="14"/>
    </row>
    <row r="3473" spans="15:18" x14ac:dyDescent="0.3">
      <c r="O3473" s="14"/>
      <c r="P3473" s="14"/>
      <c r="Q3473" s="14"/>
      <c r="R3473" s="14"/>
    </row>
    <row r="3474" spans="15:18" x14ac:dyDescent="0.3">
      <c r="O3474" s="14"/>
      <c r="P3474" s="14"/>
      <c r="Q3474" s="14"/>
      <c r="R3474" s="14"/>
    </row>
    <row r="3475" spans="15:18" x14ac:dyDescent="0.3">
      <c r="O3475" s="14"/>
      <c r="P3475" s="14"/>
      <c r="Q3475" s="14"/>
      <c r="R3475" s="14"/>
    </row>
    <row r="3476" spans="15:18" x14ac:dyDescent="0.3">
      <c r="O3476" s="14"/>
      <c r="P3476" s="14"/>
      <c r="Q3476" s="14"/>
      <c r="R3476" s="14"/>
    </row>
    <row r="3477" spans="15:18" x14ac:dyDescent="0.3">
      <c r="O3477" s="14"/>
      <c r="P3477" s="14"/>
      <c r="Q3477" s="14"/>
      <c r="R3477" s="14"/>
    </row>
    <row r="3478" spans="15:18" x14ac:dyDescent="0.3">
      <c r="O3478" s="14"/>
      <c r="P3478" s="14"/>
      <c r="Q3478" s="14"/>
      <c r="R3478" s="14"/>
    </row>
    <row r="3479" spans="15:18" x14ac:dyDescent="0.3">
      <c r="O3479" s="14"/>
      <c r="P3479" s="14"/>
      <c r="Q3479" s="14"/>
      <c r="R3479" s="14"/>
    </row>
    <row r="3480" spans="15:18" x14ac:dyDescent="0.3">
      <c r="O3480" s="14"/>
      <c r="P3480" s="14"/>
      <c r="Q3480" s="14"/>
      <c r="R3480" s="14"/>
    </row>
    <row r="3481" spans="15:18" x14ac:dyDescent="0.3">
      <c r="O3481" s="14"/>
      <c r="P3481" s="14"/>
      <c r="Q3481" s="14"/>
      <c r="R3481" s="14"/>
    </row>
    <row r="3482" spans="15:18" x14ac:dyDescent="0.3">
      <c r="O3482" s="14"/>
      <c r="P3482" s="14"/>
      <c r="Q3482" s="14"/>
      <c r="R3482" s="14"/>
    </row>
    <row r="3483" spans="15:18" x14ac:dyDescent="0.3">
      <c r="O3483" s="14"/>
      <c r="P3483" s="14"/>
      <c r="Q3483" s="14"/>
      <c r="R3483" s="14"/>
    </row>
    <row r="3484" spans="15:18" x14ac:dyDescent="0.3">
      <c r="O3484" s="14"/>
      <c r="P3484" s="14"/>
      <c r="Q3484" s="14"/>
      <c r="R3484" s="14"/>
    </row>
    <row r="3485" spans="15:18" x14ac:dyDescent="0.3">
      <c r="O3485" s="14"/>
      <c r="P3485" s="14"/>
      <c r="Q3485" s="14"/>
      <c r="R3485" s="14"/>
    </row>
    <row r="3486" spans="15:18" x14ac:dyDescent="0.3">
      <c r="O3486" s="14"/>
      <c r="P3486" s="14"/>
      <c r="Q3486" s="14"/>
      <c r="R3486" s="14"/>
    </row>
    <row r="3487" spans="15:18" x14ac:dyDescent="0.3">
      <c r="O3487" s="14"/>
      <c r="P3487" s="14"/>
      <c r="Q3487" s="14"/>
      <c r="R3487" s="14"/>
    </row>
    <row r="3488" spans="15:18" x14ac:dyDescent="0.3">
      <c r="O3488" s="14"/>
      <c r="P3488" s="14"/>
      <c r="Q3488" s="14"/>
      <c r="R3488" s="14"/>
    </row>
    <row r="3489" spans="15:18" x14ac:dyDescent="0.3">
      <c r="O3489" s="14"/>
      <c r="P3489" s="14"/>
      <c r="Q3489" s="14"/>
      <c r="R3489" s="14"/>
    </row>
    <row r="3490" spans="15:18" x14ac:dyDescent="0.3">
      <c r="O3490" s="14"/>
      <c r="P3490" s="14"/>
      <c r="Q3490" s="14"/>
      <c r="R3490" s="14"/>
    </row>
    <row r="3491" spans="15:18" x14ac:dyDescent="0.3">
      <c r="O3491" s="14"/>
      <c r="P3491" s="14"/>
      <c r="Q3491" s="14"/>
      <c r="R3491" s="14"/>
    </row>
    <row r="3492" spans="15:18" x14ac:dyDescent="0.3">
      <c r="O3492" s="14"/>
      <c r="P3492" s="14"/>
      <c r="Q3492" s="14"/>
      <c r="R3492" s="14"/>
    </row>
    <row r="3493" spans="15:18" x14ac:dyDescent="0.3">
      <c r="O3493" s="14"/>
      <c r="P3493" s="14"/>
      <c r="Q3493" s="14"/>
      <c r="R3493" s="14"/>
    </row>
    <row r="3494" spans="15:18" x14ac:dyDescent="0.3">
      <c r="O3494" s="14"/>
      <c r="P3494" s="14"/>
      <c r="Q3494" s="14"/>
      <c r="R3494" s="14"/>
    </row>
    <row r="3495" spans="15:18" x14ac:dyDescent="0.3">
      <c r="O3495" s="14"/>
      <c r="P3495" s="14"/>
      <c r="Q3495" s="14"/>
      <c r="R3495" s="14"/>
    </row>
    <row r="3496" spans="15:18" x14ac:dyDescent="0.3">
      <c r="O3496" s="14"/>
      <c r="P3496" s="14"/>
      <c r="Q3496" s="14"/>
      <c r="R3496" s="14"/>
    </row>
    <row r="3497" spans="15:18" x14ac:dyDescent="0.3">
      <c r="O3497" s="14"/>
      <c r="P3497" s="14"/>
      <c r="Q3497" s="14"/>
      <c r="R3497" s="14"/>
    </row>
    <row r="3498" spans="15:18" x14ac:dyDescent="0.3">
      <c r="O3498" s="14"/>
      <c r="P3498" s="14"/>
      <c r="Q3498" s="14"/>
      <c r="R3498" s="14"/>
    </row>
    <row r="3499" spans="15:18" x14ac:dyDescent="0.3">
      <c r="O3499" s="14"/>
      <c r="P3499" s="14"/>
      <c r="Q3499" s="14"/>
      <c r="R3499" s="14"/>
    </row>
    <row r="3500" spans="15:18" x14ac:dyDescent="0.3">
      <c r="O3500" s="14"/>
      <c r="P3500" s="14"/>
      <c r="Q3500" s="14"/>
      <c r="R3500" s="14"/>
    </row>
    <row r="3501" spans="15:18" x14ac:dyDescent="0.3">
      <c r="O3501" s="14"/>
      <c r="P3501" s="14"/>
      <c r="Q3501" s="14"/>
      <c r="R3501" s="14"/>
    </row>
    <row r="3502" spans="15:18" x14ac:dyDescent="0.3">
      <c r="O3502" s="14"/>
      <c r="P3502" s="14"/>
      <c r="Q3502" s="14"/>
      <c r="R3502" s="14"/>
    </row>
    <row r="3503" spans="15:18" x14ac:dyDescent="0.3">
      <c r="O3503" s="14"/>
      <c r="P3503" s="14"/>
      <c r="Q3503" s="14"/>
      <c r="R3503" s="14"/>
    </row>
    <row r="3504" spans="15:18" x14ac:dyDescent="0.3">
      <c r="O3504" s="14"/>
      <c r="P3504" s="14"/>
      <c r="Q3504" s="14"/>
      <c r="R3504" s="14"/>
    </row>
    <row r="3505" spans="15:18" x14ac:dyDescent="0.3">
      <c r="O3505" s="14"/>
      <c r="P3505" s="14"/>
      <c r="Q3505" s="14"/>
      <c r="R3505" s="14"/>
    </row>
    <row r="3506" spans="15:18" x14ac:dyDescent="0.3">
      <c r="O3506" s="14"/>
      <c r="P3506" s="14"/>
      <c r="Q3506" s="14"/>
      <c r="R3506" s="14"/>
    </row>
    <row r="3507" spans="15:18" x14ac:dyDescent="0.3">
      <c r="O3507" s="14"/>
      <c r="P3507" s="14"/>
      <c r="Q3507" s="14"/>
      <c r="R3507" s="14"/>
    </row>
    <row r="3508" spans="15:18" x14ac:dyDescent="0.3">
      <c r="O3508" s="14"/>
      <c r="P3508" s="14"/>
      <c r="Q3508" s="14"/>
      <c r="R3508" s="14"/>
    </row>
    <row r="3509" spans="15:18" x14ac:dyDescent="0.3">
      <c r="O3509" s="14"/>
      <c r="P3509" s="14"/>
      <c r="Q3509" s="14"/>
      <c r="R3509" s="14"/>
    </row>
    <row r="3510" spans="15:18" x14ac:dyDescent="0.3">
      <c r="O3510" s="14"/>
      <c r="P3510" s="14"/>
      <c r="Q3510" s="14"/>
      <c r="R3510" s="14"/>
    </row>
    <row r="3511" spans="15:18" x14ac:dyDescent="0.3">
      <c r="O3511" s="14"/>
      <c r="P3511" s="14"/>
      <c r="Q3511" s="14"/>
      <c r="R3511" s="14"/>
    </row>
    <row r="3512" spans="15:18" x14ac:dyDescent="0.3">
      <c r="O3512" s="14"/>
      <c r="P3512" s="14"/>
      <c r="Q3512" s="14"/>
      <c r="R3512" s="14"/>
    </row>
    <row r="3513" spans="15:18" x14ac:dyDescent="0.3">
      <c r="O3513" s="14"/>
      <c r="P3513" s="14"/>
      <c r="Q3513" s="14"/>
      <c r="R3513" s="14"/>
    </row>
    <row r="3514" spans="15:18" x14ac:dyDescent="0.3">
      <c r="O3514" s="14"/>
      <c r="P3514" s="14"/>
      <c r="Q3514" s="14"/>
      <c r="R3514" s="14"/>
    </row>
    <row r="3515" spans="15:18" x14ac:dyDescent="0.3">
      <c r="O3515" s="14"/>
      <c r="P3515" s="14"/>
      <c r="Q3515" s="14"/>
      <c r="R3515" s="14"/>
    </row>
    <row r="3516" spans="15:18" x14ac:dyDescent="0.3">
      <c r="O3516" s="14"/>
      <c r="P3516" s="14"/>
      <c r="Q3516" s="14"/>
      <c r="R3516" s="14"/>
    </row>
    <row r="3517" spans="15:18" x14ac:dyDescent="0.3">
      <c r="O3517" s="14"/>
      <c r="P3517" s="14"/>
      <c r="Q3517" s="14"/>
      <c r="R3517" s="14"/>
    </row>
    <row r="3518" spans="15:18" x14ac:dyDescent="0.3">
      <c r="O3518" s="14"/>
      <c r="P3518" s="14"/>
      <c r="Q3518" s="14"/>
      <c r="R3518" s="14"/>
    </row>
    <row r="3519" spans="15:18" x14ac:dyDescent="0.3">
      <c r="O3519" s="14"/>
      <c r="P3519" s="14"/>
      <c r="Q3519" s="14"/>
      <c r="R3519" s="14"/>
    </row>
    <row r="3520" spans="15:18" x14ac:dyDescent="0.3">
      <c r="O3520" s="14"/>
      <c r="P3520" s="14"/>
      <c r="Q3520" s="14"/>
      <c r="R3520" s="14"/>
    </row>
    <row r="3521" spans="15:18" x14ac:dyDescent="0.3">
      <c r="O3521" s="14"/>
      <c r="P3521" s="14"/>
      <c r="Q3521" s="14"/>
      <c r="R3521" s="14"/>
    </row>
    <row r="3522" spans="15:18" x14ac:dyDescent="0.3">
      <c r="O3522" s="14"/>
      <c r="P3522" s="14"/>
      <c r="Q3522" s="14"/>
      <c r="R3522" s="14"/>
    </row>
    <row r="3523" spans="15:18" x14ac:dyDescent="0.3">
      <c r="O3523" s="14"/>
      <c r="P3523" s="14"/>
      <c r="Q3523" s="14"/>
      <c r="R3523" s="14"/>
    </row>
    <row r="3524" spans="15:18" x14ac:dyDescent="0.3">
      <c r="O3524" s="14"/>
      <c r="P3524" s="14"/>
      <c r="Q3524" s="14"/>
      <c r="R3524" s="14"/>
    </row>
    <row r="3525" spans="15:18" x14ac:dyDescent="0.3">
      <c r="O3525" s="14"/>
      <c r="P3525" s="14"/>
      <c r="Q3525" s="14"/>
      <c r="R3525" s="14"/>
    </row>
    <row r="3526" spans="15:18" x14ac:dyDescent="0.3">
      <c r="O3526" s="14"/>
      <c r="P3526" s="14"/>
      <c r="Q3526" s="14"/>
      <c r="R3526" s="14"/>
    </row>
    <row r="3527" spans="15:18" x14ac:dyDescent="0.3">
      <c r="O3527" s="14"/>
      <c r="P3527" s="14"/>
      <c r="Q3527" s="14"/>
      <c r="R3527" s="14"/>
    </row>
    <row r="3528" spans="15:18" x14ac:dyDescent="0.3">
      <c r="O3528" s="14"/>
      <c r="P3528" s="14"/>
      <c r="Q3528" s="14"/>
      <c r="R3528" s="14"/>
    </row>
    <row r="3529" spans="15:18" x14ac:dyDescent="0.3">
      <c r="O3529" s="14"/>
      <c r="P3529" s="14"/>
      <c r="Q3529" s="14"/>
      <c r="R3529" s="14"/>
    </row>
    <row r="3530" spans="15:18" x14ac:dyDescent="0.3">
      <c r="O3530" s="14"/>
      <c r="P3530" s="14"/>
      <c r="Q3530" s="14"/>
      <c r="R3530" s="14"/>
    </row>
    <row r="3531" spans="15:18" x14ac:dyDescent="0.3">
      <c r="O3531" s="14"/>
      <c r="P3531" s="14"/>
      <c r="Q3531" s="14"/>
      <c r="R3531" s="14"/>
    </row>
    <row r="3532" spans="15:18" x14ac:dyDescent="0.3">
      <c r="O3532" s="14"/>
      <c r="P3532" s="14"/>
      <c r="Q3532" s="14"/>
      <c r="R3532" s="14"/>
    </row>
    <row r="3533" spans="15:18" x14ac:dyDescent="0.3">
      <c r="O3533" s="14"/>
      <c r="P3533" s="14"/>
      <c r="Q3533" s="14"/>
      <c r="R3533" s="14"/>
    </row>
    <row r="3534" spans="15:18" x14ac:dyDescent="0.3">
      <c r="O3534" s="14"/>
      <c r="P3534" s="14"/>
      <c r="Q3534" s="14"/>
      <c r="R3534" s="14"/>
    </row>
    <row r="3535" spans="15:18" x14ac:dyDescent="0.3">
      <c r="O3535" s="14"/>
      <c r="P3535" s="14"/>
      <c r="Q3535" s="14"/>
      <c r="R3535" s="14"/>
    </row>
    <row r="3536" spans="15:18" x14ac:dyDescent="0.3">
      <c r="O3536" s="14"/>
      <c r="P3536" s="14"/>
      <c r="Q3536" s="14"/>
      <c r="R3536" s="14"/>
    </row>
    <row r="3537" spans="15:18" x14ac:dyDescent="0.3">
      <c r="O3537" s="14"/>
      <c r="P3537" s="14"/>
      <c r="Q3537" s="14"/>
      <c r="R3537" s="14"/>
    </row>
    <row r="3538" spans="15:18" x14ac:dyDescent="0.3">
      <c r="O3538" s="14"/>
      <c r="P3538" s="14"/>
      <c r="Q3538" s="14"/>
      <c r="R3538" s="14"/>
    </row>
    <row r="3539" spans="15:18" x14ac:dyDescent="0.3">
      <c r="O3539" s="14"/>
      <c r="P3539" s="14"/>
      <c r="Q3539" s="14"/>
      <c r="R3539" s="14"/>
    </row>
    <row r="3540" spans="15:18" x14ac:dyDescent="0.3">
      <c r="O3540" s="14"/>
      <c r="P3540" s="14"/>
      <c r="Q3540" s="14"/>
      <c r="R3540" s="14"/>
    </row>
    <row r="3541" spans="15:18" x14ac:dyDescent="0.3">
      <c r="O3541" s="14"/>
      <c r="P3541" s="14"/>
      <c r="Q3541" s="14"/>
      <c r="R3541" s="14"/>
    </row>
    <row r="3542" spans="15:18" x14ac:dyDescent="0.3">
      <c r="O3542" s="14"/>
      <c r="P3542" s="14"/>
      <c r="Q3542" s="14"/>
      <c r="R3542" s="14"/>
    </row>
    <row r="3543" spans="15:18" x14ac:dyDescent="0.3">
      <c r="O3543" s="14"/>
      <c r="P3543" s="14"/>
      <c r="Q3543" s="14"/>
      <c r="R3543" s="14"/>
    </row>
    <row r="3544" spans="15:18" x14ac:dyDescent="0.3">
      <c r="O3544" s="14"/>
      <c r="P3544" s="14"/>
      <c r="Q3544" s="14"/>
      <c r="R3544" s="14"/>
    </row>
    <row r="3545" spans="15:18" x14ac:dyDescent="0.3">
      <c r="O3545" s="14"/>
      <c r="P3545" s="14"/>
      <c r="Q3545" s="14"/>
      <c r="R3545" s="14"/>
    </row>
    <row r="3546" spans="15:18" x14ac:dyDescent="0.3">
      <c r="O3546" s="14"/>
      <c r="P3546" s="14"/>
      <c r="Q3546" s="14"/>
      <c r="R3546" s="14"/>
    </row>
    <row r="3547" spans="15:18" x14ac:dyDescent="0.3">
      <c r="O3547" s="14"/>
      <c r="P3547" s="14"/>
      <c r="Q3547" s="14"/>
      <c r="R3547" s="14"/>
    </row>
    <row r="3548" spans="15:18" x14ac:dyDescent="0.3">
      <c r="O3548" s="14"/>
      <c r="P3548" s="14"/>
      <c r="Q3548" s="14"/>
      <c r="R3548" s="14"/>
    </row>
    <row r="3549" spans="15:18" x14ac:dyDescent="0.3">
      <c r="O3549" s="14"/>
      <c r="P3549" s="14"/>
      <c r="Q3549" s="14"/>
      <c r="R3549" s="14"/>
    </row>
    <row r="3550" spans="15:18" x14ac:dyDescent="0.3">
      <c r="O3550" s="14"/>
      <c r="P3550" s="14"/>
      <c r="Q3550" s="14"/>
      <c r="R3550" s="14"/>
    </row>
    <row r="3551" spans="15:18" x14ac:dyDescent="0.3">
      <c r="O3551" s="14"/>
      <c r="P3551" s="14"/>
      <c r="Q3551" s="14"/>
      <c r="R3551" s="14"/>
    </row>
    <row r="3552" spans="15:18" x14ac:dyDescent="0.3">
      <c r="O3552" s="14"/>
      <c r="P3552" s="14"/>
      <c r="Q3552" s="14"/>
      <c r="R3552" s="14"/>
    </row>
    <row r="3553" spans="15:18" x14ac:dyDescent="0.3">
      <c r="O3553" s="14"/>
      <c r="P3553" s="14"/>
      <c r="Q3553" s="14"/>
      <c r="R3553" s="14"/>
    </row>
    <row r="3554" spans="15:18" x14ac:dyDescent="0.3">
      <c r="O3554" s="14"/>
      <c r="P3554" s="14"/>
      <c r="Q3554" s="14"/>
      <c r="R3554" s="14"/>
    </row>
    <row r="3555" spans="15:18" x14ac:dyDescent="0.3">
      <c r="O3555" s="14"/>
      <c r="P3555" s="14"/>
      <c r="Q3555" s="14"/>
      <c r="R3555" s="14"/>
    </row>
    <row r="3556" spans="15:18" x14ac:dyDescent="0.3">
      <c r="O3556" s="14"/>
      <c r="P3556" s="14"/>
      <c r="Q3556" s="14"/>
      <c r="R3556" s="14"/>
    </row>
    <row r="3557" spans="15:18" x14ac:dyDescent="0.3">
      <c r="O3557" s="14"/>
      <c r="P3557" s="14"/>
      <c r="Q3557" s="14"/>
      <c r="R3557" s="14"/>
    </row>
    <row r="3558" spans="15:18" x14ac:dyDescent="0.3">
      <c r="O3558" s="14"/>
      <c r="P3558" s="14"/>
      <c r="Q3558" s="14"/>
      <c r="R3558" s="14"/>
    </row>
    <row r="3559" spans="15:18" x14ac:dyDescent="0.3">
      <c r="O3559" s="14"/>
      <c r="P3559" s="14"/>
      <c r="Q3559" s="14"/>
      <c r="R3559" s="14"/>
    </row>
    <row r="3560" spans="15:18" x14ac:dyDescent="0.3">
      <c r="O3560" s="14"/>
      <c r="P3560" s="14"/>
      <c r="Q3560" s="14"/>
      <c r="R3560" s="14"/>
    </row>
    <row r="3561" spans="15:18" x14ac:dyDescent="0.3">
      <c r="O3561" s="14"/>
      <c r="P3561" s="14"/>
      <c r="Q3561" s="14"/>
      <c r="R3561" s="14"/>
    </row>
    <row r="3562" spans="15:18" x14ac:dyDescent="0.3">
      <c r="O3562" s="14"/>
      <c r="P3562" s="14"/>
      <c r="Q3562" s="14"/>
      <c r="R3562" s="14"/>
    </row>
    <row r="3563" spans="15:18" x14ac:dyDescent="0.3">
      <c r="O3563" s="14"/>
      <c r="P3563" s="14"/>
      <c r="Q3563" s="14"/>
      <c r="R3563" s="14"/>
    </row>
    <row r="3564" spans="15:18" x14ac:dyDescent="0.3">
      <c r="O3564" s="14"/>
      <c r="P3564" s="14"/>
      <c r="Q3564" s="14"/>
      <c r="R3564" s="14"/>
    </row>
    <row r="3565" spans="15:18" x14ac:dyDescent="0.3">
      <c r="O3565" s="14"/>
      <c r="P3565" s="14"/>
      <c r="Q3565" s="14"/>
      <c r="R3565" s="14"/>
    </row>
    <row r="3566" spans="15:18" x14ac:dyDescent="0.3">
      <c r="O3566" s="14"/>
      <c r="P3566" s="14"/>
      <c r="Q3566" s="14"/>
      <c r="R3566" s="14"/>
    </row>
    <row r="3567" spans="15:18" x14ac:dyDescent="0.3">
      <c r="O3567" s="14"/>
      <c r="P3567" s="14"/>
      <c r="Q3567" s="14"/>
      <c r="R3567" s="14"/>
    </row>
    <row r="3568" spans="15:18" x14ac:dyDescent="0.3">
      <c r="O3568" s="14"/>
      <c r="P3568" s="14"/>
      <c r="Q3568" s="14"/>
      <c r="R3568" s="14"/>
    </row>
    <row r="3569" spans="15:18" x14ac:dyDescent="0.3">
      <c r="O3569" s="14"/>
      <c r="P3569" s="14"/>
      <c r="Q3569" s="14"/>
      <c r="R3569" s="14"/>
    </row>
    <row r="3570" spans="15:18" x14ac:dyDescent="0.3">
      <c r="O3570" s="14"/>
      <c r="P3570" s="14"/>
      <c r="Q3570" s="14"/>
      <c r="R3570" s="14"/>
    </row>
    <row r="3571" spans="15:18" x14ac:dyDescent="0.3">
      <c r="O3571" s="14"/>
      <c r="P3571" s="14"/>
      <c r="Q3571" s="14"/>
      <c r="R3571" s="14"/>
    </row>
    <row r="3572" spans="15:18" x14ac:dyDescent="0.3">
      <c r="O3572" s="14"/>
      <c r="P3572" s="14"/>
      <c r="Q3572" s="14"/>
      <c r="R3572" s="14"/>
    </row>
    <row r="3573" spans="15:18" x14ac:dyDescent="0.3">
      <c r="O3573" s="14"/>
      <c r="P3573" s="14"/>
      <c r="Q3573" s="14"/>
      <c r="R3573" s="14"/>
    </row>
    <row r="3574" spans="15:18" x14ac:dyDescent="0.3">
      <c r="O3574" s="14"/>
      <c r="P3574" s="14"/>
      <c r="Q3574" s="14"/>
      <c r="R3574" s="14"/>
    </row>
    <row r="3575" spans="15:18" x14ac:dyDescent="0.3">
      <c r="O3575" s="14"/>
      <c r="P3575" s="14"/>
      <c r="Q3575" s="14"/>
      <c r="R3575" s="14"/>
    </row>
    <row r="3576" spans="15:18" x14ac:dyDescent="0.3">
      <c r="O3576" s="14"/>
      <c r="P3576" s="14"/>
      <c r="Q3576" s="14"/>
      <c r="R3576" s="14"/>
    </row>
    <row r="3577" spans="15:18" x14ac:dyDescent="0.3">
      <c r="O3577" s="14"/>
      <c r="P3577" s="14"/>
      <c r="Q3577" s="14"/>
      <c r="R3577" s="14"/>
    </row>
    <row r="3578" spans="15:18" x14ac:dyDescent="0.3">
      <c r="O3578" s="14"/>
      <c r="P3578" s="14"/>
      <c r="Q3578" s="14"/>
      <c r="R3578" s="14"/>
    </row>
    <row r="3579" spans="15:18" x14ac:dyDescent="0.3">
      <c r="O3579" s="14"/>
      <c r="P3579" s="14"/>
      <c r="Q3579" s="14"/>
      <c r="R3579" s="14"/>
    </row>
    <row r="3580" spans="15:18" x14ac:dyDescent="0.3">
      <c r="O3580" s="14"/>
      <c r="P3580" s="14"/>
      <c r="Q3580" s="14"/>
      <c r="R3580" s="14"/>
    </row>
    <row r="3581" spans="15:18" x14ac:dyDescent="0.3">
      <c r="O3581" s="14"/>
      <c r="P3581" s="14"/>
      <c r="Q3581" s="14"/>
      <c r="R3581" s="14"/>
    </row>
    <row r="3582" spans="15:18" x14ac:dyDescent="0.3">
      <c r="O3582" s="14"/>
      <c r="P3582" s="14"/>
      <c r="Q3582" s="14"/>
      <c r="R3582" s="14"/>
    </row>
    <row r="3583" spans="15:18" x14ac:dyDescent="0.3">
      <c r="O3583" s="14"/>
      <c r="P3583" s="14"/>
      <c r="Q3583" s="14"/>
      <c r="R3583" s="14"/>
    </row>
    <row r="3584" spans="15:18" x14ac:dyDescent="0.3">
      <c r="O3584" s="14"/>
      <c r="P3584" s="14"/>
      <c r="Q3584" s="14"/>
      <c r="R3584" s="14"/>
    </row>
    <row r="3585" spans="15:18" x14ac:dyDescent="0.3">
      <c r="O3585" s="14"/>
      <c r="P3585" s="14"/>
      <c r="Q3585" s="14"/>
      <c r="R3585" s="14"/>
    </row>
    <row r="3586" spans="15:18" x14ac:dyDescent="0.3">
      <c r="O3586" s="14"/>
      <c r="P3586" s="14"/>
      <c r="Q3586" s="14"/>
      <c r="R3586" s="14"/>
    </row>
    <row r="3587" spans="15:18" x14ac:dyDescent="0.3">
      <c r="O3587" s="14"/>
      <c r="P3587" s="14"/>
      <c r="Q3587" s="14"/>
      <c r="R3587" s="14"/>
    </row>
    <row r="3588" spans="15:18" x14ac:dyDescent="0.3">
      <c r="O3588" s="14"/>
      <c r="P3588" s="14"/>
      <c r="Q3588" s="14"/>
      <c r="R3588" s="14"/>
    </row>
    <row r="3589" spans="15:18" x14ac:dyDescent="0.3">
      <c r="O3589" s="14"/>
      <c r="P3589" s="14"/>
      <c r="Q3589" s="14"/>
      <c r="R3589" s="14"/>
    </row>
    <row r="3590" spans="15:18" x14ac:dyDescent="0.3">
      <c r="O3590" s="14"/>
      <c r="P3590" s="14"/>
      <c r="Q3590" s="14"/>
      <c r="R3590" s="14"/>
    </row>
    <row r="3591" spans="15:18" x14ac:dyDescent="0.3">
      <c r="O3591" s="14"/>
      <c r="P3591" s="14"/>
      <c r="Q3591" s="14"/>
      <c r="R3591" s="14"/>
    </row>
    <row r="3592" spans="15:18" x14ac:dyDescent="0.3">
      <c r="O3592" s="14"/>
      <c r="P3592" s="14"/>
      <c r="Q3592" s="14"/>
      <c r="R3592" s="14"/>
    </row>
    <row r="3593" spans="15:18" x14ac:dyDescent="0.3">
      <c r="O3593" s="14"/>
      <c r="P3593" s="14"/>
      <c r="Q3593" s="14"/>
      <c r="R3593" s="14"/>
    </row>
    <row r="3594" spans="15:18" x14ac:dyDescent="0.3">
      <c r="O3594" s="14"/>
      <c r="P3594" s="14"/>
      <c r="Q3594" s="14"/>
      <c r="R3594" s="14"/>
    </row>
    <row r="3595" spans="15:18" x14ac:dyDescent="0.3">
      <c r="O3595" s="14"/>
      <c r="P3595" s="14"/>
      <c r="Q3595" s="14"/>
      <c r="R3595" s="14"/>
    </row>
    <row r="3596" spans="15:18" x14ac:dyDescent="0.3">
      <c r="O3596" s="14"/>
      <c r="P3596" s="14"/>
      <c r="Q3596" s="14"/>
      <c r="R3596" s="14"/>
    </row>
    <row r="3597" spans="15:18" x14ac:dyDescent="0.3">
      <c r="O3597" s="14"/>
      <c r="P3597" s="14"/>
      <c r="Q3597" s="14"/>
      <c r="R3597" s="14"/>
    </row>
    <row r="3598" spans="15:18" x14ac:dyDescent="0.3">
      <c r="O3598" s="14"/>
      <c r="P3598" s="14"/>
      <c r="Q3598" s="14"/>
      <c r="R3598" s="14"/>
    </row>
    <row r="3599" spans="15:18" x14ac:dyDescent="0.3">
      <c r="O3599" s="14"/>
      <c r="P3599" s="14"/>
      <c r="Q3599" s="14"/>
      <c r="R3599" s="14"/>
    </row>
    <row r="3600" spans="15:18" x14ac:dyDescent="0.3">
      <c r="O3600" s="14"/>
      <c r="P3600" s="14"/>
      <c r="Q3600" s="14"/>
      <c r="R3600" s="14"/>
    </row>
    <row r="3601" spans="15:18" x14ac:dyDescent="0.3">
      <c r="O3601" s="14"/>
      <c r="P3601" s="14"/>
      <c r="Q3601" s="14"/>
      <c r="R3601" s="14"/>
    </row>
    <row r="3602" spans="15:18" x14ac:dyDescent="0.3">
      <c r="O3602" s="14"/>
      <c r="P3602" s="14"/>
      <c r="Q3602" s="14"/>
      <c r="R3602" s="14"/>
    </row>
    <row r="3603" spans="15:18" x14ac:dyDescent="0.3">
      <c r="O3603" s="14"/>
      <c r="P3603" s="14"/>
      <c r="Q3603" s="14"/>
      <c r="R3603" s="14"/>
    </row>
    <row r="3604" spans="15:18" x14ac:dyDescent="0.3">
      <c r="O3604" s="14"/>
      <c r="P3604" s="14"/>
      <c r="Q3604" s="14"/>
      <c r="R3604" s="14"/>
    </row>
    <row r="3605" spans="15:18" x14ac:dyDescent="0.3">
      <c r="O3605" s="14"/>
      <c r="P3605" s="14"/>
      <c r="Q3605" s="14"/>
      <c r="R3605" s="14"/>
    </row>
    <row r="3606" spans="15:18" x14ac:dyDescent="0.3">
      <c r="O3606" s="14"/>
      <c r="P3606" s="14"/>
      <c r="Q3606" s="14"/>
      <c r="R3606" s="14"/>
    </row>
    <row r="3607" spans="15:18" x14ac:dyDescent="0.3">
      <c r="O3607" s="14"/>
      <c r="P3607" s="14"/>
      <c r="Q3607" s="14"/>
      <c r="R3607" s="14"/>
    </row>
    <row r="3608" spans="15:18" x14ac:dyDescent="0.3">
      <c r="O3608" s="14"/>
      <c r="P3608" s="14"/>
      <c r="Q3608" s="14"/>
      <c r="R3608" s="14"/>
    </row>
    <row r="3609" spans="15:18" x14ac:dyDescent="0.3">
      <c r="O3609" s="14"/>
      <c r="P3609" s="14"/>
      <c r="Q3609" s="14"/>
      <c r="R3609" s="14"/>
    </row>
    <row r="3610" spans="15:18" x14ac:dyDescent="0.3">
      <c r="O3610" s="14"/>
      <c r="P3610" s="14"/>
      <c r="Q3610" s="14"/>
      <c r="R3610" s="14"/>
    </row>
    <row r="3611" spans="15:18" x14ac:dyDescent="0.3">
      <c r="O3611" s="14"/>
      <c r="P3611" s="14"/>
      <c r="Q3611" s="14"/>
      <c r="R3611" s="14"/>
    </row>
    <row r="3612" spans="15:18" x14ac:dyDescent="0.3">
      <c r="O3612" s="14"/>
      <c r="P3612" s="14"/>
      <c r="Q3612" s="14"/>
      <c r="R3612" s="14"/>
    </row>
    <row r="3613" spans="15:18" x14ac:dyDescent="0.3">
      <c r="O3613" s="14"/>
      <c r="P3613" s="14"/>
      <c r="Q3613" s="14"/>
      <c r="R3613" s="14"/>
    </row>
    <row r="3614" spans="15:18" x14ac:dyDescent="0.3">
      <c r="O3614" s="14"/>
      <c r="P3614" s="14"/>
      <c r="Q3614" s="14"/>
      <c r="R3614" s="14"/>
    </row>
    <row r="3615" spans="15:18" x14ac:dyDescent="0.3">
      <c r="O3615" s="14"/>
      <c r="P3615" s="14"/>
      <c r="Q3615" s="14"/>
      <c r="R3615" s="14"/>
    </row>
    <row r="3616" spans="15:18" x14ac:dyDescent="0.3">
      <c r="O3616" s="14"/>
      <c r="P3616" s="14"/>
      <c r="Q3616" s="14"/>
      <c r="R3616" s="14"/>
    </row>
    <row r="3617" spans="15:18" x14ac:dyDescent="0.3">
      <c r="O3617" s="14"/>
      <c r="P3617" s="14"/>
      <c r="Q3617" s="14"/>
      <c r="R3617" s="14"/>
    </row>
    <row r="3618" spans="15:18" x14ac:dyDescent="0.3">
      <c r="O3618" s="14"/>
      <c r="P3618" s="14"/>
      <c r="Q3618" s="14"/>
      <c r="R3618" s="14"/>
    </row>
    <row r="3619" spans="15:18" x14ac:dyDescent="0.3">
      <c r="O3619" s="14"/>
      <c r="P3619" s="14"/>
      <c r="Q3619" s="14"/>
      <c r="R3619" s="14"/>
    </row>
    <row r="3620" spans="15:18" x14ac:dyDescent="0.3">
      <c r="O3620" s="14"/>
      <c r="P3620" s="14"/>
      <c r="Q3620" s="14"/>
      <c r="R3620" s="14"/>
    </row>
    <row r="3621" spans="15:18" x14ac:dyDescent="0.3">
      <c r="O3621" s="14"/>
      <c r="P3621" s="14"/>
      <c r="Q3621" s="14"/>
      <c r="R3621" s="14"/>
    </row>
    <row r="3622" spans="15:18" x14ac:dyDescent="0.3">
      <c r="O3622" s="14"/>
      <c r="P3622" s="14"/>
      <c r="Q3622" s="14"/>
      <c r="R3622" s="14"/>
    </row>
    <row r="3623" spans="15:18" x14ac:dyDescent="0.3">
      <c r="O3623" s="14"/>
      <c r="P3623" s="14"/>
      <c r="Q3623" s="14"/>
      <c r="R3623" s="14"/>
    </row>
    <row r="3624" spans="15:18" x14ac:dyDescent="0.3">
      <c r="O3624" s="14"/>
      <c r="P3624" s="14"/>
      <c r="Q3624" s="14"/>
      <c r="R3624" s="14"/>
    </row>
    <row r="3625" spans="15:18" x14ac:dyDescent="0.3">
      <c r="O3625" s="14"/>
      <c r="P3625" s="14"/>
      <c r="Q3625" s="14"/>
      <c r="R3625" s="14"/>
    </row>
    <row r="3626" spans="15:18" x14ac:dyDescent="0.3">
      <c r="O3626" s="14"/>
      <c r="P3626" s="14"/>
      <c r="Q3626" s="14"/>
      <c r="R3626" s="14"/>
    </row>
    <row r="3627" spans="15:18" x14ac:dyDescent="0.3">
      <c r="O3627" s="14"/>
      <c r="P3627" s="14"/>
      <c r="Q3627" s="14"/>
      <c r="R3627" s="14"/>
    </row>
    <row r="3628" spans="15:18" x14ac:dyDescent="0.3">
      <c r="O3628" s="14"/>
      <c r="P3628" s="14"/>
      <c r="Q3628" s="14"/>
      <c r="R3628" s="14"/>
    </row>
    <row r="3629" spans="15:18" x14ac:dyDescent="0.3">
      <c r="O3629" s="14"/>
      <c r="P3629" s="14"/>
      <c r="Q3629" s="14"/>
      <c r="R3629" s="14"/>
    </row>
    <row r="3630" spans="15:18" x14ac:dyDescent="0.3">
      <c r="O3630" s="14"/>
      <c r="P3630" s="14"/>
      <c r="Q3630" s="14"/>
      <c r="R3630" s="14"/>
    </row>
    <row r="3631" spans="15:18" x14ac:dyDescent="0.3">
      <c r="O3631" s="14"/>
      <c r="P3631" s="14"/>
      <c r="Q3631" s="14"/>
      <c r="R3631" s="14"/>
    </row>
    <row r="3632" spans="15:18" x14ac:dyDescent="0.3">
      <c r="O3632" s="14"/>
      <c r="P3632" s="14"/>
      <c r="Q3632" s="14"/>
      <c r="R3632" s="14"/>
    </row>
    <row r="3633" spans="15:18" x14ac:dyDescent="0.3">
      <c r="O3633" s="14"/>
      <c r="P3633" s="14"/>
      <c r="Q3633" s="14"/>
      <c r="R3633" s="14"/>
    </row>
    <row r="3634" spans="15:18" x14ac:dyDescent="0.3">
      <c r="O3634" s="14"/>
      <c r="P3634" s="14"/>
      <c r="Q3634" s="14"/>
      <c r="R3634" s="14"/>
    </row>
    <row r="3635" spans="15:18" x14ac:dyDescent="0.3">
      <c r="O3635" s="14"/>
      <c r="P3635" s="14"/>
      <c r="Q3635" s="14"/>
      <c r="R3635" s="14"/>
    </row>
    <row r="3636" spans="15:18" x14ac:dyDescent="0.3">
      <c r="O3636" s="14"/>
      <c r="P3636" s="14"/>
      <c r="Q3636" s="14"/>
      <c r="R3636" s="14"/>
    </row>
    <row r="3637" spans="15:18" x14ac:dyDescent="0.3">
      <c r="O3637" s="14"/>
      <c r="P3637" s="14"/>
      <c r="Q3637" s="14"/>
      <c r="R3637" s="14"/>
    </row>
    <row r="3638" spans="15:18" x14ac:dyDescent="0.3">
      <c r="O3638" s="14"/>
      <c r="P3638" s="14"/>
      <c r="Q3638" s="14"/>
      <c r="R3638" s="14"/>
    </row>
    <row r="3639" spans="15:18" x14ac:dyDescent="0.3">
      <c r="O3639" s="14"/>
      <c r="P3639" s="14"/>
      <c r="Q3639" s="14"/>
      <c r="R3639" s="14"/>
    </row>
    <row r="3640" spans="15:18" x14ac:dyDescent="0.3">
      <c r="O3640" s="14"/>
      <c r="P3640" s="14"/>
      <c r="Q3640" s="14"/>
      <c r="R3640" s="14"/>
    </row>
    <row r="3641" spans="15:18" x14ac:dyDescent="0.3">
      <c r="O3641" s="14"/>
      <c r="P3641" s="14"/>
      <c r="Q3641" s="14"/>
      <c r="R3641" s="14"/>
    </row>
    <row r="3642" spans="15:18" x14ac:dyDescent="0.3">
      <c r="O3642" s="14"/>
      <c r="P3642" s="14"/>
      <c r="Q3642" s="14"/>
      <c r="R3642" s="14"/>
    </row>
    <row r="3643" spans="15:18" x14ac:dyDescent="0.3">
      <c r="O3643" s="14"/>
      <c r="P3643" s="14"/>
      <c r="Q3643" s="14"/>
      <c r="R3643" s="14"/>
    </row>
    <row r="3644" spans="15:18" x14ac:dyDescent="0.3">
      <c r="O3644" s="14"/>
      <c r="P3644" s="14"/>
      <c r="Q3644" s="14"/>
      <c r="R3644" s="14"/>
    </row>
    <row r="3645" spans="15:18" x14ac:dyDescent="0.3">
      <c r="O3645" s="14"/>
      <c r="P3645" s="14"/>
      <c r="Q3645" s="14"/>
      <c r="R3645" s="14"/>
    </row>
    <row r="3646" spans="15:18" x14ac:dyDescent="0.3">
      <c r="O3646" s="14"/>
      <c r="P3646" s="14"/>
      <c r="Q3646" s="14"/>
      <c r="R3646" s="14"/>
    </row>
    <row r="3647" spans="15:18" x14ac:dyDescent="0.3">
      <c r="O3647" s="14"/>
      <c r="P3647" s="14"/>
      <c r="Q3647" s="14"/>
      <c r="R3647" s="14"/>
    </row>
    <row r="3648" spans="15:18" x14ac:dyDescent="0.3">
      <c r="O3648" s="14"/>
      <c r="P3648" s="14"/>
      <c r="Q3648" s="14"/>
      <c r="R3648" s="14"/>
    </row>
    <row r="3649" spans="15:18" x14ac:dyDescent="0.3">
      <c r="O3649" s="14"/>
      <c r="P3649" s="14"/>
      <c r="Q3649" s="14"/>
      <c r="R3649" s="14"/>
    </row>
    <row r="3650" spans="15:18" x14ac:dyDescent="0.3">
      <c r="O3650" s="14"/>
      <c r="P3650" s="14"/>
      <c r="Q3650" s="14"/>
      <c r="R3650" s="14"/>
    </row>
    <row r="3651" spans="15:18" x14ac:dyDescent="0.3">
      <c r="O3651" s="14"/>
      <c r="P3651" s="14"/>
      <c r="Q3651" s="14"/>
      <c r="R3651" s="14"/>
    </row>
    <row r="3652" spans="15:18" x14ac:dyDescent="0.3">
      <c r="O3652" s="14"/>
      <c r="P3652" s="14"/>
      <c r="Q3652" s="14"/>
      <c r="R3652" s="14"/>
    </row>
    <row r="3653" spans="15:18" x14ac:dyDescent="0.3">
      <c r="O3653" s="14"/>
      <c r="P3653" s="14"/>
      <c r="Q3653" s="14"/>
      <c r="R3653" s="14"/>
    </row>
    <row r="3654" spans="15:18" x14ac:dyDescent="0.3">
      <c r="O3654" s="14"/>
      <c r="P3654" s="14"/>
      <c r="Q3654" s="14"/>
      <c r="R3654" s="14"/>
    </row>
    <row r="3655" spans="15:18" x14ac:dyDescent="0.3">
      <c r="O3655" s="14"/>
      <c r="P3655" s="14"/>
      <c r="Q3655" s="14"/>
      <c r="R3655" s="14"/>
    </row>
    <row r="3656" spans="15:18" x14ac:dyDescent="0.3">
      <c r="O3656" s="14"/>
      <c r="P3656" s="14"/>
      <c r="Q3656" s="14"/>
      <c r="R3656" s="14"/>
    </row>
    <row r="3657" spans="15:18" x14ac:dyDescent="0.3">
      <c r="O3657" s="14"/>
      <c r="P3657" s="14"/>
      <c r="Q3657" s="14"/>
      <c r="R3657" s="14"/>
    </row>
    <row r="3658" spans="15:18" x14ac:dyDescent="0.3">
      <c r="O3658" s="14"/>
      <c r="P3658" s="14"/>
      <c r="Q3658" s="14"/>
      <c r="R3658" s="14"/>
    </row>
    <row r="3659" spans="15:18" x14ac:dyDescent="0.3">
      <c r="O3659" s="14"/>
      <c r="P3659" s="14"/>
      <c r="Q3659" s="14"/>
      <c r="R3659" s="14"/>
    </row>
    <row r="3660" spans="15:18" x14ac:dyDescent="0.3">
      <c r="O3660" s="14"/>
      <c r="P3660" s="14"/>
      <c r="Q3660" s="14"/>
      <c r="R3660" s="14"/>
    </row>
    <row r="3661" spans="15:18" x14ac:dyDescent="0.3">
      <c r="O3661" s="14"/>
      <c r="P3661" s="14"/>
      <c r="Q3661" s="14"/>
      <c r="R3661" s="14"/>
    </row>
    <row r="3662" spans="15:18" x14ac:dyDescent="0.3">
      <c r="O3662" s="14"/>
      <c r="P3662" s="14"/>
      <c r="Q3662" s="14"/>
      <c r="R3662" s="14"/>
    </row>
    <row r="3663" spans="15:18" x14ac:dyDescent="0.3">
      <c r="O3663" s="14"/>
      <c r="P3663" s="14"/>
      <c r="Q3663" s="14"/>
      <c r="R3663" s="14"/>
    </row>
    <row r="3664" spans="15:18" x14ac:dyDescent="0.3">
      <c r="O3664" s="14"/>
      <c r="P3664" s="14"/>
      <c r="Q3664" s="14"/>
      <c r="R3664" s="14"/>
    </row>
    <row r="3665" spans="15:18" x14ac:dyDescent="0.3">
      <c r="O3665" s="14"/>
      <c r="P3665" s="14"/>
      <c r="Q3665" s="14"/>
      <c r="R3665" s="14"/>
    </row>
    <row r="3666" spans="15:18" x14ac:dyDescent="0.3">
      <c r="O3666" s="14"/>
      <c r="P3666" s="14"/>
      <c r="Q3666" s="14"/>
      <c r="R3666" s="14"/>
    </row>
    <row r="3667" spans="15:18" x14ac:dyDescent="0.3">
      <c r="O3667" s="14"/>
      <c r="P3667" s="14"/>
      <c r="Q3667" s="14"/>
      <c r="R3667" s="14"/>
    </row>
    <row r="3668" spans="15:18" x14ac:dyDescent="0.3">
      <c r="O3668" s="14"/>
      <c r="P3668" s="14"/>
      <c r="Q3668" s="14"/>
      <c r="R3668" s="14"/>
    </row>
    <row r="3669" spans="15:18" x14ac:dyDescent="0.3">
      <c r="O3669" s="14"/>
      <c r="P3669" s="14"/>
      <c r="Q3669" s="14"/>
      <c r="R3669" s="14"/>
    </row>
    <row r="3670" spans="15:18" x14ac:dyDescent="0.3">
      <c r="O3670" s="14"/>
      <c r="P3670" s="14"/>
      <c r="Q3670" s="14"/>
      <c r="R3670" s="14"/>
    </row>
    <row r="3671" spans="15:18" x14ac:dyDescent="0.3">
      <c r="O3671" s="14"/>
      <c r="P3671" s="14"/>
      <c r="Q3671" s="14"/>
      <c r="R3671" s="14"/>
    </row>
    <row r="3672" spans="15:18" x14ac:dyDescent="0.3">
      <c r="O3672" s="14"/>
      <c r="P3672" s="14"/>
      <c r="Q3672" s="14"/>
      <c r="R3672" s="14"/>
    </row>
    <row r="3673" spans="15:18" x14ac:dyDescent="0.3">
      <c r="O3673" s="14"/>
      <c r="P3673" s="14"/>
      <c r="Q3673" s="14"/>
      <c r="R3673" s="14"/>
    </row>
    <row r="3674" spans="15:18" x14ac:dyDescent="0.3">
      <c r="O3674" s="14"/>
      <c r="P3674" s="14"/>
      <c r="Q3674" s="14"/>
      <c r="R3674" s="14"/>
    </row>
    <row r="3675" spans="15:18" x14ac:dyDescent="0.3">
      <c r="O3675" s="14"/>
      <c r="P3675" s="14"/>
      <c r="Q3675" s="14"/>
      <c r="R3675" s="14"/>
    </row>
    <row r="3676" spans="15:18" x14ac:dyDescent="0.3">
      <c r="O3676" s="14"/>
      <c r="P3676" s="14"/>
      <c r="Q3676" s="14"/>
      <c r="R3676" s="14"/>
    </row>
    <row r="3677" spans="15:18" x14ac:dyDescent="0.3">
      <c r="O3677" s="14"/>
      <c r="P3677" s="14"/>
      <c r="Q3677" s="14"/>
      <c r="R3677" s="14"/>
    </row>
    <row r="3678" spans="15:18" x14ac:dyDescent="0.3">
      <c r="O3678" s="14"/>
      <c r="P3678" s="14"/>
      <c r="Q3678" s="14"/>
      <c r="R3678" s="14"/>
    </row>
    <row r="3679" spans="15:18" x14ac:dyDescent="0.3">
      <c r="O3679" s="14"/>
      <c r="P3679" s="14"/>
      <c r="Q3679" s="14"/>
      <c r="R3679" s="14"/>
    </row>
    <row r="3680" spans="15:18" x14ac:dyDescent="0.3">
      <c r="O3680" s="14"/>
      <c r="P3680" s="14"/>
      <c r="Q3680" s="14"/>
      <c r="R3680" s="14"/>
    </row>
    <row r="3681" spans="15:18" x14ac:dyDescent="0.3">
      <c r="O3681" s="14"/>
      <c r="P3681" s="14"/>
      <c r="Q3681" s="14"/>
      <c r="R3681" s="14"/>
    </row>
    <row r="3682" spans="15:18" x14ac:dyDescent="0.3">
      <c r="O3682" s="14"/>
      <c r="P3682" s="14"/>
      <c r="Q3682" s="14"/>
      <c r="R3682" s="14"/>
    </row>
    <row r="3683" spans="15:18" x14ac:dyDescent="0.3">
      <c r="O3683" s="14"/>
      <c r="P3683" s="14"/>
      <c r="Q3683" s="14"/>
      <c r="R3683" s="14"/>
    </row>
    <row r="3684" spans="15:18" x14ac:dyDescent="0.3">
      <c r="O3684" s="14"/>
      <c r="P3684" s="14"/>
      <c r="Q3684" s="14"/>
      <c r="R3684" s="14"/>
    </row>
    <row r="3685" spans="15:18" x14ac:dyDescent="0.3">
      <c r="O3685" s="14"/>
      <c r="P3685" s="14"/>
      <c r="Q3685" s="14"/>
      <c r="R3685" s="14"/>
    </row>
    <row r="3686" spans="15:18" x14ac:dyDescent="0.3">
      <c r="O3686" s="14"/>
      <c r="P3686" s="14"/>
      <c r="Q3686" s="14"/>
      <c r="R3686" s="14"/>
    </row>
    <row r="3687" spans="15:18" x14ac:dyDescent="0.3">
      <c r="O3687" s="14"/>
      <c r="P3687" s="14"/>
      <c r="Q3687" s="14"/>
      <c r="R3687" s="14"/>
    </row>
    <row r="3688" spans="15:18" x14ac:dyDescent="0.3">
      <c r="O3688" s="14"/>
      <c r="P3688" s="14"/>
      <c r="Q3688" s="14"/>
      <c r="R3688" s="14"/>
    </row>
    <row r="3689" spans="15:18" x14ac:dyDescent="0.3">
      <c r="O3689" s="14"/>
      <c r="P3689" s="14"/>
      <c r="Q3689" s="14"/>
      <c r="R3689" s="14"/>
    </row>
    <row r="3690" spans="15:18" x14ac:dyDescent="0.3">
      <c r="O3690" s="14"/>
      <c r="P3690" s="14"/>
      <c r="Q3690" s="14"/>
      <c r="R3690" s="14"/>
    </row>
    <row r="3691" spans="15:18" x14ac:dyDescent="0.3">
      <c r="O3691" s="14"/>
      <c r="P3691" s="14"/>
      <c r="Q3691" s="14"/>
      <c r="R3691" s="14"/>
    </row>
    <row r="3692" spans="15:18" x14ac:dyDescent="0.3">
      <c r="O3692" s="14"/>
      <c r="P3692" s="14"/>
      <c r="Q3692" s="14"/>
      <c r="R3692" s="14"/>
    </row>
    <row r="3693" spans="15:18" x14ac:dyDescent="0.3">
      <c r="O3693" s="14"/>
      <c r="P3693" s="14"/>
      <c r="Q3693" s="14"/>
      <c r="R3693" s="14"/>
    </row>
    <row r="3694" spans="15:18" x14ac:dyDescent="0.3">
      <c r="O3694" s="14"/>
      <c r="P3694" s="14"/>
      <c r="Q3694" s="14"/>
      <c r="R3694" s="14"/>
    </row>
    <row r="3695" spans="15:18" x14ac:dyDescent="0.3">
      <c r="O3695" s="14"/>
      <c r="P3695" s="14"/>
      <c r="Q3695" s="14"/>
      <c r="R3695" s="14"/>
    </row>
    <row r="3696" spans="15:18" x14ac:dyDescent="0.3">
      <c r="O3696" s="14"/>
      <c r="P3696" s="14"/>
      <c r="Q3696" s="14"/>
      <c r="R3696" s="14"/>
    </row>
    <row r="3697" spans="15:18" x14ac:dyDescent="0.3">
      <c r="O3697" s="14"/>
      <c r="P3697" s="14"/>
      <c r="Q3697" s="14"/>
      <c r="R3697" s="14"/>
    </row>
    <row r="3698" spans="15:18" x14ac:dyDescent="0.3">
      <c r="O3698" s="14"/>
      <c r="P3698" s="14"/>
      <c r="Q3698" s="14"/>
      <c r="R3698" s="14"/>
    </row>
    <row r="3699" spans="15:18" x14ac:dyDescent="0.3">
      <c r="O3699" s="14"/>
      <c r="P3699" s="14"/>
      <c r="Q3699" s="14"/>
      <c r="R3699" s="14"/>
    </row>
    <row r="3700" spans="15:18" x14ac:dyDescent="0.3">
      <c r="O3700" s="14"/>
      <c r="P3700" s="14"/>
      <c r="Q3700" s="14"/>
      <c r="R3700" s="14"/>
    </row>
    <row r="3701" spans="15:18" x14ac:dyDescent="0.3">
      <c r="O3701" s="14"/>
      <c r="P3701" s="14"/>
      <c r="Q3701" s="14"/>
      <c r="R3701" s="14"/>
    </row>
    <row r="3702" spans="15:18" x14ac:dyDescent="0.3">
      <c r="O3702" s="14"/>
      <c r="P3702" s="14"/>
      <c r="Q3702" s="14"/>
      <c r="R3702" s="14"/>
    </row>
    <row r="3703" spans="15:18" x14ac:dyDescent="0.3">
      <c r="O3703" s="14"/>
      <c r="P3703" s="14"/>
      <c r="Q3703" s="14"/>
      <c r="R3703" s="14"/>
    </row>
    <row r="3704" spans="15:18" x14ac:dyDescent="0.3">
      <c r="O3704" s="14"/>
      <c r="P3704" s="14"/>
      <c r="Q3704" s="14"/>
      <c r="R3704" s="14"/>
    </row>
    <row r="3705" spans="15:18" x14ac:dyDescent="0.3">
      <c r="O3705" s="14"/>
      <c r="P3705" s="14"/>
      <c r="Q3705" s="14"/>
      <c r="R3705" s="14"/>
    </row>
    <row r="3706" spans="15:18" x14ac:dyDescent="0.3">
      <c r="O3706" s="14"/>
      <c r="P3706" s="14"/>
      <c r="Q3706" s="14"/>
      <c r="R3706" s="14"/>
    </row>
    <row r="3707" spans="15:18" x14ac:dyDescent="0.3">
      <c r="O3707" s="14"/>
      <c r="P3707" s="14"/>
      <c r="Q3707" s="14"/>
      <c r="R3707" s="14"/>
    </row>
    <row r="3708" spans="15:18" x14ac:dyDescent="0.3">
      <c r="O3708" s="14"/>
      <c r="P3708" s="14"/>
      <c r="Q3708" s="14"/>
      <c r="R3708" s="14"/>
    </row>
    <row r="3709" spans="15:18" x14ac:dyDescent="0.3">
      <c r="O3709" s="14"/>
      <c r="P3709" s="14"/>
      <c r="Q3709" s="14"/>
      <c r="R3709" s="14"/>
    </row>
    <row r="3710" spans="15:18" x14ac:dyDescent="0.3">
      <c r="O3710" s="14"/>
      <c r="P3710" s="14"/>
      <c r="Q3710" s="14"/>
      <c r="R3710" s="14"/>
    </row>
    <row r="3711" spans="15:18" x14ac:dyDescent="0.3">
      <c r="O3711" s="14"/>
      <c r="P3711" s="14"/>
      <c r="Q3711" s="14"/>
      <c r="R3711" s="14"/>
    </row>
    <row r="3712" spans="15:18" x14ac:dyDescent="0.3">
      <c r="O3712" s="14"/>
      <c r="P3712" s="14"/>
      <c r="Q3712" s="14"/>
      <c r="R3712" s="14"/>
    </row>
    <row r="3713" spans="15:18" x14ac:dyDescent="0.3">
      <c r="O3713" s="14"/>
      <c r="P3713" s="14"/>
      <c r="Q3713" s="14"/>
      <c r="R3713" s="14"/>
    </row>
    <row r="3714" spans="15:18" x14ac:dyDescent="0.3">
      <c r="O3714" s="14"/>
      <c r="P3714" s="14"/>
      <c r="Q3714" s="14"/>
      <c r="R3714" s="14"/>
    </row>
    <row r="3715" spans="15:18" x14ac:dyDescent="0.3">
      <c r="O3715" s="14"/>
      <c r="P3715" s="14"/>
      <c r="Q3715" s="14"/>
      <c r="R3715" s="14"/>
    </row>
    <row r="3716" spans="15:18" x14ac:dyDescent="0.3">
      <c r="O3716" s="14"/>
      <c r="P3716" s="14"/>
      <c r="Q3716" s="14"/>
      <c r="R3716" s="14"/>
    </row>
    <row r="3717" spans="15:18" x14ac:dyDescent="0.3">
      <c r="O3717" s="14"/>
      <c r="P3717" s="14"/>
      <c r="Q3717" s="14"/>
      <c r="R3717" s="14"/>
    </row>
    <row r="3718" spans="15:18" x14ac:dyDescent="0.3">
      <c r="O3718" s="14"/>
      <c r="P3718" s="14"/>
      <c r="Q3718" s="14"/>
      <c r="R3718" s="14"/>
    </row>
    <row r="3719" spans="15:18" x14ac:dyDescent="0.3">
      <c r="O3719" s="14"/>
      <c r="P3719" s="14"/>
      <c r="Q3719" s="14"/>
      <c r="R3719" s="14"/>
    </row>
    <row r="3720" spans="15:18" x14ac:dyDescent="0.3">
      <c r="O3720" s="14"/>
      <c r="P3720" s="14"/>
      <c r="Q3720" s="14"/>
      <c r="R3720" s="14"/>
    </row>
    <row r="3721" spans="15:18" x14ac:dyDescent="0.3">
      <c r="O3721" s="14"/>
      <c r="P3721" s="14"/>
      <c r="Q3721" s="14"/>
      <c r="R3721" s="14"/>
    </row>
    <row r="3722" spans="15:18" x14ac:dyDescent="0.3">
      <c r="O3722" s="14"/>
      <c r="P3722" s="14"/>
      <c r="Q3722" s="14"/>
      <c r="R3722" s="14"/>
    </row>
    <row r="3723" spans="15:18" x14ac:dyDescent="0.3">
      <c r="O3723" s="14"/>
      <c r="P3723" s="14"/>
      <c r="Q3723" s="14"/>
      <c r="R3723" s="14"/>
    </row>
    <row r="3724" spans="15:18" x14ac:dyDescent="0.3">
      <c r="O3724" s="14"/>
      <c r="P3724" s="14"/>
      <c r="Q3724" s="14"/>
      <c r="R3724" s="14"/>
    </row>
    <row r="3725" spans="15:18" x14ac:dyDescent="0.3">
      <c r="O3725" s="14"/>
      <c r="P3725" s="14"/>
      <c r="Q3725" s="14"/>
      <c r="R3725" s="14"/>
    </row>
    <row r="3726" spans="15:18" x14ac:dyDescent="0.3">
      <c r="O3726" s="14"/>
      <c r="P3726" s="14"/>
      <c r="Q3726" s="14"/>
      <c r="R3726" s="14"/>
    </row>
    <row r="3727" spans="15:18" x14ac:dyDescent="0.3">
      <c r="O3727" s="14"/>
      <c r="P3727" s="14"/>
      <c r="Q3727" s="14"/>
      <c r="R3727" s="14"/>
    </row>
    <row r="3728" spans="15:18" x14ac:dyDescent="0.3">
      <c r="O3728" s="14"/>
      <c r="P3728" s="14"/>
      <c r="Q3728" s="14"/>
      <c r="R3728" s="14"/>
    </row>
    <row r="3729" spans="15:18" x14ac:dyDescent="0.3">
      <c r="O3729" s="14"/>
      <c r="P3729" s="14"/>
      <c r="Q3729" s="14"/>
      <c r="R3729" s="14"/>
    </row>
    <row r="3730" spans="15:18" x14ac:dyDescent="0.3">
      <c r="O3730" s="14"/>
      <c r="P3730" s="14"/>
      <c r="Q3730" s="14"/>
      <c r="R3730" s="14"/>
    </row>
    <row r="3731" spans="15:18" x14ac:dyDescent="0.3">
      <c r="O3731" s="14"/>
      <c r="P3731" s="14"/>
      <c r="Q3731" s="14"/>
      <c r="R3731" s="14"/>
    </row>
    <row r="3732" spans="15:18" x14ac:dyDescent="0.3">
      <c r="O3732" s="14"/>
      <c r="P3732" s="14"/>
      <c r="Q3732" s="14"/>
      <c r="R3732" s="14"/>
    </row>
    <row r="3733" spans="15:18" x14ac:dyDescent="0.3">
      <c r="O3733" s="14"/>
      <c r="P3733" s="14"/>
      <c r="Q3733" s="14"/>
      <c r="R3733" s="14"/>
    </row>
    <row r="3734" spans="15:18" x14ac:dyDescent="0.3">
      <c r="O3734" s="14"/>
      <c r="P3734" s="14"/>
      <c r="Q3734" s="14"/>
      <c r="R3734" s="14"/>
    </row>
    <row r="3735" spans="15:18" x14ac:dyDescent="0.3">
      <c r="O3735" s="14"/>
      <c r="P3735" s="14"/>
      <c r="Q3735" s="14"/>
      <c r="R3735" s="14"/>
    </row>
    <row r="3736" spans="15:18" x14ac:dyDescent="0.3">
      <c r="O3736" s="14"/>
      <c r="P3736" s="14"/>
      <c r="Q3736" s="14"/>
      <c r="R3736" s="14"/>
    </row>
    <row r="3737" spans="15:18" x14ac:dyDescent="0.3">
      <c r="O3737" s="14"/>
      <c r="P3737" s="14"/>
      <c r="Q3737" s="14"/>
      <c r="R3737" s="14"/>
    </row>
    <row r="3738" spans="15:18" x14ac:dyDescent="0.3">
      <c r="O3738" s="14"/>
      <c r="P3738" s="14"/>
      <c r="Q3738" s="14"/>
      <c r="R3738" s="14"/>
    </row>
    <row r="3739" spans="15:18" x14ac:dyDescent="0.3">
      <c r="O3739" s="14"/>
      <c r="P3739" s="14"/>
      <c r="Q3739" s="14"/>
      <c r="R3739" s="14"/>
    </row>
    <row r="3740" spans="15:18" x14ac:dyDescent="0.3">
      <c r="O3740" s="14"/>
      <c r="P3740" s="14"/>
      <c r="Q3740" s="14"/>
      <c r="R3740" s="14"/>
    </row>
    <row r="3741" spans="15:18" x14ac:dyDescent="0.3">
      <c r="O3741" s="14"/>
      <c r="P3741" s="14"/>
      <c r="Q3741" s="14"/>
      <c r="R3741" s="14"/>
    </row>
    <row r="3742" spans="15:18" x14ac:dyDescent="0.3">
      <c r="O3742" s="14"/>
      <c r="P3742" s="14"/>
      <c r="Q3742" s="14"/>
      <c r="R3742" s="14"/>
    </row>
    <row r="3743" spans="15:18" x14ac:dyDescent="0.3">
      <c r="O3743" s="14"/>
      <c r="P3743" s="14"/>
      <c r="Q3743" s="14"/>
      <c r="R3743" s="14"/>
    </row>
    <row r="3744" spans="15:18" x14ac:dyDescent="0.3">
      <c r="O3744" s="14"/>
      <c r="P3744" s="14"/>
      <c r="Q3744" s="14"/>
      <c r="R3744" s="14"/>
    </row>
    <row r="3745" spans="15:18" x14ac:dyDescent="0.3">
      <c r="O3745" s="14"/>
      <c r="P3745" s="14"/>
      <c r="Q3745" s="14"/>
      <c r="R3745" s="14"/>
    </row>
    <row r="3746" spans="15:18" x14ac:dyDescent="0.3">
      <c r="O3746" s="14"/>
      <c r="P3746" s="14"/>
      <c r="Q3746" s="14"/>
      <c r="R3746" s="14"/>
    </row>
    <row r="3747" spans="15:18" x14ac:dyDescent="0.3">
      <c r="O3747" s="14"/>
      <c r="P3747" s="14"/>
      <c r="Q3747" s="14"/>
      <c r="R3747" s="14"/>
    </row>
    <row r="3748" spans="15:18" x14ac:dyDescent="0.3">
      <c r="O3748" s="14"/>
      <c r="P3748" s="14"/>
      <c r="Q3748" s="14"/>
      <c r="R3748" s="14"/>
    </row>
    <row r="3749" spans="15:18" x14ac:dyDescent="0.3">
      <c r="O3749" s="14"/>
      <c r="P3749" s="14"/>
      <c r="Q3749" s="14"/>
      <c r="R3749" s="14"/>
    </row>
    <row r="3750" spans="15:18" x14ac:dyDescent="0.3">
      <c r="O3750" s="14"/>
      <c r="P3750" s="14"/>
      <c r="Q3750" s="14"/>
      <c r="R3750" s="14"/>
    </row>
    <row r="3751" spans="15:18" x14ac:dyDescent="0.3">
      <c r="O3751" s="14"/>
      <c r="P3751" s="14"/>
      <c r="Q3751" s="14"/>
      <c r="R3751" s="14"/>
    </row>
    <row r="3752" spans="15:18" x14ac:dyDescent="0.3">
      <c r="O3752" s="14"/>
      <c r="P3752" s="14"/>
      <c r="Q3752" s="14"/>
      <c r="R3752" s="14"/>
    </row>
    <row r="3753" spans="15:18" x14ac:dyDescent="0.3">
      <c r="O3753" s="14"/>
      <c r="P3753" s="14"/>
      <c r="Q3753" s="14"/>
      <c r="R3753" s="14"/>
    </row>
    <row r="3754" spans="15:18" x14ac:dyDescent="0.3">
      <c r="O3754" s="14"/>
      <c r="P3754" s="14"/>
      <c r="Q3754" s="14"/>
      <c r="R3754" s="14"/>
    </row>
    <row r="3755" spans="15:18" x14ac:dyDescent="0.3">
      <c r="O3755" s="14"/>
      <c r="P3755" s="14"/>
      <c r="Q3755" s="14"/>
      <c r="R3755" s="14"/>
    </row>
    <row r="3756" spans="15:18" x14ac:dyDescent="0.3">
      <c r="O3756" s="14"/>
      <c r="P3756" s="14"/>
      <c r="Q3756" s="14"/>
      <c r="R3756" s="14"/>
    </row>
    <row r="3757" spans="15:18" x14ac:dyDescent="0.3">
      <c r="O3757" s="14"/>
      <c r="P3757" s="14"/>
      <c r="Q3757" s="14"/>
      <c r="R3757" s="14"/>
    </row>
    <row r="3758" spans="15:18" x14ac:dyDescent="0.3">
      <c r="O3758" s="14"/>
      <c r="P3758" s="14"/>
      <c r="Q3758" s="14"/>
      <c r="R3758" s="14"/>
    </row>
    <row r="3759" spans="15:18" x14ac:dyDescent="0.3">
      <c r="O3759" s="14"/>
      <c r="P3759" s="14"/>
      <c r="Q3759" s="14"/>
      <c r="R3759" s="14"/>
    </row>
    <row r="3760" spans="15:18" x14ac:dyDescent="0.3">
      <c r="O3760" s="14"/>
      <c r="P3760" s="14"/>
      <c r="Q3760" s="14"/>
      <c r="R3760" s="14"/>
    </row>
    <row r="3761" spans="15:18" x14ac:dyDescent="0.3">
      <c r="O3761" s="14"/>
      <c r="P3761" s="14"/>
      <c r="Q3761" s="14"/>
      <c r="R3761" s="14"/>
    </row>
    <row r="3762" spans="15:18" x14ac:dyDescent="0.3">
      <c r="O3762" s="14"/>
      <c r="P3762" s="14"/>
      <c r="Q3762" s="14"/>
      <c r="R3762" s="14"/>
    </row>
    <row r="3763" spans="15:18" x14ac:dyDescent="0.3">
      <c r="O3763" s="14"/>
      <c r="P3763" s="14"/>
      <c r="Q3763" s="14"/>
      <c r="R3763" s="14"/>
    </row>
    <row r="3764" spans="15:18" x14ac:dyDescent="0.3">
      <c r="O3764" s="14"/>
      <c r="P3764" s="14"/>
      <c r="Q3764" s="14"/>
      <c r="R3764" s="14"/>
    </row>
    <row r="3765" spans="15:18" x14ac:dyDescent="0.3">
      <c r="O3765" s="14"/>
      <c r="P3765" s="14"/>
      <c r="Q3765" s="14"/>
      <c r="R3765" s="14"/>
    </row>
    <row r="3766" spans="15:18" x14ac:dyDescent="0.3">
      <c r="O3766" s="14"/>
      <c r="P3766" s="14"/>
      <c r="Q3766" s="14"/>
      <c r="R3766" s="14"/>
    </row>
    <row r="3767" spans="15:18" x14ac:dyDescent="0.3">
      <c r="O3767" s="14"/>
      <c r="P3767" s="14"/>
      <c r="Q3767" s="14"/>
      <c r="R3767" s="14"/>
    </row>
    <row r="3768" spans="15:18" x14ac:dyDescent="0.3">
      <c r="O3768" s="14"/>
      <c r="P3768" s="14"/>
      <c r="Q3768" s="14"/>
      <c r="R3768" s="14"/>
    </row>
    <row r="3769" spans="15:18" x14ac:dyDescent="0.3">
      <c r="O3769" s="14"/>
      <c r="P3769" s="14"/>
      <c r="Q3769" s="14"/>
      <c r="R3769" s="14"/>
    </row>
    <row r="3770" spans="15:18" x14ac:dyDescent="0.3">
      <c r="O3770" s="14"/>
      <c r="P3770" s="14"/>
      <c r="Q3770" s="14"/>
      <c r="R3770" s="14"/>
    </row>
    <row r="3771" spans="15:18" x14ac:dyDescent="0.3">
      <c r="O3771" s="14"/>
      <c r="P3771" s="14"/>
      <c r="Q3771" s="14"/>
      <c r="R3771" s="14"/>
    </row>
    <row r="3772" spans="15:18" x14ac:dyDescent="0.3">
      <c r="O3772" s="14"/>
      <c r="P3772" s="14"/>
      <c r="Q3772" s="14"/>
      <c r="R3772" s="14"/>
    </row>
    <row r="3773" spans="15:18" x14ac:dyDescent="0.3">
      <c r="O3773" s="14"/>
      <c r="P3773" s="14"/>
      <c r="Q3773" s="14"/>
      <c r="R3773" s="14"/>
    </row>
    <row r="3774" spans="15:18" x14ac:dyDescent="0.3">
      <c r="O3774" s="14"/>
      <c r="P3774" s="14"/>
      <c r="Q3774" s="14"/>
      <c r="R3774" s="14"/>
    </row>
    <row r="3775" spans="15:18" x14ac:dyDescent="0.3">
      <c r="O3775" s="14"/>
      <c r="P3775" s="14"/>
      <c r="Q3775" s="14"/>
      <c r="R3775" s="14"/>
    </row>
    <row r="3776" spans="15:18" x14ac:dyDescent="0.3">
      <c r="O3776" s="14"/>
      <c r="P3776" s="14"/>
      <c r="Q3776" s="14"/>
      <c r="R3776" s="14"/>
    </row>
    <row r="3777" spans="15:18" x14ac:dyDescent="0.3">
      <c r="O3777" s="14"/>
      <c r="P3777" s="14"/>
      <c r="Q3777" s="14"/>
      <c r="R3777" s="14"/>
    </row>
    <row r="3778" spans="15:18" x14ac:dyDescent="0.3">
      <c r="O3778" s="14"/>
      <c r="P3778" s="14"/>
      <c r="Q3778" s="14"/>
      <c r="R3778" s="14"/>
    </row>
    <row r="3779" spans="15:18" x14ac:dyDescent="0.3">
      <c r="O3779" s="14"/>
      <c r="P3779" s="14"/>
      <c r="Q3779" s="14"/>
      <c r="R3779" s="14"/>
    </row>
    <row r="3780" spans="15:18" x14ac:dyDescent="0.3">
      <c r="O3780" s="14"/>
      <c r="P3780" s="14"/>
      <c r="Q3780" s="14"/>
      <c r="R3780" s="14"/>
    </row>
    <row r="3781" spans="15:18" x14ac:dyDescent="0.3">
      <c r="O3781" s="14"/>
      <c r="P3781" s="14"/>
      <c r="Q3781" s="14"/>
      <c r="R3781" s="14"/>
    </row>
    <row r="3782" spans="15:18" x14ac:dyDescent="0.3">
      <c r="O3782" s="14"/>
      <c r="P3782" s="14"/>
      <c r="Q3782" s="14"/>
      <c r="R3782" s="14"/>
    </row>
    <row r="3783" spans="15:18" x14ac:dyDescent="0.3">
      <c r="O3783" s="14"/>
      <c r="P3783" s="14"/>
      <c r="Q3783" s="14"/>
      <c r="R3783" s="14"/>
    </row>
    <row r="3784" spans="15:18" x14ac:dyDescent="0.3">
      <c r="O3784" s="14"/>
      <c r="P3784" s="14"/>
      <c r="Q3784" s="14"/>
      <c r="R3784" s="14"/>
    </row>
    <row r="3785" spans="15:18" x14ac:dyDescent="0.3">
      <c r="O3785" s="14"/>
      <c r="P3785" s="14"/>
      <c r="Q3785" s="14"/>
      <c r="R3785" s="14"/>
    </row>
    <row r="3786" spans="15:18" x14ac:dyDescent="0.3">
      <c r="O3786" s="14"/>
      <c r="P3786" s="14"/>
      <c r="Q3786" s="14"/>
      <c r="R3786" s="14"/>
    </row>
    <row r="3787" spans="15:18" x14ac:dyDescent="0.3">
      <c r="O3787" s="14"/>
      <c r="P3787" s="14"/>
      <c r="Q3787" s="14"/>
      <c r="R3787" s="14"/>
    </row>
    <row r="3788" spans="15:18" x14ac:dyDescent="0.3">
      <c r="O3788" s="14"/>
      <c r="P3788" s="14"/>
      <c r="Q3788" s="14"/>
      <c r="R3788" s="14"/>
    </row>
    <row r="3789" spans="15:18" x14ac:dyDescent="0.3">
      <c r="O3789" s="14"/>
      <c r="P3789" s="14"/>
      <c r="Q3789" s="14"/>
      <c r="R3789" s="14"/>
    </row>
    <row r="3790" spans="15:18" x14ac:dyDescent="0.3">
      <c r="O3790" s="14"/>
      <c r="P3790" s="14"/>
      <c r="Q3790" s="14"/>
      <c r="R3790" s="14"/>
    </row>
    <row r="3791" spans="15:18" x14ac:dyDescent="0.3">
      <c r="O3791" s="14"/>
      <c r="P3791" s="14"/>
      <c r="Q3791" s="14"/>
      <c r="R3791" s="14"/>
    </row>
    <row r="3792" spans="15:18" x14ac:dyDescent="0.3">
      <c r="O3792" s="14"/>
      <c r="P3792" s="14"/>
      <c r="Q3792" s="14"/>
      <c r="R3792" s="14"/>
    </row>
    <row r="3793" spans="15:18" x14ac:dyDescent="0.3">
      <c r="O3793" s="14"/>
      <c r="P3793" s="14"/>
      <c r="Q3793" s="14"/>
      <c r="R3793" s="14"/>
    </row>
    <row r="3794" spans="15:18" x14ac:dyDescent="0.3">
      <c r="O3794" s="14"/>
      <c r="P3794" s="14"/>
      <c r="Q3794" s="14"/>
      <c r="R3794" s="14"/>
    </row>
    <row r="3795" spans="15:18" x14ac:dyDescent="0.3">
      <c r="O3795" s="14"/>
      <c r="P3795" s="14"/>
      <c r="Q3795" s="14"/>
      <c r="R3795" s="14"/>
    </row>
    <row r="3796" spans="15:18" x14ac:dyDescent="0.3">
      <c r="O3796" s="14"/>
      <c r="P3796" s="14"/>
      <c r="Q3796" s="14"/>
      <c r="R3796" s="14"/>
    </row>
    <row r="3797" spans="15:18" x14ac:dyDescent="0.3">
      <c r="O3797" s="14"/>
      <c r="P3797" s="14"/>
      <c r="Q3797" s="14"/>
      <c r="R3797" s="14"/>
    </row>
    <row r="3798" spans="15:18" x14ac:dyDescent="0.3">
      <c r="O3798" s="14"/>
      <c r="P3798" s="14"/>
      <c r="Q3798" s="14"/>
      <c r="R3798" s="14"/>
    </row>
    <row r="3799" spans="15:18" x14ac:dyDescent="0.3">
      <c r="O3799" s="14"/>
      <c r="P3799" s="14"/>
      <c r="Q3799" s="14"/>
      <c r="R3799" s="14"/>
    </row>
    <row r="3800" spans="15:18" x14ac:dyDescent="0.3">
      <c r="O3800" s="14"/>
      <c r="P3800" s="14"/>
      <c r="Q3800" s="14"/>
      <c r="R3800" s="14"/>
    </row>
    <row r="3801" spans="15:18" x14ac:dyDescent="0.3">
      <c r="O3801" s="14"/>
      <c r="P3801" s="14"/>
      <c r="Q3801" s="14"/>
      <c r="R3801" s="14"/>
    </row>
    <row r="3802" spans="15:18" x14ac:dyDescent="0.3">
      <c r="O3802" s="14"/>
      <c r="P3802" s="14"/>
      <c r="Q3802" s="14"/>
      <c r="R3802" s="14"/>
    </row>
    <row r="3803" spans="15:18" x14ac:dyDescent="0.3">
      <c r="O3803" s="14"/>
      <c r="P3803" s="14"/>
      <c r="Q3803" s="14"/>
      <c r="R3803" s="14"/>
    </row>
    <row r="3804" spans="15:18" x14ac:dyDescent="0.3">
      <c r="O3804" s="14"/>
      <c r="P3804" s="14"/>
      <c r="Q3804" s="14"/>
      <c r="R3804" s="14"/>
    </row>
    <row r="3805" spans="15:18" x14ac:dyDescent="0.3">
      <c r="O3805" s="14"/>
      <c r="P3805" s="14"/>
      <c r="Q3805" s="14"/>
      <c r="R3805" s="14"/>
    </row>
    <row r="3806" spans="15:18" x14ac:dyDescent="0.3">
      <c r="O3806" s="14"/>
      <c r="P3806" s="14"/>
      <c r="Q3806" s="14"/>
      <c r="R3806" s="14"/>
    </row>
    <row r="3807" spans="15:18" x14ac:dyDescent="0.3">
      <c r="O3807" s="14"/>
      <c r="P3807" s="14"/>
      <c r="Q3807" s="14"/>
      <c r="R3807" s="14"/>
    </row>
    <row r="3808" spans="15:18" x14ac:dyDescent="0.3">
      <c r="O3808" s="14"/>
      <c r="P3808" s="14"/>
      <c r="Q3808" s="14"/>
      <c r="R3808" s="14"/>
    </row>
    <row r="3809" spans="15:18" x14ac:dyDescent="0.3">
      <c r="O3809" s="14"/>
      <c r="P3809" s="14"/>
      <c r="Q3809" s="14"/>
      <c r="R3809" s="14"/>
    </row>
    <row r="3810" spans="15:18" x14ac:dyDescent="0.3">
      <c r="O3810" s="14"/>
      <c r="P3810" s="14"/>
      <c r="Q3810" s="14"/>
      <c r="R3810" s="14"/>
    </row>
    <row r="3811" spans="15:18" x14ac:dyDescent="0.3">
      <c r="O3811" s="14"/>
      <c r="P3811" s="14"/>
      <c r="Q3811" s="14"/>
      <c r="R3811" s="14"/>
    </row>
    <row r="3812" spans="15:18" x14ac:dyDescent="0.3">
      <c r="O3812" s="14"/>
      <c r="P3812" s="14"/>
      <c r="Q3812" s="14"/>
      <c r="R3812" s="14"/>
    </row>
    <row r="3813" spans="15:18" x14ac:dyDescent="0.3">
      <c r="O3813" s="14"/>
      <c r="P3813" s="14"/>
      <c r="Q3813" s="14"/>
      <c r="R3813" s="14"/>
    </row>
    <row r="3814" spans="15:18" x14ac:dyDescent="0.3">
      <c r="O3814" s="14"/>
      <c r="P3814" s="14"/>
      <c r="Q3814" s="14"/>
      <c r="R3814" s="14"/>
    </row>
    <row r="3815" spans="15:18" x14ac:dyDescent="0.3">
      <c r="O3815" s="14"/>
      <c r="P3815" s="14"/>
      <c r="Q3815" s="14"/>
      <c r="R3815" s="14"/>
    </row>
    <row r="3816" spans="15:18" x14ac:dyDescent="0.3">
      <c r="O3816" s="14"/>
      <c r="P3816" s="14"/>
      <c r="Q3816" s="14"/>
      <c r="R3816" s="14"/>
    </row>
    <row r="3817" spans="15:18" x14ac:dyDescent="0.3">
      <c r="O3817" s="14"/>
      <c r="P3817" s="14"/>
      <c r="Q3817" s="14"/>
      <c r="R3817" s="14"/>
    </row>
    <row r="3818" spans="15:18" x14ac:dyDescent="0.3">
      <c r="O3818" s="14"/>
      <c r="P3818" s="14"/>
      <c r="Q3818" s="14"/>
      <c r="R3818" s="14"/>
    </row>
    <row r="3819" spans="15:18" x14ac:dyDescent="0.3">
      <c r="O3819" s="14"/>
      <c r="P3819" s="14"/>
      <c r="Q3819" s="14"/>
      <c r="R3819" s="14"/>
    </row>
    <row r="3820" spans="15:18" x14ac:dyDescent="0.3">
      <c r="O3820" s="14"/>
      <c r="P3820" s="14"/>
      <c r="Q3820" s="14"/>
      <c r="R3820" s="14"/>
    </row>
    <row r="3821" spans="15:18" x14ac:dyDescent="0.3">
      <c r="O3821" s="14"/>
      <c r="P3821" s="14"/>
      <c r="Q3821" s="14"/>
      <c r="R3821" s="14"/>
    </row>
    <row r="3822" spans="15:18" x14ac:dyDescent="0.3">
      <c r="O3822" s="14"/>
      <c r="P3822" s="14"/>
      <c r="Q3822" s="14"/>
      <c r="R3822" s="14"/>
    </row>
    <row r="3823" spans="15:18" x14ac:dyDescent="0.3">
      <c r="O3823" s="14"/>
      <c r="P3823" s="14"/>
      <c r="Q3823" s="14"/>
      <c r="R3823" s="14"/>
    </row>
    <row r="3824" spans="15:18" x14ac:dyDescent="0.3">
      <c r="O3824" s="14"/>
      <c r="P3824" s="14"/>
      <c r="Q3824" s="14"/>
      <c r="R3824" s="14"/>
    </row>
    <row r="3825" spans="15:18" x14ac:dyDescent="0.3">
      <c r="O3825" s="14"/>
      <c r="P3825" s="14"/>
      <c r="Q3825" s="14"/>
      <c r="R3825" s="14"/>
    </row>
    <row r="3826" spans="15:18" x14ac:dyDescent="0.3">
      <c r="O3826" s="14"/>
      <c r="P3826" s="14"/>
      <c r="Q3826" s="14"/>
      <c r="R3826" s="14"/>
    </row>
    <row r="3827" spans="15:18" x14ac:dyDescent="0.3">
      <c r="O3827" s="14"/>
      <c r="P3827" s="14"/>
      <c r="Q3827" s="14"/>
      <c r="R3827" s="14"/>
    </row>
    <row r="3828" spans="15:18" x14ac:dyDescent="0.3">
      <c r="O3828" s="14"/>
      <c r="P3828" s="14"/>
      <c r="Q3828" s="14"/>
      <c r="R3828" s="14"/>
    </row>
    <row r="3829" spans="15:18" x14ac:dyDescent="0.3">
      <c r="O3829" s="14"/>
      <c r="P3829" s="14"/>
      <c r="Q3829" s="14"/>
      <c r="R3829" s="14"/>
    </row>
    <row r="3830" spans="15:18" x14ac:dyDescent="0.3">
      <c r="O3830" s="14"/>
      <c r="P3830" s="14"/>
      <c r="Q3830" s="14"/>
      <c r="R3830" s="14"/>
    </row>
    <row r="3831" spans="15:18" x14ac:dyDescent="0.3">
      <c r="O3831" s="14"/>
      <c r="P3831" s="14"/>
      <c r="Q3831" s="14"/>
      <c r="R3831" s="14"/>
    </row>
    <row r="3832" spans="15:18" x14ac:dyDescent="0.3">
      <c r="O3832" s="14"/>
      <c r="P3832" s="14"/>
      <c r="Q3832" s="14"/>
      <c r="R3832" s="14"/>
    </row>
    <row r="3833" spans="15:18" x14ac:dyDescent="0.3">
      <c r="O3833" s="14"/>
      <c r="P3833" s="14"/>
      <c r="Q3833" s="14"/>
      <c r="R3833" s="14"/>
    </row>
    <row r="3834" spans="15:18" x14ac:dyDescent="0.3">
      <c r="O3834" s="14"/>
      <c r="P3834" s="14"/>
      <c r="Q3834" s="14"/>
      <c r="R3834" s="14"/>
    </row>
    <row r="3835" spans="15:18" x14ac:dyDescent="0.3">
      <c r="O3835" s="14"/>
      <c r="P3835" s="14"/>
      <c r="Q3835" s="14"/>
      <c r="R3835" s="14"/>
    </row>
    <row r="3836" spans="15:18" x14ac:dyDescent="0.3">
      <c r="O3836" s="14"/>
      <c r="P3836" s="14"/>
      <c r="Q3836" s="14"/>
      <c r="R3836" s="14"/>
    </row>
    <row r="3837" spans="15:18" x14ac:dyDescent="0.3">
      <c r="O3837" s="14"/>
      <c r="P3837" s="14"/>
      <c r="Q3837" s="14"/>
      <c r="R3837" s="14"/>
    </row>
    <row r="3838" spans="15:18" x14ac:dyDescent="0.3">
      <c r="O3838" s="14"/>
      <c r="P3838" s="14"/>
      <c r="Q3838" s="14"/>
      <c r="R3838" s="14"/>
    </row>
    <row r="3839" spans="15:18" x14ac:dyDescent="0.3">
      <c r="O3839" s="14"/>
      <c r="P3839" s="14"/>
      <c r="Q3839" s="14"/>
      <c r="R3839" s="14"/>
    </row>
    <row r="3840" spans="15:18" x14ac:dyDescent="0.3">
      <c r="O3840" s="14"/>
      <c r="P3840" s="14"/>
      <c r="Q3840" s="14"/>
      <c r="R3840" s="14"/>
    </row>
    <row r="3841" spans="15:18" x14ac:dyDescent="0.3">
      <c r="O3841" s="14"/>
      <c r="P3841" s="14"/>
      <c r="Q3841" s="14"/>
      <c r="R3841" s="14"/>
    </row>
    <row r="3842" spans="15:18" x14ac:dyDescent="0.3">
      <c r="O3842" s="14"/>
      <c r="P3842" s="14"/>
      <c r="Q3842" s="14"/>
      <c r="R3842" s="14"/>
    </row>
    <row r="3843" spans="15:18" x14ac:dyDescent="0.3">
      <c r="O3843" s="14"/>
      <c r="P3843" s="14"/>
      <c r="Q3843" s="14"/>
      <c r="R3843" s="14"/>
    </row>
    <row r="3844" spans="15:18" x14ac:dyDescent="0.3">
      <c r="O3844" s="14"/>
      <c r="P3844" s="14"/>
      <c r="Q3844" s="14"/>
      <c r="R3844" s="14"/>
    </row>
    <row r="3845" spans="15:18" x14ac:dyDescent="0.3">
      <c r="O3845" s="14"/>
      <c r="P3845" s="14"/>
      <c r="Q3845" s="14"/>
      <c r="R3845" s="14"/>
    </row>
    <row r="3846" spans="15:18" x14ac:dyDescent="0.3">
      <c r="O3846" s="14"/>
      <c r="P3846" s="14"/>
      <c r="Q3846" s="14"/>
      <c r="R3846" s="14"/>
    </row>
    <row r="3847" spans="15:18" x14ac:dyDescent="0.3">
      <c r="O3847" s="14"/>
      <c r="P3847" s="14"/>
      <c r="Q3847" s="14"/>
      <c r="R3847" s="14"/>
    </row>
    <row r="3848" spans="15:18" x14ac:dyDescent="0.3">
      <c r="O3848" s="14"/>
      <c r="P3848" s="14"/>
      <c r="Q3848" s="14"/>
      <c r="R3848" s="14"/>
    </row>
    <row r="3849" spans="15:18" x14ac:dyDescent="0.3">
      <c r="O3849" s="14"/>
      <c r="P3849" s="14"/>
      <c r="Q3849" s="14"/>
      <c r="R3849" s="14"/>
    </row>
    <row r="3850" spans="15:18" x14ac:dyDescent="0.3">
      <c r="O3850" s="14"/>
      <c r="P3850" s="14"/>
      <c r="Q3850" s="14"/>
      <c r="R3850" s="14"/>
    </row>
    <row r="3851" spans="15:18" x14ac:dyDescent="0.3">
      <c r="O3851" s="14"/>
      <c r="P3851" s="14"/>
      <c r="Q3851" s="14"/>
      <c r="R3851" s="14"/>
    </row>
    <row r="3852" spans="15:18" x14ac:dyDescent="0.3">
      <c r="O3852" s="14"/>
      <c r="P3852" s="14"/>
      <c r="Q3852" s="14"/>
      <c r="R3852" s="14"/>
    </row>
    <row r="3853" spans="15:18" x14ac:dyDescent="0.3">
      <c r="O3853" s="14"/>
      <c r="P3853" s="14"/>
      <c r="Q3853" s="14"/>
      <c r="R3853" s="14"/>
    </row>
    <row r="3854" spans="15:18" x14ac:dyDescent="0.3">
      <c r="O3854" s="14"/>
      <c r="P3854" s="14"/>
      <c r="Q3854" s="14"/>
      <c r="R3854" s="14"/>
    </row>
    <row r="3855" spans="15:18" x14ac:dyDescent="0.3">
      <c r="O3855" s="14"/>
      <c r="P3855" s="14"/>
      <c r="Q3855" s="14"/>
      <c r="R3855" s="14"/>
    </row>
    <row r="3856" spans="15:18" x14ac:dyDescent="0.3">
      <c r="O3856" s="14"/>
      <c r="P3856" s="14"/>
      <c r="Q3856" s="14"/>
      <c r="R3856" s="14"/>
    </row>
    <row r="3857" spans="15:18" x14ac:dyDescent="0.3">
      <c r="O3857" s="14"/>
      <c r="P3857" s="14"/>
      <c r="Q3857" s="14"/>
      <c r="R3857" s="14"/>
    </row>
    <row r="3858" spans="15:18" x14ac:dyDescent="0.3">
      <c r="O3858" s="14"/>
      <c r="P3858" s="14"/>
      <c r="Q3858" s="14"/>
      <c r="R3858" s="14"/>
    </row>
    <row r="3859" spans="15:18" x14ac:dyDescent="0.3">
      <c r="O3859" s="14"/>
      <c r="P3859" s="14"/>
      <c r="Q3859" s="14"/>
      <c r="R3859" s="14"/>
    </row>
    <row r="3860" spans="15:18" x14ac:dyDescent="0.3">
      <c r="O3860" s="14"/>
      <c r="P3860" s="14"/>
      <c r="Q3860" s="14"/>
      <c r="R3860" s="14"/>
    </row>
    <row r="3861" spans="15:18" x14ac:dyDescent="0.3">
      <c r="O3861" s="14"/>
      <c r="P3861" s="14"/>
      <c r="Q3861" s="14"/>
      <c r="R3861" s="14"/>
    </row>
    <row r="3862" spans="15:18" x14ac:dyDescent="0.3">
      <c r="O3862" s="14"/>
      <c r="P3862" s="14"/>
      <c r="Q3862" s="14"/>
      <c r="R3862" s="14"/>
    </row>
    <row r="3863" spans="15:18" x14ac:dyDescent="0.3">
      <c r="O3863" s="14"/>
      <c r="P3863" s="14"/>
      <c r="Q3863" s="14"/>
      <c r="R3863" s="14"/>
    </row>
    <row r="3864" spans="15:18" x14ac:dyDescent="0.3">
      <c r="O3864" s="14"/>
      <c r="P3864" s="14"/>
      <c r="Q3864" s="14"/>
      <c r="R3864" s="14"/>
    </row>
    <row r="3865" spans="15:18" x14ac:dyDescent="0.3">
      <c r="O3865" s="14"/>
      <c r="P3865" s="14"/>
      <c r="Q3865" s="14"/>
      <c r="R3865" s="14"/>
    </row>
    <row r="3866" spans="15:18" x14ac:dyDescent="0.3">
      <c r="O3866" s="14"/>
      <c r="P3866" s="14"/>
      <c r="Q3866" s="14"/>
      <c r="R3866" s="14"/>
    </row>
    <row r="3867" spans="15:18" x14ac:dyDescent="0.3">
      <c r="O3867" s="14"/>
      <c r="P3867" s="14"/>
      <c r="Q3867" s="14"/>
      <c r="R3867" s="14"/>
    </row>
    <row r="3868" spans="15:18" x14ac:dyDescent="0.3">
      <c r="O3868" s="14"/>
      <c r="P3868" s="14"/>
      <c r="Q3868" s="14"/>
      <c r="R3868" s="14"/>
    </row>
    <row r="3869" spans="15:18" x14ac:dyDescent="0.3">
      <c r="O3869" s="14"/>
      <c r="P3869" s="14"/>
      <c r="Q3869" s="14"/>
      <c r="R3869" s="14"/>
    </row>
    <row r="3870" spans="15:18" x14ac:dyDescent="0.3">
      <c r="O3870" s="14"/>
      <c r="P3870" s="14"/>
      <c r="Q3870" s="14"/>
      <c r="R3870" s="14"/>
    </row>
    <row r="3871" spans="15:18" x14ac:dyDescent="0.3">
      <c r="O3871" s="14"/>
      <c r="P3871" s="14"/>
      <c r="Q3871" s="14"/>
      <c r="R3871" s="14"/>
    </row>
    <row r="3872" spans="15:18" x14ac:dyDescent="0.3">
      <c r="O3872" s="14"/>
      <c r="P3872" s="14"/>
      <c r="Q3872" s="14"/>
      <c r="R3872" s="14"/>
    </row>
    <row r="3873" spans="15:18" x14ac:dyDescent="0.3">
      <c r="O3873" s="14"/>
      <c r="P3873" s="14"/>
      <c r="Q3873" s="14"/>
      <c r="R3873" s="14"/>
    </row>
    <row r="3874" spans="15:18" x14ac:dyDescent="0.3">
      <c r="O3874" s="14"/>
      <c r="P3874" s="14"/>
      <c r="Q3874" s="14"/>
      <c r="R3874" s="14"/>
    </row>
    <row r="3875" spans="15:18" x14ac:dyDescent="0.3">
      <c r="O3875" s="14"/>
      <c r="P3875" s="14"/>
      <c r="Q3875" s="14"/>
      <c r="R3875" s="14"/>
    </row>
    <row r="3876" spans="15:18" x14ac:dyDescent="0.3">
      <c r="O3876" s="14"/>
      <c r="P3876" s="14"/>
      <c r="Q3876" s="14"/>
      <c r="R3876" s="14"/>
    </row>
    <row r="3877" spans="15:18" x14ac:dyDescent="0.3">
      <c r="O3877" s="14"/>
      <c r="P3877" s="14"/>
      <c r="Q3877" s="14"/>
      <c r="R3877" s="14"/>
    </row>
    <row r="3878" spans="15:18" x14ac:dyDescent="0.3">
      <c r="O3878" s="14"/>
      <c r="P3878" s="14"/>
      <c r="Q3878" s="14"/>
      <c r="R3878" s="14"/>
    </row>
    <row r="3879" spans="15:18" x14ac:dyDescent="0.3">
      <c r="O3879" s="14"/>
      <c r="P3879" s="14"/>
      <c r="Q3879" s="14"/>
      <c r="R3879" s="14"/>
    </row>
    <row r="3880" spans="15:18" x14ac:dyDescent="0.3">
      <c r="O3880" s="14"/>
      <c r="P3880" s="14"/>
      <c r="Q3880" s="14"/>
      <c r="R3880" s="14"/>
    </row>
    <row r="3881" spans="15:18" x14ac:dyDescent="0.3">
      <c r="O3881" s="14"/>
      <c r="P3881" s="14"/>
      <c r="Q3881" s="14"/>
      <c r="R3881" s="14"/>
    </row>
    <row r="3882" spans="15:18" x14ac:dyDescent="0.3">
      <c r="O3882" s="14"/>
      <c r="P3882" s="14"/>
      <c r="Q3882" s="14"/>
      <c r="R3882" s="14"/>
    </row>
    <row r="3883" spans="15:18" x14ac:dyDescent="0.3">
      <c r="O3883" s="14"/>
      <c r="P3883" s="14"/>
      <c r="Q3883" s="14"/>
      <c r="R3883" s="14"/>
    </row>
    <row r="3884" spans="15:18" x14ac:dyDescent="0.3">
      <c r="O3884" s="14"/>
      <c r="P3884" s="14"/>
      <c r="Q3884" s="14"/>
      <c r="R3884" s="14"/>
    </row>
    <row r="3885" spans="15:18" x14ac:dyDescent="0.3">
      <c r="O3885" s="14"/>
      <c r="P3885" s="14"/>
      <c r="Q3885" s="14"/>
      <c r="R3885" s="14"/>
    </row>
    <row r="3886" spans="15:18" x14ac:dyDescent="0.3">
      <c r="O3886" s="14"/>
      <c r="P3886" s="14"/>
      <c r="Q3886" s="14"/>
      <c r="R3886" s="14"/>
    </row>
    <row r="3887" spans="15:18" x14ac:dyDescent="0.3">
      <c r="O3887" s="14"/>
      <c r="P3887" s="14"/>
      <c r="Q3887" s="14"/>
      <c r="R3887" s="14"/>
    </row>
    <row r="3888" spans="15:18" x14ac:dyDescent="0.3">
      <c r="O3888" s="14"/>
      <c r="P3888" s="14"/>
      <c r="Q3888" s="14"/>
      <c r="R3888" s="14"/>
    </row>
    <row r="3889" spans="15:18" x14ac:dyDescent="0.3">
      <c r="O3889" s="14"/>
      <c r="P3889" s="14"/>
      <c r="Q3889" s="14"/>
      <c r="R3889" s="14"/>
    </row>
    <row r="3890" spans="15:18" x14ac:dyDescent="0.3">
      <c r="O3890" s="14"/>
      <c r="P3890" s="14"/>
      <c r="Q3890" s="14"/>
      <c r="R3890" s="14"/>
    </row>
    <row r="3891" spans="15:18" x14ac:dyDescent="0.3">
      <c r="O3891" s="14"/>
      <c r="P3891" s="14"/>
      <c r="Q3891" s="14"/>
      <c r="R3891" s="14"/>
    </row>
    <row r="3892" spans="15:18" x14ac:dyDescent="0.3">
      <c r="O3892" s="14"/>
      <c r="P3892" s="14"/>
      <c r="Q3892" s="14"/>
      <c r="R3892" s="14"/>
    </row>
    <row r="3893" spans="15:18" x14ac:dyDescent="0.3">
      <c r="O3893" s="14"/>
      <c r="P3893" s="14"/>
      <c r="Q3893" s="14"/>
      <c r="R3893" s="14"/>
    </row>
    <row r="3894" spans="15:18" x14ac:dyDescent="0.3">
      <c r="O3894" s="14"/>
      <c r="P3894" s="14"/>
      <c r="Q3894" s="14"/>
      <c r="R3894" s="14"/>
    </row>
    <row r="3895" spans="15:18" x14ac:dyDescent="0.3">
      <c r="O3895" s="14"/>
      <c r="P3895" s="14"/>
      <c r="Q3895" s="14"/>
      <c r="R3895" s="14"/>
    </row>
    <row r="3896" spans="15:18" x14ac:dyDescent="0.3">
      <c r="O3896" s="14"/>
      <c r="P3896" s="14"/>
      <c r="Q3896" s="14"/>
      <c r="R3896" s="14"/>
    </row>
    <row r="3897" spans="15:18" x14ac:dyDescent="0.3">
      <c r="O3897" s="14"/>
      <c r="P3897" s="14"/>
      <c r="Q3897" s="14"/>
      <c r="R3897" s="14"/>
    </row>
    <row r="3898" spans="15:18" x14ac:dyDescent="0.3">
      <c r="O3898" s="14"/>
      <c r="P3898" s="14"/>
      <c r="Q3898" s="14"/>
      <c r="R3898" s="14"/>
    </row>
    <row r="3899" spans="15:18" x14ac:dyDescent="0.3">
      <c r="O3899" s="14"/>
      <c r="P3899" s="14"/>
      <c r="Q3899" s="14"/>
      <c r="R3899" s="14"/>
    </row>
    <row r="3900" spans="15:18" x14ac:dyDescent="0.3">
      <c r="O3900" s="14"/>
      <c r="P3900" s="14"/>
      <c r="Q3900" s="14"/>
      <c r="R3900" s="14"/>
    </row>
    <row r="3901" spans="15:18" x14ac:dyDescent="0.3">
      <c r="O3901" s="14"/>
      <c r="P3901" s="14"/>
      <c r="Q3901" s="14"/>
      <c r="R3901" s="14"/>
    </row>
    <row r="3902" spans="15:18" x14ac:dyDescent="0.3">
      <c r="O3902" s="14"/>
      <c r="P3902" s="14"/>
      <c r="Q3902" s="14"/>
      <c r="R3902" s="14"/>
    </row>
    <row r="3903" spans="15:18" x14ac:dyDescent="0.3">
      <c r="O3903" s="14"/>
      <c r="P3903" s="14"/>
      <c r="Q3903" s="14"/>
      <c r="R3903" s="14"/>
    </row>
    <row r="3904" spans="15:18" x14ac:dyDescent="0.3">
      <c r="O3904" s="14"/>
      <c r="P3904" s="14"/>
      <c r="Q3904" s="14"/>
      <c r="R3904" s="14"/>
    </row>
    <row r="3905" spans="15:18" x14ac:dyDescent="0.3">
      <c r="O3905" s="14"/>
      <c r="P3905" s="14"/>
      <c r="Q3905" s="14"/>
      <c r="R3905" s="14"/>
    </row>
    <row r="3906" spans="15:18" x14ac:dyDescent="0.3">
      <c r="O3906" s="14"/>
      <c r="P3906" s="14"/>
      <c r="Q3906" s="14"/>
      <c r="R3906" s="14"/>
    </row>
    <row r="3907" spans="15:18" x14ac:dyDescent="0.3">
      <c r="O3907" s="14"/>
      <c r="P3907" s="14"/>
      <c r="Q3907" s="14"/>
      <c r="R3907" s="14"/>
    </row>
    <row r="3908" spans="15:18" x14ac:dyDescent="0.3">
      <c r="O3908" s="14"/>
      <c r="P3908" s="14"/>
      <c r="Q3908" s="14"/>
      <c r="R3908" s="14"/>
    </row>
    <row r="3909" spans="15:18" x14ac:dyDescent="0.3">
      <c r="O3909" s="14"/>
      <c r="P3909" s="14"/>
      <c r="Q3909" s="14"/>
      <c r="R3909" s="14"/>
    </row>
    <row r="3910" spans="15:18" x14ac:dyDescent="0.3">
      <c r="O3910" s="14"/>
      <c r="P3910" s="14"/>
      <c r="Q3910" s="14"/>
      <c r="R3910" s="14"/>
    </row>
    <row r="3911" spans="15:18" x14ac:dyDescent="0.3">
      <c r="O3911" s="14"/>
      <c r="P3911" s="14"/>
      <c r="Q3911" s="14"/>
      <c r="R3911" s="14"/>
    </row>
    <row r="3912" spans="15:18" x14ac:dyDescent="0.3">
      <c r="O3912" s="14"/>
      <c r="P3912" s="14"/>
      <c r="Q3912" s="14"/>
      <c r="R3912" s="14"/>
    </row>
    <row r="3913" spans="15:18" x14ac:dyDescent="0.3">
      <c r="O3913" s="14"/>
      <c r="P3913" s="14"/>
      <c r="Q3913" s="14"/>
      <c r="R3913" s="14"/>
    </row>
    <row r="3914" spans="15:18" x14ac:dyDescent="0.3">
      <c r="O3914" s="14"/>
      <c r="P3914" s="14"/>
      <c r="Q3914" s="14"/>
      <c r="R3914" s="14"/>
    </row>
    <row r="3915" spans="15:18" x14ac:dyDescent="0.3">
      <c r="O3915" s="14"/>
      <c r="P3915" s="14"/>
      <c r="Q3915" s="14"/>
      <c r="R3915" s="14"/>
    </row>
    <row r="3916" spans="15:18" x14ac:dyDescent="0.3">
      <c r="O3916" s="14"/>
      <c r="P3916" s="14"/>
      <c r="Q3916" s="14"/>
      <c r="R3916" s="14"/>
    </row>
    <row r="3917" spans="15:18" x14ac:dyDescent="0.3">
      <c r="O3917" s="14"/>
      <c r="P3917" s="14"/>
      <c r="Q3917" s="14"/>
      <c r="R3917" s="14"/>
    </row>
    <row r="3918" spans="15:18" x14ac:dyDescent="0.3">
      <c r="O3918" s="14"/>
      <c r="P3918" s="14"/>
      <c r="Q3918" s="14"/>
      <c r="R3918" s="14"/>
    </row>
    <row r="3919" spans="15:18" x14ac:dyDescent="0.3">
      <c r="O3919" s="14"/>
      <c r="P3919" s="14"/>
      <c r="Q3919" s="14"/>
      <c r="R3919" s="14"/>
    </row>
    <row r="3920" spans="15:18" x14ac:dyDescent="0.3">
      <c r="O3920" s="14"/>
      <c r="P3920" s="14"/>
      <c r="Q3920" s="14"/>
      <c r="R3920" s="14"/>
    </row>
    <row r="3921" spans="15:18" x14ac:dyDescent="0.3">
      <c r="O3921" s="14"/>
      <c r="P3921" s="14"/>
      <c r="Q3921" s="14"/>
      <c r="R3921" s="14"/>
    </row>
    <row r="3922" spans="15:18" x14ac:dyDescent="0.3">
      <c r="O3922" s="14"/>
      <c r="P3922" s="14"/>
      <c r="Q3922" s="14"/>
      <c r="R3922" s="14"/>
    </row>
    <row r="3923" spans="15:18" x14ac:dyDescent="0.3">
      <c r="O3923" s="14"/>
      <c r="P3923" s="14"/>
      <c r="Q3923" s="14"/>
      <c r="R3923" s="14"/>
    </row>
    <row r="3924" spans="15:18" x14ac:dyDescent="0.3">
      <c r="O3924" s="14"/>
      <c r="P3924" s="14"/>
      <c r="Q3924" s="14"/>
      <c r="R3924" s="14"/>
    </row>
    <row r="3925" spans="15:18" x14ac:dyDescent="0.3">
      <c r="O3925" s="14"/>
      <c r="P3925" s="14"/>
      <c r="Q3925" s="14"/>
      <c r="R3925" s="14"/>
    </row>
    <row r="3926" spans="15:18" x14ac:dyDescent="0.3">
      <c r="O3926" s="14"/>
      <c r="P3926" s="14"/>
      <c r="Q3926" s="14"/>
      <c r="R3926" s="14"/>
    </row>
    <row r="3927" spans="15:18" x14ac:dyDescent="0.3">
      <c r="O3927" s="14"/>
      <c r="P3927" s="14"/>
      <c r="Q3927" s="14"/>
      <c r="R3927" s="14"/>
    </row>
    <row r="3928" spans="15:18" x14ac:dyDescent="0.3">
      <c r="O3928" s="14"/>
      <c r="P3928" s="14"/>
      <c r="Q3928" s="14"/>
      <c r="R3928" s="14"/>
    </row>
    <row r="3929" spans="15:18" x14ac:dyDescent="0.3">
      <c r="O3929" s="14"/>
      <c r="P3929" s="14"/>
      <c r="Q3929" s="14"/>
      <c r="R3929" s="14"/>
    </row>
    <row r="3930" spans="15:18" x14ac:dyDescent="0.3">
      <c r="O3930" s="14"/>
      <c r="P3930" s="14"/>
      <c r="Q3930" s="14"/>
      <c r="R3930" s="14"/>
    </row>
    <row r="3931" spans="15:18" x14ac:dyDescent="0.3">
      <c r="O3931" s="14"/>
      <c r="P3931" s="14"/>
      <c r="Q3931" s="14"/>
      <c r="R3931" s="14"/>
    </row>
    <row r="3932" spans="15:18" x14ac:dyDescent="0.3">
      <c r="O3932" s="14"/>
      <c r="P3932" s="14"/>
      <c r="Q3932" s="14"/>
      <c r="R3932" s="14"/>
    </row>
    <row r="3933" spans="15:18" x14ac:dyDescent="0.3">
      <c r="O3933" s="14"/>
      <c r="P3933" s="14"/>
      <c r="Q3933" s="14"/>
      <c r="R3933" s="14"/>
    </row>
    <row r="3934" spans="15:18" x14ac:dyDescent="0.3">
      <c r="O3934" s="14"/>
      <c r="P3934" s="14"/>
      <c r="Q3934" s="14"/>
      <c r="R3934" s="14"/>
    </row>
    <row r="3935" spans="15:18" x14ac:dyDescent="0.3">
      <c r="O3935" s="14"/>
      <c r="P3935" s="14"/>
      <c r="Q3935" s="14"/>
      <c r="R3935" s="14"/>
    </row>
    <row r="3936" spans="15:18" x14ac:dyDescent="0.3">
      <c r="O3936" s="14"/>
      <c r="P3936" s="14"/>
      <c r="Q3936" s="14"/>
      <c r="R3936" s="14"/>
    </row>
    <row r="3937" spans="15:18" x14ac:dyDescent="0.3">
      <c r="O3937" s="14"/>
      <c r="P3937" s="14"/>
      <c r="Q3937" s="14"/>
      <c r="R3937" s="14"/>
    </row>
    <row r="3938" spans="15:18" x14ac:dyDescent="0.3">
      <c r="O3938" s="14"/>
      <c r="P3938" s="14"/>
      <c r="Q3938" s="14"/>
      <c r="R3938" s="14"/>
    </row>
    <row r="3939" spans="15:18" x14ac:dyDescent="0.3">
      <c r="O3939" s="14"/>
      <c r="P3939" s="14"/>
      <c r="Q3939" s="14"/>
      <c r="R3939" s="14"/>
    </row>
    <row r="3940" spans="15:18" x14ac:dyDescent="0.3">
      <c r="O3940" s="14"/>
      <c r="P3940" s="14"/>
      <c r="Q3940" s="14"/>
      <c r="R3940" s="14"/>
    </row>
    <row r="3941" spans="15:18" x14ac:dyDescent="0.3">
      <c r="O3941" s="14"/>
      <c r="P3941" s="14"/>
      <c r="Q3941" s="14"/>
      <c r="R3941" s="14"/>
    </row>
    <row r="3942" spans="15:18" x14ac:dyDescent="0.3">
      <c r="O3942" s="14"/>
      <c r="P3942" s="14"/>
      <c r="Q3942" s="14"/>
      <c r="R3942" s="14"/>
    </row>
    <row r="3943" spans="15:18" x14ac:dyDescent="0.3">
      <c r="O3943" s="14"/>
      <c r="P3943" s="14"/>
      <c r="Q3943" s="14"/>
      <c r="R3943" s="14"/>
    </row>
    <row r="3944" spans="15:18" x14ac:dyDescent="0.3">
      <c r="O3944" s="14"/>
      <c r="P3944" s="14"/>
      <c r="Q3944" s="14"/>
      <c r="R3944" s="14"/>
    </row>
    <row r="3945" spans="15:18" x14ac:dyDescent="0.3">
      <c r="O3945" s="14"/>
      <c r="P3945" s="14"/>
      <c r="Q3945" s="14"/>
      <c r="R3945" s="14"/>
    </row>
    <row r="3946" spans="15:18" x14ac:dyDescent="0.3">
      <c r="O3946" s="14"/>
      <c r="P3946" s="14"/>
      <c r="Q3946" s="14"/>
      <c r="R3946" s="14"/>
    </row>
    <row r="3947" spans="15:18" x14ac:dyDescent="0.3">
      <c r="O3947" s="14"/>
      <c r="P3947" s="14"/>
      <c r="Q3947" s="14"/>
      <c r="R3947" s="14"/>
    </row>
    <row r="3948" spans="15:18" x14ac:dyDescent="0.3">
      <c r="O3948" s="14"/>
      <c r="P3948" s="14"/>
      <c r="Q3948" s="14"/>
      <c r="R3948" s="14"/>
    </row>
    <row r="3949" spans="15:18" x14ac:dyDescent="0.3">
      <c r="O3949" s="14"/>
      <c r="P3949" s="14"/>
      <c r="Q3949" s="14"/>
      <c r="R3949" s="14"/>
    </row>
    <row r="3950" spans="15:18" x14ac:dyDescent="0.3">
      <c r="O3950" s="14"/>
      <c r="P3950" s="14"/>
      <c r="Q3950" s="14"/>
      <c r="R3950" s="14"/>
    </row>
    <row r="3951" spans="15:18" x14ac:dyDescent="0.3">
      <c r="O3951" s="14"/>
      <c r="P3951" s="14"/>
      <c r="Q3951" s="14"/>
      <c r="R3951" s="14"/>
    </row>
    <row r="3952" spans="15:18" x14ac:dyDescent="0.3">
      <c r="O3952" s="14"/>
      <c r="P3952" s="14"/>
      <c r="Q3952" s="14"/>
      <c r="R3952" s="14"/>
    </row>
    <row r="3953" spans="15:18" x14ac:dyDescent="0.3">
      <c r="O3953" s="14"/>
      <c r="P3953" s="14"/>
      <c r="Q3953" s="14"/>
      <c r="R3953" s="14"/>
    </row>
    <row r="3954" spans="15:18" x14ac:dyDescent="0.3">
      <c r="O3954" s="14"/>
      <c r="P3954" s="14"/>
      <c r="Q3954" s="14"/>
      <c r="R3954" s="14"/>
    </row>
    <row r="3955" spans="15:18" x14ac:dyDescent="0.3">
      <c r="O3955" s="14"/>
      <c r="P3955" s="14"/>
      <c r="Q3955" s="14"/>
      <c r="R3955" s="14"/>
    </row>
    <row r="3956" spans="15:18" x14ac:dyDescent="0.3">
      <c r="O3956" s="14"/>
      <c r="P3956" s="14"/>
      <c r="Q3956" s="14"/>
      <c r="R3956" s="14"/>
    </row>
    <row r="3957" spans="15:18" x14ac:dyDescent="0.3">
      <c r="O3957" s="14"/>
      <c r="P3957" s="14"/>
      <c r="Q3957" s="14"/>
      <c r="R3957" s="14"/>
    </row>
    <row r="3958" spans="15:18" x14ac:dyDescent="0.3">
      <c r="O3958" s="14"/>
      <c r="P3958" s="14"/>
      <c r="Q3958" s="14"/>
      <c r="R3958" s="14"/>
    </row>
    <row r="3959" spans="15:18" x14ac:dyDescent="0.3">
      <c r="O3959" s="14"/>
      <c r="P3959" s="14"/>
      <c r="Q3959" s="14"/>
      <c r="R3959" s="14"/>
    </row>
    <row r="3960" spans="15:18" x14ac:dyDescent="0.3">
      <c r="O3960" s="14"/>
      <c r="P3960" s="14"/>
      <c r="Q3960" s="14"/>
      <c r="R3960" s="14"/>
    </row>
    <row r="3961" spans="15:18" x14ac:dyDescent="0.3">
      <c r="O3961" s="14"/>
      <c r="P3961" s="14"/>
      <c r="Q3961" s="14"/>
      <c r="R3961" s="14"/>
    </row>
    <row r="3962" spans="15:18" x14ac:dyDescent="0.3">
      <c r="O3962" s="14"/>
      <c r="P3962" s="14"/>
      <c r="Q3962" s="14"/>
      <c r="R3962" s="14"/>
    </row>
    <row r="3963" spans="15:18" x14ac:dyDescent="0.3">
      <c r="O3963" s="14"/>
      <c r="P3963" s="14"/>
      <c r="Q3963" s="14"/>
      <c r="R3963" s="14"/>
    </row>
    <row r="3964" spans="15:18" x14ac:dyDescent="0.3">
      <c r="O3964" s="14"/>
      <c r="P3964" s="14"/>
      <c r="Q3964" s="14"/>
      <c r="R3964" s="14"/>
    </row>
    <row r="3965" spans="15:18" x14ac:dyDescent="0.3">
      <c r="O3965" s="14"/>
      <c r="P3965" s="14"/>
      <c r="Q3965" s="14"/>
      <c r="R3965" s="14"/>
    </row>
    <row r="3966" spans="15:18" x14ac:dyDescent="0.3">
      <c r="O3966" s="14"/>
      <c r="P3966" s="14"/>
      <c r="Q3966" s="14"/>
      <c r="R3966" s="14"/>
    </row>
    <row r="3967" spans="15:18" x14ac:dyDescent="0.3">
      <c r="O3967" s="14"/>
      <c r="P3967" s="14"/>
      <c r="Q3967" s="14"/>
      <c r="R3967" s="14"/>
    </row>
    <row r="3968" spans="15:18" x14ac:dyDescent="0.3">
      <c r="O3968" s="14"/>
      <c r="P3968" s="14"/>
      <c r="Q3968" s="14"/>
      <c r="R3968" s="14"/>
    </row>
    <row r="3969" spans="15:18" x14ac:dyDescent="0.3">
      <c r="O3969" s="14"/>
      <c r="P3969" s="14"/>
      <c r="Q3969" s="14"/>
      <c r="R3969" s="14"/>
    </row>
    <row r="3970" spans="15:18" x14ac:dyDescent="0.3">
      <c r="O3970" s="14"/>
      <c r="P3970" s="14"/>
      <c r="Q3970" s="14"/>
      <c r="R3970" s="14"/>
    </row>
    <row r="3971" spans="15:18" x14ac:dyDescent="0.3">
      <c r="O3971" s="14"/>
      <c r="P3971" s="14"/>
      <c r="Q3971" s="14"/>
      <c r="R3971" s="14"/>
    </row>
    <row r="3972" spans="15:18" x14ac:dyDescent="0.3">
      <c r="O3972" s="14"/>
      <c r="P3972" s="14"/>
      <c r="Q3972" s="14"/>
      <c r="R3972" s="14"/>
    </row>
    <row r="3973" spans="15:18" x14ac:dyDescent="0.3">
      <c r="O3973" s="14"/>
      <c r="P3973" s="14"/>
      <c r="Q3973" s="14"/>
      <c r="R3973" s="14"/>
    </row>
    <row r="3974" spans="15:18" x14ac:dyDescent="0.3">
      <c r="O3974" s="14"/>
      <c r="P3974" s="14"/>
      <c r="Q3974" s="14"/>
      <c r="R3974" s="14"/>
    </row>
    <row r="3975" spans="15:18" x14ac:dyDescent="0.3">
      <c r="O3975" s="14"/>
      <c r="P3975" s="14"/>
      <c r="Q3975" s="14"/>
      <c r="R3975" s="14"/>
    </row>
    <row r="3976" spans="15:18" x14ac:dyDescent="0.3">
      <c r="O3976" s="14"/>
      <c r="P3976" s="14"/>
      <c r="Q3976" s="14"/>
      <c r="R3976" s="14"/>
    </row>
    <row r="3977" spans="15:18" x14ac:dyDescent="0.3">
      <c r="O3977" s="14"/>
      <c r="P3977" s="14"/>
      <c r="Q3977" s="14"/>
      <c r="R3977" s="14"/>
    </row>
    <row r="3978" spans="15:18" x14ac:dyDescent="0.3">
      <c r="O3978" s="14"/>
      <c r="P3978" s="14"/>
      <c r="Q3978" s="14"/>
      <c r="R3978" s="14"/>
    </row>
    <row r="3979" spans="15:18" x14ac:dyDescent="0.3">
      <c r="O3979" s="14"/>
      <c r="P3979" s="14"/>
      <c r="Q3979" s="14"/>
      <c r="R3979" s="14"/>
    </row>
    <row r="3980" spans="15:18" x14ac:dyDescent="0.3">
      <c r="O3980" s="14"/>
      <c r="P3980" s="14"/>
      <c r="Q3980" s="14"/>
      <c r="R3980" s="14"/>
    </row>
    <row r="3981" spans="15:18" x14ac:dyDescent="0.3">
      <c r="O3981" s="14"/>
      <c r="P3981" s="14"/>
      <c r="Q3981" s="14"/>
      <c r="R3981" s="14"/>
    </row>
    <row r="3982" spans="15:18" x14ac:dyDescent="0.3">
      <c r="O3982" s="14"/>
      <c r="P3982" s="14"/>
      <c r="Q3982" s="14"/>
      <c r="R3982" s="14"/>
    </row>
    <row r="3983" spans="15:18" x14ac:dyDescent="0.3">
      <c r="O3983" s="14"/>
      <c r="P3983" s="14"/>
      <c r="Q3983" s="14"/>
      <c r="R3983" s="14"/>
    </row>
    <row r="3984" spans="15:18" x14ac:dyDescent="0.3">
      <c r="O3984" s="14"/>
      <c r="P3984" s="14"/>
      <c r="Q3984" s="14"/>
      <c r="R3984" s="14"/>
    </row>
    <row r="3985" spans="15:18" x14ac:dyDescent="0.3">
      <c r="O3985" s="14"/>
      <c r="P3985" s="14"/>
      <c r="Q3985" s="14"/>
      <c r="R3985" s="14"/>
    </row>
    <row r="3986" spans="15:18" x14ac:dyDescent="0.3">
      <c r="O3986" s="14"/>
      <c r="P3986" s="14"/>
      <c r="Q3986" s="14"/>
      <c r="R3986" s="14"/>
    </row>
    <row r="3987" spans="15:18" x14ac:dyDescent="0.3">
      <c r="O3987" s="14"/>
      <c r="P3987" s="14"/>
      <c r="Q3987" s="14"/>
      <c r="R3987" s="14"/>
    </row>
    <row r="3988" spans="15:18" x14ac:dyDescent="0.3">
      <c r="O3988" s="14"/>
      <c r="P3988" s="14"/>
      <c r="Q3988" s="14"/>
      <c r="R3988" s="14"/>
    </row>
    <row r="3989" spans="15:18" x14ac:dyDescent="0.3">
      <c r="O3989" s="14"/>
      <c r="P3989" s="14"/>
      <c r="Q3989" s="14"/>
      <c r="R3989" s="14"/>
    </row>
    <row r="3990" spans="15:18" x14ac:dyDescent="0.3">
      <c r="O3990" s="14"/>
      <c r="P3990" s="14"/>
      <c r="Q3990" s="14"/>
      <c r="R3990" s="14"/>
    </row>
    <row r="3991" spans="15:18" x14ac:dyDescent="0.3">
      <c r="O3991" s="14"/>
      <c r="P3991" s="14"/>
      <c r="Q3991" s="14"/>
      <c r="R3991" s="14"/>
    </row>
    <row r="3992" spans="15:18" x14ac:dyDescent="0.3">
      <c r="O3992" s="14"/>
      <c r="P3992" s="14"/>
      <c r="Q3992" s="14"/>
      <c r="R3992" s="14"/>
    </row>
    <row r="3993" spans="15:18" x14ac:dyDescent="0.3">
      <c r="O3993" s="14"/>
      <c r="P3993" s="14"/>
      <c r="Q3993" s="14"/>
      <c r="R3993" s="14"/>
    </row>
    <row r="3994" spans="15:18" x14ac:dyDescent="0.3">
      <c r="O3994" s="14"/>
      <c r="P3994" s="14"/>
      <c r="Q3994" s="14"/>
      <c r="R3994" s="14"/>
    </row>
    <row r="3995" spans="15:18" x14ac:dyDescent="0.3">
      <c r="O3995" s="14"/>
      <c r="P3995" s="14"/>
      <c r="Q3995" s="14"/>
      <c r="R3995" s="14"/>
    </row>
    <row r="3996" spans="15:18" x14ac:dyDescent="0.3">
      <c r="O3996" s="14"/>
      <c r="P3996" s="14"/>
      <c r="Q3996" s="14"/>
      <c r="R3996" s="14"/>
    </row>
    <row r="3997" spans="15:18" x14ac:dyDescent="0.3">
      <c r="O3997" s="14"/>
      <c r="P3997" s="14"/>
      <c r="Q3997" s="14"/>
      <c r="R3997" s="14"/>
    </row>
    <row r="3998" spans="15:18" x14ac:dyDescent="0.3">
      <c r="O3998" s="14"/>
      <c r="P3998" s="14"/>
      <c r="Q3998" s="14"/>
      <c r="R3998" s="14"/>
    </row>
    <row r="3999" spans="15:18" x14ac:dyDescent="0.3">
      <c r="O3999" s="14"/>
      <c r="P3999" s="14"/>
      <c r="Q3999" s="14"/>
      <c r="R3999" s="14"/>
    </row>
    <row r="4000" spans="15:18" x14ac:dyDescent="0.3">
      <c r="O4000" s="14"/>
      <c r="P4000" s="14"/>
      <c r="Q4000" s="14"/>
      <c r="R4000" s="14"/>
    </row>
    <row r="4001" spans="15:18" x14ac:dyDescent="0.3">
      <c r="O4001" s="14"/>
      <c r="P4001" s="14"/>
      <c r="Q4001" s="14"/>
      <c r="R4001" s="14"/>
    </row>
    <row r="4002" spans="15:18" x14ac:dyDescent="0.3">
      <c r="O4002" s="14"/>
      <c r="P4002" s="14"/>
      <c r="Q4002" s="14"/>
      <c r="R4002" s="14"/>
    </row>
    <row r="4003" spans="15:18" x14ac:dyDescent="0.3">
      <c r="O4003" s="14"/>
      <c r="P4003" s="14"/>
      <c r="Q4003" s="14"/>
      <c r="R4003" s="14"/>
    </row>
    <row r="4004" spans="15:18" x14ac:dyDescent="0.3">
      <c r="O4004" s="14"/>
      <c r="P4004" s="14"/>
      <c r="Q4004" s="14"/>
      <c r="R4004" s="14"/>
    </row>
    <row r="4005" spans="15:18" x14ac:dyDescent="0.3">
      <c r="O4005" s="14"/>
      <c r="P4005" s="14"/>
      <c r="Q4005" s="14"/>
      <c r="R4005" s="14"/>
    </row>
    <row r="4006" spans="15:18" x14ac:dyDescent="0.3">
      <c r="O4006" s="14"/>
      <c r="P4006" s="14"/>
      <c r="Q4006" s="14"/>
      <c r="R4006" s="14"/>
    </row>
    <row r="4007" spans="15:18" x14ac:dyDescent="0.3">
      <c r="O4007" s="14"/>
      <c r="P4007" s="14"/>
      <c r="Q4007" s="14"/>
      <c r="R4007" s="14"/>
    </row>
    <row r="4008" spans="15:18" x14ac:dyDescent="0.3">
      <c r="O4008" s="14"/>
      <c r="P4008" s="14"/>
      <c r="Q4008" s="14"/>
      <c r="R4008" s="14"/>
    </row>
    <row r="4009" spans="15:18" x14ac:dyDescent="0.3">
      <c r="O4009" s="14"/>
      <c r="P4009" s="14"/>
      <c r="Q4009" s="14"/>
      <c r="R4009" s="14"/>
    </row>
    <row r="4010" spans="15:18" x14ac:dyDescent="0.3">
      <c r="O4010" s="14"/>
      <c r="P4010" s="14"/>
      <c r="Q4010" s="14"/>
      <c r="R4010" s="14"/>
    </row>
    <row r="4011" spans="15:18" x14ac:dyDescent="0.3">
      <c r="O4011" s="14"/>
      <c r="P4011" s="14"/>
      <c r="Q4011" s="14"/>
      <c r="R4011" s="14"/>
    </row>
    <row r="4012" spans="15:18" x14ac:dyDescent="0.3">
      <c r="O4012" s="14"/>
      <c r="P4012" s="14"/>
      <c r="Q4012" s="14"/>
      <c r="R4012" s="14"/>
    </row>
    <row r="4013" spans="15:18" x14ac:dyDescent="0.3">
      <c r="O4013" s="14"/>
      <c r="P4013" s="14"/>
      <c r="Q4013" s="14"/>
      <c r="R4013" s="14"/>
    </row>
    <row r="4014" spans="15:18" x14ac:dyDescent="0.3">
      <c r="O4014" s="14"/>
      <c r="P4014" s="14"/>
      <c r="Q4014" s="14"/>
      <c r="R4014" s="14"/>
    </row>
    <row r="4015" spans="15:18" x14ac:dyDescent="0.3">
      <c r="O4015" s="14"/>
      <c r="P4015" s="14"/>
      <c r="Q4015" s="14"/>
      <c r="R4015" s="14"/>
    </row>
    <row r="4016" spans="15:18" x14ac:dyDescent="0.3">
      <c r="O4016" s="14"/>
      <c r="P4016" s="14"/>
      <c r="Q4016" s="14"/>
      <c r="R4016" s="14"/>
    </row>
    <row r="4017" spans="15:18" x14ac:dyDescent="0.3">
      <c r="O4017" s="14"/>
      <c r="P4017" s="14"/>
      <c r="Q4017" s="14"/>
      <c r="R4017" s="14"/>
    </row>
    <row r="4018" spans="15:18" x14ac:dyDescent="0.3">
      <c r="O4018" s="14"/>
      <c r="P4018" s="14"/>
      <c r="Q4018" s="14"/>
      <c r="R4018" s="14"/>
    </row>
    <row r="4019" spans="15:18" x14ac:dyDescent="0.3">
      <c r="O4019" s="14"/>
      <c r="P4019" s="14"/>
      <c r="Q4019" s="14"/>
      <c r="R4019" s="14"/>
    </row>
    <row r="4020" spans="15:18" x14ac:dyDescent="0.3">
      <c r="O4020" s="14"/>
      <c r="P4020" s="14"/>
      <c r="Q4020" s="14"/>
      <c r="R4020" s="14"/>
    </row>
    <row r="4021" spans="15:18" x14ac:dyDescent="0.3">
      <c r="O4021" s="14"/>
      <c r="P4021" s="14"/>
      <c r="Q4021" s="14"/>
      <c r="R4021" s="14"/>
    </row>
    <row r="4022" spans="15:18" x14ac:dyDescent="0.3">
      <c r="O4022" s="14"/>
      <c r="P4022" s="14"/>
      <c r="Q4022" s="14"/>
      <c r="R4022" s="14"/>
    </row>
    <row r="4023" spans="15:18" x14ac:dyDescent="0.3">
      <c r="O4023" s="14"/>
      <c r="P4023" s="14"/>
      <c r="Q4023" s="14"/>
      <c r="R4023" s="14"/>
    </row>
    <row r="4024" spans="15:18" x14ac:dyDescent="0.3">
      <c r="O4024" s="14"/>
      <c r="P4024" s="14"/>
      <c r="Q4024" s="14"/>
      <c r="R4024" s="14"/>
    </row>
    <row r="4025" spans="15:18" x14ac:dyDescent="0.3">
      <c r="O4025" s="14"/>
      <c r="P4025" s="14"/>
      <c r="Q4025" s="14"/>
      <c r="R4025" s="14"/>
    </row>
    <row r="4026" spans="15:18" x14ac:dyDescent="0.3">
      <c r="O4026" s="14"/>
      <c r="P4026" s="14"/>
      <c r="Q4026" s="14"/>
      <c r="R4026" s="14"/>
    </row>
    <row r="4027" spans="15:18" x14ac:dyDescent="0.3">
      <c r="O4027" s="14"/>
      <c r="P4027" s="14"/>
      <c r="Q4027" s="14"/>
      <c r="R4027" s="14"/>
    </row>
    <row r="4028" spans="15:18" x14ac:dyDescent="0.3">
      <c r="O4028" s="14"/>
      <c r="P4028" s="14"/>
      <c r="Q4028" s="14"/>
      <c r="R4028" s="14"/>
    </row>
    <row r="4029" spans="15:18" x14ac:dyDescent="0.3">
      <c r="O4029" s="14"/>
      <c r="P4029" s="14"/>
      <c r="Q4029" s="14"/>
      <c r="R4029" s="14"/>
    </row>
    <row r="4030" spans="15:18" x14ac:dyDescent="0.3">
      <c r="O4030" s="14"/>
      <c r="P4030" s="14"/>
      <c r="Q4030" s="14"/>
      <c r="R4030" s="14"/>
    </row>
    <row r="4031" spans="15:18" x14ac:dyDescent="0.3">
      <c r="O4031" s="14"/>
      <c r="P4031" s="14"/>
      <c r="Q4031" s="14"/>
      <c r="R4031" s="14"/>
    </row>
    <row r="4032" spans="15:18" x14ac:dyDescent="0.3">
      <c r="O4032" s="14"/>
      <c r="P4032" s="14"/>
      <c r="Q4032" s="14"/>
      <c r="R4032" s="14"/>
    </row>
    <row r="4033" spans="15:18" x14ac:dyDescent="0.3">
      <c r="O4033" s="14"/>
      <c r="P4033" s="14"/>
      <c r="Q4033" s="14"/>
      <c r="R4033" s="14"/>
    </row>
    <row r="4034" spans="15:18" x14ac:dyDescent="0.3">
      <c r="O4034" s="14"/>
      <c r="P4034" s="14"/>
      <c r="Q4034" s="14"/>
      <c r="R4034" s="14"/>
    </row>
    <row r="4035" spans="15:18" x14ac:dyDescent="0.3">
      <c r="O4035" s="14"/>
      <c r="P4035" s="14"/>
      <c r="Q4035" s="14"/>
      <c r="R4035" s="14"/>
    </row>
    <row r="4036" spans="15:18" x14ac:dyDescent="0.3">
      <c r="O4036" s="14"/>
      <c r="P4036" s="14"/>
      <c r="Q4036" s="14"/>
      <c r="R4036" s="14"/>
    </row>
    <row r="4037" spans="15:18" x14ac:dyDescent="0.3">
      <c r="O4037" s="14"/>
      <c r="P4037" s="14"/>
      <c r="Q4037" s="14"/>
      <c r="R4037" s="14"/>
    </row>
    <row r="4038" spans="15:18" x14ac:dyDescent="0.3">
      <c r="O4038" s="14"/>
      <c r="P4038" s="14"/>
      <c r="Q4038" s="14"/>
      <c r="R4038" s="14"/>
    </row>
    <row r="4039" spans="15:18" x14ac:dyDescent="0.3">
      <c r="O4039" s="14"/>
      <c r="P4039" s="14"/>
      <c r="Q4039" s="14"/>
      <c r="R4039" s="14"/>
    </row>
    <row r="4040" spans="15:18" x14ac:dyDescent="0.3">
      <c r="O4040" s="14"/>
      <c r="P4040" s="14"/>
      <c r="Q4040" s="14"/>
      <c r="R4040" s="14"/>
    </row>
    <row r="4041" spans="15:18" x14ac:dyDescent="0.3">
      <c r="O4041" s="14"/>
      <c r="P4041" s="14"/>
      <c r="Q4041" s="14"/>
      <c r="R4041" s="14"/>
    </row>
    <row r="4042" spans="15:18" x14ac:dyDescent="0.3">
      <c r="O4042" s="14"/>
      <c r="P4042" s="14"/>
      <c r="Q4042" s="14"/>
      <c r="R4042" s="14"/>
    </row>
    <row r="4043" spans="15:18" x14ac:dyDescent="0.3">
      <c r="O4043" s="14"/>
      <c r="P4043" s="14"/>
      <c r="Q4043" s="14"/>
      <c r="R4043" s="14"/>
    </row>
    <row r="4044" spans="15:18" x14ac:dyDescent="0.3">
      <c r="O4044" s="14"/>
      <c r="P4044" s="14"/>
      <c r="Q4044" s="14"/>
      <c r="R4044" s="14"/>
    </row>
    <row r="4045" spans="15:18" x14ac:dyDescent="0.3">
      <c r="O4045" s="14"/>
      <c r="P4045" s="14"/>
      <c r="Q4045" s="14"/>
      <c r="R4045" s="14"/>
    </row>
    <row r="4046" spans="15:18" x14ac:dyDescent="0.3">
      <c r="O4046" s="14"/>
      <c r="P4046" s="14"/>
      <c r="Q4046" s="14"/>
      <c r="R4046" s="14"/>
    </row>
    <row r="4047" spans="15:18" x14ac:dyDescent="0.3">
      <c r="O4047" s="14"/>
      <c r="P4047" s="14"/>
      <c r="Q4047" s="14"/>
      <c r="R4047" s="14"/>
    </row>
    <row r="4048" spans="15:18" x14ac:dyDescent="0.3">
      <c r="O4048" s="14"/>
      <c r="P4048" s="14"/>
      <c r="Q4048" s="14"/>
      <c r="R4048" s="14"/>
    </row>
    <row r="4049" spans="15:18" x14ac:dyDescent="0.3">
      <c r="O4049" s="14"/>
      <c r="P4049" s="14"/>
      <c r="Q4049" s="14"/>
      <c r="R4049" s="14"/>
    </row>
    <row r="4050" spans="15:18" x14ac:dyDescent="0.3">
      <c r="O4050" s="14"/>
      <c r="P4050" s="14"/>
      <c r="Q4050" s="14"/>
      <c r="R4050" s="14"/>
    </row>
    <row r="4051" spans="15:18" x14ac:dyDescent="0.3">
      <c r="O4051" s="14"/>
      <c r="P4051" s="14"/>
      <c r="Q4051" s="14"/>
      <c r="R4051" s="14"/>
    </row>
    <row r="4052" spans="15:18" x14ac:dyDescent="0.3">
      <c r="O4052" s="14"/>
      <c r="P4052" s="14"/>
      <c r="Q4052" s="14"/>
      <c r="R4052" s="14"/>
    </row>
    <row r="4053" spans="15:18" x14ac:dyDescent="0.3">
      <c r="O4053" s="14"/>
      <c r="P4053" s="14"/>
      <c r="Q4053" s="14"/>
      <c r="R4053" s="14"/>
    </row>
    <row r="4054" spans="15:18" x14ac:dyDescent="0.3">
      <c r="O4054" s="14"/>
      <c r="P4054" s="14"/>
      <c r="Q4054" s="14"/>
      <c r="R4054" s="14"/>
    </row>
    <row r="4055" spans="15:18" x14ac:dyDescent="0.3">
      <c r="O4055" s="14"/>
      <c r="P4055" s="14"/>
      <c r="Q4055" s="14"/>
      <c r="R4055" s="14"/>
    </row>
    <row r="4056" spans="15:18" x14ac:dyDescent="0.3">
      <c r="O4056" s="14"/>
      <c r="P4056" s="14"/>
      <c r="Q4056" s="14"/>
      <c r="R4056" s="14"/>
    </row>
    <row r="4057" spans="15:18" x14ac:dyDescent="0.3">
      <c r="O4057" s="14"/>
      <c r="P4057" s="14"/>
      <c r="Q4057" s="14"/>
      <c r="R4057" s="14"/>
    </row>
    <row r="4058" spans="15:18" x14ac:dyDescent="0.3">
      <c r="O4058" s="14"/>
      <c r="P4058" s="14"/>
      <c r="Q4058" s="14"/>
      <c r="R4058" s="14"/>
    </row>
    <row r="4059" spans="15:18" x14ac:dyDescent="0.3">
      <c r="O4059" s="14"/>
      <c r="P4059" s="14"/>
      <c r="Q4059" s="14"/>
      <c r="R4059" s="14"/>
    </row>
    <row r="4060" spans="15:18" x14ac:dyDescent="0.3">
      <c r="O4060" s="14"/>
      <c r="P4060" s="14"/>
      <c r="Q4060" s="14"/>
      <c r="R4060" s="14"/>
    </row>
    <row r="4061" spans="15:18" x14ac:dyDescent="0.3">
      <c r="O4061" s="14"/>
      <c r="P4061" s="14"/>
      <c r="Q4061" s="14"/>
      <c r="R4061" s="14"/>
    </row>
    <row r="4062" spans="15:18" x14ac:dyDescent="0.3">
      <c r="O4062" s="14"/>
      <c r="P4062" s="14"/>
      <c r="Q4062" s="14"/>
      <c r="R4062" s="14"/>
    </row>
    <row r="4063" spans="15:18" x14ac:dyDescent="0.3">
      <c r="O4063" s="14"/>
      <c r="P4063" s="14"/>
      <c r="Q4063" s="14"/>
      <c r="R4063" s="14"/>
    </row>
    <row r="4064" spans="15:18" x14ac:dyDescent="0.3">
      <c r="O4064" s="14"/>
      <c r="P4064" s="14"/>
      <c r="Q4064" s="14"/>
      <c r="R4064" s="14"/>
    </row>
    <row r="4065" spans="15:18" x14ac:dyDescent="0.3">
      <c r="O4065" s="14"/>
      <c r="P4065" s="14"/>
      <c r="Q4065" s="14"/>
      <c r="R4065" s="14"/>
    </row>
    <row r="4066" spans="15:18" x14ac:dyDescent="0.3">
      <c r="O4066" s="14"/>
      <c r="P4066" s="14"/>
      <c r="Q4066" s="14"/>
      <c r="R4066" s="14"/>
    </row>
    <row r="4067" spans="15:18" x14ac:dyDescent="0.3">
      <c r="O4067" s="14"/>
      <c r="P4067" s="14"/>
      <c r="Q4067" s="14"/>
      <c r="R4067" s="14"/>
    </row>
    <row r="4068" spans="15:18" x14ac:dyDescent="0.3">
      <c r="O4068" s="14"/>
      <c r="P4068" s="14"/>
      <c r="Q4068" s="14"/>
      <c r="R4068" s="14"/>
    </row>
    <row r="4069" spans="15:18" x14ac:dyDescent="0.3">
      <c r="O4069" s="14"/>
      <c r="P4069" s="14"/>
      <c r="Q4069" s="14"/>
      <c r="R4069" s="14"/>
    </row>
    <row r="4070" spans="15:18" x14ac:dyDescent="0.3">
      <c r="O4070" s="14"/>
      <c r="P4070" s="14"/>
      <c r="Q4070" s="14"/>
      <c r="R4070" s="14"/>
    </row>
    <row r="4071" spans="15:18" x14ac:dyDescent="0.3">
      <c r="O4071" s="14"/>
      <c r="P4071" s="14"/>
      <c r="Q4071" s="14"/>
      <c r="R4071" s="14"/>
    </row>
    <row r="4072" spans="15:18" x14ac:dyDescent="0.3">
      <c r="O4072" s="14"/>
      <c r="P4072" s="14"/>
      <c r="Q4072" s="14"/>
      <c r="R4072" s="14"/>
    </row>
    <row r="4073" spans="15:18" x14ac:dyDescent="0.3">
      <c r="O4073" s="14"/>
      <c r="P4073" s="14"/>
      <c r="Q4073" s="14"/>
      <c r="R4073" s="14"/>
    </row>
    <row r="4074" spans="15:18" x14ac:dyDescent="0.3">
      <c r="O4074" s="14"/>
      <c r="P4074" s="14"/>
      <c r="Q4074" s="14"/>
      <c r="R4074" s="14"/>
    </row>
    <row r="4075" spans="15:18" x14ac:dyDescent="0.3">
      <c r="O4075" s="14"/>
      <c r="P4075" s="14"/>
      <c r="Q4075" s="14"/>
      <c r="R4075" s="14"/>
    </row>
    <row r="4076" spans="15:18" x14ac:dyDescent="0.3">
      <c r="O4076" s="14"/>
      <c r="P4076" s="14"/>
      <c r="Q4076" s="14"/>
      <c r="R4076" s="14"/>
    </row>
    <row r="4077" spans="15:18" x14ac:dyDescent="0.3">
      <c r="O4077" s="14"/>
      <c r="P4077" s="14"/>
      <c r="Q4077" s="14"/>
      <c r="R4077" s="14"/>
    </row>
    <row r="4078" spans="15:18" x14ac:dyDescent="0.3">
      <c r="O4078" s="14"/>
      <c r="P4078" s="14"/>
      <c r="Q4078" s="14"/>
      <c r="R4078" s="14"/>
    </row>
    <row r="4079" spans="15:18" x14ac:dyDescent="0.3">
      <c r="O4079" s="14"/>
      <c r="P4079" s="14"/>
      <c r="Q4079" s="14"/>
      <c r="R4079" s="14"/>
    </row>
    <row r="4080" spans="15:18" x14ac:dyDescent="0.3">
      <c r="O4080" s="14"/>
      <c r="P4080" s="14"/>
      <c r="Q4080" s="14"/>
      <c r="R4080" s="14"/>
    </row>
    <row r="4081" spans="15:18" x14ac:dyDescent="0.3">
      <c r="O4081" s="14"/>
      <c r="P4081" s="14"/>
      <c r="Q4081" s="14"/>
      <c r="R4081" s="14"/>
    </row>
    <row r="4082" spans="15:18" x14ac:dyDescent="0.3">
      <c r="O4082" s="14"/>
      <c r="P4082" s="14"/>
      <c r="Q4082" s="14"/>
      <c r="R4082" s="14"/>
    </row>
    <row r="4083" spans="15:18" x14ac:dyDescent="0.3">
      <c r="O4083" s="14"/>
      <c r="P4083" s="14"/>
      <c r="Q4083" s="14"/>
      <c r="R4083" s="14"/>
    </row>
    <row r="4084" spans="15:18" x14ac:dyDescent="0.3">
      <c r="O4084" s="14"/>
      <c r="P4084" s="14"/>
      <c r="Q4084" s="14"/>
      <c r="R4084" s="14"/>
    </row>
    <row r="4085" spans="15:18" x14ac:dyDescent="0.3">
      <c r="O4085" s="14"/>
      <c r="P4085" s="14"/>
      <c r="Q4085" s="14"/>
      <c r="R4085" s="14"/>
    </row>
    <row r="4086" spans="15:18" x14ac:dyDescent="0.3">
      <c r="O4086" s="14"/>
      <c r="P4086" s="14"/>
      <c r="Q4086" s="14"/>
      <c r="R4086" s="14"/>
    </row>
    <row r="4087" spans="15:18" x14ac:dyDescent="0.3">
      <c r="O4087" s="14"/>
      <c r="P4087" s="14"/>
      <c r="Q4087" s="14"/>
      <c r="R4087" s="14"/>
    </row>
    <row r="4088" spans="15:18" x14ac:dyDescent="0.3">
      <c r="O4088" s="14"/>
      <c r="P4088" s="14"/>
      <c r="Q4088" s="14"/>
      <c r="R4088" s="14"/>
    </row>
    <row r="4089" spans="15:18" x14ac:dyDescent="0.3">
      <c r="O4089" s="14"/>
      <c r="P4089" s="14"/>
      <c r="Q4089" s="14"/>
      <c r="R4089" s="14"/>
    </row>
    <row r="4090" spans="15:18" x14ac:dyDescent="0.3">
      <c r="O4090" s="14"/>
      <c r="P4090" s="14"/>
      <c r="Q4090" s="14"/>
      <c r="R4090" s="14"/>
    </row>
    <row r="4091" spans="15:18" x14ac:dyDescent="0.3">
      <c r="O4091" s="14"/>
      <c r="P4091" s="14"/>
      <c r="Q4091" s="14"/>
      <c r="R4091" s="14"/>
    </row>
    <row r="4092" spans="15:18" x14ac:dyDescent="0.3">
      <c r="O4092" s="14"/>
      <c r="P4092" s="14"/>
      <c r="Q4092" s="14"/>
      <c r="R4092" s="14"/>
    </row>
    <row r="4093" spans="15:18" x14ac:dyDescent="0.3">
      <c r="O4093" s="14"/>
      <c r="P4093" s="14"/>
      <c r="Q4093" s="14"/>
      <c r="R4093" s="14"/>
    </row>
    <row r="4094" spans="15:18" x14ac:dyDescent="0.3">
      <c r="O4094" s="14"/>
      <c r="P4094" s="14"/>
      <c r="Q4094" s="14"/>
      <c r="R4094" s="14"/>
    </row>
    <row r="4095" spans="15:18" x14ac:dyDescent="0.3">
      <c r="O4095" s="14"/>
      <c r="P4095" s="14"/>
      <c r="Q4095" s="14"/>
      <c r="R4095" s="14"/>
    </row>
    <row r="4096" spans="15:18" x14ac:dyDescent="0.3">
      <c r="O4096" s="14"/>
      <c r="P4096" s="14"/>
      <c r="Q4096" s="14"/>
      <c r="R4096" s="14"/>
    </row>
    <row r="4097" spans="15:18" x14ac:dyDescent="0.3">
      <c r="O4097" s="14"/>
      <c r="P4097" s="14"/>
      <c r="Q4097" s="14"/>
      <c r="R4097" s="14"/>
    </row>
    <row r="4098" spans="15:18" x14ac:dyDescent="0.3">
      <c r="O4098" s="14"/>
      <c r="P4098" s="14"/>
      <c r="Q4098" s="14"/>
      <c r="R4098" s="14"/>
    </row>
    <row r="4099" spans="15:18" x14ac:dyDescent="0.3">
      <c r="O4099" s="14"/>
      <c r="P4099" s="14"/>
      <c r="Q4099" s="14"/>
      <c r="R4099" s="14"/>
    </row>
    <row r="4100" spans="15:18" x14ac:dyDescent="0.3">
      <c r="O4100" s="14"/>
      <c r="P4100" s="14"/>
      <c r="Q4100" s="14"/>
      <c r="R4100" s="14"/>
    </row>
    <row r="4101" spans="15:18" x14ac:dyDescent="0.3">
      <c r="O4101" s="14"/>
      <c r="P4101" s="14"/>
      <c r="Q4101" s="14"/>
      <c r="R4101" s="14"/>
    </row>
    <row r="4102" spans="15:18" x14ac:dyDescent="0.3">
      <c r="O4102" s="14"/>
      <c r="P4102" s="14"/>
      <c r="Q4102" s="14"/>
      <c r="R4102" s="14"/>
    </row>
    <row r="4103" spans="15:18" x14ac:dyDescent="0.3">
      <c r="O4103" s="14"/>
      <c r="P4103" s="14"/>
      <c r="Q4103" s="14"/>
      <c r="R4103" s="14"/>
    </row>
    <row r="4104" spans="15:18" x14ac:dyDescent="0.3">
      <c r="O4104" s="14"/>
      <c r="P4104" s="14"/>
      <c r="Q4104" s="14"/>
      <c r="R4104" s="14"/>
    </row>
    <row r="4105" spans="15:18" x14ac:dyDescent="0.3">
      <c r="O4105" s="14"/>
      <c r="P4105" s="14"/>
      <c r="Q4105" s="14"/>
      <c r="R4105" s="14"/>
    </row>
    <row r="4106" spans="15:18" x14ac:dyDescent="0.3">
      <c r="O4106" s="14"/>
      <c r="P4106" s="14"/>
      <c r="Q4106" s="14"/>
      <c r="R4106" s="14"/>
    </row>
    <row r="4107" spans="15:18" x14ac:dyDescent="0.3">
      <c r="O4107" s="14"/>
      <c r="P4107" s="14"/>
      <c r="Q4107" s="14"/>
      <c r="R4107" s="14"/>
    </row>
    <row r="4108" spans="15:18" x14ac:dyDescent="0.3">
      <c r="O4108" s="14"/>
      <c r="P4108" s="14"/>
      <c r="Q4108" s="14"/>
      <c r="R4108" s="14"/>
    </row>
    <row r="4109" spans="15:18" x14ac:dyDescent="0.3">
      <c r="O4109" s="14"/>
      <c r="P4109" s="14"/>
      <c r="Q4109" s="14"/>
      <c r="R4109" s="14"/>
    </row>
    <row r="4110" spans="15:18" x14ac:dyDescent="0.3">
      <c r="O4110" s="14"/>
      <c r="P4110" s="14"/>
      <c r="Q4110" s="14"/>
      <c r="R4110" s="14"/>
    </row>
    <row r="4111" spans="15:18" x14ac:dyDescent="0.3">
      <c r="O4111" s="14"/>
      <c r="P4111" s="14"/>
      <c r="Q4111" s="14"/>
      <c r="R4111" s="14"/>
    </row>
    <row r="4112" spans="15:18" x14ac:dyDescent="0.3">
      <c r="O4112" s="14"/>
      <c r="P4112" s="14"/>
      <c r="Q4112" s="14"/>
      <c r="R4112" s="14"/>
    </row>
    <row r="4113" spans="15:18" x14ac:dyDescent="0.3">
      <c r="O4113" s="14"/>
      <c r="P4113" s="14"/>
      <c r="Q4113" s="14"/>
      <c r="R4113" s="14"/>
    </row>
    <row r="4114" spans="15:18" x14ac:dyDescent="0.3">
      <c r="O4114" s="14"/>
      <c r="P4114" s="14"/>
      <c r="Q4114" s="14"/>
      <c r="R4114" s="14"/>
    </row>
    <row r="4115" spans="15:18" x14ac:dyDescent="0.3">
      <c r="O4115" s="14"/>
      <c r="P4115" s="14"/>
      <c r="Q4115" s="14"/>
      <c r="R4115" s="14"/>
    </row>
    <row r="4116" spans="15:18" x14ac:dyDescent="0.3">
      <c r="O4116" s="14"/>
      <c r="P4116" s="14"/>
      <c r="Q4116" s="14"/>
      <c r="R4116" s="14"/>
    </row>
    <row r="4117" spans="15:18" x14ac:dyDescent="0.3">
      <c r="O4117" s="14"/>
      <c r="P4117" s="14"/>
      <c r="Q4117" s="14"/>
      <c r="R4117" s="14"/>
    </row>
    <row r="4118" spans="15:18" x14ac:dyDescent="0.3">
      <c r="O4118" s="14"/>
      <c r="P4118" s="14"/>
      <c r="Q4118" s="14"/>
      <c r="R4118" s="14"/>
    </row>
    <row r="4119" spans="15:18" x14ac:dyDescent="0.3">
      <c r="O4119" s="14"/>
      <c r="P4119" s="14"/>
      <c r="Q4119" s="14"/>
      <c r="R4119" s="14"/>
    </row>
    <row r="4120" spans="15:18" x14ac:dyDescent="0.3">
      <c r="O4120" s="14"/>
      <c r="P4120" s="14"/>
      <c r="Q4120" s="14"/>
      <c r="R4120" s="14"/>
    </row>
    <row r="4121" spans="15:18" x14ac:dyDescent="0.3">
      <c r="O4121" s="14"/>
      <c r="P4121" s="14"/>
      <c r="Q4121" s="14"/>
      <c r="R4121" s="14"/>
    </row>
    <row r="4122" spans="15:18" x14ac:dyDescent="0.3">
      <c r="O4122" s="14"/>
      <c r="P4122" s="14"/>
      <c r="Q4122" s="14"/>
      <c r="R4122" s="14"/>
    </row>
    <row r="4123" spans="15:18" x14ac:dyDescent="0.3">
      <c r="O4123" s="14"/>
      <c r="P4123" s="14"/>
      <c r="Q4123" s="14"/>
      <c r="R4123" s="14"/>
    </row>
    <row r="4124" spans="15:18" x14ac:dyDescent="0.3">
      <c r="O4124" s="14"/>
      <c r="P4124" s="14"/>
      <c r="Q4124" s="14"/>
      <c r="R4124" s="14"/>
    </row>
    <row r="4125" spans="15:18" x14ac:dyDescent="0.3">
      <c r="O4125" s="14"/>
      <c r="P4125" s="14"/>
      <c r="Q4125" s="14"/>
      <c r="R4125" s="14"/>
    </row>
    <row r="4126" spans="15:18" x14ac:dyDescent="0.3">
      <c r="O4126" s="14"/>
      <c r="P4126" s="14"/>
      <c r="Q4126" s="14"/>
      <c r="R4126" s="14"/>
    </row>
    <row r="4127" spans="15:18" x14ac:dyDescent="0.3">
      <c r="O4127" s="14"/>
      <c r="P4127" s="14"/>
      <c r="Q4127" s="14"/>
      <c r="R4127" s="14"/>
    </row>
    <row r="4128" spans="15:18" x14ac:dyDescent="0.3">
      <c r="O4128" s="14"/>
      <c r="P4128" s="14"/>
      <c r="Q4128" s="14"/>
      <c r="R4128" s="14"/>
    </row>
    <row r="4129" spans="15:18" x14ac:dyDescent="0.3">
      <c r="O4129" s="14"/>
      <c r="P4129" s="14"/>
      <c r="Q4129" s="14"/>
      <c r="R4129" s="14"/>
    </row>
    <row r="4130" spans="15:18" x14ac:dyDescent="0.3">
      <c r="O4130" s="14"/>
      <c r="P4130" s="14"/>
      <c r="Q4130" s="14"/>
      <c r="R4130" s="14"/>
    </row>
    <row r="4131" spans="15:18" x14ac:dyDescent="0.3">
      <c r="O4131" s="14"/>
      <c r="P4131" s="14"/>
      <c r="Q4131" s="14"/>
      <c r="R4131" s="14"/>
    </row>
    <row r="4132" spans="15:18" x14ac:dyDescent="0.3">
      <c r="O4132" s="14"/>
      <c r="P4132" s="14"/>
      <c r="Q4132" s="14"/>
      <c r="R4132" s="14"/>
    </row>
    <row r="4133" spans="15:18" x14ac:dyDescent="0.3">
      <c r="O4133" s="14"/>
      <c r="P4133" s="14"/>
      <c r="Q4133" s="14"/>
      <c r="R4133" s="14"/>
    </row>
    <row r="4134" spans="15:18" x14ac:dyDescent="0.3">
      <c r="O4134" s="14"/>
      <c r="P4134" s="14"/>
      <c r="Q4134" s="14"/>
      <c r="R4134" s="14"/>
    </row>
    <row r="4135" spans="15:18" x14ac:dyDescent="0.3">
      <c r="O4135" s="14"/>
      <c r="P4135" s="14"/>
      <c r="Q4135" s="14"/>
      <c r="R4135" s="14"/>
    </row>
    <row r="4136" spans="15:18" x14ac:dyDescent="0.3">
      <c r="O4136" s="14"/>
      <c r="P4136" s="14"/>
      <c r="Q4136" s="14"/>
      <c r="R4136" s="14"/>
    </row>
    <row r="4137" spans="15:18" x14ac:dyDescent="0.3">
      <c r="O4137" s="14"/>
      <c r="P4137" s="14"/>
      <c r="Q4137" s="14"/>
      <c r="R4137" s="14"/>
    </row>
    <row r="4138" spans="15:18" x14ac:dyDescent="0.3">
      <c r="O4138" s="14"/>
      <c r="P4138" s="14"/>
      <c r="Q4138" s="14"/>
      <c r="R4138" s="14"/>
    </row>
    <row r="4139" spans="15:18" x14ac:dyDescent="0.3">
      <c r="O4139" s="14"/>
      <c r="P4139" s="14"/>
      <c r="Q4139" s="14"/>
      <c r="R4139" s="14"/>
    </row>
    <row r="4140" spans="15:18" x14ac:dyDescent="0.3">
      <c r="O4140" s="14"/>
      <c r="P4140" s="14"/>
      <c r="Q4140" s="14"/>
      <c r="R4140" s="14"/>
    </row>
    <row r="4141" spans="15:18" x14ac:dyDescent="0.3">
      <c r="O4141" s="14"/>
      <c r="P4141" s="14"/>
      <c r="Q4141" s="14"/>
      <c r="R4141" s="14"/>
    </row>
    <row r="4142" spans="15:18" x14ac:dyDescent="0.3">
      <c r="O4142" s="14"/>
      <c r="P4142" s="14"/>
      <c r="Q4142" s="14"/>
      <c r="R4142" s="14"/>
    </row>
    <row r="4143" spans="15:18" x14ac:dyDescent="0.3">
      <c r="O4143" s="14"/>
      <c r="P4143" s="14"/>
      <c r="Q4143" s="14"/>
      <c r="R4143" s="14"/>
    </row>
    <row r="4144" spans="15:18" x14ac:dyDescent="0.3">
      <c r="O4144" s="14"/>
      <c r="P4144" s="14"/>
      <c r="Q4144" s="14"/>
      <c r="R4144" s="14"/>
    </row>
    <row r="4145" spans="15:18" x14ac:dyDescent="0.3">
      <c r="O4145" s="14"/>
      <c r="P4145" s="14"/>
      <c r="Q4145" s="14"/>
      <c r="R4145" s="14"/>
    </row>
    <row r="4146" spans="15:18" x14ac:dyDescent="0.3">
      <c r="O4146" s="14"/>
      <c r="P4146" s="14"/>
      <c r="Q4146" s="14"/>
      <c r="R4146" s="14"/>
    </row>
    <row r="4147" spans="15:18" x14ac:dyDescent="0.3">
      <c r="O4147" s="14"/>
      <c r="P4147" s="14"/>
      <c r="Q4147" s="14"/>
      <c r="R4147" s="14"/>
    </row>
    <row r="4148" spans="15:18" x14ac:dyDescent="0.3">
      <c r="O4148" s="14"/>
      <c r="P4148" s="14"/>
      <c r="Q4148" s="14"/>
      <c r="R4148" s="14"/>
    </row>
    <row r="4149" spans="15:18" x14ac:dyDescent="0.3">
      <c r="O4149" s="14"/>
      <c r="P4149" s="14"/>
      <c r="Q4149" s="14"/>
      <c r="R4149" s="14"/>
    </row>
    <row r="4150" spans="15:18" x14ac:dyDescent="0.3">
      <c r="O4150" s="14"/>
      <c r="P4150" s="14"/>
      <c r="Q4150" s="14"/>
      <c r="R4150" s="14"/>
    </row>
    <row r="4151" spans="15:18" x14ac:dyDescent="0.3">
      <c r="O4151" s="14"/>
      <c r="P4151" s="14"/>
      <c r="Q4151" s="14"/>
      <c r="R4151" s="14"/>
    </row>
    <row r="4152" spans="15:18" x14ac:dyDescent="0.3">
      <c r="O4152" s="14"/>
      <c r="P4152" s="14"/>
      <c r="Q4152" s="14"/>
      <c r="R4152" s="14"/>
    </row>
    <row r="4153" spans="15:18" x14ac:dyDescent="0.3">
      <c r="O4153" s="14"/>
      <c r="P4153" s="14"/>
      <c r="Q4153" s="14"/>
      <c r="R4153" s="14"/>
    </row>
    <row r="4154" spans="15:18" x14ac:dyDescent="0.3">
      <c r="O4154" s="14"/>
      <c r="P4154" s="14"/>
      <c r="Q4154" s="14"/>
      <c r="R4154" s="14"/>
    </row>
    <row r="4155" spans="15:18" x14ac:dyDescent="0.3">
      <c r="O4155" s="14"/>
      <c r="P4155" s="14"/>
      <c r="Q4155" s="14"/>
      <c r="R4155" s="14"/>
    </row>
    <row r="4156" spans="15:18" x14ac:dyDescent="0.3">
      <c r="O4156" s="14"/>
      <c r="P4156" s="14"/>
      <c r="Q4156" s="14"/>
      <c r="R4156" s="14"/>
    </row>
    <row r="4157" spans="15:18" x14ac:dyDescent="0.3">
      <c r="O4157" s="14"/>
      <c r="P4157" s="14"/>
      <c r="Q4157" s="14"/>
      <c r="R4157" s="14"/>
    </row>
    <row r="4158" spans="15:18" x14ac:dyDescent="0.3">
      <c r="O4158" s="14"/>
      <c r="P4158" s="14"/>
      <c r="Q4158" s="14"/>
      <c r="R4158" s="14"/>
    </row>
    <row r="4159" spans="15:18" x14ac:dyDescent="0.3">
      <c r="O4159" s="14"/>
      <c r="P4159" s="14"/>
      <c r="Q4159" s="14"/>
      <c r="R4159" s="14"/>
    </row>
    <row r="4160" spans="15:18" x14ac:dyDescent="0.3">
      <c r="O4160" s="14"/>
      <c r="P4160" s="14"/>
      <c r="Q4160" s="14"/>
      <c r="R4160" s="14"/>
    </row>
    <row r="4161" spans="15:18" x14ac:dyDescent="0.3">
      <c r="O4161" s="14"/>
      <c r="P4161" s="14"/>
      <c r="Q4161" s="14"/>
      <c r="R4161" s="14"/>
    </row>
    <row r="4162" spans="15:18" x14ac:dyDescent="0.3">
      <c r="O4162" s="14"/>
      <c r="P4162" s="14"/>
      <c r="Q4162" s="14"/>
      <c r="R4162" s="14"/>
    </row>
    <row r="4163" spans="15:18" x14ac:dyDescent="0.3">
      <c r="O4163" s="14"/>
      <c r="P4163" s="14"/>
      <c r="Q4163" s="14"/>
      <c r="R4163" s="14"/>
    </row>
    <row r="4164" spans="15:18" x14ac:dyDescent="0.3">
      <c r="O4164" s="14"/>
      <c r="P4164" s="14"/>
      <c r="Q4164" s="14"/>
      <c r="R4164" s="14"/>
    </row>
    <row r="4165" spans="15:18" x14ac:dyDescent="0.3">
      <c r="O4165" s="14"/>
      <c r="P4165" s="14"/>
      <c r="Q4165" s="14"/>
      <c r="R4165" s="14"/>
    </row>
    <row r="4166" spans="15:18" x14ac:dyDescent="0.3">
      <c r="O4166" s="14"/>
      <c r="P4166" s="14"/>
      <c r="Q4166" s="14"/>
      <c r="R4166" s="14"/>
    </row>
    <row r="4167" spans="15:18" x14ac:dyDescent="0.3">
      <c r="O4167" s="14"/>
      <c r="P4167" s="14"/>
      <c r="Q4167" s="14"/>
      <c r="R4167" s="14"/>
    </row>
    <row r="4168" spans="15:18" x14ac:dyDescent="0.3">
      <c r="O4168" s="14"/>
      <c r="P4168" s="14"/>
      <c r="Q4168" s="14"/>
      <c r="R4168" s="14"/>
    </row>
    <row r="4169" spans="15:18" x14ac:dyDescent="0.3">
      <c r="O4169" s="14"/>
      <c r="P4169" s="14"/>
      <c r="Q4169" s="14"/>
      <c r="R4169" s="14"/>
    </row>
    <row r="4170" spans="15:18" x14ac:dyDescent="0.3">
      <c r="O4170" s="14"/>
      <c r="P4170" s="14"/>
      <c r="Q4170" s="14"/>
      <c r="R4170" s="14"/>
    </row>
    <row r="4171" spans="15:18" x14ac:dyDescent="0.3">
      <c r="O4171" s="14"/>
      <c r="P4171" s="14"/>
      <c r="Q4171" s="14"/>
      <c r="R4171" s="14"/>
    </row>
    <row r="4172" spans="15:18" x14ac:dyDescent="0.3">
      <c r="O4172" s="14"/>
      <c r="P4172" s="14"/>
      <c r="Q4172" s="14"/>
      <c r="R4172" s="14"/>
    </row>
    <row r="4173" spans="15:18" x14ac:dyDescent="0.3">
      <c r="O4173" s="14"/>
      <c r="P4173" s="14"/>
      <c r="Q4173" s="14"/>
      <c r="R4173" s="14"/>
    </row>
    <row r="4174" spans="15:18" x14ac:dyDescent="0.3">
      <c r="O4174" s="14"/>
      <c r="P4174" s="14"/>
      <c r="Q4174" s="14"/>
      <c r="R4174" s="14"/>
    </row>
    <row r="4175" spans="15:18" x14ac:dyDescent="0.3">
      <c r="O4175" s="14"/>
      <c r="P4175" s="14"/>
      <c r="Q4175" s="14"/>
      <c r="R4175" s="14"/>
    </row>
    <row r="4176" spans="15:18" x14ac:dyDescent="0.3">
      <c r="O4176" s="14"/>
      <c r="P4176" s="14"/>
      <c r="Q4176" s="14"/>
      <c r="R4176" s="14"/>
    </row>
    <row r="4177" spans="15:18" x14ac:dyDescent="0.3">
      <c r="O4177" s="14"/>
      <c r="P4177" s="14"/>
      <c r="Q4177" s="14"/>
      <c r="R4177" s="14"/>
    </row>
    <row r="4178" spans="15:18" x14ac:dyDescent="0.3">
      <c r="O4178" s="14"/>
      <c r="P4178" s="14"/>
      <c r="Q4178" s="14"/>
      <c r="R4178" s="14"/>
    </row>
    <row r="4179" spans="15:18" x14ac:dyDescent="0.3">
      <c r="O4179" s="14"/>
      <c r="P4179" s="14"/>
      <c r="Q4179" s="14"/>
      <c r="R4179" s="14"/>
    </row>
    <row r="4180" spans="15:18" x14ac:dyDescent="0.3">
      <c r="O4180" s="14"/>
      <c r="P4180" s="14"/>
      <c r="Q4180" s="14"/>
      <c r="R4180" s="14"/>
    </row>
    <row r="4181" spans="15:18" x14ac:dyDescent="0.3">
      <c r="O4181" s="14"/>
      <c r="P4181" s="14"/>
      <c r="Q4181" s="14"/>
      <c r="R4181" s="14"/>
    </row>
    <row r="4182" spans="15:18" x14ac:dyDescent="0.3">
      <c r="O4182" s="14"/>
      <c r="P4182" s="14"/>
      <c r="Q4182" s="14"/>
      <c r="R4182" s="14"/>
    </row>
    <row r="4183" spans="15:18" x14ac:dyDescent="0.3">
      <c r="O4183" s="14"/>
      <c r="P4183" s="14"/>
      <c r="Q4183" s="14"/>
      <c r="R4183" s="14"/>
    </row>
    <row r="4184" spans="15:18" x14ac:dyDescent="0.3">
      <c r="O4184" s="14"/>
      <c r="P4184" s="14"/>
      <c r="Q4184" s="14"/>
      <c r="R4184" s="14"/>
    </row>
    <row r="4185" spans="15:18" x14ac:dyDescent="0.3">
      <c r="O4185" s="14"/>
      <c r="P4185" s="14"/>
      <c r="Q4185" s="14"/>
      <c r="R4185" s="14"/>
    </row>
    <row r="4186" spans="15:18" x14ac:dyDescent="0.3">
      <c r="O4186" s="14"/>
      <c r="P4186" s="14"/>
      <c r="Q4186" s="14"/>
      <c r="R4186" s="14"/>
    </row>
    <row r="4187" spans="15:18" x14ac:dyDescent="0.3">
      <c r="O4187" s="14"/>
      <c r="P4187" s="14"/>
      <c r="Q4187" s="14"/>
      <c r="R4187" s="14"/>
    </row>
    <row r="4188" spans="15:18" x14ac:dyDescent="0.3">
      <c r="O4188" s="14"/>
      <c r="P4188" s="14"/>
      <c r="Q4188" s="14"/>
      <c r="R4188" s="14"/>
    </row>
    <row r="4189" spans="15:18" x14ac:dyDescent="0.3">
      <c r="O4189" s="14"/>
      <c r="P4189" s="14"/>
      <c r="Q4189" s="14"/>
      <c r="R4189" s="14"/>
    </row>
    <row r="4190" spans="15:18" x14ac:dyDescent="0.3">
      <c r="O4190" s="14"/>
      <c r="P4190" s="14"/>
      <c r="Q4190" s="14"/>
      <c r="R4190" s="14"/>
    </row>
    <row r="4191" spans="15:18" x14ac:dyDescent="0.3">
      <c r="O4191" s="14"/>
      <c r="P4191" s="14"/>
      <c r="Q4191" s="14"/>
      <c r="R4191" s="14"/>
    </row>
    <row r="4192" spans="15:18" x14ac:dyDescent="0.3">
      <c r="O4192" s="14"/>
      <c r="P4192" s="14"/>
      <c r="Q4192" s="14"/>
      <c r="R4192" s="14"/>
    </row>
    <row r="4193" spans="15:18" x14ac:dyDescent="0.3">
      <c r="O4193" s="14"/>
      <c r="P4193" s="14"/>
      <c r="Q4193" s="14"/>
      <c r="R4193" s="14"/>
    </row>
    <row r="4194" spans="15:18" x14ac:dyDescent="0.3">
      <c r="O4194" s="14"/>
      <c r="P4194" s="14"/>
      <c r="Q4194" s="14"/>
      <c r="R4194" s="14"/>
    </row>
    <row r="4195" spans="15:18" x14ac:dyDescent="0.3">
      <c r="O4195" s="14"/>
      <c r="P4195" s="14"/>
      <c r="Q4195" s="14"/>
      <c r="R4195" s="14"/>
    </row>
    <row r="4196" spans="15:18" x14ac:dyDescent="0.3">
      <c r="O4196" s="14"/>
      <c r="P4196" s="14"/>
      <c r="Q4196" s="14"/>
      <c r="R4196" s="14"/>
    </row>
    <row r="4197" spans="15:18" x14ac:dyDescent="0.3">
      <c r="O4197" s="14"/>
      <c r="P4197" s="14"/>
      <c r="Q4197" s="14"/>
      <c r="R4197" s="14"/>
    </row>
    <row r="4198" spans="15:18" x14ac:dyDescent="0.3">
      <c r="O4198" s="14"/>
      <c r="P4198" s="14"/>
      <c r="Q4198" s="14"/>
      <c r="R4198" s="14"/>
    </row>
    <row r="4199" spans="15:18" x14ac:dyDescent="0.3">
      <c r="O4199" s="14"/>
      <c r="P4199" s="14"/>
      <c r="Q4199" s="14"/>
      <c r="R4199" s="14"/>
    </row>
    <row r="4200" spans="15:18" x14ac:dyDescent="0.3">
      <c r="O4200" s="14"/>
      <c r="P4200" s="14"/>
      <c r="Q4200" s="14"/>
      <c r="R4200" s="14"/>
    </row>
    <row r="4201" spans="15:18" x14ac:dyDescent="0.3">
      <c r="O4201" s="14"/>
      <c r="P4201" s="14"/>
      <c r="Q4201" s="14"/>
      <c r="R4201" s="14"/>
    </row>
    <row r="4202" spans="15:18" x14ac:dyDescent="0.3">
      <c r="O4202" s="14"/>
      <c r="P4202" s="14"/>
      <c r="Q4202" s="14"/>
      <c r="R4202" s="14"/>
    </row>
    <row r="4203" spans="15:18" x14ac:dyDescent="0.3">
      <c r="O4203" s="14"/>
      <c r="P4203" s="14"/>
      <c r="Q4203" s="14"/>
      <c r="R4203" s="14"/>
    </row>
    <row r="4204" spans="15:18" x14ac:dyDescent="0.3">
      <c r="O4204" s="14"/>
      <c r="P4204" s="14"/>
      <c r="Q4204" s="14"/>
      <c r="R4204" s="14"/>
    </row>
    <row r="4205" spans="15:18" x14ac:dyDescent="0.3">
      <c r="O4205" s="14"/>
      <c r="P4205" s="14"/>
      <c r="Q4205" s="14"/>
      <c r="R4205" s="14"/>
    </row>
    <row r="4206" spans="15:18" x14ac:dyDescent="0.3">
      <c r="O4206" s="14"/>
      <c r="P4206" s="14"/>
      <c r="Q4206" s="14"/>
      <c r="R4206" s="14"/>
    </row>
    <row r="4207" spans="15:18" x14ac:dyDescent="0.3">
      <c r="O4207" s="14"/>
      <c r="P4207" s="14"/>
      <c r="Q4207" s="14"/>
      <c r="R4207" s="14"/>
    </row>
    <row r="4208" spans="15:18" x14ac:dyDescent="0.3">
      <c r="O4208" s="14"/>
      <c r="P4208" s="14"/>
      <c r="Q4208" s="14"/>
      <c r="R4208" s="14"/>
    </row>
    <row r="4209" spans="15:18" x14ac:dyDescent="0.3">
      <c r="O4209" s="14"/>
      <c r="P4209" s="14"/>
      <c r="Q4209" s="14"/>
      <c r="R4209" s="14"/>
    </row>
    <row r="4210" spans="15:18" x14ac:dyDescent="0.3">
      <c r="O4210" s="14"/>
      <c r="P4210" s="14"/>
      <c r="Q4210" s="14"/>
      <c r="R4210" s="14"/>
    </row>
    <row r="4211" spans="15:18" x14ac:dyDescent="0.3">
      <c r="O4211" s="14"/>
      <c r="P4211" s="14"/>
      <c r="Q4211" s="14"/>
      <c r="R4211" s="14"/>
    </row>
    <row r="4212" spans="15:18" x14ac:dyDescent="0.3">
      <c r="O4212" s="14"/>
      <c r="P4212" s="14"/>
      <c r="Q4212" s="14"/>
      <c r="R4212" s="14"/>
    </row>
    <row r="4213" spans="15:18" x14ac:dyDescent="0.3">
      <c r="O4213" s="14"/>
      <c r="P4213" s="14"/>
      <c r="Q4213" s="14"/>
      <c r="R4213" s="14"/>
    </row>
    <row r="4214" spans="15:18" x14ac:dyDescent="0.3">
      <c r="O4214" s="14"/>
      <c r="P4214" s="14"/>
      <c r="Q4214" s="14"/>
      <c r="R4214" s="14"/>
    </row>
    <row r="4215" spans="15:18" x14ac:dyDescent="0.3">
      <c r="O4215" s="14"/>
      <c r="P4215" s="14"/>
      <c r="Q4215" s="14"/>
      <c r="R4215" s="14"/>
    </row>
    <row r="4216" spans="15:18" x14ac:dyDescent="0.3">
      <c r="O4216" s="14"/>
      <c r="P4216" s="14"/>
      <c r="Q4216" s="14"/>
      <c r="R4216" s="14"/>
    </row>
    <row r="4217" spans="15:18" x14ac:dyDescent="0.3">
      <c r="O4217" s="14"/>
      <c r="P4217" s="14"/>
      <c r="Q4217" s="14"/>
      <c r="R4217" s="14"/>
    </row>
    <row r="4218" spans="15:18" x14ac:dyDescent="0.3">
      <c r="O4218" s="14"/>
      <c r="P4218" s="14"/>
      <c r="Q4218" s="14"/>
      <c r="R4218" s="14"/>
    </row>
    <row r="4219" spans="15:18" x14ac:dyDescent="0.3">
      <c r="O4219" s="14"/>
      <c r="P4219" s="14"/>
      <c r="Q4219" s="14"/>
      <c r="R4219" s="14"/>
    </row>
    <row r="4220" spans="15:18" x14ac:dyDescent="0.3">
      <c r="O4220" s="14"/>
      <c r="P4220" s="14"/>
      <c r="Q4220" s="14"/>
      <c r="R4220" s="14"/>
    </row>
    <row r="4221" spans="15:18" x14ac:dyDescent="0.3">
      <c r="O4221" s="14"/>
      <c r="P4221" s="14"/>
      <c r="Q4221" s="14"/>
      <c r="R4221" s="14"/>
    </row>
    <row r="4222" spans="15:18" x14ac:dyDescent="0.3">
      <c r="O4222" s="14"/>
      <c r="P4222" s="14"/>
      <c r="Q4222" s="14"/>
      <c r="R4222" s="14"/>
    </row>
    <row r="4223" spans="15:18" x14ac:dyDescent="0.3">
      <c r="O4223" s="14"/>
      <c r="P4223" s="14"/>
      <c r="Q4223" s="14"/>
      <c r="R4223" s="14"/>
    </row>
    <row r="4224" spans="15:18" x14ac:dyDescent="0.3">
      <c r="O4224" s="14"/>
      <c r="P4224" s="14"/>
      <c r="Q4224" s="14"/>
      <c r="R4224" s="14"/>
    </row>
    <row r="4225" spans="15:18" x14ac:dyDescent="0.3">
      <c r="O4225" s="14"/>
      <c r="P4225" s="14"/>
      <c r="Q4225" s="14"/>
      <c r="R4225" s="14"/>
    </row>
    <row r="4226" spans="15:18" x14ac:dyDescent="0.3">
      <c r="O4226" s="14"/>
      <c r="P4226" s="14"/>
      <c r="Q4226" s="14"/>
      <c r="R4226" s="14"/>
    </row>
    <row r="4227" spans="15:18" x14ac:dyDescent="0.3">
      <c r="O4227" s="14"/>
      <c r="P4227" s="14"/>
      <c r="Q4227" s="14"/>
      <c r="R4227" s="14"/>
    </row>
    <row r="4228" spans="15:18" x14ac:dyDescent="0.3">
      <c r="O4228" s="14"/>
      <c r="P4228" s="14"/>
      <c r="Q4228" s="14"/>
      <c r="R4228" s="14"/>
    </row>
    <row r="4229" spans="15:18" x14ac:dyDescent="0.3">
      <c r="O4229" s="14"/>
      <c r="P4229" s="14"/>
      <c r="Q4229" s="14"/>
      <c r="R4229" s="14"/>
    </row>
    <row r="4230" spans="15:18" x14ac:dyDescent="0.3">
      <c r="O4230" s="14"/>
      <c r="P4230" s="14"/>
      <c r="Q4230" s="14"/>
      <c r="R4230" s="14"/>
    </row>
    <row r="4231" spans="15:18" x14ac:dyDescent="0.3">
      <c r="O4231" s="14"/>
      <c r="P4231" s="14"/>
      <c r="Q4231" s="14"/>
      <c r="R4231" s="14"/>
    </row>
    <row r="4232" spans="15:18" x14ac:dyDescent="0.3">
      <c r="O4232" s="14"/>
      <c r="P4232" s="14"/>
      <c r="Q4232" s="14"/>
      <c r="R4232" s="14"/>
    </row>
    <row r="4233" spans="15:18" x14ac:dyDescent="0.3">
      <c r="O4233" s="14"/>
      <c r="P4233" s="14"/>
      <c r="Q4233" s="14"/>
      <c r="R4233" s="14"/>
    </row>
    <row r="4234" spans="15:18" x14ac:dyDescent="0.3">
      <c r="O4234" s="14"/>
      <c r="P4234" s="14"/>
      <c r="Q4234" s="14"/>
      <c r="R4234" s="14"/>
    </row>
    <row r="4235" spans="15:18" x14ac:dyDescent="0.3">
      <c r="O4235" s="14"/>
      <c r="P4235" s="14"/>
      <c r="Q4235" s="14"/>
      <c r="R4235" s="14"/>
    </row>
    <row r="4236" spans="15:18" x14ac:dyDescent="0.3">
      <c r="O4236" s="14"/>
      <c r="P4236" s="14"/>
      <c r="Q4236" s="14"/>
      <c r="R4236" s="14"/>
    </row>
    <row r="4237" spans="15:18" x14ac:dyDescent="0.3">
      <c r="O4237" s="14"/>
      <c r="P4237" s="14"/>
      <c r="Q4237" s="14"/>
      <c r="R4237" s="14"/>
    </row>
    <row r="4238" spans="15:18" x14ac:dyDescent="0.3">
      <c r="O4238" s="14"/>
      <c r="P4238" s="14"/>
      <c r="Q4238" s="14"/>
      <c r="R4238" s="14"/>
    </row>
    <row r="4239" spans="15:18" x14ac:dyDescent="0.3">
      <c r="O4239" s="14"/>
      <c r="P4239" s="14"/>
      <c r="Q4239" s="14"/>
      <c r="R4239" s="14"/>
    </row>
    <row r="4240" spans="15:18" x14ac:dyDescent="0.3">
      <c r="O4240" s="14"/>
      <c r="P4240" s="14"/>
      <c r="Q4240" s="14"/>
      <c r="R4240" s="14"/>
    </row>
    <row r="4241" spans="15:18" x14ac:dyDescent="0.3">
      <c r="O4241" s="14"/>
      <c r="P4241" s="14"/>
      <c r="Q4241" s="14"/>
      <c r="R4241" s="14"/>
    </row>
    <row r="4242" spans="15:18" x14ac:dyDescent="0.3">
      <c r="O4242" s="14"/>
      <c r="P4242" s="14"/>
      <c r="Q4242" s="14"/>
      <c r="R4242" s="14"/>
    </row>
    <row r="4243" spans="15:18" x14ac:dyDescent="0.3">
      <c r="O4243" s="14"/>
      <c r="P4243" s="14"/>
      <c r="Q4243" s="14"/>
      <c r="R4243" s="14"/>
    </row>
    <row r="4244" spans="15:18" x14ac:dyDescent="0.3">
      <c r="O4244" s="14"/>
      <c r="P4244" s="14"/>
      <c r="Q4244" s="14"/>
      <c r="R4244" s="14"/>
    </row>
    <row r="4245" spans="15:18" x14ac:dyDescent="0.3">
      <c r="O4245" s="14"/>
      <c r="P4245" s="14"/>
      <c r="Q4245" s="14"/>
      <c r="R4245" s="14"/>
    </row>
    <row r="4246" spans="15:18" x14ac:dyDescent="0.3">
      <c r="O4246" s="14"/>
      <c r="P4246" s="14"/>
      <c r="Q4246" s="14"/>
      <c r="R4246" s="14"/>
    </row>
    <row r="4247" spans="15:18" x14ac:dyDescent="0.3">
      <c r="O4247" s="14"/>
      <c r="P4247" s="14"/>
      <c r="Q4247" s="14"/>
      <c r="R4247" s="14"/>
    </row>
    <row r="4248" spans="15:18" x14ac:dyDescent="0.3">
      <c r="O4248" s="14"/>
      <c r="P4248" s="14"/>
      <c r="Q4248" s="14"/>
      <c r="R4248" s="14"/>
    </row>
    <row r="4249" spans="15:18" x14ac:dyDescent="0.3">
      <c r="O4249" s="14"/>
      <c r="P4249" s="14"/>
      <c r="Q4249" s="14"/>
      <c r="R4249" s="14"/>
    </row>
    <row r="4250" spans="15:18" x14ac:dyDescent="0.3">
      <c r="O4250" s="14"/>
      <c r="P4250" s="14"/>
      <c r="Q4250" s="14"/>
      <c r="R4250" s="14"/>
    </row>
    <row r="4251" spans="15:18" x14ac:dyDescent="0.3">
      <c r="O4251" s="14"/>
      <c r="P4251" s="14"/>
      <c r="Q4251" s="14"/>
      <c r="R4251" s="14"/>
    </row>
    <row r="4252" spans="15:18" x14ac:dyDescent="0.3">
      <c r="O4252" s="14"/>
      <c r="P4252" s="14"/>
      <c r="Q4252" s="14"/>
      <c r="R4252" s="14"/>
    </row>
    <row r="4253" spans="15:18" x14ac:dyDescent="0.3">
      <c r="O4253" s="14"/>
      <c r="P4253" s="14"/>
      <c r="Q4253" s="14"/>
      <c r="R4253" s="14"/>
    </row>
    <row r="4254" spans="15:18" x14ac:dyDescent="0.3">
      <c r="O4254" s="14"/>
      <c r="P4254" s="14"/>
      <c r="Q4254" s="14"/>
      <c r="R4254" s="14"/>
    </row>
    <row r="4255" spans="15:18" x14ac:dyDescent="0.3">
      <c r="O4255" s="14"/>
      <c r="P4255" s="14"/>
      <c r="Q4255" s="14"/>
      <c r="R4255" s="14"/>
    </row>
    <row r="4256" spans="15:18" x14ac:dyDescent="0.3">
      <c r="O4256" s="14"/>
      <c r="P4256" s="14"/>
      <c r="Q4256" s="14"/>
      <c r="R4256" s="14"/>
    </row>
    <row r="4257" spans="15:18" x14ac:dyDescent="0.3">
      <c r="O4257" s="14"/>
      <c r="P4257" s="14"/>
      <c r="Q4257" s="14"/>
      <c r="R4257" s="14"/>
    </row>
    <row r="4258" spans="15:18" x14ac:dyDescent="0.3">
      <c r="O4258" s="14"/>
      <c r="P4258" s="14"/>
      <c r="Q4258" s="14"/>
      <c r="R4258" s="14"/>
    </row>
    <row r="4259" spans="15:18" x14ac:dyDescent="0.3">
      <c r="O4259" s="14"/>
      <c r="P4259" s="14"/>
      <c r="Q4259" s="14"/>
      <c r="R4259" s="14"/>
    </row>
    <row r="4260" spans="15:18" x14ac:dyDescent="0.3">
      <c r="O4260" s="14"/>
      <c r="P4260" s="14"/>
      <c r="Q4260" s="14"/>
      <c r="R4260" s="14"/>
    </row>
    <row r="4261" spans="15:18" x14ac:dyDescent="0.3">
      <c r="O4261" s="14"/>
      <c r="P4261" s="14"/>
      <c r="Q4261" s="14"/>
      <c r="R4261" s="14"/>
    </row>
    <row r="4262" spans="15:18" x14ac:dyDescent="0.3">
      <c r="O4262" s="14"/>
      <c r="P4262" s="14"/>
      <c r="Q4262" s="14"/>
      <c r="R4262" s="14"/>
    </row>
    <row r="4263" spans="15:18" x14ac:dyDescent="0.3">
      <c r="O4263" s="14"/>
      <c r="P4263" s="14"/>
      <c r="Q4263" s="14"/>
      <c r="R4263" s="14"/>
    </row>
    <row r="4264" spans="15:18" x14ac:dyDescent="0.3">
      <c r="O4264" s="14"/>
      <c r="P4264" s="14"/>
      <c r="Q4264" s="14"/>
      <c r="R4264" s="14"/>
    </row>
    <row r="4265" spans="15:18" x14ac:dyDescent="0.3">
      <c r="O4265" s="14"/>
      <c r="P4265" s="14"/>
      <c r="Q4265" s="14"/>
      <c r="R4265" s="14"/>
    </row>
    <row r="4266" spans="15:18" x14ac:dyDescent="0.3">
      <c r="O4266" s="14"/>
      <c r="P4266" s="14"/>
      <c r="Q4266" s="14"/>
      <c r="R4266" s="14"/>
    </row>
    <row r="4267" spans="15:18" x14ac:dyDescent="0.3">
      <c r="O4267" s="14"/>
      <c r="P4267" s="14"/>
      <c r="Q4267" s="14"/>
      <c r="R4267" s="14"/>
    </row>
    <row r="4268" spans="15:18" x14ac:dyDescent="0.3">
      <c r="O4268" s="14"/>
      <c r="P4268" s="14"/>
      <c r="Q4268" s="14"/>
      <c r="R4268" s="14"/>
    </row>
    <row r="4269" spans="15:18" x14ac:dyDescent="0.3">
      <c r="O4269" s="14"/>
      <c r="P4269" s="14"/>
      <c r="Q4269" s="14"/>
      <c r="R4269" s="14"/>
    </row>
    <row r="4270" spans="15:18" x14ac:dyDescent="0.3">
      <c r="O4270" s="14"/>
      <c r="P4270" s="14"/>
      <c r="Q4270" s="14"/>
      <c r="R4270" s="14"/>
    </row>
    <row r="4271" spans="15:18" x14ac:dyDescent="0.3">
      <c r="O4271" s="14"/>
      <c r="P4271" s="14"/>
      <c r="Q4271" s="14"/>
      <c r="R4271" s="14"/>
    </row>
    <row r="4272" spans="15:18" x14ac:dyDescent="0.3">
      <c r="O4272" s="14"/>
      <c r="P4272" s="14"/>
      <c r="Q4272" s="14"/>
      <c r="R4272" s="14"/>
    </row>
    <row r="4273" spans="15:18" x14ac:dyDescent="0.3">
      <c r="O4273" s="14"/>
      <c r="P4273" s="14"/>
      <c r="Q4273" s="14"/>
      <c r="R4273" s="14"/>
    </row>
    <row r="4274" spans="15:18" x14ac:dyDescent="0.3">
      <c r="O4274" s="14"/>
      <c r="P4274" s="14"/>
      <c r="Q4274" s="14"/>
      <c r="R4274" s="14"/>
    </row>
    <row r="4275" spans="15:18" x14ac:dyDescent="0.3">
      <c r="O4275" s="14"/>
      <c r="P4275" s="14"/>
      <c r="Q4275" s="14"/>
      <c r="R4275" s="14"/>
    </row>
    <row r="4276" spans="15:18" x14ac:dyDescent="0.3">
      <c r="O4276" s="14"/>
      <c r="P4276" s="14"/>
      <c r="Q4276" s="14"/>
      <c r="R4276" s="14"/>
    </row>
    <row r="4277" spans="15:18" x14ac:dyDescent="0.3">
      <c r="O4277" s="14"/>
      <c r="P4277" s="14"/>
      <c r="Q4277" s="14"/>
      <c r="R4277" s="14"/>
    </row>
    <row r="4278" spans="15:18" x14ac:dyDescent="0.3">
      <c r="O4278" s="14"/>
      <c r="P4278" s="14"/>
      <c r="Q4278" s="14"/>
      <c r="R4278" s="14"/>
    </row>
    <row r="4279" spans="15:18" x14ac:dyDescent="0.3">
      <c r="O4279" s="14"/>
      <c r="P4279" s="14"/>
      <c r="Q4279" s="14"/>
      <c r="R4279" s="14"/>
    </row>
    <row r="4280" spans="15:18" x14ac:dyDescent="0.3">
      <c r="O4280" s="14"/>
      <c r="P4280" s="14"/>
      <c r="Q4280" s="14"/>
      <c r="R4280" s="14"/>
    </row>
    <row r="4281" spans="15:18" x14ac:dyDescent="0.3">
      <c r="O4281" s="14"/>
      <c r="P4281" s="14"/>
      <c r="Q4281" s="14"/>
      <c r="R4281" s="14"/>
    </row>
    <row r="4282" spans="15:18" x14ac:dyDescent="0.3">
      <c r="O4282" s="14"/>
      <c r="P4282" s="14"/>
      <c r="Q4282" s="14"/>
      <c r="R4282" s="14"/>
    </row>
    <row r="4283" spans="15:18" x14ac:dyDescent="0.3">
      <c r="O4283" s="14"/>
      <c r="P4283" s="14"/>
      <c r="Q4283" s="14"/>
      <c r="R4283" s="14"/>
    </row>
    <row r="4284" spans="15:18" x14ac:dyDescent="0.3">
      <c r="O4284" s="14"/>
      <c r="P4284" s="14"/>
      <c r="Q4284" s="14"/>
      <c r="R4284" s="14"/>
    </row>
    <row r="4285" spans="15:18" x14ac:dyDescent="0.3">
      <c r="O4285" s="14"/>
      <c r="P4285" s="14"/>
      <c r="Q4285" s="14"/>
      <c r="R4285" s="14"/>
    </row>
    <row r="4286" spans="15:18" x14ac:dyDescent="0.3">
      <c r="O4286" s="14"/>
      <c r="P4286" s="14"/>
      <c r="Q4286" s="14"/>
      <c r="R4286" s="14"/>
    </row>
    <row r="4287" spans="15:18" x14ac:dyDescent="0.3">
      <c r="O4287" s="14"/>
      <c r="P4287" s="14"/>
      <c r="Q4287" s="14"/>
      <c r="R4287" s="14"/>
    </row>
    <row r="4288" spans="15:18" x14ac:dyDescent="0.3">
      <c r="O4288" s="14"/>
      <c r="P4288" s="14"/>
      <c r="Q4288" s="14"/>
      <c r="R4288" s="14"/>
    </row>
    <row r="4289" spans="15:18" x14ac:dyDescent="0.3">
      <c r="O4289" s="14"/>
      <c r="P4289" s="14"/>
      <c r="Q4289" s="14"/>
      <c r="R4289" s="14"/>
    </row>
    <row r="4290" spans="15:18" x14ac:dyDescent="0.3">
      <c r="O4290" s="14"/>
      <c r="P4290" s="14"/>
      <c r="Q4290" s="14"/>
      <c r="R4290" s="14"/>
    </row>
    <row r="4291" spans="15:18" x14ac:dyDescent="0.3">
      <c r="O4291" s="14"/>
      <c r="P4291" s="14"/>
      <c r="Q4291" s="14"/>
      <c r="R4291" s="14"/>
    </row>
    <row r="4292" spans="15:18" x14ac:dyDescent="0.3">
      <c r="O4292" s="14"/>
      <c r="P4292" s="14"/>
      <c r="Q4292" s="14"/>
      <c r="R4292" s="14"/>
    </row>
    <row r="4293" spans="15:18" x14ac:dyDescent="0.3">
      <c r="O4293" s="14"/>
      <c r="P4293" s="14"/>
      <c r="Q4293" s="14"/>
      <c r="R4293" s="14"/>
    </row>
    <row r="4294" spans="15:18" x14ac:dyDescent="0.3">
      <c r="O4294" s="14"/>
      <c r="P4294" s="14"/>
      <c r="Q4294" s="14"/>
      <c r="R4294" s="14"/>
    </row>
    <row r="4295" spans="15:18" x14ac:dyDescent="0.3">
      <c r="O4295" s="14"/>
      <c r="P4295" s="14"/>
      <c r="Q4295" s="14"/>
      <c r="R4295" s="14"/>
    </row>
    <row r="4296" spans="15:18" x14ac:dyDescent="0.3">
      <c r="O4296" s="14"/>
      <c r="P4296" s="14"/>
      <c r="Q4296" s="14"/>
      <c r="R4296" s="14"/>
    </row>
    <row r="4297" spans="15:18" x14ac:dyDescent="0.3">
      <c r="O4297" s="14"/>
      <c r="P4297" s="14"/>
      <c r="Q4297" s="14"/>
      <c r="R4297" s="14"/>
    </row>
    <row r="4298" spans="15:18" x14ac:dyDescent="0.3">
      <c r="O4298" s="14"/>
      <c r="P4298" s="14"/>
      <c r="Q4298" s="14"/>
      <c r="R4298" s="14"/>
    </row>
    <row r="4299" spans="15:18" x14ac:dyDescent="0.3">
      <c r="O4299" s="14"/>
      <c r="P4299" s="14"/>
      <c r="Q4299" s="14"/>
      <c r="R4299" s="14"/>
    </row>
    <row r="4300" spans="15:18" x14ac:dyDescent="0.3">
      <c r="O4300" s="14"/>
      <c r="P4300" s="14"/>
      <c r="Q4300" s="14"/>
      <c r="R4300" s="14"/>
    </row>
    <row r="4301" spans="15:18" x14ac:dyDescent="0.3">
      <c r="O4301" s="14"/>
      <c r="P4301" s="14"/>
      <c r="Q4301" s="14"/>
      <c r="R4301" s="14"/>
    </row>
    <row r="4302" spans="15:18" x14ac:dyDescent="0.3">
      <c r="O4302" s="14"/>
      <c r="P4302" s="14"/>
      <c r="Q4302" s="14"/>
      <c r="R4302" s="14"/>
    </row>
    <row r="4303" spans="15:18" x14ac:dyDescent="0.3">
      <c r="O4303" s="14"/>
      <c r="P4303" s="14"/>
      <c r="Q4303" s="14"/>
      <c r="R4303" s="14"/>
    </row>
    <row r="4304" spans="15:18" x14ac:dyDescent="0.3">
      <c r="O4304" s="14"/>
      <c r="P4304" s="14"/>
      <c r="Q4304" s="14"/>
      <c r="R4304" s="14"/>
    </row>
    <row r="4305" spans="15:18" x14ac:dyDescent="0.3">
      <c r="O4305" s="14"/>
      <c r="P4305" s="14"/>
      <c r="Q4305" s="14"/>
      <c r="R4305" s="14"/>
    </row>
    <row r="4306" spans="15:18" x14ac:dyDescent="0.3">
      <c r="O4306" s="14"/>
      <c r="P4306" s="14"/>
      <c r="Q4306" s="14"/>
      <c r="R4306" s="14"/>
    </row>
    <row r="4307" spans="15:18" x14ac:dyDescent="0.3">
      <c r="O4307" s="14"/>
      <c r="P4307" s="14"/>
      <c r="Q4307" s="14"/>
      <c r="R4307" s="14"/>
    </row>
    <row r="4308" spans="15:18" x14ac:dyDescent="0.3">
      <c r="O4308" s="14"/>
      <c r="P4308" s="14"/>
      <c r="Q4308" s="14"/>
      <c r="R4308" s="14"/>
    </row>
    <row r="4309" spans="15:18" x14ac:dyDescent="0.3">
      <c r="O4309" s="14"/>
      <c r="P4309" s="14"/>
      <c r="Q4309" s="14"/>
      <c r="R4309" s="14"/>
    </row>
    <row r="4310" spans="15:18" x14ac:dyDescent="0.3">
      <c r="O4310" s="14"/>
      <c r="P4310" s="14"/>
      <c r="Q4310" s="14"/>
      <c r="R4310" s="14"/>
    </row>
    <row r="4311" spans="15:18" x14ac:dyDescent="0.3">
      <c r="O4311" s="14"/>
      <c r="P4311" s="14"/>
      <c r="Q4311" s="14"/>
      <c r="R4311" s="14"/>
    </row>
    <row r="4312" spans="15:18" x14ac:dyDescent="0.3">
      <c r="O4312" s="14"/>
      <c r="P4312" s="14"/>
      <c r="Q4312" s="14"/>
      <c r="R4312" s="14"/>
    </row>
    <row r="4313" spans="15:18" x14ac:dyDescent="0.3">
      <c r="O4313" s="14"/>
      <c r="P4313" s="14"/>
      <c r="Q4313" s="14"/>
      <c r="R4313" s="14"/>
    </row>
    <row r="4314" spans="15:18" x14ac:dyDescent="0.3">
      <c r="O4314" s="14"/>
      <c r="P4314" s="14"/>
      <c r="Q4314" s="14"/>
      <c r="R4314" s="14"/>
    </row>
    <row r="4315" spans="15:18" x14ac:dyDescent="0.3">
      <c r="O4315" s="14"/>
      <c r="P4315" s="14"/>
      <c r="Q4315" s="14"/>
      <c r="R4315" s="14"/>
    </row>
    <row r="4316" spans="15:18" x14ac:dyDescent="0.3">
      <c r="O4316" s="14"/>
      <c r="P4316" s="14"/>
      <c r="Q4316" s="14"/>
      <c r="R4316" s="14"/>
    </row>
    <row r="4317" spans="15:18" x14ac:dyDescent="0.3">
      <c r="O4317" s="14"/>
      <c r="P4317" s="14"/>
      <c r="Q4317" s="14"/>
      <c r="R4317" s="14"/>
    </row>
    <row r="4318" spans="15:18" x14ac:dyDescent="0.3">
      <c r="O4318" s="14"/>
      <c r="P4318" s="14"/>
      <c r="Q4318" s="14"/>
      <c r="R4318" s="14"/>
    </row>
    <row r="4319" spans="15:18" x14ac:dyDescent="0.3">
      <c r="O4319" s="14"/>
      <c r="P4319" s="14"/>
      <c r="Q4319" s="14"/>
      <c r="R4319" s="14"/>
    </row>
    <row r="4320" spans="15:18" x14ac:dyDescent="0.3">
      <c r="O4320" s="14"/>
      <c r="P4320" s="14"/>
      <c r="Q4320" s="14"/>
      <c r="R4320" s="14"/>
    </row>
    <row r="4321" spans="15:18" x14ac:dyDescent="0.3">
      <c r="O4321" s="14"/>
      <c r="P4321" s="14"/>
      <c r="Q4321" s="14"/>
      <c r="R4321" s="14"/>
    </row>
    <row r="4322" spans="15:18" x14ac:dyDescent="0.3">
      <c r="O4322" s="14"/>
      <c r="P4322" s="14"/>
      <c r="Q4322" s="14"/>
      <c r="R4322" s="14"/>
    </row>
    <row r="4323" spans="15:18" x14ac:dyDescent="0.3">
      <c r="O4323" s="14"/>
      <c r="P4323" s="14"/>
      <c r="Q4323" s="14"/>
      <c r="R4323" s="14"/>
    </row>
    <row r="4324" spans="15:18" x14ac:dyDescent="0.3">
      <c r="O4324" s="14"/>
      <c r="P4324" s="14"/>
      <c r="Q4324" s="14"/>
      <c r="R4324" s="14"/>
    </row>
    <row r="4325" spans="15:18" x14ac:dyDescent="0.3">
      <c r="O4325" s="14"/>
      <c r="P4325" s="14"/>
      <c r="Q4325" s="14"/>
      <c r="R4325" s="14"/>
    </row>
    <row r="4326" spans="15:18" x14ac:dyDescent="0.3">
      <c r="O4326" s="14"/>
      <c r="P4326" s="14"/>
      <c r="Q4326" s="14"/>
      <c r="R4326" s="14"/>
    </row>
    <row r="4327" spans="15:18" x14ac:dyDescent="0.3">
      <c r="O4327" s="14"/>
      <c r="P4327" s="14"/>
      <c r="Q4327" s="14"/>
      <c r="R4327" s="14"/>
    </row>
    <row r="4328" spans="15:18" x14ac:dyDescent="0.3">
      <c r="O4328" s="14"/>
      <c r="P4328" s="14"/>
      <c r="Q4328" s="14"/>
      <c r="R4328" s="14"/>
    </row>
    <row r="4329" spans="15:18" x14ac:dyDescent="0.3">
      <c r="O4329" s="14"/>
      <c r="P4329" s="14"/>
      <c r="Q4329" s="14"/>
      <c r="R4329" s="14"/>
    </row>
    <row r="4330" spans="15:18" x14ac:dyDescent="0.3">
      <c r="O4330" s="14"/>
      <c r="P4330" s="14"/>
      <c r="Q4330" s="14"/>
      <c r="R4330" s="14"/>
    </row>
    <row r="4331" spans="15:18" x14ac:dyDescent="0.3">
      <c r="O4331" s="14"/>
      <c r="P4331" s="14"/>
      <c r="Q4331" s="14"/>
      <c r="R4331" s="14"/>
    </row>
    <row r="4332" spans="15:18" x14ac:dyDescent="0.3">
      <c r="O4332" s="14"/>
      <c r="P4332" s="14"/>
      <c r="Q4332" s="14"/>
      <c r="R4332" s="14"/>
    </row>
    <row r="4333" spans="15:18" x14ac:dyDescent="0.3">
      <c r="O4333" s="14"/>
      <c r="P4333" s="14"/>
      <c r="Q4333" s="14"/>
      <c r="R4333" s="14"/>
    </row>
    <row r="4334" spans="15:18" x14ac:dyDescent="0.3">
      <c r="O4334" s="14"/>
      <c r="P4334" s="14"/>
      <c r="Q4334" s="14"/>
      <c r="R4334" s="14"/>
    </row>
    <row r="4335" spans="15:18" x14ac:dyDescent="0.3">
      <c r="O4335" s="14"/>
      <c r="P4335" s="14"/>
      <c r="Q4335" s="14"/>
      <c r="R4335" s="14"/>
    </row>
    <row r="4336" spans="15:18" x14ac:dyDescent="0.3">
      <c r="O4336" s="14"/>
      <c r="P4336" s="14"/>
      <c r="Q4336" s="14"/>
      <c r="R4336" s="14"/>
    </row>
    <row r="4337" spans="15:18" x14ac:dyDescent="0.3">
      <c r="O4337" s="14"/>
      <c r="P4337" s="14"/>
      <c r="Q4337" s="14"/>
      <c r="R4337" s="14"/>
    </row>
    <row r="4338" spans="15:18" x14ac:dyDescent="0.3">
      <c r="O4338" s="14"/>
      <c r="P4338" s="14"/>
      <c r="Q4338" s="14"/>
      <c r="R4338" s="14"/>
    </row>
    <row r="4339" spans="15:18" x14ac:dyDescent="0.3">
      <c r="O4339" s="14"/>
      <c r="P4339" s="14"/>
      <c r="Q4339" s="14"/>
      <c r="R4339" s="14"/>
    </row>
    <row r="4340" spans="15:18" x14ac:dyDescent="0.3">
      <c r="O4340" s="14"/>
      <c r="P4340" s="14"/>
      <c r="Q4340" s="14"/>
      <c r="R4340" s="14"/>
    </row>
    <row r="4341" spans="15:18" x14ac:dyDescent="0.3">
      <c r="O4341" s="14"/>
      <c r="P4341" s="14"/>
      <c r="Q4341" s="14"/>
      <c r="R4341" s="14"/>
    </row>
    <row r="4342" spans="15:18" x14ac:dyDescent="0.3">
      <c r="O4342" s="14"/>
      <c r="P4342" s="14"/>
      <c r="Q4342" s="14"/>
      <c r="R4342" s="14"/>
    </row>
    <row r="4343" spans="15:18" x14ac:dyDescent="0.3">
      <c r="O4343" s="14"/>
      <c r="P4343" s="14"/>
      <c r="Q4343" s="14"/>
      <c r="R4343" s="14"/>
    </row>
    <row r="4344" spans="15:18" x14ac:dyDescent="0.3">
      <c r="O4344" s="14"/>
      <c r="P4344" s="14"/>
      <c r="Q4344" s="14"/>
      <c r="R4344" s="14"/>
    </row>
    <row r="4345" spans="15:18" x14ac:dyDescent="0.3">
      <c r="O4345" s="14"/>
      <c r="P4345" s="14"/>
      <c r="Q4345" s="14"/>
      <c r="R4345" s="14"/>
    </row>
    <row r="4346" spans="15:18" x14ac:dyDescent="0.3">
      <c r="O4346" s="14"/>
      <c r="P4346" s="14"/>
      <c r="Q4346" s="14"/>
      <c r="R4346" s="14"/>
    </row>
    <row r="4347" spans="15:18" x14ac:dyDescent="0.3">
      <c r="O4347" s="14"/>
      <c r="P4347" s="14"/>
      <c r="Q4347" s="14"/>
      <c r="R4347" s="14"/>
    </row>
    <row r="4348" spans="15:18" x14ac:dyDescent="0.3">
      <c r="O4348" s="14"/>
      <c r="P4348" s="14"/>
      <c r="Q4348" s="14"/>
      <c r="R4348" s="14"/>
    </row>
    <row r="4349" spans="15:18" x14ac:dyDescent="0.3">
      <c r="O4349" s="14"/>
      <c r="P4349" s="14"/>
      <c r="Q4349" s="14"/>
      <c r="R4349" s="14"/>
    </row>
    <row r="4350" spans="15:18" x14ac:dyDescent="0.3">
      <c r="O4350" s="14"/>
      <c r="P4350" s="14"/>
      <c r="Q4350" s="14"/>
      <c r="R4350" s="14"/>
    </row>
    <row r="4351" spans="15:18" x14ac:dyDescent="0.3">
      <c r="O4351" s="14"/>
      <c r="P4351" s="14"/>
      <c r="Q4351" s="14"/>
      <c r="R4351" s="14"/>
    </row>
    <row r="4352" spans="15:18" x14ac:dyDescent="0.3">
      <c r="O4352" s="14"/>
      <c r="P4352" s="14"/>
      <c r="Q4352" s="14"/>
      <c r="R4352" s="14"/>
    </row>
    <row r="4353" spans="15:18" x14ac:dyDescent="0.3">
      <c r="O4353" s="14"/>
      <c r="P4353" s="14"/>
      <c r="Q4353" s="14"/>
      <c r="R4353" s="14"/>
    </row>
    <row r="4354" spans="15:18" x14ac:dyDescent="0.3">
      <c r="O4354" s="14"/>
      <c r="P4354" s="14"/>
      <c r="Q4354" s="14"/>
      <c r="R4354" s="14"/>
    </row>
    <row r="4355" spans="15:18" x14ac:dyDescent="0.3">
      <c r="O4355" s="14"/>
      <c r="P4355" s="14"/>
      <c r="Q4355" s="14"/>
      <c r="R4355" s="14"/>
    </row>
    <row r="4356" spans="15:18" x14ac:dyDescent="0.3">
      <c r="O4356" s="14"/>
      <c r="P4356" s="14"/>
      <c r="Q4356" s="14"/>
      <c r="R4356" s="14"/>
    </row>
    <row r="4357" spans="15:18" x14ac:dyDescent="0.3">
      <c r="O4357" s="14"/>
      <c r="P4357" s="14"/>
      <c r="Q4357" s="14"/>
      <c r="R4357" s="14"/>
    </row>
    <row r="4358" spans="15:18" x14ac:dyDescent="0.3">
      <c r="O4358" s="14"/>
      <c r="P4358" s="14"/>
      <c r="Q4358" s="14"/>
      <c r="R4358" s="14"/>
    </row>
    <row r="4359" spans="15:18" x14ac:dyDescent="0.3">
      <c r="O4359" s="14"/>
      <c r="P4359" s="14"/>
      <c r="Q4359" s="14"/>
      <c r="R4359" s="14"/>
    </row>
    <row r="4360" spans="15:18" x14ac:dyDescent="0.3">
      <c r="O4360" s="14"/>
      <c r="P4360" s="14"/>
      <c r="Q4360" s="14"/>
      <c r="R4360" s="14"/>
    </row>
    <row r="4361" spans="15:18" x14ac:dyDescent="0.3">
      <c r="O4361" s="14"/>
      <c r="P4361" s="14"/>
      <c r="Q4361" s="14"/>
      <c r="R4361" s="14"/>
    </row>
    <row r="4362" spans="15:18" x14ac:dyDescent="0.3">
      <c r="O4362" s="14"/>
      <c r="P4362" s="14"/>
      <c r="Q4362" s="14"/>
      <c r="R4362" s="14"/>
    </row>
    <row r="4363" spans="15:18" x14ac:dyDescent="0.3">
      <c r="O4363" s="14"/>
      <c r="P4363" s="14"/>
      <c r="Q4363" s="14"/>
      <c r="R4363" s="14"/>
    </row>
    <row r="4364" spans="15:18" x14ac:dyDescent="0.3">
      <c r="O4364" s="14"/>
      <c r="P4364" s="14"/>
      <c r="Q4364" s="14"/>
      <c r="R4364" s="14"/>
    </row>
    <row r="4365" spans="15:18" x14ac:dyDescent="0.3">
      <c r="O4365" s="14"/>
      <c r="P4365" s="14"/>
      <c r="Q4365" s="14"/>
      <c r="R4365" s="14"/>
    </row>
    <row r="4366" spans="15:18" x14ac:dyDescent="0.3">
      <c r="O4366" s="14"/>
      <c r="P4366" s="14"/>
      <c r="Q4366" s="14"/>
      <c r="R4366" s="14"/>
    </row>
    <row r="4367" spans="15:18" x14ac:dyDescent="0.3">
      <c r="O4367" s="14"/>
      <c r="P4367" s="14"/>
      <c r="Q4367" s="14"/>
      <c r="R4367" s="14"/>
    </row>
    <row r="4368" spans="15:18" x14ac:dyDescent="0.3">
      <c r="O4368" s="14"/>
      <c r="P4368" s="14"/>
      <c r="Q4368" s="14"/>
      <c r="R4368" s="14"/>
    </row>
    <row r="4369" spans="15:18" x14ac:dyDescent="0.3">
      <c r="O4369" s="14"/>
      <c r="P4369" s="14"/>
      <c r="Q4369" s="14"/>
      <c r="R4369" s="14"/>
    </row>
    <row r="4370" spans="15:18" x14ac:dyDescent="0.3">
      <c r="O4370" s="14"/>
      <c r="P4370" s="14"/>
      <c r="Q4370" s="14"/>
      <c r="R4370" s="14"/>
    </row>
    <row r="4371" spans="15:18" x14ac:dyDescent="0.3">
      <c r="O4371" s="14"/>
      <c r="P4371" s="14"/>
      <c r="Q4371" s="14"/>
      <c r="R4371" s="14"/>
    </row>
    <row r="4372" spans="15:18" x14ac:dyDescent="0.3">
      <c r="O4372" s="14"/>
      <c r="P4372" s="14"/>
      <c r="Q4372" s="14"/>
      <c r="R4372" s="14"/>
    </row>
    <row r="4373" spans="15:18" x14ac:dyDescent="0.3">
      <c r="O4373" s="14"/>
      <c r="P4373" s="14"/>
      <c r="Q4373" s="14"/>
      <c r="R4373" s="14"/>
    </row>
    <row r="4374" spans="15:18" x14ac:dyDescent="0.3">
      <c r="O4374" s="14"/>
      <c r="P4374" s="14"/>
      <c r="Q4374" s="14"/>
      <c r="R4374" s="14"/>
    </row>
    <row r="4375" spans="15:18" x14ac:dyDescent="0.3">
      <c r="O4375" s="14"/>
      <c r="P4375" s="14"/>
      <c r="Q4375" s="14"/>
      <c r="R4375" s="14"/>
    </row>
    <row r="4376" spans="15:18" x14ac:dyDescent="0.3">
      <c r="O4376" s="14"/>
      <c r="P4376" s="14"/>
      <c r="Q4376" s="14"/>
      <c r="R4376" s="14"/>
    </row>
    <row r="4377" spans="15:18" x14ac:dyDescent="0.3">
      <c r="O4377" s="14"/>
      <c r="P4377" s="14"/>
      <c r="Q4377" s="14"/>
      <c r="R4377" s="14"/>
    </row>
    <row r="4378" spans="15:18" x14ac:dyDescent="0.3">
      <c r="O4378" s="14"/>
      <c r="P4378" s="14"/>
      <c r="Q4378" s="14"/>
      <c r="R4378" s="14"/>
    </row>
    <row r="4379" spans="15:18" x14ac:dyDescent="0.3">
      <c r="O4379" s="14"/>
      <c r="P4379" s="14"/>
      <c r="Q4379" s="14"/>
      <c r="R4379" s="14"/>
    </row>
    <row r="4380" spans="15:18" x14ac:dyDescent="0.3">
      <c r="O4380" s="14"/>
      <c r="P4380" s="14"/>
      <c r="Q4380" s="14"/>
      <c r="R4380" s="14"/>
    </row>
    <row r="4381" spans="15:18" x14ac:dyDescent="0.3">
      <c r="O4381" s="14"/>
      <c r="P4381" s="14"/>
      <c r="Q4381" s="14"/>
      <c r="R4381" s="14"/>
    </row>
    <row r="4382" spans="15:18" x14ac:dyDescent="0.3">
      <c r="O4382" s="14"/>
      <c r="P4382" s="14"/>
      <c r="Q4382" s="14"/>
      <c r="R4382" s="14"/>
    </row>
    <row r="4383" spans="15:18" x14ac:dyDescent="0.3">
      <c r="O4383" s="14"/>
      <c r="P4383" s="14"/>
      <c r="Q4383" s="14"/>
      <c r="R4383" s="14"/>
    </row>
    <row r="4384" spans="15:18" x14ac:dyDescent="0.3">
      <c r="O4384" s="14"/>
      <c r="P4384" s="14"/>
      <c r="Q4384" s="14"/>
      <c r="R4384" s="14"/>
    </row>
    <row r="4385" spans="15:18" x14ac:dyDescent="0.3">
      <c r="O4385" s="14"/>
      <c r="P4385" s="14"/>
      <c r="Q4385" s="14"/>
      <c r="R4385" s="14"/>
    </row>
    <row r="4386" spans="15:18" x14ac:dyDescent="0.3">
      <c r="O4386" s="14"/>
      <c r="P4386" s="14"/>
      <c r="Q4386" s="14"/>
      <c r="R4386" s="14"/>
    </row>
    <row r="4387" spans="15:18" x14ac:dyDescent="0.3">
      <c r="O4387" s="14"/>
      <c r="P4387" s="14"/>
      <c r="Q4387" s="14"/>
      <c r="R4387" s="14"/>
    </row>
    <row r="4388" spans="15:18" x14ac:dyDescent="0.3">
      <c r="O4388" s="14"/>
      <c r="P4388" s="14"/>
      <c r="Q4388" s="14"/>
      <c r="R4388" s="14"/>
    </row>
    <row r="4389" spans="15:18" x14ac:dyDescent="0.3">
      <c r="O4389" s="14"/>
      <c r="P4389" s="14"/>
      <c r="Q4389" s="14"/>
      <c r="R4389" s="14"/>
    </row>
    <row r="4390" spans="15:18" x14ac:dyDescent="0.3">
      <c r="O4390" s="14"/>
      <c r="P4390" s="14"/>
      <c r="Q4390" s="14"/>
      <c r="R4390" s="14"/>
    </row>
    <row r="4391" spans="15:18" x14ac:dyDescent="0.3">
      <c r="O4391" s="14"/>
      <c r="P4391" s="14"/>
      <c r="Q4391" s="14"/>
      <c r="R4391" s="14"/>
    </row>
    <row r="4392" spans="15:18" x14ac:dyDescent="0.3">
      <c r="O4392" s="14"/>
      <c r="P4392" s="14"/>
      <c r="Q4392" s="14"/>
      <c r="R4392" s="14"/>
    </row>
    <row r="4393" spans="15:18" x14ac:dyDescent="0.3">
      <c r="O4393" s="14"/>
      <c r="P4393" s="14"/>
      <c r="Q4393" s="14"/>
      <c r="R4393" s="14"/>
    </row>
    <row r="4394" spans="15:18" x14ac:dyDescent="0.3">
      <c r="O4394" s="14"/>
      <c r="P4394" s="14"/>
      <c r="Q4394" s="14"/>
      <c r="R4394" s="14"/>
    </row>
    <row r="4395" spans="15:18" x14ac:dyDescent="0.3">
      <c r="O4395" s="14"/>
      <c r="P4395" s="14"/>
      <c r="Q4395" s="14"/>
      <c r="R4395" s="14"/>
    </row>
    <row r="4396" spans="15:18" x14ac:dyDescent="0.3">
      <c r="O4396" s="14"/>
      <c r="P4396" s="14"/>
      <c r="Q4396" s="14"/>
      <c r="R4396" s="14"/>
    </row>
    <row r="4397" spans="15:18" x14ac:dyDescent="0.3">
      <c r="O4397" s="14"/>
      <c r="P4397" s="14"/>
      <c r="Q4397" s="14"/>
      <c r="R4397" s="14"/>
    </row>
    <row r="4398" spans="15:18" x14ac:dyDescent="0.3">
      <c r="O4398" s="14"/>
      <c r="P4398" s="14"/>
      <c r="Q4398" s="14"/>
      <c r="R4398" s="14"/>
    </row>
    <row r="4399" spans="15:18" x14ac:dyDescent="0.3">
      <c r="O4399" s="14"/>
      <c r="P4399" s="14"/>
      <c r="Q4399" s="14"/>
      <c r="R4399" s="14"/>
    </row>
    <row r="4400" spans="15:18" x14ac:dyDescent="0.3">
      <c r="O4400" s="14"/>
      <c r="P4400" s="14"/>
      <c r="Q4400" s="14"/>
      <c r="R4400" s="14"/>
    </row>
    <row r="4401" spans="15:18" x14ac:dyDescent="0.3">
      <c r="O4401" s="14"/>
      <c r="P4401" s="14"/>
      <c r="Q4401" s="14"/>
      <c r="R4401" s="14"/>
    </row>
    <row r="4402" spans="15:18" x14ac:dyDescent="0.3">
      <c r="O4402" s="14"/>
      <c r="P4402" s="14"/>
      <c r="Q4402" s="14"/>
      <c r="R4402" s="14"/>
    </row>
    <row r="4403" spans="15:18" x14ac:dyDescent="0.3">
      <c r="O4403" s="14"/>
      <c r="P4403" s="14"/>
      <c r="Q4403" s="14"/>
      <c r="R4403" s="14"/>
    </row>
    <row r="4404" spans="15:18" x14ac:dyDescent="0.3">
      <c r="O4404" s="14"/>
      <c r="P4404" s="14"/>
      <c r="Q4404" s="14"/>
      <c r="R4404" s="14"/>
    </row>
    <row r="4405" spans="15:18" x14ac:dyDescent="0.3">
      <c r="O4405" s="14"/>
      <c r="P4405" s="14"/>
      <c r="Q4405" s="14"/>
      <c r="R4405" s="14"/>
    </row>
    <row r="4406" spans="15:18" x14ac:dyDescent="0.3">
      <c r="O4406" s="14"/>
      <c r="P4406" s="14"/>
      <c r="Q4406" s="14"/>
      <c r="R4406" s="14"/>
    </row>
    <row r="4407" spans="15:18" x14ac:dyDescent="0.3">
      <c r="O4407" s="14"/>
      <c r="P4407" s="14"/>
      <c r="Q4407" s="14"/>
      <c r="R4407" s="14"/>
    </row>
    <row r="4408" spans="15:18" x14ac:dyDescent="0.3">
      <c r="O4408" s="14"/>
      <c r="P4408" s="14"/>
      <c r="Q4408" s="14"/>
      <c r="R4408" s="14"/>
    </row>
    <row r="4409" spans="15:18" x14ac:dyDescent="0.3">
      <c r="O4409" s="14"/>
      <c r="P4409" s="14"/>
      <c r="Q4409" s="14"/>
      <c r="R4409" s="14"/>
    </row>
    <row r="4410" spans="15:18" x14ac:dyDescent="0.3">
      <c r="O4410" s="14"/>
      <c r="P4410" s="14"/>
      <c r="Q4410" s="14"/>
      <c r="R4410" s="14"/>
    </row>
    <row r="4411" spans="15:18" x14ac:dyDescent="0.3">
      <c r="O4411" s="14"/>
      <c r="P4411" s="14"/>
      <c r="Q4411" s="14"/>
      <c r="R4411" s="14"/>
    </row>
    <row r="4412" spans="15:18" x14ac:dyDescent="0.3">
      <c r="O4412" s="14"/>
      <c r="P4412" s="14"/>
      <c r="Q4412" s="14"/>
      <c r="R4412" s="14"/>
    </row>
    <row r="4413" spans="15:18" x14ac:dyDescent="0.3">
      <c r="O4413" s="14"/>
      <c r="P4413" s="14"/>
      <c r="Q4413" s="14"/>
      <c r="R4413" s="14"/>
    </row>
    <row r="4414" spans="15:18" x14ac:dyDescent="0.3">
      <c r="O4414" s="14"/>
      <c r="P4414" s="14"/>
      <c r="Q4414" s="14"/>
      <c r="R4414" s="14"/>
    </row>
    <row r="4415" spans="15:18" x14ac:dyDescent="0.3">
      <c r="O4415" s="14"/>
      <c r="P4415" s="14"/>
      <c r="Q4415" s="14"/>
      <c r="R4415" s="14"/>
    </row>
    <row r="4416" spans="15:18" x14ac:dyDescent="0.3">
      <c r="O4416" s="14"/>
      <c r="P4416" s="14"/>
      <c r="Q4416" s="14"/>
      <c r="R4416" s="14"/>
    </row>
    <row r="4417" spans="15:18" x14ac:dyDescent="0.3">
      <c r="O4417" s="14"/>
      <c r="P4417" s="14"/>
      <c r="Q4417" s="14"/>
      <c r="R4417" s="14"/>
    </row>
    <row r="4418" spans="15:18" x14ac:dyDescent="0.3">
      <c r="O4418" s="14"/>
      <c r="P4418" s="14"/>
      <c r="Q4418" s="14"/>
      <c r="R4418" s="14"/>
    </row>
    <row r="4419" spans="15:18" x14ac:dyDescent="0.3">
      <c r="O4419" s="14"/>
      <c r="P4419" s="14"/>
      <c r="Q4419" s="14"/>
      <c r="R4419" s="14"/>
    </row>
    <row r="4420" spans="15:18" x14ac:dyDescent="0.3">
      <c r="O4420" s="14"/>
      <c r="P4420" s="14"/>
      <c r="Q4420" s="14"/>
      <c r="R4420" s="14"/>
    </row>
    <row r="4421" spans="15:18" x14ac:dyDescent="0.3">
      <c r="O4421" s="14"/>
      <c r="P4421" s="14"/>
      <c r="Q4421" s="14"/>
      <c r="R4421" s="14"/>
    </row>
    <row r="4422" spans="15:18" x14ac:dyDescent="0.3">
      <c r="O4422" s="14"/>
      <c r="P4422" s="14"/>
      <c r="Q4422" s="14"/>
      <c r="R4422" s="14"/>
    </row>
    <row r="4423" spans="15:18" x14ac:dyDescent="0.3">
      <c r="O4423" s="14"/>
      <c r="P4423" s="14"/>
      <c r="Q4423" s="14"/>
      <c r="R4423" s="14"/>
    </row>
    <row r="4424" spans="15:18" x14ac:dyDescent="0.3">
      <c r="O4424" s="14"/>
      <c r="P4424" s="14"/>
      <c r="Q4424" s="14"/>
      <c r="R4424" s="14"/>
    </row>
    <row r="4425" spans="15:18" x14ac:dyDescent="0.3">
      <c r="O4425" s="14"/>
      <c r="P4425" s="14"/>
      <c r="Q4425" s="14"/>
      <c r="R4425" s="14"/>
    </row>
    <row r="4426" spans="15:18" x14ac:dyDescent="0.3">
      <c r="O4426" s="14"/>
      <c r="P4426" s="14"/>
      <c r="Q4426" s="14"/>
      <c r="R4426" s="14"/>
    </row>
    <row r="4427" spans="15:18" x14ac:dyDescent="0.3">
      <c r="O4427" s="14"/>
      <c r="P4427" s="14"/>
      <c r="Q4427" s="14"/>
      <c r="R4427" s="14"/>
    </row>
    <row r="4428" spans="15:18" x14ac:dyDescent="0.3">
      <c r="O4428" s="14"/>
      <c r="P4428" s="14"/>
      <c r="Q4428" s="14"/>
      <c r="R4428" s="14"/>
    </row>
    <row r="4429" spans="15:18" x14ac:dyDescent="0.3">
      <c r="O4429" s="14"/>
      <c r="P4429" s="14"/>
      <c r="Q4429" s="14"/>
      <c r="R4429" s="14"/>
    </row>
    <row r="4430" spans="15:18" x14ac:dyDescent="0.3">
      <c r="O4430" s="14"/>
      <c r="P4430" s="14"/>
      <c r="Q4430" s="14"/>
      <c r="R4430" s="14"/>
    </row>
    <row r="4431" spans="15:18" x14ac:dyDescent="0.3">
      <c r="O4431" s="14"/>
      <c r="P4431" s="14"/>
      <c r="Q4431" s="14"/>
      <c r="R4431" s="14"/>
    </row>
    <row r="4432" spans="15:18" x14ac:dyDescent="0.3">
      <c r="O4432" s="14"/>
      <c r="P4432" s="14"/>
      <c r="Q4432" s="14"/>
      <c r="R4432" s="14"/>
    </row>
    <row r="4433" spans="15:18" x14ac:dyDescent="0.3">
      <c r="O4433" s="14"/>
      <c r="P4433" s="14"/>
      <c r="Q4433" s="14"/>
      <c r="R4433" s="14"/>
    </row>
    <row r="4434" spans="15:18" x14ac:dyDescent="0.3">
      <c r="O4434" s="14"/>
      <c r="P4434" s="14"/>
      <c r="Q4434" s="14"/>
      <c r="R4434" s="14"/>
    </row>
    <row r="4435" spans="15:18" x14ac:dyDescent="0.3">
      <c r="O4435" s="14"/>
      <c r="P4435" s="14"/>
      <c r="Q4435" s="14"/>
      <c r="R4435" s="14"/>
    </row>
    <row r="4436" spans="15:18" x14ac:dyDescent="0.3">
      <c r="O4436" s="14"/>
      <c r="P4436" s="14"/>
      <c r="Q4436" s="14"/>
      <c r="R4436" s="14"/>
    </row>
    <row r="4437" spans="15:18" x14ac:dyDescent="0.3">
      <c r="O4437" s="14"/>
      <c r="P4437" s="14"/>
      <c r="Q4437" s="14"/>
      <c r="R4437" s="14"/>
    </row>
    <row r="4438" spans="15:18" x14ac:dyDescent="0.3">
      <c r="O4438" s="14"/>
      <c r="P4438" s="14"/>
      <c r="Q4438" s="14"/>
      <c r="R4438" s="14"/>
    </row>
    <row r="4439" spans="15:18" x14ac:dyDescent="0.3">
      <c r="O4439" s="14"/>
      <c r="P4439" s="14"/>
      <c r="Q4439" s="14"/>
      <c r="R4439" s="14"/>
    </row>
    <row r="4440" spans="15:18" x14ac:dyDescent="0.3">
      <c r="O4440" s="14"/>
      <c r="P4440" s="14"/>
      <c r="Q4440" s="14"/>
      <c r="R4440" s="14"/>
    </row>
    <row r="4441" spans="15:18" x14ac:dyDescent="0.3">
      <c r="O4441" s="14"/>
      <c r="P4441" s="14"/>
      <c r="Q4441" s="14"/>
      <c r="R4441" s="14"/>
    </row>
    <row r="4442" spans="15:18" x14ac:dyDescent="0.3">
      <c r="O4442" s="14"/>
      <c r="P4442" s="14"/>
      <c r="Q4442" s="14"/>
      <c r="R4442" s="14"/>
    </row>
    <row r="4443" spans="15:18" x14ac:dyDescent="0.3">
      <c r="O4443" s="14"/>
      <c r="P4443" s="14"/>
      <c r="Q4443" s="14"/>
      <c r="R4443" s="14"/>
    </row>
    <row r="4444" spans="15:18" x14ac:dyDescent="0.3">
      <c r="O4444" s="14"/>
      <c r="P4444" s="14"/>
      <c r="Q4444" s="14"/>
      <c r="R4444" s="14"/>
    </row>
    <row r="4445" spans="15:18" x14ac:dyDescent="0.3">
      <c r="O4445" s="14"/>
      <c r="P4445" s="14"/>
      <c r="Q4445" s="14"/>
      <c r="R4445" s="14"/>
    </row>
    <row r="4446" spans="15:18" x14ac:dyDescent="0.3">
      <c r="O4446" s="14"/>
      <c r="P4446" s="14"/>
      <c r="Q4446" s="14"/>
      <c r="R4446" s="14"/>
    </row>
    <row r="4447" spans="15:18" x14ac:dyDescent="0.3">
      <c r="O4447" s="14"/>
      <c r="P4447" s="14"/>
      <c r="Q4447" s="14"/>
      <c r="R4447" s="14"/>
    </row>
    <row r="4448" spans="15:18" x14ac:dyDescent="0.3">
      <c r="O4448" s="14"/>
      <c r="P4448" s="14"/>
      <c r="Q4448" s="14"/>
      <c r="R4448" s="14"/>
    </row>
    <row r="4449" spans="15:18" x14ac:dyDescent="0.3">
      <c r="O4449" s="14"/>
      <c r="P4449" s="14"/>
      <c r="Q4449" s="14"/>
      <c r="R4449" s="14"/>
    </row>
    <row r="4450" spans="15:18" x14ac:dyDescent="0.3">
      <c r="O4450" s="14"/>
      <c r="P4450" s="14"/>
      <c r="Q4450" s="14"/>
      <c r="R4450" s="14"/>
    </row>
    <row r="4451" spans="15:18" x14ac:dyDescent="0.3">
      <c r="O4451" s="14"/>
      <c r="P4451" s="14"/>
      <c r="Q4451" s="14"/>
      <c r="R4451" s="14"/>
    </row>
    <row r="4452" spans="15:18" x14ac:dyDescent="0.3">
      <c r="O4452" s="14"/>
      <c r="P4452" s="14"/>
      <c r="Q4452" s="14"/>
      <c r="R4452" s="14"/>
    </row>
    <row r="4453" spans="15:18" x14ac:dyDescent="0.3">
      <c r="O4453" s="14"/>
      <c r="P4453" s="14"/>
      <c r="Q4453" s="14"/>
      <c r="R4453" s="14"/>
    </row>
    <row r="4454" spans="15:18" x14ac:dyDescent="0.3">
      <c r="O4454" s="14"/>
      <c r="P4454" s="14"/>
      <c r="Q4454" s="14"/>
      <c r="R4454" s="14"/>
    </row>
    <row r="4455" spans="15:18" x14ac:dyDescent="0.3">
      <c r="O4455" s="14"/>
      <c r="P4455" s="14"/>
      <c r="Q4455" s="14"/>
      <c r="R4455" s="14"/>
    </row>
    <row r="4456" spans="15:18" x14ac:dyDescent="0.3">
      <c r="O4456" s="14"/>
      <c r="P4456" s="14"/>
      <c r="Q4456" s="14"/>
      <c r="R4456" s="14"/>
    </row>
    <row r="4457" spans="15:18" x14ac:dyDescent="0.3">
      <c r="O4457" s="14"/>
      <c r="P4457" s="14"/>
      <c r="Q4457" s="14"/>
      <c r="R4457" s="14"/>
    </row>
    <row r="4458" spans="15:18" x14ac:dyDescent="0.3">
      <c r="O4458" s="14"/>
      <c r="P4458" s="14"/>
      <c r="Q4458" s="14"/>
      <c r="R4458" s="14"/>
    </row>
    <row r="4459" spans="15:18" x14ac:dyDescent="0.3">
      <c r="O4459" s="14"/>
      <c r="P4459" s="14"/>
      <c r="Q4459" s="14"/>
      <c r="R4459" s="14"/>
    </row>
    <row r="4460" spans="15:18" x14ac:dyDescent="0.3">
      <c r="O4460" s="14"/>
      <c r="P4460" s="14"/>
      <c r="Q4460" s="14"/>
      <c r="R4460" s="14"/>
    </row>
    <row r="4461" spans="15:18" x14ac:dyDescent="0.3">
      <c r="O4461" s="14"/>
      <c r="P4461" s="14"/>
      <c r="Q4461" s="14"/>
      <c r="R4461" s="14"/>
    </row>
    <row r="4462" spans="15:18" x14ac:dyDescent="0.3">
      <c r="O4462" s="14"/>
      <c r="P4462" s="14"/>
      <c r="Q4462" s="14"/>
      <c r="R4462" s="14"/>
    </row>
    <row r="4463" spans="15:18" x14ac:dyDescent="0.3">
      <c r="O4463" s="14"/>
      <c r="P4463" s="14"/>
      <c r="Q4463" s="14"/>
      <c r="R4463" s="14"/>
    </row>
    <row r="4464" spans="15:18" x14ac:dyDescent="0.3">
      <c r="O4464" s="14"/>
      <c r="P4464" s="14"/>
      <c r="Q4464" s="14"/>
      <c r="R4464" s="14"/>
    </row>
    <row r="4465" spans="15:18" x14ac:dyDescent="0.3">
      <c r="O4465" s="14"/>
      <c r="P4465" s="14"/>
      <c r="Q4465" s="14"/>
      <c r="R4465" s="14"/>
    </row>
    <row r="4466" spans="15:18" x14ac:dyDescent="0.3">
      <c r="O4466" s="14"/>
      <c r="P4466" s="14"/>
      <c r="Q4466" s="14"/>
      <c r="R4466" s="14"/>
    </row>
    <row r="4467" spans="15:18" x14ac:dyDescent="0.3">
      <c r="O4467" s="14"/>
      <c r="P4467" s="14"/>
      <c r="Q4467" s="14"/>
      <c r="R4467" s="14"/>
    </row>
    <row r="4468" spans="15:18" x14ac:dyDescent="0.3">
      <c r="O4468" s="14"/>
      <c r="P4468" s="14"/>
      <c r="Q4468" s="14"/>
      <c r="R4468" s="14"/>
    </row>
    <row r="4469" spans="15:18" x14ac:dyDescent="0.3">
      <c r="O4469" s="14"/>
      <c r="P4469" s="14"/>
      <c r="Q4469" s="14"/>
      <c r="R4469" s="14"/>
    </row>
    <row r="4470" spans="15:18" x14ac:dyDescent="0.3">
      <c r="O4470" s="14"/>
      <c r="P4470" s="14"/>
      <c r="Q4470" s="14"/>
      <c r="R4470" s="14"/>
    </row>
    <row r="4471" spans="15:18" x14ac:dyDescent="0.3">
      <c r="O4471" s="14"/>
      <c r="P4471" s="14"/>
      <c r="Q4471" s="14"/>
      <c r="R4471" s="14"/>
    </row>
    <row r="4472" spans="15:18" x14ac:dyDescent="0.3">
      <c r="O4472" s="14"/>
      <c r="P4472" s="14"/>
      <c r="Q4472" s="14"/>
      <c r="R4472" s="14"/>
    </row>
    <row r="4473" spans="15:18" x14ac:dyDescent="0.3">
      <c r="O4473" s="14"/>
      <c r="P4473" s="14"/>
      <c r="Q4473" s="14"/>
      <c r="R4473" s="14"/>
    </row>
    <row r="4474" spans="15:18" x14ac:dyDescent="0.3">
      <c r="O4474" s="14"/>
      <c r="P4474" s="14"/>
      <c r="Q4474" s="14"/>
      <c r="R4474" s="14"/>
    </row>
    <row r="4475" spans="15:18" x14ac:dyDescent="0.3">
      <c r="O4475" s="14"/>
      <c r="P4475" s="14"/>
      <c r="Q4475" s="14"/>
      <c r="R4475" s="14"/>
    </row>
    <row r="4476" spans="15:18" x14ac:dyDescent="0.3">
      <c r="O4476" s="14"/>
      <c r="P4476" s="14"/>
      <c r="Q4476" s="14"/>
      <c r="R4476" s="14"/>
    </row>
    <row r="4477" spans="15:18" x14ac:dyDescent="0.3">
      <c r="O4477" s="14"/>
      <c r="P4477" s="14"/>
      <c r="Q4477" s="14"/>
      <c r="R4477" s="14"/>
    </row>
    <row r="4478" spans="15:18" x14ac:dyDescent="0.3">
      <c r="O4478" s="14"/>
      <c r="P4478" s="14"/>
      <c r="Q4478" s="14"/>
      <c r="R4478" s="14"/>
    </row>
    <row r="4479" spans="15:18" x14ac:dyDescent="0.3">
      <c r="O4479" s="14"/>
      <c r="P4479" s="14"/>
      <c r="Q4479" s="14"/>
      <c r="R4479" s="14"/>
    </row>
    <row r="4480" spans="15:18" x14ac:dyDescent="0.3">
      <c r="O4480" s="14"/>
      <c r="P4480" s="14"/>
      <c r="Q4480" s="14"/>
      <c r="R4480" s="14"/>
    </row>
    <row r="4481" spans="15:18" x14ac:dyDescent="0.3">
      <c r="O4481" s="14"/>
      <c r="P4481" s="14"/>
      <c r="Q4481" s="14"/>
      <c r="R4481" s="14"/>
    </row>
    <row r="4482" spans="15:18" x14ac:dyDescent="0.3">
      <c r="O4482" s="14"/>
      <c r="P4482" s="14"/>
      <c r="Q4482" s="14"/>
      <c r="R4482" s="14"/>
    </row>
    <row r="4483" spans="15:18" x14ac:dyDescent="0.3">
      <c r="O4483" s="14"/>
      <c r="P4483" s="14"/>
      <c r="Q4483" s="14"/>
      <c r="R4483" s="14"/>
    </row>
    <row r="4484" spans="15:18" x14ac:dyDescent="0.3">
      <c r="O4484" s="14"/>
      <c r="P4484" s="14"/>
      <c r="Q4484" s="14"/>
      <c r="R4484" s="14"/>
    </row>
    <row r="4485" spans="15:18" x14ac:dyDescent="0.3">
      <c r="O4485" s="14"/>
      <c r="P4485" s="14"/>
      <c r="Q4485" s="14"/>
      <c r="R4485" s="14"/>
    </row>
    <row r="4486" spans="15:18" x14ac:dyDescent="0.3">
      <c r="O4486" s="14"/>
      <c r="P4486" s="14"/>
      <c r="Q4486" s="14"/>
      <c r="R4486" s="14"/>
    </row>
    <row r="4487" spans="15:18" x14ac:dyDescent="0.3">
      <c r="O4487" s="14"/>
      <c r="P4487" s="14"/>
      <c r="Q4487" s="14"/>
      <c r="R4487" s="14"/>
    </row>
    <row r="4488" spans="15:18" x14ac:dyDescent="0.3">
      <c r="O4488" s="14"/>
      <c r="P4488" s="14"/>
      <c r="Q4488" s="14"/>
      <c r="R4488" s="14"/>
    </row>
    <row r="4489" spans="15:18" x14ac:dyDescent="0.3">
      <c r="O4489" s="14"/>
      <c r="P4489" s="14"/>
      <c r="Q4489" s="14"/>
      <c r="R4489" s="14"/>
    </row>
    <row r="4490" spans="15:18" x14ac:dyDescent="0.3">
      <c r="O4490" s="14"/>
      <c r="P4490" s="14"/>
      <c r="Q4490" s="14"/>
      <c r="R4490" s="14"/>
    </row>
    <row r="4491" spans="15:18" x14ac:dyDescent="0.3">
      <c r="O4491" s="14"/>
      <c r="P4491" s="14"/>
      <c r="Q4491" s="14"/>
      <c r="R4491" s="14"/>
    </row>
    <row r="4492" spans="15:18" x14ac:dyDescent="0.3">
      <c r="O4492" s="14"/>
      <c r="P4492" s="14"/>
      <c r="Q4492" s="14"/>
      <c r="R4492" s="14"/>
    </row>
    <row r="4493" spans="15:18" x14ac:dyDescent="0.3">
      <c r="O4493" s="14"/>
      <c r="P4493" s="14"/>
      <c r="Q4493" s="14"/>
      <c r="R4493" s="14"/>
    </row>
    <row r="4494" spans="15:18" x14ac:dyDescent="0.3">
      <c r="O4494" s="14"/>
      <c r="P4494" s="14"/>
      <c r="Q4494" s="14"/>
      <c r="R4494" s="14"/>
    </row>
    <row r="4495" spans="15:18" x14ac:dyDescent="0.3">
      <c r="O4495" s="14"/>
      <c r="P4495" s="14"/>
      <c r="Q4495" s="14"/>
      <c r="R4495" s="14"/>
    </row>
    <row r="4496" spans="15:18" x14ac:dyDescent="0.3">
      <c r="O4496" s="14"/>
      <c r="P4496" s="14"/>
      <c r="Q4496" s="14"/>
      <c r="R4496" s="14"/>
    </row>
    <row r="4497" spans="15:18" x14ac:dyDescent="0.3">
      <c r="O4497" s="14"/>
      <c r="P4497" s="14"/>
      <c r="Q4497" s="14"/>
      <c r="R4497" s="14"/>
    </row>
    <row r="4498" spans="15:18" x14ac:dyDescent="0.3">
      <c r="O4498" s="14"/>
      <c r="P4498" s="14"/>
      <c r="Q4498" s="14"/>
      <c r="R4498" s="14"/>
    </row>
    <row r="4499" spans="15:18" x14ac:dyDescent="0.3">
      <c r="O4499" s="14"/>
      <c r="P4499" s="14"/>
      <c r="Q4499" s="14"/>
      <c r="R4499" s="14"/>
    </row>
    <row r="4500" spans="15:18" x14ac:dyDescent="0.3">
      <c r="O4500" s="14"/>
      <c r="P4500" s="14"/>
      <c r="Q4500" s="14"/>
      <c r="R4500" s="14"/>
    </row>
    <row r="4501" spans="15:18" x14ac:dyDescent="0.3">
      <c r="O4501" s="14"/>
      <c r="P4501" s="14"/>
      <c r="Q4501" s="14"/>
      <c r="R4501" s="14"/>
    </row>
    <row r="4502" spans="15:18" x14ac:dyDescent="0.3">
      <c r="O4502" s="14"/>
      <c r="P4502" s="14"/>
      <c r="Q4502" s="14"/>
      <c r="R4502" s="14"/>
    </row>
    <row r="4503" spans="15:18" x14ac:dyDescent="0.3">
      <c r="O4503" s="14"/>
      <c r="P4503" s="14"/>
      <c r="Q4503" s="14"/>
      <c r="R4503" s="14"/>
    </row>
    <row r="4504" spans="15:18" x14ac:dyDescent="0.3">
      <c r="O4504" s="14"/>
      <c r="P4504" s="14"/>
      <c r="Q4504" s="14"/>
      <c r="R4504" s="14"/>
    </row>
    <row r="4505" spans="15:18" x14ac:dyDescent="0.3">
      <c r="O4505" s="14"/>
      <c r="P4505" s="14"/>
      <c r="Q4505" s="14"/>
      <c r="R4505" s="14"/>
    </row>
    <row r="4506" spans="15:18" x14ac:dyDescent="0.3">
      <c r="O4506" s="14"/>
      <c r="P4506" s="14"/>
      <c r="Q4506" s="14"/>
      <c r="R4506" s="14"/>
    </row>
    <row r="4507" spans="15:18" x14ac:dyDescent="0.3">
      <c r="O4507" s="14"/>
      <c r="P4507" s="14"/>
      <c r="Q4507" s="14"/>
      <c r="R4507" s="14"/>
    </row>
    <row r="4508" spans="15:18" x14ac:dyDescent="0.3">
      <c r="O4508" s="14"/>
      <c r="P4508" s="14"/>
      <c r="Q4508" s="14"/>
      <c r="R4508" s="14"/>
    </row>
    <row r="4509" spans="15:18" x14ac:dyDescent="0.3">
      <c r="O4509" s="14"/>
      <c r="P4509" s="14"/>
      <c r="Q4509" s="14"/>
      <c r="R4509" s="14"/>
    </row>
    <row r="4510" spans="15:18" x14ac:dyDescent="0.3">
      <c r="O4510" s="14"/>
      <c r="P4510" s="14"/>
      <c r="Q4510" s="14"/>
      <c r="R4510" s="14"/>
    </row>
    <row r="4511" spans="15:18" x14ac:dyDescent="0.3">
      <c r="O4511" s="14"/>
      <c r="P4511" s="14"/>
      <c r="Q4511" s="14"/>
      <c r="R4511" s="14"/>
    </row>
    <row r="4512" spans="15:18" x14ac:dyDescent="0.3">
      <c r="O4512" s="14"/>
      <c r="P4512" s="14"/>
      <c r="Q4512" s="14"/>
      <c r="R4512" s="14"/>
    </row>
    <row r="4513" spans="15:18" x14ac:dyDescent="0.3">
      <c r="O4513" s="14"/>
      <c r="P4513" s="14"/>
      <c r="Q4513" s="14"/>
      <c r="R4513" s="14"/>
    </row>
    <row r="4514" spans="15:18" x14ac:dyDescent="0.3">
      <c r="O4514" s="14"/>
      <c r="P4514" s="14"/>
      <c r="Q4514" s="14"/>
      <c r="R4514" s="14"/>
    </row>
    <row r="4515" spans="15:18" x14ac:dyDescent="0.3">
      <c r="O4515" s="14"/>
      <c r="P4515" s="14"/>
      <c r="Q4515" s="14"/>
      <c r="R4515" s="14"/>
    </row>
    <row r="4516" spans="15:18" x14ac:dyDescent="0.3">
      <c r="O4516" s="14"/>
      <c r="P4516" s="14"/>
      <c r="Q4516" s="14"/>
      <c r="R4516" s="14"/>
    </row>
    <row r="4517" spans="15:18" x14ac:dyDescent="0.3">
      <c r="O4517" s="14"/>
      <c r="P4517" s="14"/>
      <c r="Q4517" s="14"/>
      <c r="R4517" s="14"/>
    </row>
    <row r="4518" spans="15:18" x14ac:dyDescent="0.3">
      <c r="O4518" s="14"/>
      <c r="P4518" s="14"/>
      <c r="Q4518" s="14"/>
      <c r="R4518" s="14"/>
    </row>
    <row r="4519" spans="15:18" x14ac:dyDescent="0.3">
      <c r="O4519" s="14"/>
      <c r="P4519" s="14"/>
      <c r="Q4519" s="14"/>
      <c r="R4519" s="14"/>
    </row>
    <row r="4520" spans="15:18" x14ac:dyDescent="0.3">
      <c r="O4520" s="14"/>
      <c r="P4520" s="14"/>
      <c r="Q4520" s="14"/>
      <c r="R4520" s="14"/>
    </row>
    <row r="4521" spans="15:18" x14ac:dyDescent="0.3">
      <c r="O4521" s="14"/>
      <c r="P4521" s="14"/>
      <c r="Q4521" s="14"/>
      <c r="R4521" s="14"/>
    </row>
    <row r="4522" spans="15:18" x14ac:dyDescent="0.3">
      <c r="O4522" s="14"/>
      <c r="P4522" s="14"/>
      <c r="Q4522" s="14"/>
      <c r="R4522" s="14"/>
    </row>
    <row r="4523" spans="15:18" x14ac:dyDescent="0.3">
      <c r="O4523" s="14"/>
      <c r="P4523" s="14"/>
      <c r="Q4523" s="14"/>
      <c r="R4523" s="14"/>
    </row>
    <row r="4524" spans="15:18" x14ac:dyDescent="0.3">
      <c r="O4524" s="14"/>
      <c r="P4524" s="14"/>
      <c r="Q4524" s="14"/>
      <c r="R4524" s="14"/>
    </row>
    <row r="4525" spans="15:18" x14ac:dyDescent="0.3">
      <c r="O4525" s="14"/>
      <c r="P4525" s="14"/>
      <c r="Q4525" s="14"/>
      <c r="R4525" s="14"/>
    </row>
    <row r="4526" spans="15:18" x14ac:dyDescent="0.3">
      <c r="O4526" s="14"/>
      <c r="P4526" s="14"/>
      <c r="Q4526" s="14"/>
      <c r="R4526" s="14"/>
    </row>
    <row r="4527" spans="15:18" x14ac:dyDescent="0.3">
      <c r="O4527" s="14"/>
      <c r="P4527" s="14"/>
      <c r="Q4527" s="14"/>
      <c r="R4527" s="14"/>
    </row>
    <row r="4528" spans="15:18" x14ac:dyDescent="0.3">
      <c r="O4528" s="14"/>
      <c r="P4528" s="14"/>
      <c r="Q4528" s="14"/>
      <c r="R4528" s="14"/>
    </row>
    <row r="4529" spans="15:18" x14ac:dyDescent="0.3">
      <c r="O4529" s="14"/>
      <c r="P4529" s="14"/>
      <c r="Q4529" s="14"/>
      <c r="R4529" s="14"/>
    </row>
    <row r="4530" spans="15:18" x14ac:dyDescent="0.3">
      <c r="O4530" s="14"/>
      <c r="P4530" s="14"/>
      <c r="Q4530" s="14"/>
      <c r="R4530" s="14"/>
    </row>
    <row r="4531" spans="15:18" x14ac:dyDescent="0.3">
      <c r="O4531" s="14"/>
      <c r="P4531" s="14"/>
      <c r="Q4531" s="14"/>
      <c r="R4531" s="14"/>
    </row>
    <row r="4532" spans="15:18" x14ac:dyDescent="0.3">
      <c r="O4532" s="14"/>
      <c r="P4532" s="14"/>
      <c r="Q4532" s="14"/>
      <c r="R4532" s="14"/>
    </row>
    <row r="4533" spans="15:18" x14ac:dyDescent="0.3">
      <c r="O4533" s="14"/>
      <c r="P4533" s="14"/>
      <c r="Q4533" s="14"/>
      <c r="R4533" s="14"/>
    </row>
    <row r="4534" spans="15:18" x14ac:dyDescent="0.3">
      <c r="O4534" s="14"/>
      <c r="P4534" s="14"/>
      <c r="Q4534" s="14"/>
      <c r="R4534" s="14"/>
    </row>
    <row r="4535" spans="15:18" x14ac:dyDescent="0.3">
      <c r="O4535" s="14"/>
      <c r="P4535" s="14"/>
      <c r="Q4535" s="14"/>
      <c r="R4535" s="14"/>
    </row>
    <row r="4536" spans="15:18" x14ac:dyDescent="0.3">
      <c r="O4536" s="14"/>
      <c r="P4536" s="14"/>
      <c r="Q4536" s="14"/>
      <c r="R4536" s="14"/>
    </row>
    <row r="4537" spans="15:18" x14ac:dyDescent="0.3">
      <c r="O4537" s="14"/>
      <c r="P4537" s="14"/>
      <c r="Q4537" s="14"/>
      <c r="R4537" s="14"/>
    </row>
    <row r="4538" spans="15:18" x14ac:dyDescent="0.3">
      <c r="O4538" s="14"/>
      <c r="P4538" s="14"/>
      <c r="Q4538" s="14"/>
      <c r="R4538" s="14"/>
    </row>
    <row r="4539" spans="15:18" x14ac:dyDescent="0.3">
      <c r="O4539" s="14"/>
      <c r="P4539" s="14"/>
      <c r="Q4539" s="14"/>
      <c r="R4539" s="14"/>
    </row>
    <row r="4540" spans="15:18" x14ac:dyDescent="0.3">
      <c r="O4540" s="14"/>
      <c r="P4540" s="14"/>
      <c r="Q4540" s="14"/>
      <c r="R4540" s="14"/>
    </row>
    <row r="4541" spans="15:18" x14ac:dyDescent="0.3">
      <c r="O4541" s="14"/>
      <c r="P4541" s="14"/>
      <c r="Q4541" s="14"/>
      <c r="R4541" s="14"/>
    </row>
    <row r="4542" spans="15:18" x14ac:dyDescent="0.3">
      <c r="O4542" s="14"/>
      <c r="P4542" s="14"/>
      <c r="Q4542" s="14"/>
      <c r="R4542" s="14"/>
    </row>
    <row r="4543" spans="15:18" x14ac:dyDescent="0.3">
      <c r="O4543" s="14"/>
      <c r="P4543" s="14"/>
      <c r="Q4543" s="14"/>
      <c r="R4543" s="14"/>
    </row>
    <row r="4544" spans="15:18" x14ac:dyDescent="0.3">
      <c r="O4544" s="14"/>
      <c r="P4544" s="14"/>
      <c r="Q4544" s="14"/>
      <c r="R4544" s="14"/>
    </row>
    <row r="4545" spans="15:18" x14ac:dyDescent="0.3">
      <c r="O4545" s="14"/>
      <c r="P4545" s="14"/>
      <c r="Q4545" s="14"/>
      <c r="R4545" s="14"/>
    </row>
    <row r="4546" spans="15:18" x14ac:dyDescent="0.3">
      <c r="O4546" s="14"/>
      <c r="P4546" s="14"/>
      <c r="Q4546" s="14"/>
      <c r="R4546" s="14"/>
    </row>
    <row r="4547" spans="15:18" x14ac:dyDescent="0.3">
      <c r="O4547" s="14"/>
      <c r="P4547" s="14"/>
      <c r="Q4547" s="14"/>
      <c r="R4547" s="14"/>
    </row>
    <row r="4548" spans="15:18" x14ac:dyDescent="0.3">
      <c r="O4548" s="14"/>
      <c r="P4548" s="14"/>
      <c r="Q4548" s="14"/>
      <c r="R4548" s="14"/>
    </row>
    <row r="4549" spans="15:18" x14ac:dyDescent="0.3">
      <c r="O4549" s="14"/>
      <c r="P4549" s="14"/>
      <c r="Q4549" s="14"/>
      <c r="R4549" s="14"/>
    </row>
    <row r="4550" spans="15:18" x14ac:dyDescent="0.3">
      <c r="O4550" s="14"/>
      <c r="P4550" s="14"/>
      <c r="Q4550" s="14"/>
      <c r="R4550" s="14"/>
    </row>
    <row r="4551" spans="15:18" x14ac:dyDescent="0.3">
      <c r="O4551" s="14"/>
      <c r="P4551" s="14"/>
      <c r="Q4551" s="14"/>
      <c r="R4551" s="14"/>
    </row>
    <row r="4552" spans="15:18" x14ac:dyDescent="0.3">
      <c r="O4552" s="14"/>
      <c r="P4552" s="14"/>
      <c r="Q4552" s="14"/>
      <c r="R4552" s="14"/>
    </row>
    <row r="4553" spans="15:18" x14ac:dyDescent="0.3">
      <c r="O4553" s="14"/>
      <c r="P4553" s="14"/>
      <c r="Q4553" s="14"/>
      <c r="R4553" s="14"/>
    </row>
    <row r="4554" spans="15:18" x14ac:dyDescent="0.3">
      <c r="O4554" s="14"/>
      <c r="P4554" s="14"/>
      <c r="Q4554" s="14"/>
      <c r="R4554" s="14"/>
    </row>
    <row r="4555" spans="15:18" x14ac:dyDescent="0.3">
      <c r="O4555" s="14"/>
      <c r="P4555" s="14"/>
      <c r="Q4555" s="14"/>
      <c r="R4555" s="14"/>
    </row>
    <row r="4556" spans="15:18" x14ac:dyDescent="0.3">
      <c r="O4556" s="14"/>
      <c r="P4556" s="14"/>
      <c r="Q4556" s="14"/>
      <c r="R4556" s="14"/>
    </row>
    <row r="4557" spans="15:18" x14ac:dyDescent="0.3">
      <c r="O4557" s="14"/>
      <c r="P4557" s="14"/>
      <c r="Q4557" s="14"/>
      <c r="R4557" s="14"/>
    </row>
    <row r="4558" spans="15:18" x14ac:dyDescent="0.3">
      <c r="O4558" s="14"/>
      <c r="P4558" s="14"/>
      <c r="Q4558" s="14"/>
      <c r="R4558" s="14"/>
    </row>
    <row r="4559" spans="15:18" x14ac:dyDescent="0.3">
      <c r="O4559" s="14"/>
      <c r="P4559" s="14"/>
      <c r="Q4559" s="14"/>
      <c r="R4559" s="14"/>
    </row>
    <row r="4560" spans="15:18" x14ac:dyDescent="0.3">
      <c r="O4560" s="14"/>
      <c r="P4560" s="14"/>
      <c r="Q4560" s="14"/>
      <c r="R4560" s="14"/>
    </row>
    <row r="4561" spans="15:18" x14ac:dyDescent="0.3">
      <c r="O4561" s="14"/>
      <c r="P4561" s="14"/>
      <c r="Q4561" s="14"/>
      <c r="R4561" s="14"/>
    </row>
    <row r="4562" spans="15:18" x14ac:dyDescent="0.3">
      <c r="O4562" s="14"/>
      <c r="P4562" s="14"/>
      <c r="Q4562" s="14"/>
      <c r="R4562" s="14"/>
    </row>
    <row r="4563" spans="15:18" x14ac:dyDescent="0.3">
      <c r="O4563" s="14"/>
      <c r="P4563" s="14"/>
      <c r="Q4563" s="14"/>
      <c r="R4563" s="14"/>
    </row>
    <row r="4564" spans="15:18" x14ac:dyDescent="0.3">
      <c r="O4564" s="14"/>
      <c r="P4564" s="14"/>
      <c r="Q4564" s="14"/>
      <c r="R4564" s="14"/>
    </row>
    <row r="4565" spans="15:18" x14ac:dyDescent="0.3">
      <c r="O4565" s="14"/>
      <c r="P4565" s="14"/>
      <c r="Q4565" s="14"/>
      <c r="R4565" s="14"/>
    </row>
    <row r="4566" spans="15:18" x14ac:dyDescent="0.3">
      <c r="O4566" s="14"/>
      <c r="P4566" s="14"/>
      <c r="Q4566" s="14"/>
      <c r="R4566" s="14"/>
    </row>
    <row r="4567" spans="15:18" x14ac:dyDescent="0.3">
      <c r="O4567" s="14"/>
      <c r="P4567" s="14"/>
      <c r="Q4567" s="14"/>
      <c r="R4567" s="14"/>
    </row>
    <row r="4568" spans="15:18" x14ac:dyDescent="0.3">
      <c r="O4568" s="14"/>
      <c r="P4568" s="14"/>
      <c r="Q4568" s="14"/>
      <c r="R4568" s="14"/>
    </row>
    <row r="4569" spans="15:18" x14ac:dyDescent="0.3">
      <c r="O4569" s="14"/>
      <c r="P4569" s="14"/>
      <c r="Q4569" s="14"/>
      <c r="R4569" s="14"/>
    </row>
    <row r="4570" spans="15:18" x14ac:dyDescent="0.3">
      <c r="O4570" s="14"/>
      <c r="P4570" s="14"/>
      <c r="Q4570" s="14"/>
      <c r="R4570" s="14"/>
    </row>
    <row r="4571" spans="15:18" x14ac:dyDescent="0.3">
      <c r="O4571" s="14"/>
      <c r="P4571" s="14"/>
      <c r="Q4571" s="14"/>
      <c r="R4571" s="14"/>
    </row>
    <row r="4572" spans="15:18" x14ac:dyDescent="0.3">
      <c r="O4572" s="14"/>
      <c r="P4572" s="14"/>
      <c r="Q4572" s="14"/>
      <c r="R4572" s="14"/>
    </row>
    <row r="4573" spans="15:18" x14ac:dyDescent="0.3">
      <c r="O4573" s="14"/>
      <c r="P4573" s="14"/>
      <c r="Q4573" s="14"/>
      <c r="R4573" s="14"/>
    </row>
    <row r="4574" spans="15:18" x14ac:dyDescent="0.3">
      <c r="O4574" s="14"/>
      <c r="P4574" s="14"/>
      <c r="Q4574" s="14"/>
      <c r="R4574" s="14"/>
    </row>
    <row r="4575" spans="15:18" x14ac:dyDescent="0.3">
      <c r="O4575" s="14"/>
      <c r="P4575" s="14"/>
      <c r="Q4575" s="14"/>
      <c r="R4575" s="14"/>
    </row>
    <row r="4576" spans="15:18" x14ac:dyDescent="0.3">
      <c r="O4576" s="14"/>
      <c r="P4576" s="14"/>
      <c r="Q4576" s="14"/>
      <c r="R4576" s="14"/>
    </row>
    <row r="4577" spans="15:18" x14ac:dyDescent="0.3">
      <c r="O4577" s="14"/>
      <c r="P4577" s="14"/>
      <c r="Q4577" s="14"/>
      <c r="R4577" s="14"/>
    </row>
    <row r="4578" spans="15:18" x14ac:dyDescent="0.3">
      <c r="O4578" s="14"/>
      <c r="P4578" s="14"/>
      <c r="Q4578" s="14"/>
      <c r="R4578" s="14"/>
    </row>
    <row r="4579" spans="15:18" x14ac:dyDescent="0.3">
      <c r="O4579" s="14"/>
      <c r="P4579" s="14"/>
      <c r="Q4579" s="14"/>
      <c r="R4579" s="14"/>
    </row>
    <row r="4580" spans="15:18" x14ac:dyDescent="0.3">
      <c r="O4580" s="14"/>
      <c r="P4580" s="14"/>
      <c r="Q4580" s="14"/>
      <c r="R4580" s="14"/>
    </row>
    <row r="4581" spans="15:18" x14ac:dyDescent="0.3">
      <c r="O4581" s="14"/>
      <c r="P4581" s="14"/>
      <c r="Q4581" s="14"/>
      <c r="R4581" s="14"/>
    </row>
    <row r="4582" spans="15:18" x14ac:dyDescent="0.3">
      <c r="O4582" s="14"/>
      <c r="P4582" s="14"/>
      <c r="Q4582" s="14"/>
      <c r="R4582" s="14"/>
    </row>
    <row r="4583" spans="15:18" x14ac:dyDescent="0.3">
      <c r="O4583" s="14"/>
      <c r="P4583" s="14"/>
      <c r="Q4583" s="14"/>
      <c r="R4583" s="14"/>
    </row>
    <row r="4584" spans="15:18" x14ac:dyDescent="0.3">
      <c r="O4584" s="14"/>
      <c r="P4584" s="14"/>
      <c r="Q4584" s="14"/>
      <c r="R4584" s="14"/>
    </row>
    <row r="4585" spans="15:18" x14ac:dyDescent="0.3">
      <c r="O4585" s="14"/>
      <c r="P4585" s="14"/>
      <c r="Q4585" s="14"/>
      <c r="R4585" s="14"/>
    </row>
    <row r="4586" spans="15:18" x14ac:dyDescent="0.3">
      <c r="O4586" s="14"/>
      <c r="P4586" s="14"/>
      <c r="Q4586" s="14"/>
      <c r="R4586" s="14"/>
    </row>
    <row r="4587" spans="15:18" x14ac:dyDescent="0.3">
      <c r="O4587" s="14"/>
      <c r="P4587" s="14"/>
      <c r="Q4587" s="14"/>
      <c r="R4587" s="14"/>
    </row>
    <row r="4588" spans="15:18" x14ac:dyDescent="0.3">
      <c r="O4588" s="14"/>
      <c r="P4588" s="14"/>
      <c r="Q4588" s="14"/>
      <c r="R4588" s="14"/>
    </row>
    <row r="4589" spans="15:18" x14ac:dyDescent="0.3">
      <c r="O4589" s="14"/>
      <c r="P4589" s="14"/>
      <c r="Q4589" s="14"/>
      <c r="R4589" s="14"/>
    </row>
    <row r="4590" spans="15:18" x14ac:dyDescent="0.3">
      <c r="O4590" s="14"/>
      <c r="P4590" s="14"/>
      <c r="Q4590" s="14"/>
      <c r="R4590" s="14"/>
    </row>
    <row r="4591" spans="15:18" x14ac:dyDescent="0.3">
      <c r="O4591" s="14"/>
      <c r="P4591" s="14"/>
      <c r="Q4591" s="14"/>
      <c r="R4591" s="14"/>
    </row>
    <row r="4592" spans="15:18" x14ac:dyDescent="0.3">
      <c r="O4592" s="14"/>
      <c r="P4592" s="14"/>
      <c r="Q4592" s="14"/>
      <c r="R4592" s="14"/>
    </row>
    <row r="4593" spans="15:18" x14ac:dyDescent="0.3">
      <c r="O4593" s="14"/>
      <c r="P4593" s="14"/>
      <c r="Q4593" s="14"/>
      <c r="R4593" s="14"/>
    </row>
    <row r="4594" spans="15:18" x14ac:dyDescent="0.3">
      <c r="O4594" s="14"/>
      <c r="P4594" s="14"/>
      <c r="Q4594" s="14"/>
      <c r="R4594" s="14"/>
    </row>
    <row r="4595" spans="15:18" x14ac:dyDescent="0.3">
      <c r="O4595" s="14"/>
      <c r="P4595" s="14"/>
      <c r="Q4595" s="14"/>
      <c r="R4595" s="14"/>
    </row>
    <row r="4596" spans="15:18" x14ac:dyDescent="0.3">
      <c r="O4596" s="14"/>
      <c r="P4596" s="14"/>
      <c r="Q4596" s="14"/>
      <c r="R4596" s="14"/>
    </row>
    <row r="4597" spans="15:18" x14ac:dyDescent="0.3">
      <c r="O4597" s="14"/>
      <c r="P4597" s="14"/>
      <c r="Q4597" s="14"/>
      <c r="R4597" s="14"/>
    </row>
    <row r="4598" spans="15:18" x14ac:dyDescent="0.3">
      <c r="O4598" s="14"/>
      <c r="P4598" s="14"/>
      <c r="Q4598" s="14"/>
      <c r="R4598" s="14"/>
    </row>
    <row r="4599" spans="15:18" x14ac:dyDescent="0.3">
      <c r="O4599" s="14"/>
      <c r="P4599" s="14"/>
      <c r="Q4599" s="14"/>
      <c r="R4599" s="14"/>
    </row>
    <row r="4600" spans="15:18" x14ac:dyDescent="0.3">
      <c r="O4600" s="14"/>
      <c r="P4600" s="14"/>
      <c r="Q4600" s="14"/>
      <c r="R4600" s="14"/>
    </row>
    <row r="4601" spans="15:18" x14ac:dyDescent="0.3">
      <c r="O4601" s="14"/>
      <c r="P4601" s="14"/>
      <c r="Q4601" s="14"/>
      <c r="R4601" s="14"/>
    </row>
    <row r="4602" spans="15:18" x14ac:dyDescent="0.3">
      <c r="O4602" s="14"/>
      <c r="P4602" s="14"/>
      <c r="Q4602" s="14"/>
      <c r="R4602" s="14"/>
    </row>
    <row r="4603" spans="15:18" x14ac:dyDescent="0.3">
      <c r="O4603" s="14"/>
      <c r="P4603" s="14"/>
      <c r="Q4603" s="14"/>
      <c r="R4603" s="14"/>
    </row>
    <row r="4604" spans="15:18" x14ac:dyDescent="0.3">
      <c r="O4604" s="14"/>
      <c r="P4604" s="14"/>
      <c r="Q4604" s="14"/>
      <c r="R4604" s="14"/>
    </row>
    <row r="4605" spans="15:18" x14ac:dyDescent="0.3">
      <c r="O4605" s="14"/>
      <c r="P4605" s="14"/>
      <c r="Q4605" s="14"/>
      <c r="R4605" s="14"/>
    </row>
    <row r="4606" spans="15:18" x14ac:dyDescent="0.3">
      <c r="O4606" s="14"/>
      <c r="P4606" s="14"/>
      <c r="Q4606" s="14"/>
      <c r="R4606" s="14"/>
    </row>
    <row r="4607" spans="15:18" x14ac:dyDescent="0.3">
      <c r="O4607" s="14"/>
      <c r="P4607" s="14"/>
      <c r="Q4607" s="14"/>
      <c r="R4607" s="14"/>
    </row>
    <row r="4608" spans="15:18" x14ac:dyDescent="0.3">
      <c r="O4608" s="14"/>
      <c r="P4608" s="14"/>
      <c r="Q4608" s="14"/>
      <c r="R4608" s="14"/>
    </row>
    <row r="4609" spans="15:18" x14ac:dyDescent="0.3">
      <c r="O4609" s="14"/>
      <c r="P4609" s="14"/>
      <c r="Q4609" s="14"/>
      <c r="R4609" s="14"/>
    </row>
    <row r="4610" spans="15:18" x14ac:dyDescent="0.3">
      <c r="O4610" s="14"/>
      <c r="P4610" s="14"/>
      <c r="Q4610" s="14"/>
      <c r="R4610" s="14"/>
    </row>
    <row r="4611" spans="15:18" x14ac:dyDescent="0.3">
      <c r="O4611" s="14"/>
      <c r="P4611" s="14"/>
      <c r="Q4611" s="14"/>
      <c r="R4611" s="14"/>
    </row>
    <row r="4612" spans="15:18" x14ac:dyDescent="0.3">
      <c r="O4612" s="14"/>
      <c r="P4612" s="14"/>
      <c r="Q4612" s="14"/>
      <c r="R4612" s="14"/>
    </row>
    <row r="4613" spans="15:18" x14ac:dyDescent="0.3">
      <c r="O4613" s="14"/>
      <c r="P4613" s="14"/>
      <c r="Q4613" s="14"/>
      <c r="R4613" s="14"/>
    </row>
    <row r="4614" spans="15:18" x14ac:dyDescent="0.3">
      <c r="O4614" s="14"/>
      <c r="P4614" s="14"/>
      <c r="Q4614" s="14"/>
      <c r="R4614" s="14"/>
    </row>
    <row r="4615" spans="15:18" x14ac:dyDescent="0.3">
      <c r="O4615" s="14"/>
      <c r="P4615" s="14"/>
      <c r="Q4615" s="14"/>
      <c r="R4615" s="14"/>
    </row>
    <row r="4616" spans="15:18" x14ac:dyDescent="0.3">
      <c r="O4616" s="14"/>
      <c r="P4616" s="14"/>
      <c r="Q4616" s="14"/>
      <c r="R4616" s="14"/>
    </row>
    <row r="4617" spans="15:18" x14ac:dyDescent="0.3">
      <c r="O4617" s="14"/>
      <c r="P4617" s="14"/>
      <c r="Q4617" s="14"/>
      <c r="R4617" s="14"/>
    </row>
    <row r="4618" spans="15:18" x14ac:dyDescent="0.3">
      <c r="O4618" s="14"/>
      <c r="P4618" s="14"/>
      <c r="Q4618" s="14"/>
      <c r="R4618" s="14"/>
    </row>
    <row r="4619" spans="15:18" x14ac:dyDescent="0.3">
      <c r="O4619" s="14"/>
      <c r="P4619" s="14"/>
      <c r="Q4619" s="14"/>
      <c r="R4619" s="14"/>
    </row>
    <row r="4620" spans="15:18" x14ac:dyDescent="0.3">
      <c r="O4620" s="14"/>
      <c r="P4620" s="14"/>
      <c r="Q4620" s="14"/>
      <c r="R4620" s="14"/>
    </row>
    <row r="4621" spans="15:18" x14ac:dyDescent="0.3">
      <c r="O4621" s="14"/>
      <c r="P4621" s="14"/>
      <c r="Q4621" s="14"/>
      <c r="R4621" s="14"/>
    </row>
    <row r="4622" spans="15:18" x14ac:dyDescent="0.3">
      <c r="O4622" s="14"/>
      <c r="P4622" s="14"/>
      <c r="Q4622" s="14"/>
      <c r="R4622" s="14"/>
    </row>
    <row r="4623" spans="15:18" x14ac:dyDescent="0.3">
      <c r="O4623" s="14"/>
      <c r="P4623" s="14"/>
      <c r="Q4623" s="14"/>
      <c r="R4623" s="14"/>
    </row>
    <row r="4624" spans="15:18" x14ac:dyDescent="0.3">
      <c r="O4624" s="14"/>
      <c r="P4624" s="14"/>
      <c r="Q4624" s="14"/>
      <c r="R4624" s="14"/>
    </row>
    <row r="4625" spans="15:18" x14ac:dyDescent="0.3">
      <c r="O4625" s="14"/>
      <c r="P4625" s="14"/>
      <c r="Q4625" s="14"/>
      <c r="R4625" s="14"/>
    </row>
    <row r="4626" spans="15:18" x14ac:dyDescent="0.3">
      <c r="O4626" s="14"/>
      <c r="P4626" s="14"/>
      <c r="Q4626" s="14"/>
      <c r="R4626" s="14"/>
    </row>
    <row r="4627" spans="15:18" x14ac:dyDescent="0.3">
      <c r="O4627" s="14"/>
      <c r="P4627" s="14"/>
      <c r="Q4627" s="14"/>
      <c r="R4627" s="14"/>
    </row>
    <row r="4628" spans="15:18" x14ac:dyDescent="0.3">
      <c r="O4628" s="14"/>
      <c r="P4628" s="14"/>
      <c r="Q4628" s="14"/>
      <c r="R4628" s="14"/>
    </row>
    <row r="4629" spans="15:18" x14ac:dyDescent="0.3">
      <c r="O4629" s="14"/>
      <c r="P4629" s="14"/>
      <c r="Q4629" s="14"/>
      <c r="R4629" s="14"/>
    </row>
    <row r="4630" spans="15:18" x14ac:dyDescent="0.3">
      <c r="O4630" s="14"/>
      <c r="P4630" s="14"/>
      <c r="Q4630" s="14"/>
      <c r="R4630" s="14"/>
    </row>
    <row r="4631" spans="15:18" x14ac:dyDescent="0.3">
      <c r="O4631" s="14"/>
      <c r="P4631" s="14"/>
      <c r="Q4631" s="14"/>
      <c r="R4631" s="14"/>
    </row>
    <row r="4632" spans="15:18" x14ac:dyDescent="0.3">
      <c r="O4632" s="14"/>
      <c r="P4632" s="14"/>
      <c r="Q4632" s="14"/>
      <c r="R4632" s="14"/>
    </row>
    <row r="4633" spans="15:18" x14ac:dyDescent="0.3">
      <c r="O4633" s="14"/>
      <c r="P4633" s="14"/>
      <c r="Q4633" s="14"/>
      <c r="R4633" s="14"/>
    </row>
    <row r="4634" spans="15:18" x14ac:dyDescent="0.3">
      <c r="O4634" s="14"/>
      <c r="P4634" s="14"/>
      <c r="Q4634" s="14"/>
      <c r="R4634" s="14"/>
    </row>
    <row r="4635" spans="15:18" x14ac:dyDescent="0.3">
      <c r="O4635" s="14"/>
      <c r="P4635" s="14"/>
      <c r="Q4635" s="14"/>
      <c r="R4635" s="14"/>
    </row>
    <row r="4636" spans="15:18" x14ac:dyDescent="0.3">
      <c r="O4636" s="14"/>
      <c r="P4636" s="14"/>
      <c r="Q4636" s="14"/>
      <c r="R4636" s="14"/>
    </row>
    <row r="4637" spans="15:18" x14ac:dyDescent="0.3">
      <c r="O4637" s="14"/>
      <c r="P4637" s="14"/>
      <c r="Q4637" s="14"/>
      <c r="R4637" s="14"/>
    </row>
    <row r="4638" spans="15:18" x14ac:dyDescent="0.3">
      <c r="O4638" s="14"/>
      <c r="P4638" s="14"/>
      <c r="Q4638" s="14"/>
      <c r="R4638" s="14"/>
    </row>
    <row r="4639" spans="15:18" x14ac:dyDescent="0.3">
      <c r="O4639" s="14"/>
      <c r="P4639" s="14"/>
      <c r="Q4639" s="14"/>
      <c r="R4639" s="14"/>
    </row>
    <row r="4640" spans="15:18" x14ac:dyDescent="0.3">
      <c r="O4640" s="14"/>
      <c r="P4640" s="14"/>
      <c r="Q4640" s="14"/>
      <c r="R4640" s="14"/>
    </row>
    <row r="4641" spans="15:18" x14ac:dyDescent="0.3">
      <c r="O4641" s="14"/>
      <c r="P4641" s="14"/>
      <c r="Q4641" s="14"/>
      <c r="R4641" s="14"/>
    </row>
    <row r="4642" spans="15:18" x14ac:dyDescent="0.3">
      <c r="O4642" s="14"/>
      <c r="P4642" s="14"/>
      <c r="Q4642" s="14"/>
      <c r="R4642" s="14"/>
    </row>
    <row r="4643" spans="15:18" x14ac:dyDescent="0.3">
      <c r="O4643" s="14"/>
      <c r="P4643" s="14"/>
      <c r="Q4643" s="14"/>
      <c r="R4643" s="14"/>
    </row>
    <row r="4644" spans="15:18" x14ac:dyDescent="0.3">
      <c r="O4644" s="14"/>
      <c r="P4644" s="14"/>
      <c r="Q4644" s="14"/>
      <c r="R4644" s="14"/>
    </row>
    <row r="4645" spans="15:18" x14ac:dyDescent="0.3">
      <c r="O4645" s="14"/>
      <c r="P4645" s="14"/>
      <c r="Q4645" s="14"/>
      <c r="R4645" s="14"/>
    </row>
    <row r="4646" spans="15:18" x14ac:dyDescent="0.3">
      <c r="O4646" s="14"/>
      <c r="P4646" s="14"/>
      <c r="Q4646" s="14"/>
      <c r="R4646" s="14"/>
    </row>
    <row r="4647" spans="15:18" x14ac:dyDescent="0.3">
      <c r="O4647" s="14"/>
      <c r="P4647" s="14"/>
      <c r="Q4647" s="14"/>
      <c r="R4647" s="14"/>
    </row>
    <row r="4648" spans="15:18" x14ac:dyDescent="0.3">
      <c r="O4648" s="14"/>
      <c r="P4648" s="14"/>
      <c r="Q4648" s="14"/>
      <c r="R4648" s="14"/>
    </row>
    <row r="4649" spans="15:18" x14ac:dyDescent="0.3">
      <c r="O4649" s="14"/>
      <c r="P4649" s="14"/>
      <c r="Q4649" s="14"/>
      <c r="R4649" s="14"/>
    </row>
    <row r="4650" spans="15:18" x14ac:dyDescent="0.3">
      <c r="O4650" s="14"/>
      <c r="P4650" s="14"/>
      <c r="Q4650" s="14"/>
      <c r="R4650" s="14"/>
    </row>
    <row r="4651" spans="15:18" x14ac:dyDescent="0.3">
      <c r="O4651" s="14"/>
      <c r="P4651" s="14"/>
      <c r="Q4651" s="14"/>
      <c r="R4651" s="14"/>
    </row>
    <row r="4652" spans="15:18" x14ac:dyDescent="0.3">
      <c r="O4652" s="14"/>
      <c r="P4652" s="14"/>
      <c r="Q4652" s="14"/>
      <c r="R4652" s="14"/>
    </row>
    <row r="4653" spans="15:18" x14ac:dyDescent="0.3">
      <c r="O4653" s="14"/>
      <c r="P4653" s="14"/>
      <c r="Q4653" s="14"/>
      <c r="R4653" s="14"/>
    </row>
    <row r="4654" spans="15:18" x14ac:dyDescent="0.3">
      <c r="O4654" s="14"/>
      <c r="P4654" s="14"/>
      <c r="Q4654" s="14"/>
      <c r="R4654" s="14"/>
    </row>
    <row r="4655" spans="15:18" x14ac:dyDescent="0.3">
      <c r="O4655" s="14"/>
      <c r="P4655" s="14"/>
      <c r="Q4655" s="14"/>
      <c r="R4655" s="14"/>
    </row>
    <row r="4656" spans="15:18" x14ac:dyDescent="0.3">
      <c r="O4656" s="14"/>
      <c r="P4656" s="14"/>
      <c r="Q4656" s="14"/>
      <c r="R4656" s="14"/>
    </row>
    <row r="4657" spans="15:18" x14ac:dyDescent="0.3">
      <c r="O4657" s="14"/>
      <c r="P4657" s="14"/>
      <c r="Q4657" s="14"/>
      <c r="R4657" s="14"/>
    </row>
    <row r="4658" spans="15:18" x14ac:dyDescent="0.3">
      <c r="O4658" s="14"/>
      <c r="P4658" s="14"/>
      <c r="Q4658" s="14"/>
      <c r="R4658" s="14"/>
    </row>
    <row r="4659" spans="15:18" x14ac:dyDescent="0.3">
      <c r="O4659" s="14"/>
      <c r="P4659" s="14"/>
      <c r="Q4659" s="14"/>
      <c r="R4659" s="14"/>
    </row>
    <row r="4660" spans="15:18" x14ac:dyDescent="0.3">
      <c r="O4660" s="14"/>
      <c r="P4660" s="14"/>
      <c r="Q4660" s="14"/>
      <c r="R4660" s="14"/>
    </row>
    <row r="4661" spans="15:18" x14ac:dyDescent="0.3">
      <c r="O4661" s="14"/>
      <c r="P4661" s="14"/>
      <c r="Q4661" s="14"/>
      <c r="R4661" s="14"/>
    </row>
    <row r="4662" spans="15:18" x14ac:dyDescent="0.3">
      <c r="O4662" s="14"/>
      <c r="P4662" s="14"/>
      <c r="Q4662" s="14"/>
      <c r="R4662" s="14"/>
    </row>
    <row r="4663" spans="15:18" x14ac:dyDescent="0.3">
      <c r="O4663" s="14"/>
      <c r="P4663" s="14"/>
      <c r="Q4663" s="14"/>
      <c r="R4663" s="14"/>
    </row>
    <row r="4664" spans="15:18" x14ac:dyDescent="0.3">
      <c r="O4664" s="14"/>
      <c r="P4664" s="14"/>
      <c r="Q4664" s="14"/>
      <c r="R4664" s="14"/>
    </row>
    <row r="4665" spans="15:18" x14ac:dyDescent="0.3">
      <c r="O4665" s="14"/>
      <c r="P4665" s="14"/>
      <c r="Q4665" s="14"/>
      <c r="R4665" s="14"/>
    </row>
    <row r="4666" spans="15:18" x14ac:dyDescent="0.3">
      <c r="O4666" s="14"/>
      <c r="P4666" s="14"/>
      <c r="Q4666" s="14"/>
      <c r="R4666" s="14"/>
    </row>
    <row r="4667" spans="15:18" x14ac:dyDescent="0.3">
      <c r="O4667" s="14"/>
      <c r="P4667" s="14"/>
      <c r="Q4667" s="14"/>
      <c r="R4667" s="14"/>
    </row>
    <row r="4668" spans="15:18" x14ac:dyDescent="0.3">
      <c r="O4668" s="14"/>
      <c r="P4668" s="14"/>
      <c r="Q4668" s="14"/>
      <c r="R4668" s="14"/>
    </row>
    <row r="4669" spans="15:18" x14ac:dyDescent="0.3">
      <c r="O4669" s="14"/>
      <c r="P4669" s="14"/>
      <c r="Q4669" s="14"/>
      <c r="R4669" s="14"/>
    </row>
    <row r="4670" spans="15:18" x14ac:dyDescent="0.3">
      <c r="O4670" s="14"/>
      <c r="P4670" s="14"/>
      <c r="Q4670" s="14"/>
      <c r="R4670" s="14"/>
    </row>
    <row r="4671" spans="15:18" x14ac:dyDescent="0.3">
      <c r="O4671" s="14"/>
      <c r="P4671" s="14"/>
      <c r="Q4671" s="14"/>
      <c r="R4671" s="14"/>
    </row>
    <row r="4672" spans="15:18" x14ac:dyDescent="0.3">
      <c r="O4672" s="14"/>
      <c r="P4672" s="14"/>
      <c r="Q4672" s="14"/>
      <c r="R4672" s="14"/>
    </row>
    <row r="4673" spans="15:18" x14ac:dyDescent="0.3">
      <c r="O4673" s="14"/>
      <c r="P4673" s="14"/>
      <c r="Q4673" s="14"/>
      <c r="R4673" s="14"/>
    </row>
    <row r="4674" spans="15:18" x14ac:dyDescent="0.3">
      <c r="O4674" s="14"/>
      <c r="P4674" s="14"/>
      <c r="Q4674" s="14"/>
      <c r="R4674" s="14"/>
    </row>
    <row r="4675" spans="15:18" x14ac:dyDescent="0.3">
      <c r="O4675" s="14"/>
      <c r="P4675" s="14"/>
      <c r="Q4675" s="14"/>
      <c r="R4675" s="14"/>
    </row>
    <row r="4676" spans="15:18" x14ac:dyDescent="0.3">
      <c r="O4676" s="14"/>
      <c r="P4676" s="14"/>
      <c r="Q4676" s="14"/>
      <c r="R4676" s="14"/>
    </row>
    <row r="4677" spans="15:18" x14ac:dyDescent="0.3">
      <c r="O4677" s="14"/>
      <c r="P4677" s="14"/>
      <c r="Q4677" s="14"/>
      <c r="R4677" s="14"/>
    </row>
    <row r="4678" spans="15:18" x14ac:dyDescent="0.3">
      <c r="O4678" s="14"/>
      <c r="P4678" s="14"/>
      <c r="Q4678" s="14"/>
      <c r="R4678" s="14"/>
    </row>
    <row r="4679" spans="15:18" x14ac:dyDescent="0.3">
      <c r="O4679" s="14"/>
      <c r="P4679" s="14"/>
      <c r="Q4679" s="14"/>
      <c r="R4679" s="14"/>
    </row>
    <row r="4680" spans="15:18" x14ac:dyDescent="0.3">
      <c r="O4680" s="14"/>
      <c r="P4680" s="14"/>
      <c r="Q4680" s="14"/>
      <c r="R4680" s="14"/>
    </row>
    <row r="4681" spans="15:18" x14ac:dyDescent="0.3">
      <c r="O4681" s="14"/>
      <c r="P4681" s="14"/>
      <c r="Q4681" s="14"/>
      <c r="R4681" s="14"/>
    </row>
    <row r="4682" spans="15:18" x14ac:dyDescent="0.3">
      <c r="O4682" s="14"/>
      <c r="P4682" s="14"/>
      <c r="Q4682" s="14"/>
      <c r="R4682" s="14"/>
    </row>
    <row r="4683" spans="15:18" x14ac:dyDescent="0.3">
      <c r="O4683" s="14"/>
      <c r="P4683" s="14"/>
      <c r="Q4683" s="14"/>
      <c r="R4683" s="14"/>
    </row>
    <row r="4684" spans="15:18" x14ac:dyDescent="0.3">
      <c r="O4684" s="14"/>
      <c r="P4684" s="14"/>
      <c r="Q4684" s="14"/>
      <c r="R4684" s="14"/>
    </row>
    <row r="4685" spans="15:18" x14ac:dyDescent="0.3">
      <c r="O4685" s="14"/>
      <c r="P4685" s="14"/>
      <c r="Q4685" s="14"/>
      <c r="R4685" s="14"/>
    </row>
    <row r="4686" spans="15:18" x14ac:dyDescent="0.3">
      <c r="O4686" s="14"/>
      <c r="P4686" s="14"/>
      <c r="Q4686" s="14"/>
      <c r="R4686" s="14"/>
    </row>
    <row r="4687" spans="15:18" x14ac:dyDescent="0.3">
      <c r="O4687" s="14"/>
      <c r="P4687" s="14"/>
      <c r="Q4687" s="14"/>
      <c r="R4687" s="14"/>
    </row>
    <row r="4688" spans="15:18" x14ac:dyDescent="0.3">
      <c r="O4688" s="14"/>
      <c r="P4688" s="14"/>
      <c r="Q4688" s="14"/>
      <c r="R4688" s="14"/>
    </row>
    <row r="4689" spans="15:18" x14ac:dyDescent="0.3">
      <c r="O4689" s="14"/>
      <c r="P4689" s="14"/>
      <c r="Q4689" s="14"/>
      <c r="R4689" s="14"/>
    </row>
    <row r="4690" spans="15:18" x14ac:dyDescent="0.3">
      <c r="O4690" s="14"/>
      <c r="P4690" s="14"/>
      <c r="Q4690" s="14"/>
      <c r="R4690" s="14"/>
    </row>
    <row r="4691" spans="15:18" x14ac:dyDescent="0.3">
      <c r="O4691" s="14"/>
      <c r="P4691" s="14"/>
      <c r="Q4691" s="14"/>
      <c r="R4691" s="14"/>
    </row>
    <row r="4692" spans="15:18" x14ac:dyDescent="0.3">
      <c r="O4692" s="14"/>
      <c r="P4692" s="14"/>
      <c r="Q4692" s="14"/>
      <c r="R4692" s="14"/>
    </row>
    <row r="4693" spans="15:18" x14ac:dyDescent="0.3">
      <c r="O4693" s="14"/>
      <c r="P4693" s="14"/>
      <c r="Q4693" s="14"/>
      <c r="R4693" s="14"/>
    </row>
    <row r="4694" spans="15:18" x14ac:dyDescent="0.3">
      <c r="O4694" s="14"/>
      <c r="P4694" s="14"/>
      <c r="Q4694" s="14"/>
      <c r="R4694" s="14"/>
    </row>
    <row r="4695" spans="15:18" x14ac:dyDescent="0.3">
      <c r="O4695" s="14"/>
      <c r="P4695" s="14"/>
      <c r="Q4695" s="14"/>
      <c r="R4695" s="14"/>
    </row>
    <row r="4696" spans="15:18" x14ac:dyDescent="0.3">
      <c r="O4696" s="14"/>
      <c r="P4696" s="14"/>
      <c r="Q4696" s="14"/>
      <c r="R4696" s="14"/>
    </row>
    <row r="4697" spans="15:18" x14ac:dyDescent="0.3">
      <c r="O4697" s="14"/>
      <c r="P4697" s="14"/>
      <c r="Q4697" s="14"/>
      <c r="R4697" s="14"/>
    </row>
    <row r="4698" spans="15:18" x14ac:dyDescent="0.3">
      <c r="O4698" s="14"/>
      <c r="P4698" s="14"/>
      <c r="Q4698" s="14"/>
      <c r="R4698" s="14"/>
    </row>
    <row r="4699" spans="15:18" x14ac:dyDescent="0.3">
      <c r="O4699" s="14"/>
      <c r="P4699" s="14"/>
      <c r="Q4699" s="14"/>
      <c r="R4699" s="14"/>
    </row>
    <row r="4700" spans="15:18" x14ac:dyDescent="0.3">
      <c r="O4700" s="14"/>
      <c r="P4700" s="14"/>
      <c r="Q4700" s="14"/>
      <c r="R4700" s="14"/>
    </row>
    <row r="4701" spans="15:18" x14ac:dyDescent="0.3">
      <c r="O4701" s="14"/>
      <c r="P4701" s="14"/>
      <c r="Q4701" s="14"/>
      <c r="R4701" s="14"/>
    </row>
    <row r="4702" spans="15:18" x14ac:dyDescent="0.3">
      <c r="O4702" s="14"/>
      <c r="P4702" s="14"/>
      <c r="Q4702" s="14"/>
      <c r="R4702" s="14"/>
    </row>
    <row r="4703" spans="15:18" x14ac:dyDescent="0.3">
      <c r="O4703" s="14"/>
      <c r="P4703" s="14"/>
      <c r="Q4703" s="14"/>
      <c r="R4703" s="14"/>
    </row>
    <row r="4704" spans="15:18" x14ac:dyDescent="0.3">
      <c r="O4704" s="14"/>
      <c r="P4704" s="14"/>
      <c r="Q4704" s="14"/>
      <c r="R4704" s="14"/>
    </row>
    <row r="4705" spans="15:18" x14ac:dyDescent="0.3">
      <c r="O4705" s="14"/>
      <c r="P4705" s="14"/>
      <c r="Q4705" s="14"/>
      <c r="R4705" s="14"/>
    </row>
    <row r="4706" spans="15:18" x14ac:dyDescent="0.3">
      <c r="O4706" s="14"/>
      <c r="P4706" s="14"/>
      <c r="Q4706" s="14"/>
      <c r="R4706" s="14"/>
    </row>
    <row r="4707" spans="15:18" x14ac:dyDescent="0.3">
      <c r="O4707" s="14"/>
      <c r="P4707" s="14"/>
      <c r="Q4707" s="14"/>
      <c r="R4707" s="14"/>
    </row>
    <row r="4708" spans="15:18" x14ac:dyDescent="0.3">
      <c r="O4708" s="14"/>
      <c r="P4708" s="14"/>
      <c r="Q4708" s="14"/>
      <c r="R4708" s="14"/>
    </row>
    <row r="4709" spans="15:18" x14ac:dyDescent="0.3">
      <c r="O4709" s="14"/>
      <c r="P4709" s="14"/>
      <c r="Q4709" s="14"/>
      <c r="R4709" s="14"/>
    </row>
    <row r="4710" spans="15:18" x14ac:dyDescent="0.3">
      <c r="O4710" s="14"/>
      <c r="P4710" s="14"/>
      <c r="Q4710" s="14"/>
      <c r="R4710" s="14"/>
    </row>
    <row r="4711" spans="15:18" x14ac:dyDescent="0.3">
      <c r="O4711" s="14"/>
      <c r="P4711" s="14"/>
      <c r="Q4711" s="14"/>
      <c r="R4711" s="14"/>
    </row>
    <row r="4712" spans="15:18" x14ac:dyDescent="0.3">
      <c r="O4712" s="14"/>
      <c r="P4712" s="14"/>
      <c r="Q4712" s="14"/>
      <c r="R4712" s="14"/>
    </row>
    <row r="4713" spans="15:18" x14ac:dyDescent="0.3">
      <c r="O4713" s="14"/>
      <c r="P4713" s="14"/>
      <c r="Q4713" s="14"/>
      <c r="R4713" s="14"/>
    </row>
    <row r="4714" spans="15:18" x14ac:dyDescent="0.3">
      <c r="O4714" s="14"/>
      <c r="P4714" s="14"/>
      <c r="Q4714" s="14"/>
      <c r="R4714" s="14"/>
    </row>
    <row r="4715" spans="15:18" x14ac:dyDescent="0.3">
      <c r="O4715" s="14"/>
      <c r="P4715" s="14"/>
      <c r="Q4715" s="14"/>
      <c r="R4715" s="14"/>
    </row>
    <row r="4716" spans="15:18" x14ac:dyDescent="0.3">
      <c r="O4716" s="14"/>
      <c r="P4716" s="14"/>
      <c r="Q4716" s="14"/>
      <c r="R4716" s="14"/>
    </row>
    <row r="4717" spans="15:18" x14ac:dyDescent="0.3">
      <c r="O4717" s="14"/>
      <c r="P4717" s="14"/>
      <c r="Q4717" s="14"/>
      <c r="R4717" s="14"/>
    </row>
    <row r="4718" spans="15:18" x14ac:dyDescent="0.3">
      <c r="O4718" s="14"/>
      <c r="P4718" s="14"/>
      <c r="Q4718" s="14"/>
      <c r="R4718" s="14"/>
    </row>
    <row r="4719" spans="15:18" x14ac:dyDescent="0.3">
      <c r="O4719" s="14"/>
      <c r="P4719" s="14"/>
      <c r="Q4719" s="14"/>
      <c r="R4719" s="14"/>
    </row>
    <row r="4720" spans="15:18" x14ac:dyDescent="0.3">
      <c r="O4720" s="14"/>
      <c r="P4720" s="14"/>
      <c r="Q4720" s="14"/>
      <c r="R4720" s="14"/>
    </row>
    <row r="4721" spans="15:18" x14ac:dyDescent="0.3">
      <c r="O4721" s="14"/>
      <c r="P4721" s="14"/>
      <c r="Q4721" s="14"/>
      <c r="R4721" s="14"/>
    </row>
    <row r="4722" spans="15:18" x14ac:dyDescent="0.3">
      <c r="O4722" s="14"/>
      <c r="P4722" s="14"/>
      <c r="Q4722" s="14"/>
      <c r="R4722" s="14"/>
    </row>
    <row r="4723" spans="15:18" x14ac:dyDescent="0.3">
      <c r="O4723" s="14"/>
      <c r="P4723" s="14"/>
      <c r="Q4723" s="14"/>
      <c r="R4723" s="14"/>
    </row>
    <row r="4724" spans="15:18" x14ac:dyDescent="0.3">
      <c r="O4724" s="14"/>
      <c r="P4724" s="14"/>
      <c r="Q4724" s="14"/>
      <c r="R4724" s="14"/>
    </row>
    <row r="4725" spans="15:18" x14ac:dyDescent="0.3">
      <c r="O4725" s="14"/>
      <c r="P4725" s="14"/>
      <c r="Q4725" s="14"/>
      <c r="R4725" s="14"/>
    </row>
    <row r="4726" spans="15:18" x14ac:dyDescent="0.3">
      <c r="O4726" s="14"/>
      <c r="P4726" s="14"/>
      <c r="Q4726" s="14"/>
      <c r="R4726" s="14"/>
    </row>
    <row r="4727" spans="15:18" x14ac:dyDescent="0.3">
      <c r="O4727" s="14"/>
      <c r="P4727" s="14"/>
      <c r="Q4727" s="14"/>
      <c r="R4727" s="14"/>
    </row>
    <row r="4728" spans="15:18" x14ac:dyDescent="0.3">
      <c r="O4728" s="14"/>
      <c r="P4728" s="14"/>
      <c r="Q4728" s="14"/>
      <c r="R4728" s="14"/>
    </row>
    <row r="4729" spans="15:18" x14ac:dyDescent="0.3">
      <c r="O4729" s="14"/>
      <c r="P4729" s="14"/>
      <c r="Q4729" s="14"/>
      <c r="R4729" s="14"/>
    </row>
    <row r="4730" spans="15:18" x14ac:dyDescent="0.3">
      <c r="O4730" s="14"/>
      <c r="P4730" s="14"/>
      <c r="Q4730" s="14"/>
      <c r="R4730" s="14"/>
    </row>
    <row r="4731" spans="15:18" x14ac:dyDescent="0.3">
      <c r="O4731" s="14"/>
      <c r="P4731" s="14"/>
      <c r="Q4731" s="14"/>
      <c r="R4731" s="14"/>
    </row>
    <row r="4732" spans="15:18" x14ac:dyDescent="0.3">
      <c r="O4732" s="14"/>
      <c r="P4732" s="14"/>
      <c r="Q4732" s="14"/>
      <c r="R4732" s="14"/>
    </row>
    <row r="4733" spans="15:18" x14ac:dyDescent="0.3">
      <c r="O4733" s="14"/>
      <c r="P4733" s="14"/>
      <c r="Q4733" s="14"/>
      <c r="R4733" s="14"/>
    </row>
    <row r="4734" spans="15:18" x14ac:dyDescent="0.3">
      <c r="O4734" s="14"/>
      <c r="P4734" s="14"/>
      <c r="Q4734" s="14"/>
      <c r="R4734" s="14"/>
    </row>
    <row r="4735" spans="15:18" x14ac:dyDescent="0.3">
      <c r="O4735" s="14"/>
      <c r="P4735" s="14"/>
      <c r="Q4735" s="14"/>
      <c r="R4735" s="14"/>
    </row>
    <row r="4736" spans="15:18" x14ac:dyDescent="0.3">
      <c r="O4736" s="14"/>
      <c r="P4736" s="14"/>
      <c r="Q4736" s="14"/>
      <c r="R4736" s="14"/>
    </row>
    <row r="4737" spans="15:18" x14ac:dyDescent="0.3">
      <c r="O4737" s="14"/>
      <c r="P4737" s="14"/>
      <c r="Q4737" s="14"/>
      <c r="R4737" s="14"/>
    </row>
    <row r="4738" spans="15:18" x14ac:dyDescent="0.3">
      <c r="O4738" s="14"/>
      <c r="P4738" s="14"/>
      <c r="Q4738" s="14"/>
      <c r="R4738" s="14"/>
    </row>
    <row r="4739" spans="15:18" x14ac:dyDescent="0.3">
      <c r="O4739" s="14"/>
      <c r="P4739" s="14"/>
      <c r="Q4739" s="14"/>
      <c r="R4739" s="14"/>
    </row>
    <row r="4740" spans="15:18" x14ac:dyDescent="0.3">
      <c r="O4740" s="14"/>
      <c r="P4740" s="14"/>
      <c r="Q4740" s="14"/>
      <c r="R4740" s="14"/>
    </row>
    <row r="4741" spans="15:18" x14ac:dyDescent="0.3">
      <c r="O4741" s="14"/>
      <c r="P4741" s="14"/>
      <c r="Q4741" s="14"/>
      <c r="R4741" s="14"/>
    </row>
    <row r="4742" spans="15:18" x14ac:dyDescent="0.3">
      <c r="O4742" s="14"/>
      <c r="P4742" s="14"/>
      <c r="Q4742" s="14"/>
      <c r="R4742" s="14"/>
    </row>
    <row r="4743" spans="15:18" x14ac:dyDescent="0.3">
      <c r="O4743" s="14"/>
      <c r="P4743" s="14"/>
      <c r="Q4743" s="14"/>
      <c r="R4743" s="14"/>
    </row>
    <row r="4744" spans="15:18" x14ac:dyDescent="0.3">
      <c r="O4744" s="14"/>
      <c r="P4744" s="14"/>
      <c r="Q4744" s="14"/>
      <c r="R4744" s="14"/>
    </row>
    <row r="4745" spans="15:18" x14ac:dyDescent="0.3">
      <c r="O4745" s="14"/>
      <c r="P4745" s="14"/>
      <c r="Q4745" s="14"/>
      <c r="R4745" s="14"/>
    </row>
    <row r="4746" spans="15:18" x14ac:dyDescent="0.3">
      <c r="O4746" s="14"/>
      <c r="P4746" s="14"/>
      <c r="Q4746" s="14"/>
      <c r="R4746" s="14"/>
    </row>
    <row r="4747" spans="15:18" x14ac:dyDescent="0.3">
      <c r="O4747" s="14"/>
      <c r="P4747" s="14"/>
      <c r="Q4747" s="14"/>
      <c r="R4747" s="14"/>
    </row>
    <row r="4748" spans="15:18" x14ac:dyDescent="0.3">
      <c r="O4748" s="14"/>
      <c r="P4748" s="14"/>
      <c r="Q4748" s="14"/>
      <c r="R4748" s="14"/>
    </row>
    <row r="4749" spans="15:18" x14ac:dyDescent="0.3">
      <c r="O4749" s="14"/>
      <c r="P4749" s="14"/>
      <c r="Q4749" s="14"/>
      <c r="R4749" s="14"/>
    </row>
    <row r="4750" spans="15:18" x14ac:dyDescent="0.3">
      <c r="O4750" s="14"/>
      <c r="P4750" s="14"/>
      <c r="Q4750" s="14"/>
      <c r="R4750" s="14"/>
    </row>
    <row r="4751" spans="15:18" x14ac:dyDescent="0.3">
      <c r="O4751" s="14"/>
      <c r="P4751" s="14"/>
      <c r="Q4751" s="14"/>
      <c r="R4751" s="14"/>
    </row>
    <row r="4752" spans="15:18" x14ac:dyDescent="0.3">
      <c r="O4752" s="14"/>
      <c r="P4752" s="14"/>
      <c r="Q4752" s="14"/>
      <c r="R4752" s="14"/>
    </row>
    <row r="4753" spans="15:18" x14ac:dyDescent="0.3">
      <c r="O4753" s="14"/>
      <c r="P4753" s="14"/>
      <c r="Q4753" s="14"/>
      <c r="R4753" s="14"/>
    </row>
    <row r="4754" spans="15:18" x14ac:dyDescent="0.3">
      <c r="O4754" s="14"/>
      <c r="P4754" s="14"/>
      <c r="Q4754" s="14"/>
      <c r="R4754" s="14"/>
    </row>
    <row r="4755" spans="15:18" x14ac:dyDescent="0.3">
      <c r="O4755" s="14"/>
      <c r="P4755" s="14"/>
      <c r="Q4755" s="14"/>
      <c r="R4755" s="14"/>
    </row>
    <row r="4756" spans="15:18" x14ac:dyDescent="0.3">
      <c r="O4756" s="14"/>
      <c r="P4756" s="14"/>
      <c r="Q4756" s="14"/>
      <c r="R4756" s="14"/>
    </row>
    <row r="4757" spans="15:18" x14ac:dyDescent="0.3">
      <c r="O4757" s="14"/>
      <c r="P4757" s="14"/>
      <c r="Q4757" s="14"/>
      <c r="R4757" s="14"/>
    </row>
    <row r="4758" spans="15:18" x14ac:dyDescent="0.3">
      <c r="O4758" s="14"/>
      <c r="P4758" s="14"/>
      <c r="Q4758" s="14"/>
      <c r="R4758" s="14"/>
    </row>
    <row r="4759" spans="15:18" x14ac:dyDescent="0.3">
      <c r="O4759" s="14"/>
      <c r="P4759" s="14"/>
      <c r="Q4759" s="14"/>
      <c r="R4759" s="14"/>
    </row>
    <row r="4760" spans="15:18" x14ac:dyDescent="0.3">
      <c r="O4760" s="14"/>
      <c r="P4760" s="14"/>
      <c r="Q4760" s="14"/>
      <c r="R4760" s="14"/>
    </row>
    <row r="4761" spans="15:18" x14ac:dyDescent="0.3">
      <c r="O4761" s="14"/>
      <c r="P4761" s="14"/>
      <c r="Q4761" s="14"/>
      <c r="R4761" s="14"/>
    </row>
    <row r="4762" spans="15:18" x14ac:dyDescent="0.3">
      <c r="O4762" s="14"/>
      <c r="P4762" s="14"/>
      <c r="Q4762" s="14"/>
      <c r="R4762" s="14"/>
    </row>
    <row r="4763" spans="15:18" x14ac:dyDescent="0.3">
      <c r="O4763" s="14"/>
      <c r="P4763" s="14"/>
      <c r="Q4763" s="14"/>
      <c r="R4763" s="14"/>
    </row>
    <row r="4764" spans="15:18" x14ac:dyDescent="0.3">
      <c r="O4764" s="14"/>
      <c r="P4764" s="14"/>
      <c r="Q4764" s="14"/>
      <c r="R4764" s="14"/>
    </row>
    <row r="4765" spans="15:18" x14ac:dyDescent="0.3">
      <c r="O4765" s="14"/>
      <c r="P4765" s="14"/>
      <c r="Q4765" s="14"/>
      <c r="R4765" s="14"/>
    </row>
    <row r="4766" spans="15:18" x14ac:dyDescent="0.3">
      <c r="O4766" s="14"/>
      <c r="P4766" s="14"/>
      <c r="Q4766" s="14"/>
      <c r="R4766" s="14"/>
    </row>
    <row r="4767" spans="15:18" x14ac:dyDescent="0.3">
      <c r="O4767" s="14"/>
      <c r="P4767" s="14"/>
      <c r="Q4767" s="14"/>
      <c r="R4767" s="14"/>
    </row>
    <row r="4768" spans="15:18" x14ac:dyDescent="0.3">
      <c r="O4768" s="14"/>
      <c r="P4768" s="14"/>
      <c r="Q4768" s="14"/>
      <c r="R4768" s="14"/>
    </row>
    <row r="4769" spans="15:18" x14ac:dyDescent="0.3">
      <c r="O4769" s="14"/>
      <c r="P4769" s="14"/>
      <c r="Q4769" s="14"/>
      <c r="R4769" s="14"/>
    </row>
    <row r="4770" spans="15:18" x14ac:dyDescent="0.3">
      <c r="O4770" s="14"/>
      <c r="P4770" s="14"/>
      <c r="Q4770" s="14"/>
      <c r="R4770" s="14"/>
    </row>
    <row r="4771" spans="15:18" x14ac:dyDescent="0.3">
      <c r="O4771" s="14"/>
      <c r="P4771" s="14"/>
      <c r="Q4771" s="14"/>
      <c r="R4771" s="14"/>
    </row>
    <row r="4772" spans="15:18" x14ac:dyDescent="0.3">
      <c r="O4772" s="14"/>
      <c r="P4772" s="14"/>
      <c r="Q4772" s="14"/>
      <c r="R4772" s="14"/>
    </row>
    <row r="4773" spans="15:18" x14ac:dyDescent="0.3">
      <c r="O4773" s="14"/>
      <c r="P4773" s="14"/>
      <c r="Q4773" s="14"/>
      <c r="R4773" s="14"/>
    </row>
    <row r="4774" spans="15:18" x14ac:dyDescent="0.3">
      <c r="O4774" s="14"/>
      <c r="P4774" s="14"/>
      <c r="Q4774" s="14"/>
      <c r="R4774" s="14"/>
    </row>
    <row r="4775" spans="15:18" x14ac:dyDescent="0.3">
      <c r="O4775" s="14"/>
      <c r="P4775" s="14"/>
      <c r="Q4775" s="14"/>
      <c r="R4775" s="14"/>
    </row>
    <row r="4776" spans="15:18" x14ac:dyDescent="0.3">
      <c r="O4776" s="14"/>
      <c r="P4776" s="14"/>
      <c r="Q4776" s="14"/>
      <c r="R4776" s="14"/>
    </row>
    <row r="4777" spans="15:18" x14ac:dyDescent="0.3">
      <c r="O4777" s="14"/>
      <c r="P4777" s="14"/>
      <c r="Q4777" s="14"/>
      <c r="R4777" s="14"/>
    </row>
    <row r="4778" spans="15:18" x14ac:dyDescent="0.3">
      <c r="O4778" s="14"/>
      <c r="P4778" s="14"/>
      <c r="Q4778" s="14"/>
      <c r="R4778" s="14"/>
    </row>
    <row r="4779" spans="15:18" x14ac:dyDescent="0.3">
      <c r="O4779" s="14"/>
      <c r="P4779" s="14"/>
      <c r="Q4779" s="14"/>
      <c r="R4779" s="14"/>
    </row>
    <row r="4780" spans="15:18" x14ac:dyDescent="0.3">
      <c r="O4780" s="14"/>
      <c r="P4780" s="14"/>
      <c r="Q4780" s="14"/>
      <c r="R4780" s="14"/>
    </row>
    <row r="4781" spans="15:18" x14ac:dyDescent="0.3">
      <c r="O4781" s="14"/>
      <c r="P4781" s="14"/>
      <c r="Q4781" s="14"/>
      <c r="R4781" s="14"/>
    </row>
    <row r="4782" spans="15:18" x14ac:dyDescent="0.3">
      <c r="O4782" s="14"/>
      <c r="P4782" s="14"/>
      <c r="Q4782" s="14"/>
      <c r="R4782" s="14"/>
    </row>
    <row r="4783" spans="15:18" x14ac:dyDescent="0.3">
      <c r="O4783" s="14"/>
      <c r="P4783" s="14"/>
      <c r="Q4783" s="14"/>
      <c r="R4783" s="14"/>
    </row>
    <row r="4784" spans="15:18" x14ac:dyDescent="0.3">
      <c r="O4784" s="14"/>
      <c r="P4784" s="14"/>
      <c r="Q4784" s="14"/>
      <c r="R4784" s="14"/>
    </row>
    <row r="4785" spans="15:18" x14ac:dyDescent="0.3">
      <c r="O4785" s="14"/>
      <c r="P4785" s="14"/>
      <c r="Q4785" s="14"/>
      <c r="R4785" s="14"/>
    </row>
    <row r="4786" spans="15:18" x14ac:dyDescent="0.3">
      <c r="O4786" s="14"/>
      <c r="P4786" s="14"/>
      <c r="Q4786" s="14"/>
      <c r="R4786" s="14"/>
    </row>
    <row r="4787" spans="15:18" x14ac:dyDescent="0.3">
      <c r="O4787" s="14"/>
      <c r="P4787" s="14"/>
      <c r="Q4787" s="14"/>
      <c r="R4787" s="14"/>
    </row>
    <row r="4788" spans="15:18" x14ac:dyDescent="0.3">
      <c r="O4788" s="14"/>
      <c r="P4788" s="14"/>
      <c r="Q4788" s="14"/>
      <c r="R4788" s="14"/>
    </row>
    <row r="4789" spans="15:18" x14ac:dyDescent="0.3">
      <c r="O4789" s="14"/>
      <c r="P4789" s="14"/>
      <c r="Q4789" s="14"/>
      <c r="R4789" s="14"/>
    </row>
    <row r="4790" spans="15:18" x14ac:dyDescent="0.3">
      <c r="O4790" s="14"/>
      <c r="P4790" s="14"/>
      <c r="Q4790" s="14"/>
      <c r="R4790" s="14"/>
    </row>
    <row r="4791" spans="15:18" x14ac:dyDescent="0.3">
      <c r="O4791" s="14"/>
      <c r="P4791" s="14"/>
      <c r="Q4791" s="14"/>
      <c r="R4791" s="14"/>
    </row>
    <row r="4792" spans="15:18" x14ac:dyDescent="0.3">
      <c r="O4792" s="14"/>
      <c r="P4792" s="14"/>
      <c r="Q4792" s="14"/>
      <c r="R4792" s="14"/>
    </row>
    <row r="4793" spans="15:18" x14ac:dyDescent="0.3">
      <c r="O4793" s="14"/>
      <c r="P4793" s="14"/>
      <c r="Q4793" s="14"/>
      <c r="R4793" s="14"/>
    </row>
    <row r="4794" spans="15:18" x14ac:dyDescent="0.3">
      <c r="O4794" s="14"/>
      <c r="P4794" s="14"/>
      <c r="Q4794" s="14"/>
      <c r="R4794" s="14"/>
    </row>
    <row r="4795" spans="15:18" x14ac:dyDescent="0.3">
      <c r="O4795" s="14"/>
      <c r="P4795" s="14"/>
      <c r="Q4795" s="14"/>
      <c r="R4795" s="14"/>
    </row>
    <row r="4796" spans="15:18" x14ac:dyDescent="0.3">
      <c r="O4796" s="14"/>
      <c r="P4796" s="14"/>
      <c r="Q4796" s="14"/>
      <c r="R4796" s="14"/>
    </row>
    <row r="4797" spans="15:18" x14ac:dyDescent="0.3">
      <c r="O4797" s="14"/>
      <c r="P4797" s="14"/>
      <c r="Q4797" s="14"/>
      <c r="R4797" s="14"/>
    </row>
    <row r="4798" spans="15:18" x14ac:dyDescent="0.3">
      <c r="O4798" s="14"/>
      <c r="P4798" s="14"/>
      <c r="Q4798" s="14"/>
      <c r="R4798" s="14"/>
    </row>
    <row r="4799" spans="15:18" x14ac:dyDescent="0.3">
      <c r="O4799" s="14"/>
      <c r="P4799" s="14"/>
      <c r="Q4799" s="14"/>
      <c r="R4799" s="14"/>
    </row>
    <row r="4800" spans="15:18" x14ac:dyDescent="0.3">
      <c r="O4800" s="14"/>
      <c r="P4800" s="14"/>
      <c r="Q4800" s="14"/>
      <c r="R4800" s="14"/>
    </row>
    <row r="4801" spans="15:18" x14ac:dyDescent="0.3">
      <c r="O4801" s="14"/>
      <c r="P4801" s="14"/>
      <c r="Q4801" s="14"/>
      <c r="R4801" s="14"/>
    </row>
    <row r="4802" spans="15:18" x14ac:dyDescent="0.3">
      <c r="O4802" s="14"/>
      <c r="P4802" s="14"/>
      <c r="Q4802" s="14"/>
      <c r="R4802" s="14"/>
    </row>
    <row r="4803" spans="15:18" x14ac:dyDescent="0.3">
      <c r="O4803" s="14"/>
      <c r="P4803" s="14"/>
      <c r="Q4803" s="14"/>
      <c r="R4803" s="14"/>
    </row>
    <row r="4804" spans="15:18" x14ac:dyDescent="0.3">
      <c r="O4804" s="14"/>
      <c r="P4804" s="14"/>
      <c r="Q4804" s="14"/>
      <c r="R4804" s="14"/>
    </row>
    <row r="4805" spans="15:18" x14ac:dyDescent="0.3">
      <c r="O4805" s="14"/>
      <c r="P4805" s="14"/>
      <c r="Q4805" s="14"/>
      <c r="R4805" s="14"/>
    </row>
    <row r="4806" spans="15:18" x14ac:dyDescent="0.3">
      <c r="O4806" s="14"/>
      <c r="P4806" s="14"/>
      <c r="Q4806" s="14"/>
      <c r="R4806" s="14"/>
    </row>
    <row r="4807" spans="15:18" x14ac:dyDescent="0.3">
      <c r="O4807" s="14"/>
      <c r="P4807" s="14"/>
      <c r="Q4807" s="14"/>
      <c r="R4807" s="14"/>
    </row>
    <row r="4808" spans="15:18" x14ac:dyDescent="0.3">
      <c r="O4808" s="14"/>
      <c r="P4808" s="14"/>
      <c r="Q4808" s="14"/>
      <c r="R4808" s="14"/>
    </row>
    <row r="4809" spans="15:18" x14ac:dyDescent="0.3">
      <c r="O4809" s="14"/>
      <c r="P4809" s="14"/>
      <c r="Q4809" s="14"/>
      <c r="R4809" s="14"/>
    </row>
    <row r="4810" spans="15:18" x14ac:dyDescent="0.3">
      <c r="O4810" s="14"/>
      <c r="P4810" s="14"/>
      <c r="Q4810" s="14"/>
      <c r="R4810" s="14"/>
    </row>
    <row r="4811" spans="15:18" x14ac:dyDescent="0.3">
      <c r="O4811" s="14"/>
      <c r="P4811" s="14"/>
      <c r="Q4811" s="14"/>
      <c r="R4811" s="14"/>
    </row>
    <row r="4812" spans="15:18" x14ac:dyDescent="0.3">
      <c r="O4812" s="14"/>
      <c r="P4812" s="14"/>
      <c r="Q4812" s="14"/>
      <c r="R4812" s="14"/>
    </row>
    <row r="4813" spans="15:18" x14ac:dyDescent="0.3">
      <c r="O4813" s="14"/>
      <c r="P4813" s="14"/>
      <c r="Q4813" s="14"/>
      <c r="R4813" s="14"/>
    </row>
    <row r="4814" spans="15:18" x14ac:dyDescent="0.3">
      <c r="O4814" s="14"/>
      <c r="P4814" s="14"/>
      <c r="Q4814" s="14"/>
      <c r="R4814" s="14"/>
    </row>
    <row r="4815" spans="15:18" x14ac:dyDescent="0.3">
      <c r="O4815" s="14"/>
      <c r="P4815" s="14"/>
      <c r="Q4815" s="14"/>
      <c r="R4815" s="14"/>
    </row>
    <row r="4816" spans="15:18" x14ac:dyDescent="0.3">
      <c r="O4816" s="14"/>
      <c r="P4816" s="14"/>
      <c r="Q4816" s="14"/>
      <c r="R4816" s="14"/>
    </row>
    <row r="4817" spans="15:18" x14ac:dyDescent="0.3">
      <c r="O4817" s="14"/>
      <c r="P4817" s="14"/>
      <c r="Q4817" s="14"/>
      <c r="R4817" s="14"/>
    </row>
    <row r="4818" spans="15:18" x14ac:dyDescent="0.3">
      <c r="O4818" s="14"/>
      <c r="P4818" s="14"/>
      <c r="Q4818" s="14"/>
      <c r="R4818" s="14"/>
    </row>
    <row r="4819" spans="15:18" x14ac:dyDescent="0.3">
      <c r="O4819" s="14"/>
      <c r="P4819" s="14"/>
      <c r="Q4819" s="14"/>
      <c r="R4819" s="14"/>
    </row>
    <row r="4820" spans="15:18" x14ac:dyDescent="0.3">
      <c r="O4820" s="14"/>
      <c r="P4820" s="14"/>
      <c r="Q4820" s="14"/>
      <c r="R4820" s="14"/>
    </row>
    <row r="4821" spans="15:18" x14ac:dyDescent="0.3">
      <c r="O4821" s="14"/>
      <c r="P4821" s="14"/>
      <c r="Q4821" s="14"/>
      <c r="R4821" s="14"/>
    </row>
    <row r="4822" spans="15:18" x14ac:dyDescent="0.3">
      <c r="O4822" s="14"/>
      <c r="P4822" s="14"/>
      <c r="Q4822" s="14"/>
      <c r="R4822" s="14"/>
    </row>
    <row r="4823" spans="15:18" x14ac:dyDescent="0.3">
      <c r="O4823" s="14"/>
      <c r="P4823" s="14"/>
      <c r="Q4823" s="14"/>
      <c r="R4823" s="14"/>
    </row>
    <row r="4824" spans="15:18" x14ac:dyDescent="0.3">
      <c r="O4824" s="14"/>
      <c r="P4824" s="14"/>
      <c r="Q4824" s="14"/>
      <c r="R4824" s="14"/>
    </row>
    <row r="4825" spans="15:18" x14ac:dyDescent="0.3">
      <c r="O4825" s="14"/>
      <c r="P4825" s="14"/>
      <c r="Q4825" s="14"/>
      <c r="R4825" s="14"/>
    </row>
    <row r="4826" spans="15:18" x14ac:dyDescent="0.3">
      <c r="O4826" s="14"/>
      <c r="P4826" s="14"/>
      <c r="Q4826" s="14"/>
      <c r="R4826" s="14"/>
    </row>
    <row r="4827" spans="15:18" x14ac:dyDescent="0.3">
      <c r="O4827" s="14"/>
      <c r="P4827" s="14"/>
      <c r="Q4827" s="14"/>
      <c r="R4827" s="14"/>
    </row>
    <row r="4828" spans="15:18" x14ac:dyDescent="0.3">
      <c r="O4828" s="14"/>
      <c r="P4828" s="14"/>
      <c r="Q4828" s="14"/>
      <c r="R4828" s="14"/>
    </row>
    <row r="4829" spans="15:18" x14ac:dyDescent="0.3">
      <c r="O4829" s="14"/>
      <c r="P4829" s="14"/>
      <c r="Q4829" s="14"/>
      <c r="R4829" s="14"/>
    </row>
    <row r="4830" spans="15:18" x14ac:dyDescent="0.3">
      <c r="O4830" s="14"/>
      <c r="P4830" s="14"/>
      <c r="Q4830" s="14"/>
      <c r="R4830" s="14"/>
    </row>
    <row r="4831" spans="15:18" x14ac:dyDescent="0.3">
      <c r="O4831" s="14"/>
      <c r="P4831" s="14"/>
      <c r="Q4831" s="14"/>
      <c r="R4831" s="14"/>
    </row>
    <row r="4832" spans="15:18" x14ac:dyDescent="0.3">
      <c r="O4832" s="14"/>
      <c r="P4832" s="14"/>
      <c r="Q4832" s="14"/>
      <c r="R4832" s="14"/>
    </row>
    <row r="4833" spans="15:18" x14ac:dyDescent="0.3">
      <c r="O4833" s="14"/>
      <c r="P4833" s="14"/>
      <c r="Q4833" s="14"/>
      <c r="R4833" s="14"/>
    </row>
    <row r="4834" spans="15:18" x14ac:dyDescent="0.3">
      <c r="O4834" s="14"/>
      <c r="P4834" s="14"/>
      <c r="Q4834" s="14"/>
      <c r="R4834" s="14"/>
    </row>
    <row r="4835" spans="15:18" x14ac:dyDescent="0.3">
      <c r="O4835" s="14"/>
      <c r="P4835" s="14"/>
      <c r="Q4835" s="14"/>
      <c r="R4835" s="14"/>
    </row>
    <row r="4836" spans="15:18" x14ac:dyDescent="0.3">
      <c r="O4836" s="14"/>
      <c r="P4836" s="14"/>
      <c r="Q4836" s="14"/>
      <c r="R4836" s="14"/>
    </row>
    <row r="4837" spans="15:18" x14ac:dyDescent="0.3">
      <c r="O4837" s="14"/>
      <c r="P4837" s="14"/>
      <c r="Q4837" s="14"/>
      <c r="R4837" s="14"/>
    </row>
    <row r="4838" spans="15:18" x14ac:dyDescent="0.3">
      <c r="O4838" s="14"/>
      <c r="P4838" s="14"/>
      <c r="Q4838" s="14"/>
      <c r="R4838" s="14"/>
    </row>
    <row r="4839" spans="15:18" x14ac:dyDescent="0.3">
      <c r="O4839" s="14"/>
      <c r="P4839" s="14"/>
      <c r="Q4839" s="14"/>
      <c r="R4839" s="14"/>
    </row>
    <row r="4840" spans="15:18" x14ac:dyDescent="0.3">
      <c r="O4840" s="14"/>
      <c r="P4840" s="14"/>
      <c r="Q4840" s="14"/>
      <c r="R4840" s="14"/>
    </row>
    <row r="4841" spans="15:18" x14ac:dyDescent="0.3">
      <c r="O4841" s="14"/>
      <c r="P4841" s="14"/>
      <c r="Q4841" s="14"/>
      <c r="R4841" s="14"/>
    </row>
    <row r="4842" spans="15:18" x14ac:dyDescent="0.3">
      <c r="O4842" s="14"/>
      <c r="P4842" s="14"/>
      <c r="Q4842" s="14"/>
      <c r="R4842" s="14"/>
    </row>
    <row r="4843" spans="15:18" x14ac:dyDescent="0.3">
      <c r="O4843" s="14"/>
      <c r="P4843" s="14"/>
      <c r="Q4843" s="14"/>
      <c r="R4843" s="14"/>
    </row>
    <row r="4844" spans="15:18" x14ac:dyDescent="0.3">
      <c r="O4844" s="14"/>
      <c r="P4844" s="14"/>
      <c r="Q4844" s="14"/>
      <c r="R4844" s="14"/>
    </row>
    <row r="4845" spans="15:18" x14ac:dyDescent="0.3">
      <c r="O4845" s="14"/>
      <c r="P4845" s="14"/>
      <c r="Q4845" s="14"/>
      <c r="R4845" s="14"/>
    </row>
    <row r="4846" spans="15:18" x14ac:dyDescent="0.3">
      <c r="O4846" s="14"/>
      <c r="P4846" s="14"/>
      <c r="Q4846" s="14"/>
      <c r="R4846" s="14"/>
    </row>
    <row r="4847" spans="15:18" x14ac:dyDescent="0.3">
      <c r="O4847" s="14"/>
      <c r="P4847" s="14"/>
      <c r="Q4847" s="14"/>
      <c r="R4847" s="14"/>
    </row>
    <row r="4848" spans="15:18" x14ac:dyDescent="0.3">
      <c r="O4848" s="14"/>
      <c r="P4848" s="14"/>
      <c r="Q4848" s="14"/>
      <c r="R4848" s="14"/>
    </row>
    <row r="4849" spans="15:18" x14ac:dyDescent="0.3">
      <c r="O4849" s="14"/>
      <c r="P4849" s="14"/>
      <c r="Q4849" s="14"/>
      <c r="R4849" s="14"/>
    </row>
    <row r="4850" spans="15:18" x14ac:dyDescent="0.3">
      <c r="O4850" s="14"/>
      <c r="P4850" s="14"/>
      <c r="Q4850" s="14"/>
      <c r="R4850" s="14"/>
    </row>
    <row r="4851" spans="15:18" x14ac:dyDescent="0.3">
      <c r="O4851" s="14"/>
      <c r="P4851" s="14"/>
      <c r="Q4851" s="14"/>
      <c r="R4851" s="14"/>
    </row>
    <row r="4852" spans="15:18" x14ac:dyDescent="0.3">
      <c r="O4852" s="14"/>
      <c r="P4852" s="14"/>
      <c r="Q4852" s="14"/>
      <c r="R4852" s="14"/>
    </row>
    <row r="4853" spans="15:18" x14ac:dyDescent="0.3">
      <c r="O4853" s="14"/>
      <c r="P4853" s="14"/>
      <c r="Q4853" s="14"/>
      <c r="R4853" s="14"/>
    </row>
    <row r="4854" spans="15:18" x14ac:dyDescent="0.3">
      <c r="O4854" s="14"/>
      <c r="P4854" s="14"/>
      <c r="Q4854" s="14"/>
      <c r="R4854" s="14"/>
    </row>
    <row r="4855" spans="15:18" x14ac:dyDescent="0.3">
      <c r="O4855" s="14"/>
      <c r="P4855" s="14"/>
      <c r="Q4855" s="14"/>
      <c r="R4855" s="14"/>
    </row>
    <row r="4856" spans="15:18" x14ac:dyDescent="0.3">
      <c r="O4856" s="14"/>
      <c r="P4856" s="14"/>
      <c r="Q4856" s="14"/>
      <c r="R4856" s="14"/>
    </row>
    <row r="4857" spans="15:18" x14ac:dyDescent="0.3">
      <c r="O4857" s="14"/>
      <c r="P4857" s="14"/>
      <c r="Q4857" s="14"/>
      <c r="R4857" s="14"/>
    </row>
    <row r="4858" spans="15:18" x14ac:dyDescent="0.3">
      <c r="O4858" s="14"/>
      <c r="P4858" s="14"/>
      <c r="Q4858" s="14"/>
      <c r="R4858" s="14"/>
    </row>
    <row r="4859" spans="15:18" x14ac:dyDescent="0.3">
      <c r="O4859" s="14"/>
      <c r="P4859" s="14"/>
      <c r="Q4859" s="14"/>
      <c r="R4859" s="14"/>
    </row>
    <row r="4860" spans="15:18" x14ac:dyDescent="0.3">
      <c r="O4860" s="14"/>
      <c r="P4860" s="14"/>
      <c r="Q4860" s="14"/>
      <c r="R4860" s="14"/>
    </row>
    <row r="4861" spans="15:18" x14ac:dyDescent="0.3">
      <c r="O4861" s="14"/>
      <c r="P4861" s="14"/>
      <c r="Q4861" s="14"/>
      <c r="R4861" s="14"/>
    </row>
    <row r="4862" spans="15:18" x14ac:dyDescent="0.3">
      <c r="O4862" s="14"/>
      <c r="P4862" s="14"/>
      <c r="Q4862" s="14"/>
      <c r="R4862" s="14"/>
    </row>
    <row r="4863" spans="15:18" x14ac:dyDescent="0.3">
      <c r="O4863" s="14"/>
      <c r="P4863" s="14"/>
      <c r="Q4863" s="14"/>
      <c r="R4863" s="14"/>
    </row>
    <row r="4864" spans="15:18" x14ac:dyDescent="0.3">
      <c r="O4864" s="14"/>
      <c r="P4864" s="14"/>
      <c r="Q4864" s="14"/>
      <c r="R4864" s="14"/>
    </row>
    <row r="4865" spans="15:18" x14ac:dyDescent="0.3">
      <c r="O4865" s="14"/>
      <c r="P4865" s="14"/>
      <c r="Q4865" s="14"/>
      <c r="R4865" s="14"/>
    </row>
    <row r="4866" spans="15:18" x14ac:dyDescent="0.3">
      <c r="O4866" s="14"/>
      <c r="P4866" s="14"/>
      <c r="Q4866" s="14"/>
      <c r="R4866" s="14"/>
    </row>
    <row r="4867" spans="15:18" x14ac:dyDescent="0.3">
      <c r="O4867" s="14"/>
      <c r="P4867" s="14"/>
      <c r="Q4867" s="14"/>
      <c r="R4867" s="14"/>
    </row>
    <row r="4868" spans="15:18" x14ac:dyDescent="0.3">
      <c r="O4868" s="14"/>
      <c r="P4868" s="14"/>
      <c r="Q4868" s="14"/>
      <c r="R4868" s="14"/>
    </row>
    <row r="4869" spans="15:18" x14ac:dyDescent="0.3">
      <c r="O4869" s="14"/>
      <c r="P4869" s="14"/>
      <c r="Q4869" s="14"/>
      <c r="R4869" s="14"/>
    </row>
    <row r="4870" spans="15:18" x14ac:dyDescent="0.3">
      <c r="O4870" s="14"/>
      <c r="P4870" s="14"/>
      <c r="Q4870" s="14"/>
      <c r="R4870" s="14"/>
    </row>
    <row r="4871" spans="15:18" x14ac:dyDescent="0.3">
      <c r="O4871" s="14"/>
      <c r="P4871" s="14"/>
      <c r="Q4871" s="14"/>
      <c r="R4871" s="14"/>
    </row>
    <row r="4872" spans="15:18" x14ac:dyDescent="0.3">
      <c r="O4872" s="14"/>
      <c r="P4872" s="14"/>
      <c r="Q4872" s="14"/>
      <c r="R4872" s="14"/>
    </row>
    <row r="4873" spans="15:18" x14ac:dyDescent="0.3">
      <c r="O4873" s="14"/>
      <c r="P4873" s="14"/>
      <c r="Q4873" s="14"/>
      <c r="R4873" s="14"/>
    </row>
    <row r="4874" spans="15:18" x14ac:dyDescent="0.3">
      <c r="O4874" s="14"/>
      <c r="P4874" s="14"/>
      <c r="Q4874" s="14"/>
      <c r="R4874" s="14"/>
    </row>
    <row r="4875" spans="15:18" x14ac:dyDescent="0.3">
      <c r="O4875" s="14"/>
      <c r="P4875" s="14"/>
      <c r="Q4875" s="14"/>
      <c r="R4875" s="14"/>
    </row>
    <row r="4876" spans="15:18" x14ac:dyDescent="0.3">
      <c r="O4876" s="14"/>
      <c r="P4876" s="14"/>
      <c r="Q4876" s="14"/>
      <c r="R4876" s="14"/>
    </row>
    <row r="4877" spans="15:18" x14ac:dyDescent="0.3">
      <c r="O4877" s="14"/>
      <c r="P4877" s="14"/>
      <c r="Q4877" s="14"/>
      <c r="R4877" s="14"/>
    </row>
    <row r="4878" spans="15:18" x14ac:dyDescent="0.3">
      <c r="O4878" s="14"/>
      <c r="P4878" s="14"/>
      <c r="Q4878" s="14"/>
      <c r="R4878" s="14"/>
    </row>
    <row r="4879" spans="15:18" x14ac:dyDescent="0.3">
      <c r="O4879" s="14"/>
      <c r="P4879" s="14"/>
      <c r="Q4879" s="14"/>
      <c r="R4879" s="14"/>
    </row>
    <row r="4880" spans="15:18" x14ac:dyDescent="0.3">
      <c r="O4880" s="14"/>
      <c r="P4880" s="14"/>
      <c r="Q4880" s="14"/>
      <c r="R4880" s="14"/>
    </row>
    <row r="4881" spans="15:18" x14ac:dyDescent="0.3">
      <c r="O4881" s="14"/>
      <c r="P4881" s="14"/>
      <c r="Q4881" s="14"/>
      <c r="R4881" s="14"/>
    </row>
    <row r="4882" spans="15:18" x14ac:dyDescent="0.3">
      <c r="O4882" s="14"/>
      <c r="P4882" s="14"/>
      <c r="Q4882" s="14"/>
      <c r="R4882" s="14"/>
    </row>
    <row r="4883" spans="15:18" x14ac:dyDescent="0.3">
      <c r="O4883" s="14"/>
      <c r="P4883" s="14"/>
      <c r="Q4883" s="14"/>
      <c r="R4883" s="14"/>
    </row>
    <row r="4884" spans="15:18" x14ac:dyDescent="0.3">
      <c r="O4884" s="14"/>
      <c r="P4884" s="14"/>
      <c r="Q4884" s="14"/>
      <c r="R4884" s="14"/>
    </row>
    <row r="4885" spans="15:18" x14ac:dyDescent="0.3">
      <c r="O4885" s="14"/>
      <c r="P4885" s="14"/>
      <c r="Q4885" s="14"/>
      <c r="R4885" s="14"/>
    </row>
    <row r="4886" spans="15:18" x14ac:dyDescent="0.3">
      <c r="O4886" s="14"/>
      <c r="P4886" s="14"/>
      <c r="Q4886" s="14"/>
      <c r="R4886" s="14"/>
    </row>
    <row r="4887" spans="15:18" x14ac:dyDescent="0.3">
      <c r="O4887" s="14"/>
      <c r="P4887" s="14"/>
      <c r="Q4887" s="14"/>
      <c r="R4887" s="14"/>
    </row>
    <row r="4888" spans="15:18" x14ac:dyDescent="0.3">
      <c r="O4888" s="14"/>
      <c r="P4888" s="14"/>
      <c r="Q4888" s="14"/>
      <c r="R4888" s="14"/>
    </row>
    <row r="4889" spans="15:18" x14ac:dyDescent="0.3">
      <c r="O4889" s="14"/>
      <c r="P4889" s="14"/>
      <c r="Q4889" s="14"/>
      <c r="R4889" s="14"/>
    </row>
    <row r="4890" spans="15:18" x14ac:dyDescent="0.3">
      <c r="O4890" s="14"/>
      <c r="P4890" s="14"/>
      <c r="Q4890" s="14"/>
      <c r="R4890" s="14"/>
    </row>
    <row r="4891" spans="15:18" x14ac:dyDescent="0.3">
      <c r="O4891" s="14"/>
      <c r="P4891" s="14"/>
      <c r="Q4891" s="14"/>
      <c r="R4891" s="14"/>
    </row>
    <row r="4892" spans="15:18" x14ac:dyDescent="0.3">
      <c r="O4892" s="14"/>
      <c r="P4892" s="14"/>
      <c r="Q4892" s="14"/>
      <c r="R4892" s="14"/>
    </row>
    <row r="4893" spans="15:18" x14ac:dyDescent="0.3">
      <c r="O4893" s="14"/>
      <c r="P4893" s="14"/>
      <c r="Q4893" s="14"/>
      <c r="R4893" s="14"/>
    </row>
    <row r="4894" spans="15:18" x14ac:dyDescent="0.3">
      <c r="O4894" s="14"/>
      <c r="P4894" s="14"/>
      <c r="Q4894" s="14"/>
      <c r="R4894" s="14"/>
    </row>
    <row r="4895" spans="15:18" x14ac:dyDescent="0.3">
      <c r="O4895" s="14"/>
      <c r="P4895" s="14"/>
      <c r="Q4895" s="14"/>
      <c r="R4895" s="14"/>
    </row>
    <row r="4896" spans="15:18" x14ac:dyDescent="0.3">
      <c r="O4896" s="14"/>
      <c r="P4896" s="14"/>
      <c r="Q4896" s="14"/>
      <c r="R4896" s="14"/>
    </row>
    <row r="4897" spans="15:18" x14ac:dyDescent="0.3">
      <c r="O4897" s="14"/>
      <c r="P4897" s="14"/>
      <c r="Q4897" s="14"/>
      <c r="R4897" s="14"/>
    </row>
    <row r="4898" spans="15:18" x14ac:dyDescent="0.3">
      <c r="O4898" s="14"/>
      <c r="P4898" s="14"/>
      <c r="Q4898" s="14"/>
      <c r="R4898" s="14"/>
    </row>
    <row r="4899" spans="15:18" x14ac:dyDescent="0.3">
      <c r="O4899" s="14"/>
      <c r="P4899" s="14"/>
      <c r="Q4899" s="14"/>
      <c r="R4899" s="14"/>
    </row>
    <row r="4900" spans="15:18" x14ac:dyDescent="0.3">
      <c r="O4900" s="14"/>
      <c r="P4900" s="14"/>
      <c r="Q4900" s="14"/>
      <c r="R4900" s="14"/>
    </row>
    <row r="4901" spans="15:18" x14ac:dyDescent="0.3">
      <c r="O4901" s="14"/>
      <c r="P4901" s="14"/>
      <c r="Q4901" s="14"/>
      <c r="R4901" s="14"/>
    </row>
    <row r="4902" spans="15:18" x14ac:dyDescent="0.3">
      <c r="O4902" s="14"/>
      <c r="P4902" s="14"/>
      <c r="Q4902" s="14"/>
      <c r="R4902" s="14"/>
    </row>
    <row r="4903" spans="15:18" x14ac:dyDescent="0.3">
      <c r="O4903" s="14"/>
      <c r="P4903" s="14"/>
      <c r="Q4903" s="14"/>
      <c r="R4903" s="14"/>
    </row>
    <row r="4904" spans="15:18" x14ac:dyDescent="0.3">
      <c r="O4904" s="14"/>
      <c r="P4904" s="14"/>
      <c r="Q4904" s="14"/>
      <c r="R4904" s="14"/>
    </row>
    <row r="4905" spans="15:18" x14ac:dyDescent="0.3">
      <c r="O4905" s="14"/>
      <c r="P4905" s="14"/>
      <c r="Q4905" s="14"/>
      <c r="R4905" s="14"/>
    </row>
    <row r="4906" spans="15:18" x14ac:dyDescent="0.3">
      <c r="O4906" s="14"/>
      <c r="P4906" s="14"/>
      <c r="Q4906" s="14"/>
      <c r="R4906" s="14"/>
    </row>
    <row r="4907" spans="15:18" x14ac:dyDescent="0.3">
      <c r="O4907" s="14"/>
      <c r="P4907" s="14"/>
      <c r="Q4907" s="14"/>
      <c r="R4907" s="14"/>
    </row>
    <row r="4908" spans="15:18" x14ac:dyDescent="0.3">
      <c r="O4908" s="14"/>
      <c r="P4908" s="14"/>
      <c r="Q4908" s="14"/>
      <c r="R4908" s="14"/>
    </row>
    <row r="4909" spans="15:18" x14ac:dyDescent="0.3">
      <c r="O4909" s="14"/>
      <c r="P4909" s="14"/>
      <c r="Q4909" s="14"/>
      <c r="R4909" s="14"/>
    </row>
    <row r="4910" spans="15:18" x14ac:dyDescent="0.3">
      <c r="O4910" s="14"/>
      <c r="P4910" s="14"/>
      <c r="Q4910" s="14"/>
      <c r="R4910" s="14"/>
    </row>
    <row r="4911" spans="15:18" x14ac:dyDescent="0.3">
      <c r="O4911" s="14"/>
      <c r="P4911" s="14"/>
      <c r="Q4911" s="14"/>
      <c r="R4911" s="14"/>
    </row>
    <row r="4912" spans="15:18" x14ac:dyDescent="0.3">
      <c r="O4912" s="14"/>
      <c r="P4912" s="14"/>
      <c r="Q4912" s="14"/>
      <c r="R4912" s="14"/>
    </row>
    <row r="4913" spans="15:18" x14ac:dyDescent="0.3">
      <c r="O4913" s="14"/>
      <c r="P4913" s="14"/>
      <c r="Q4913" s="14"/>
      <c r="R4913" s="14"/>
    </row>
    <row r="4914" spans="15:18" x14ac:dyDescent="0.3">
      <c r="O4914" s="14"/>
      <c r="P4914" s="14"/>
      <c r="Q4914" s="14"/>
      <c r="R4914" s="14"/>
    </row>
    <row r="4915" spans="15:18" x14ac:dyDescent="0.3">
      <c r="O4915" s="14"/>
      <c r="P4915" s="14"/>
      <c r="Q4915" s="14"/>
      <c r="R4915" s="14"/>
    </row>
    <row r="4916" spans="15:18" x14ac:dyDescent="0.3">
      <c r="O4916" s="14"/>
      <c r="P4916" s="14"/>
      <c r="Q4916" s="14"/>
      <c r="R4916" s="14"/>
    </row>
    <row r="4917" spans="15:18" x14ac:dyDescent="0.3">
      <c r="O4917" s="14"/>
      <c r="P4917" s="14"/>
      <c r="Q4917" s="14"/>
      <c r="R4917" s="14"/>
    </row>
    <row r="4918" spans="15:18" x14ac:dyDescent="0.3">
      <c r="O4918" s="14"/>
      <c r="P4918" s="14"/>
      <c r="Q4918" s="14"/>
      <c r="R4918" s="14"/>
    </row>
    <row r="4919" spans="15:18" x14ac:dyDescent="0.3">
      <c r="O4919" s="14"/>
      <c r="P4919" s="14"/>
      <c r="Q4919" s="14"/>
      <c r="R4919" s="14"/>
    </row>
    <row r="4920" spans="15:18" x14ac:dyDescent="0.3">
      <c r="O4920" s="14"/>
      <c r="P4920" s="14"/>
      <c r="Q4920" s="14"/>
      <c r="R4920" s="14"/>
    </row>
    <row r="4921" spans="15:18" x14ac:dyDescent="0.3">
      <c r="O4921" s="14"/>
      <c r="P4921" s="14"/>
      <c r="Q4921" s="14"/>
      <c r="R4921" s="14"/>
    </row>
    <row r="4922" spans="15:18" x14ac:dyDescent="0.3">
      <c r="O4922" s="14"/>
      <c r="P4922" s="14"/>
      <c r="Q4922" s="14"/>
      <c r="R4922" s="14"/>
    </row>
    <row r="4923" spans="15:18" x14ac:dyDescent="0.3">
      <c r="O4923" s="14"/>
      <c r="P4923" s="14"/>
      <c r="Q4923" s="14"/>
      <c r="R4923" s="14"/>
    </row>
    <row r="4924" spans="15:18" x14ac:dyDescent="0.3">
      <c r="O4924" s="14"/>
      <c r="P4924" s="14"/>
      <c r="Q4924" s="14"/>
      <c r="R4924" s="14"/>
    </row>
    <row r="4925" spans="15:18" x14ac:dyDescent="0.3">
      <c r="O4925" s="14"/>
      <c r="P4925" s="14"/>
      <c r="Q4925" s="14"/>
      <c r="R4925" s="14"/>
    </row>
    <row r="4926" spans="15:18" x14ac:dyDescent="0.3">
      <c r="O4926" s="14"/>
      <c r="P4926" s="14"/>
      <c r="Q4926" s="14"/>
      <c r="R4926" s="14"/>
    </row>
    <row r="4927" spans="15:18" x14ac:dyDescent="0.3">
      <c r="O4927" s="14"/>
      <c r="P4927" s="14"/>
      <c r="Q4927" s="14"/>
      <c r="R4927" s="14"/>
    </row>
    <row r="4928" spans="15:18" x14ac:dyDescent="0.3">
      <c r="O4928" s="14"/>
      <c r="P4928" s="14"/>
      <c r="Q4928" s="14"/>
      <c r="R4928" s="14"/>
    </row>
    <row r="4929" spans="15:18" x14ac:dyDescent="0.3">
      <c r="O4929" s="14"/>
      <c r="P4929" s="14"/>
      <c r="Q4929" s="14"/>
      <c r="R4929" s="14"/>
    </row>
    <row r="4930" spans="15:18" x14ac:dyDescent="0.3">
      <c r="O4930" s="14"/>
      <c r="P4930" s="14"/>
      <c r="Q4930" s="14"/>
      <c r="R4930" s="14"/>
    </row>
    <row r="4931" spans="15:18" x14ac:dyDescent="0.3">
      <c r="O4931" s="14"/>
      <c r="P4931" s="14"/>
      <c r="Q4931" s="14"/>
      <c r="R4931" s="14"/>
    </row>
    <row r="4932" spans="15:18" x14ac:dyDescent="0.3">
      <c r="O4932" s="14"/>
      <c r="P4932" s="14"/>
      <c r="Q4932" s="14"/>
      <c r="R4932" s="14"/>
    </row>
    <row r="4933" spans="15:18" x14ac:dyDescent="0.3">
      <c r="O4933" s="14"/>
      <c r="P4933" s="14"/>
      <c r="Q4933" s="14"/>
      <c r="R4933" s="14"/>
    </row>
    <row r="4934" spans="15:18" x14ac:dyDescent="0.3">
      <c r="O4934" s="14"/>
      <c r="P4934" s="14"/>
      <c r="Q4934" s="14"/>
      <c r="R4934" s="14"/>
    </row>
    <row r="4935" spans="15:18" x14ac:dyDescent="0.3">
      <c r="O4935" s="14"/>
      <c r="P4935" s="14"/>
      <c r="Q4935" s="14"/>
      <c r="R4935" s="14"/>
    </row>
    <row r="4936" spans="15:18" x14ac:dyDescent="0.3">
      <c r="O4936" s="14"/>
      <c r="P4936" s="14"/>
      <c r="Q4936" s="14"/>
      <c r="R4936" s="14"/>
    </row>
    <row r="4937" spans="15:18" x14ac:dyDescent="0.3">
      <c r="O4937" s="14"/>
      <c r="P4937" s="14"/>
      <c r="Q4937" s="14"/>
      <c r="R4937" s="14"/>
    </row>
    <row r="4938" spans="15:18" x14ac:dyDescent="0.3">
      <c r="O4938" s="14"/>
      <c r="P4938" s="14"/>
      <c r="Q4938" s="14"/>
      <c r="R4938" s="14"/>
    </row>
    <row r="4939" spans="15:18" x14ac:dyDescent="0.3">
      <c r="O4939" s="14"/>
      <c r="P4939" s="14"/>
      <c r="Q4939" s="14"/>
      <c r="R4939" s="14"/>
    </row>
    <row r="4940" spans="15:18" x14ac:dyDescent="0.3">
      <c r="O4940" s="14"/>
      <c r="P4940" s="14"/>
      <c r="Q4940" s="14"/>
      <c r="R4940" s="14"/>
    </row>
    <row r="4941" spans="15:18" x14ac:dyDescent="0.3">
      <c r="O4941" s="14"/>
      <c r="P4941" s="14"/>
      <c r="Q4941" s="14"/>
      <c r="R4941" s="14"/>
    </row>
    <row r="4942" spans="15:18" x14ac:dyDescent="0.3">
      <c r="O4942" s="14"/>
      <c r="P4942" s="14"/>
      <c r="Q4942" s="14"/>
      <c r="R4942" s="14"/>
    </row>
    <row r="4943" spans="15:18" x14ac:dyDescent="0.3">
      <c r="O4943" s="14"/>
      <c r="P4943" s="14"/>
      <c r="Q4943" s="14"/>
      <c r="R4943" s="14"/>
    </row>
    <row r="4944" spans="15:18" x14ac:dyDescent="0.3">
      <c r="O4944" s="14"/>
      <c r="P4944" s="14"/>
      <c r="Q4944" s="14"/>
      <c r="R4944" s="14"/>
    </row>
    <row r="4945" spans="15:18" x14ac:dyDescent="0.3">
      <c r="O4945" s="14"/>
      <c r="P4945" s="14"/>
      <c r="Q4945" s="14"/>
      <c r="R4945" s="14"/>
    </row>
    <row r="4946" spans="15:18" x14ac:dyDescent="0.3">
      <c r="O4946" s="14"/>
      <c r="P4946" s="14"/>
      <c r="Q4946" s="14"/>
      <c r="R4946" s="14"/>
    </row>
    <row r="4947" spans="15:18" x14ac:dyDescent="0.3">
      <c r="O4947" s="14"/>
      <c r="P4947" s="14"/>
      <c r="Q4947" s="14"/>
      <c r="R4947" s="14"/>
    </row>
    <row r="4948" spans="15:18" x14ac:dyDescent="0.3">
      <c r="O4948" s="14"/>
      <c r="P4948" s="14"/>
      <c r="Q4948" s="14"/>
      <c r="R4948" s="14"/>
    </row>
    <row r="4949" spans="15:18" x14ac:dyDescent="0.3">
      <c r="O4949" s="14"/>
      <c r="P4949" s="14"/>
      <c r="Q4949" s="14"/>
      <c r="R4949" s="14"/>
    </row>
    <row r="4950" spans="15:18" x14ac:dyDescent="0.3">
      <c r="O4950" s="14"/>
      <c r="P4950" s="14"/>
      <c r="Q4950" s="14"/>
      <c r="R4950" s="14"/>
    </row>
    <row r="4951" spans="15:18" x14ac:dyDescent="0.3">
      <c r="O4951" s="14"/>
      <c r="P4951" s="14"/>
      <c r="Q4951" s="14"/>
      <c r="R4951" s="14"/>
    </row>
    <row r="4952" spans="15:18" x14ac:dyDescent="0.3">
      <c r="O4952" s="14"/>
      <c r="P4952" s="14"/>
      <c r="Q4952" s="14"/>
      <c r="R4952" s="14"/>
    </row>
    <row r="4953" spans="15:18" x14ac:dyDescent="0.3">
      <c r="O4953" s="14"/>
      <c r="P4953" s="14"/>
      <c r="Q4953" s="14"/>
      <c r="R4953" s="14"/>
    </row>
    <row r="4954" spans="15:18" x14ac:dyDescent="0.3">
      <c r="O4954" s="14"/>
      <c r="P4954" s="14"/>
      <c r="Q4954" s="14"/>
      <c r="R4954" s="14"/>
    </row>
    <row r="4955" spans="15:18" x14ac:dyDescent="0.3">
      <c r="O4955" s="14"/>
      <c r="P4955" s="14"/>
      <c r="Q4955" s="14"/>
      <c r="R4955" s="14"/>
    </row>
    <row r="4956" spans="15:18" x14ac:dyDescent="0.3">
      <c r="O4956" s="14"/>
      <c r="P4956" s="14"/>
      <c r="Q4956" s="14"/>
      <c r="R4956" s="14"/>
    </row>
    <row r="4957" spans="15:18" x14ac:dyDescent="0.3">
      <c r="O4957" s="14"/>
      <c r="P4957" s="14"/>
      <c r="Q4957" s="14"/>
      <c r="R4957" s="14"/>
    </row>
    <row r="4958" spans="15:18" x14ac:dyDescent="0.3">
      <c r="O4958" s="14"/>
      <c r="P4958" s="14"/>
      <c r="Q4958" s="14"/>
      <c r="R4958" s="14"/>
    </row>
    <row r="4959" spans="15:18" x14ac:dyDescent="0.3">
      <c r="O4959" s="14"/>
      <c r="P4959" s="14"/>
      <c r="Q4959" s="14"/>
      <c r="R4959" s="14"/>
    </row>
    <row r="4960" spans="15:18" x14ac:dyDescent="0.3">
      <c r="O4960" s="14"/>
      <c r="P4960" s="14"/>
      <c r="Q4960" s="14"/>
      <c r="R4960" s="14"/>
    </row>
    <row r="4961" spans="15:18" x14ac:dyDescent="0.3">
      <c r="O4961" s="14"/>
      <c r="P4961" s="14"/>
      <c r="Q4961" s="14"/>
      <c r="R4961" s="14"/>
    </row>
    <row r="4962" spans="15:18" x14ac:dyDescent="0.3">
      <c r="O4962" s="14"/>
      <c r="P4962" s="14"/>
      <c r="Q4962" s="14"/>
      <c r="R4962" s="14"/>
    </row>
    <row r="4963" spans="15:18" x14ac:dyDescent="0.3">
      <c r="O4963" s="14"/>
      <c r="P4963" s="14"/>
      <c r="Q4963" s="14"/>
      <c r="R4963" s="14"/>
    </row>
    <row r="4964" spans="15:18" x14ac:dyDescent="0.3">
      <c r="O4964" s="14"/>
      <c r="P4964" s="14"/>
      <c r="Q4964" s="14"/>
      <c r="R4964" s="14"/>
    </row>
    <row r="4965" spans="15:18" x14ac:dyDescent="0.3">
      <c r="O4965" s="14"/>
      <c r="P4965" s="14"/>
      <c r="Q4965" s="14"/>
      <c r="R4965" s="14"/>
    </row>
    <row r="4966" spans="15:18" x14ac:dyDescent="0.3">
      <c r="O4966" s="14"/>
      <c r="P4966" s="14"/>
      <c r="Q4966" s="14"/>
      <c r="R4966" s="14"/>
    </row>
    <row r="4967" spans="15:18" x14ac:dyDescent="0.3">
      <c r="O4967" s="14"/>
      <c r="P4967" s="14"/>
      <c r="Q4967" s="14"/>
      <c r="R4967" s="14"/>
    </row>
    <row r="4968" spans="15:18" x14ac:dyDescent="0.3">
      <c r="O4968" s="14"/>
      <c r="P4968" s="14"/>
      <c r="Q4968" s="14"/>
      <c r="R4968" s="14"/>
    </row>
    <row r="4969" spans="15:18" x14ac:dyDescent="0.3">
      <c r="O4969" s="14"/>
      <c r="P4969" s="14"/>
      <c r="Q4969" s="14"/>
      <c r="R4969" s="14"/>
    </row>
    <row r="4970" spans="15:18" x14ac:dyDescent="0.3">
      <c r="O4970" s="14"/>
      <c r="P4970" s="14"/>
      <c r="Q4970" s="14"/>
      <c r="R4970" s="14"/>
    </row>
    <row r="4971" spans="15:18" x14ac:dyDescent="0.3">
      <c r="O4971" s="14"/>
      <c r="P4971" s="14"/>
      <c r="Q4971" s="14"/>
      <c r="R4971" s="14"/>
    </row>
    <row r="4972" spans="15:18" x14ac:dyDescent="0.3">
      <c r="O4972" s="14"/>
      <c r="P4972" s="14"/>
      <c r="Q4972" s="14"/>
      <c r="R4972" s="14"/>
    </row>
    <row r="4973" spans="15:18" x14ac:dyDescent="0.3">
      <c r="O4973" s="14"/>
      <c r="P4973" s="14"/>
      <c r="Q4973" s="14"/>
      <c r="R4973" s="14"/>
    </row>
    <row r="4974" spans="15:18" x14ac:dyDescent="0.3">
      <c r="O4974" s="14"/>
      <c r="P4974" s="14"/>
      <c r="Q4974" s="14"/>
      <c r="R4974" s="14"/>
    </row>
    <row r="4975" spans="15:18" x14ac:dyDescent="0.3">
      <c r="O4975" s="14"/>
      <c r="P4975" s="14"/>
      <c r="Q4975" s="14"/>
      <c r="R4975" s="14"/>
    </row>
    <row r="4976" spans="15:18" x14ac:dyDescent="0.3">
      <c r="O4976" s="14"/>
      <c r="P4976" s="14"/>
      <c r="Q4976" s="14"/>
      <c r="R4976" s="14"/>
    </row>
    <row r="4977" spans="15:18" x14ac:dyDescent="0.3">
      <c r="O4977" s="14"/>
      <c r="P4977" s="14"/>
      <c r="Q4977" s="14"/>
      <c r="R4977" s="14"/>
    </row>
    <row r="4978" spans="15:18" x14ac:dyDescent="0.3">
      <c r="O4978" s="14"/>
      <c r="P4978" s="14"/>
      <c r="Q4978" s="14"/>
      <c r="R4978" s="14"/>
    </row>
    <row r="4979" spans="15:18" x14ac:dyDescent="0.3">
      <c r="O4979" s="14"/>
      <c r="P4979" s="14"/>
      <c r="Q4979" s="14"/>
      <c r="R4979" s="14"/>
    </row>
    <row r="4980" spans="15:18" x14ac:dyDescent="0.3">
      <c r="O4980" s="14"/>
      <c r="P4980" s="14"/>
      <c r="Q4980" s="14"/>
      <c r="R4980" s="14"/>
    </row>
    <row r="4981" spans="15:18" x14ac:dyDescent="0.3">
      <c r="O4981" s="14"/>
      <c r="P4981" s="14"/>
      <c r="Q4981" s="14"/>
      <c r="R4981" s="14"/>
    </row>
    <row r="4982" spans="15:18" x14ac:dyDescent="0.3">
      <c r="O4982" s="14"/>
      <c r="P4982" s="14"/>
      <c r="Q4982" s="14"/>
      <c r="R4982" s="14"/>
    </row>
    <row r="4983" spans="15:18" x14ac:dyDescent="0.3">
      <c r="O4983" s="14"/>
      <c r="P4983" s="14"/>
      <c r="Q4983" s="14"/>
      <c r="R4983" s="14"/>
    </row>
    <row r="4984" spans="15:18" x14ac:dyDescent="0.3">
      <c r="O4984" s="14"/>
      <c r="P4984" s="14"/>
      <c r="Q4984" s="14"/>
      <c r="R4984" s="14"/>
    </row>
    <row r="4985" spans="15:18" x14ac:dyDescent="0.3">
      <c r="O4985" s="14"/>
      <c r="P4985" s="14"/>
      <c r="Q4985" s="14"/>
      <c r="R4985" s="14"/>
    </row>
    <row r="4986" spans="15:18" x14ac:dyDescent="0.3">
      <c r="O4986" s="14"/>
      <c r="P4986" s="14"/>
      <c r="Q4986" s="14"/>
      <c r="R4986" s="14"/>
    </row>
    <row r="4987" spans="15:18" x14ac:dyDescent="0.3">
      <c r="O4987" s="14"/>
      <c r="P4987" s="14"/>
      <c r="Q4987" s="14"/>
      <c r="R4987" s="14"/>
    </row>
    <row r="4988" spans="15:18" x14ac:dyDescent="0.3">
      <c r="O4988" s="14"/>
      <c r="P4988" s="14"/>
      <c r="Q4988" s="14"/>
      <c r="R4988" s="14"/>
    </row>
    <row r="4989" spans="15:18" x14ac:dyDescent="0.3">
      <c r="O4989" s="14"/>
      <c r="P4989" s="14"/>
      <c r="Q4989" s="14"/>
      <c r="R4989" s="14"/>
    </row>
    <row r="4990" spans="15:18" x14ac:dyDescent="0.3">
      <c r="O4990" s="14"/>
      <c r="P4990" s="14"/>
      <c r="Q4990" s="14"/>
      <c r="R4990" s="14"/>
    </row>
    <row r="4991" spans="15:18" x14ac:dyDescent="0.3">
      <c r="O4991" s="14"/>
      <c r="P4991" s="14"/>
      <c r="Q4991" s="14"/>
      <c r="R4991" s="14"/>
    </row>
    <row r="4992" spans="15:18" x14ac:dyDescent="0.3">
      <c r="O4992" s="14"/>
      <c r="P4992" s="14"/>
      <c r="Q4992" s="14"/>
      <c r="R4992" s="14"/>
    </row>
    <row r="4993" spans="15:18" x14ac:dyDescent="0.3">
      <c r="O4993" s="14"/>
      <c r="P4993" s="14"/>
      <c r="Q4993" s="14"/>
      <c r="R4993" s="14"/>
    </row>
    <row r="4994" spans="15:18" x14ac:dyDescent="0.3">
      <c r="O4994" s="14"/>
      <c r="P4994" s="14"/>
      <c r="Q4994" s="14"/>
      <c r="R4994" s="14"/>
    </row>
    <row r="4995" spans="15:18" x14ac:dyDescent="0.3">
      <c r="O4995" s="14"/>
      <c r="P4995" s="14"/>
      <c r="Q4995" s="14"/>
      <c r="R4995" s="14"/>
    </row>
    <row r="4996" spans="15:18" x14ac:dyDescent="0.3">
      <c r="O4996" s="14"/>
      <c r="P4996" s="14"/>
      <c r="Q4996" s="14"/>
      <c r="R4996" s="14"/>
    </row>
    <row r="4997" spans="15:18" x14ac:dyDescent="0.3">
      <c r="O4997" s="14"/>
      <c r="P4997" s="14"/>
      <c r="Q4997" s="14"/>
      <c r="R4997" s="14"/>
    </row>
    <row r="4998" spans="15:18" x14ac:dyDescent="0.3">
      <c r="O4998" s="14"/>
      <c r="P4998" s="14"/>
      <c r="Q4998" s="14"/>
      <c r="R4998" s="14"/>
    </row>
    <row r="4999" spans="15:18" x14ac:dyDescent="0.3">
      <c r="O4999" s="14"/>
      <c r="P4999" s="14"/>
      <c r="Q4999" s="14"/>
      <c r="R4999" s="14"/>
    </row>
    <row r="5000" spans="15:18" x14ac:dyDescent="0.3">
      <c r="O5000" s="14"/>
      <c r="P5000" s="14"/>
      <c r="Q5000" s="14"/>
      <c r="R5000" s="14"/>
    </row>
    <row r="5001" spans="15:18" x14ac:dyDescent="0.3">
      <c r="O5001" s="14"/>
      <c r="P5001" s="14"/>
      <c r="Q5001" s="14"/>
      <c r="R5001" s="14"/>
    </row>
    <row r="5002" spans="15:18" x14ac:dyDescent="0.3">
      <c r="O5002" s="14"/>
      <c r="P5002" s="14"/>
      <c r="Q5002" s="14"/>
      <c r="R5002" s="14"/>
    </row>
    <row r="5003" spans="15:18" x14ac:dyDescent="0.3">
      <c r="O5003" s="14"/>
      <c r="P5003" s="14"/>
      <c r="Q5003" s="14"/>
      <c r="R5003" s="14"/>
    </row>
    <row r="5004" spans="15:18" x14ac:dyDescent="0.3">
      <c r="O5004" s="14"/>
      <c r="P5004" s="14"/>
      <c r="Q5004" s="14"/>
      <c r="R5004" s="14"/>
    </row>
    <row r="5005" spans="15:18" x14ac:dyDescent="0.3">
      <c r="O5005" s="14"/>
      <c r="P5005" s="14"/>
      <c r="Q5005" s="14"/>
      <c r="R5005" s="14"/>
    </row>
    <row r="5006" spans="15:18" x14ac:dyDescent="0.3">
      <c r="O5006" s="14"/>
      <c r="P5006" s="14"/>
      <c r="Q5006" s="14"/>
      <c r="R5006" s="14"/>
    </row>
    <row r="5007" spans="15:18" x14ac:dyDescent="0.3">
      <c r="O5007" s="14"/>
      <c r="P5007" s="14"/>
      <c r="Q5007" s="14"/>
      <c r="R5007" s="14"/>
    </row>
    <row r="5008" spans="15:18" x14ac:dyDescent="0.3">
      <c r="O5008" s="14"/>
      <c r="P5008" s="14"/>
      <c r="Q5008" s="14"/>
      <c r="R5008" s="14"/>
    </row>
    <row r="5009" spans="15:18" x14ac:dyDescent="0.3">
      <c r="O5009" s="14"/>
      <c r="P5009" s="14"/>
      <c r="Q5009" s="14"/>
      <c r="R5009" s="14"/>
    </row>
    <row r="5010" spans="15:18" x14ac:dyDescent="0.3">
      <c r="O5010" s="14"/>
      <c r="P5010" s="14"/>
      <c r="Q5010" s="14"/>
      <c r="R5010" s="14"/>
    </row>
    <row r="5011" spans="15:18" x14ac:dyDescent="0.3">
      <c r="O5011" s="14"/>
      <c r="P5011" s="14"/>
      <c r="Q5011" s="14"/>
      <c r="R5011" s="14"/>
    </row>
    <row r="5012" spans="15:18" x14ac:dyDescent="0.3">
      <c r="O5012" s="14"/>
      <c r="P5012" s="14"/>
      <c r="Q5012" s="14"/>
      <c r="R5012" s="14"/>
    </row>
    <row r="5013" spans="15:18" x14ac:dyDescent="0.3">
      <c r="O5013" s="14"/>
      <c r="P5013" s="14"/>
      <c r="Q5013" s="14"/>
      <c r="R5013" s="14"/>
    </row>
    <row r="5014" spans="15:18" x14ac:dyDescent="0.3">
      <c r="O5014" s="14"/>
      <c r="P5014" s="14"/>
      <c r="Q5014" s="14"/>
      <c r="R5014" s="14"/>
    </row>
    <row r="5015" spans="15:18" x14ac:dyDescent="0.3">
      <c r="O5015" s="14"/>
      <c r="P5015" s="14"/>
      <c r="Q5015" s="14"/>
      <c r="R5015" s="14"/>
    </row>
    <row r="5016" spans="15:18" x14ac:dyDescent="0.3">
      <c r="O5016" s="14"/>
      <c r="P5016" s="14"/>
      <c r="Q5016" s="14"/>
      <c r="R5016" s="14"/>
    </row>
    <row r="5017" spans="15:18" x14ac:dyDescent="0.3">
      <c r="O5017" s="14"/>
      <c r="P5017" s="14"/>
      <c r="Q5017" s="14"/>
      <c r="R5017" s="14"/>
    </row>
    <row r="5018" spans="15:18" x14ac:dyDescent="0.3">
      <c r="O5018" s="14"/>
      <c r="P5018" s="14"/>
      <c r="Q5018" s="14"/>
      <c r="R5018" s="14"/>
    </row>
    <row r="5019" spans="15:18" x14ac:dyDescent="0.3">
      <c r="O5019" s="14"/>
      <c r="P5019" s="14"/>
      <c r="Q5019" s="14"/>
      <c r="R5019" s="14"/>
    </row>
    <row r="5020" spans="15:18" x14ac:dyDescent="0.3">
      <c r="O5020" s="14"/>
      <c r="P5020" s="14"/>
      <c r="Q5020" s="14"/>
      <c r="R5020" s="14"/>
    </row>
    <row r="5021" spans="15:18" x14ac:dyDescent="0.3">
      <c r="O5021" s="14"/>
      <c r="P5021" s="14"/>
      <c r="Q5021" s="14"/>
      <c r="R5021" s="14"/>
    </row>
    <row r="5022" spans="15:18" x14ac:dyDescent="0.3">
      <c r="O5022" s="14"/>
      <c r="P5022" s="14"/>
      <c r="Q5022" s="14"/>
      <c r="R5022" s="14"/>
    </row>
    <row r="5023" spans="15:18" x14ac:dyDescent="0.3">
      <c r="O5023" s="14"/>
      <c r="P5023" s="14"/>
      <c r="Q5023" s="14"/>
      <c r="R5023" s="14"/>
    </row>
    <row r="5024" spans="15:18" x14ac:dyDescent="0.3">
      <c r="O5024" s="14"/>
      <c r="P5024" s="14"/>
      <c r="Q5024" s="14"/>
      <c r="R5024" s="14"/>
    </row>
    <row r="5025" spans="15:18" x14ac:dyDescent="0.3">
      <c r="O5025" s="14"/>
      <c r="P5025" s="14"/>
      <c r="Q5025" s="14"/>
      <c r="R5025" s="14"/>
    </row>
    <row r="5026" spans="15:18" x14ac:dyDescent="0.3">
      <c r="O5026" s="14"/>
      <c r="P5026" s="14"/>
      <c r="Q5026" s="14"/>
      <c r="R5026" s="14"/>
    </row>
    <row r="5027" spans="15:18" x14ac:dyDescent="0.3">
      <c r="O5027" s="14"/>
      <c r="P5027" s="14"/>
      <c r="Q5027" s="14"/>
      <c r="R5027" s="14"/>
    </row>
    <row r="5028" spans="15:18" x14ac:dyDescent="0.3">
      <c r="O5028" s="14"/>
      <c r="P5028" s="14"/>
      <c r="Q5028" s="14"/>
      <c r="R5028" s="14"/>
    </row>
    <row r="5029" spans="15:18" x14ac:dyDescent="0.3">
      <c r="O5029" s="14"/>
      <c r="P5029" s="14"/>
      <c r="Q5029" s="14"/>
      <c r="R5029" s="14"/>
    </row>
    <row r="5030" spans="15:18" x14ac:dyDescent="0.3">
      <c r="O5030" s="14"/>
      <c r="P5030" s="14"/>
      <c r="Q5030" s="14"/>
      <c r="R5030" s="14"/>
    </row>
    <row r="5031" spans="15:18" x14ac:dyDescent="0.3">
      <c r="O5031" s="14"/>
      <c r="P5031" s="14"/>
      <c r="Q5031" s="14"/>
      <c r="R5031" s="14"/>
    </row>
    <row r="5032" spans="15:18" x14ac:dyDescent="0.3">
      <c r="O5032" s="14"/>
      <c r="P5032" s="14"/>
      <c r="Q5032" s="14"/>
      <c r="R5032" s="14"/>
    </row>
    <row r="5033" spans="15:18" x14ac:dyDescent="0.3">
      <c r="O5033" s="14"/>
      <c r="P5033" s="14"/>
      <c r="Q5033" s="14"/>
      <c r="R5033" s="14"/>
    </row>
    <row r="5034" spans="15:18" x14ac:dyDescent="0.3">
      <c r="O5034" s="14"/>
      <c r="P5034" s="14"/>
      <c r="Q5034" s="14"/>
      <c r="R5034" s="14"/>
    </row>
    <row r="5035" spans="15:18" x14ac:dyDescent="0.3">
      <c r="O5035" s="14"/>
      <c r="P5035" s="14"/>
      <c r="Q5035" s="14"/>
      <c r="R5035" s="14"/>
    </row>
    <row r="5036" spans="15:18" x14ac:dyDescent="0.3">
      <c r="O5036" s="14"/>
      <c r="P5036" s="14"/>
      <c r="Q5036" s="14"/>
      <c r="R5036" s="14"/>
    </row>
    <row r="5037" spans="15:18" x14ac:dyDescent="0.3">
      <c r="O5037" s="14"/>
      <c r="P5037" s="14"/>
      <c r="Q5037" s="14"/>
      <c r="R5037" s="14"/>
    </row>
    <row r="5038" spans="15:18" x14ac:dyDescent="0.3">
      <c r="O5038" s="14"/>
      <c r="P5038" s="14"/>
      <c r="Q5038" s="14"/>
      <c r="R5038" s="14"/>
    </row>
    <row r="5039" spans="15:18" x14ac:dyDescent="0.3">
      <c r="O5039" s="14"/>
      <c r="P5039" s="14"/>
      <c r="Q5039" s="14"/>
      <c r="R5039" s="14"/>
    </row>
    <row r="5040" spans="15:18" x14ac:dyDescent="0.3">
      <c r="O5040" s="14"/>
      <c r="P5040" s="14"/>
      <c r="Q5040" s="14"/>
      <c r="R5040" s="14"/>
    </row>
    <row r="5041" spans="15:18" x14ac:dyDescent="0.3">
      <c r="O5041" s="14"/>
      <c r="P5041" s="14"/>
      <c r="Q5041" s="14"/>
      <c r="R5041" s="14"/>
    </row>
    <row r="5042" spans="15:18" x14ac:dyDescent="0.3">
      <c r="O5042" s="14"/>
      <c r="P5042" s="14"/>
      <c r="Q5042" s="14"/>
      <c r="R5042" s="14"/>
    </row>
    <row r="5043" spans="15:18" x14ac:dyDescent="0.3">
      <c r="O5043" s="14"/>
      <c r="P5043" s="14"/>
      <c r="Q5043" s="14"/>
      <c r="R5043" s="14"/>
    </row>
    <row r="5044" spans="15:18" x14ac:dyDescent="0.3">
      <c r="O5044" s="14"/>
      <c r="P5044" s="14"/>
      <c r="Q5044" s="14"/>
      <c r="R5044" s="14"/>
    </row>
    <row r="5045" spans="15:18" x14ac:dyDescent="0.3">
      <c r="O5045" s="14"/>
      <c r="P5045" s="14"/>
      <c r="Q5045" s="14"/>
      <c r="R5045" s="14"/>
    </row>
    <row r="5046" spans="15:18" x14ac:dyDescent="0.3">
      <c r="O5046" s="14"/>
      <c r="P5046" s="14"/>
      <c r="Q5046" s="14"/>
      <c r="R5046" s="14"/>
    </row>
    <row r="5047" spans="15:18" x14ac:dyDescent="0.3">
      <c r="O5047" s="14"/>
      <c r="P5047" s="14"/>
      <c r="Q5047" s="14"/>
      <c r="R5047" s="14"/>
    </row>
    <row r="5048" spans="15:18" x14ac:dyDescent="0.3">
      <c r="O5048" s="14"/>
      <c r="P5048" s="14"/>
      <c r="Q5048" s="14"/>
      <c r="R5048" s="14"/>
    </row>
    <row r="5049" spans="15:18" x14ac:dyDescent="0.3">
      <c r="O5049" s="14"/>
      <c r="P5049" s="14"/>
      <c r="Q5049" s="14"/>
      <c r="R5049" s="14"/>
    </row>
    <row r="5050" spans="15:18" x14ac:dyDescent="0.3">
      <c r="O5050" s="14"/>
      <c r="P5050" s="14"/>
      <c r="Q5050" s="14"/>
      <c r="R5050" s="14"/>
    </row>
    <row r="5051" spans="15:18" x14ac:dyDescent="0.3">
      <c r="O5051" s="14"/>
      <c r="P5051" s="14"/>
      <c r="Q5051" s="14"/>
      <c r="R5051" s="14"/>
    </row>
    <row r="5052" spans="15:18" x14ac:dyDescent="0.3">
      <c r="O5052" s="14"/>
      <c r="P5052" s="14"/>
      <c r="Q5052" s="14"/>
      <c r="R5052" s="14"/>
    </row>
    <row r="5053" spans="15:18" x14ac:dyDescent="0.3">
      <c r="O5053" s="14"/>
      <c r="P5053" s="14"/>
      <c r="Q5053" s="14"/>
      <c r="R5053" s="14"/>
    </row>
    <row r="5054" spans="15:18" x14ac:dyDescent="0.3">
      <c r="O5054" s="14"/>
      <c r="P5054" s="14"/>
      <c r="Q5054" s="14"/>
      <c r="R5054" s="14"/>
    </row>
    <row r="5055" spans="15:18" x14ac:dyDescent="0.3">
      <c r="O5055" s="14"/>
      <c r="P5055" s="14"/>
      <c r="Q5055" s="14"/>
      <c r="R5055" s="14"/>
    </row>
    <row r="5056" spans="15:18" x14ac:dyDescent="0.3">
      <c r="O5056" s="14"/>
      <c r="P5056" s="14"/>
      <c r="Q5056" s="14"/>
      <c r="R5056" s="14"/>
    </row>
    <row r="5057" spans="15:18" x14ac:dyDescent="0.3">
      <c r="O5057" s="14"/>
      <c r="P5057" s="14"/>
      <c r="Q5057" s="14"/>
      <c r="R5057" s="14"/>
    </row>
    <row r="5058" spans="15:18" x14ac:dyDescent="0.3">
      <c r="O5058" s="14"/>
      <c r="P5058" s="14"/>
      <c r="Q5058" s="14"/>
      <c r="R5058" s="14"/>
    </row>
    <row r="5059" spans="15:18" x14ac:dyDescent="0.3">
      <c r="O5059" s="14"/>
      <c r="P5059" s="14"/>
      <c r="Q5059" s="14"/>
      <c r="R5059" s="14"/>
    </row>
    <row r="5060" spans="15:18" x14ac:dyDescent="0.3">
      <c r="O5060" s="14"/>
      <c r="P5060" s="14"/>
      <c r="Q5060" s="14"/>
      <c r="R5060" s="14"/>
    </row>
    <row r="5061" spans="15:18" x14ac:dyDescent="0.3">
      <c r="O5061" s="14"/>
      <c r="P5061" s="14"/>
      <c r="Q5061" s="14"/>
      <c r="R5061" s="14"/>
    </row>
    <row r="5062" spans="15:18" x14ac:dyDescent="0.3">
      <c r="O5062" s="14"/>
      <c r="P5062" s="14"/>
      <c r="Q5062" s="14"/>
      <c r="R5062" s="14"/>
    </row>
    <row r="5063" spans="15:18" x14ac:dyDescent="0.3">
      <c r="O5063" s="14"/>
      <c r="P5063" s="14"/>
      <c r="Q5063" s="14"/>
      <c r="R5063" s="14"/>
    </row>
    <row r="5064" spans="15:18" x14ac:dyDescent="0.3">
      <c r="O5064" s="14"/>
      <c r="P5064" s="14"/>
      <c r="Q5064" s="14"/>
      <c r="R5064" s="14"/>
    </row>
    <row r="5065" spans="15:18" x14ac:dyDescent="0.3">
      <c r="O5065" s="14"/>
      <c r="P5065" s="14"/>
      <c r="Q5065" s="14"/>
      <c r="R5065" s="14"/>
    </row>
    <row r="5066" spans="15:18" x14ac:dyDescent="0.3">
      <c r="O5066" s="14"/>
      <c r="P5066" s="14"/>
      <c r="Q5066" s="14"/>
      <c r="R5066" s="14"/>
    </row>
    <row r="5067" spans="15:18" x14ac:dyDescent="0.3">
      <c r="O5067" s="14"/>
      <c r="P5067" s="14"/>
      <c r="Q5067" s="14"/>
      <c r="R5067" s="14"/>
    </row>
    <row r="5068" spans="15:18" x14ac:dyDescent="0.3">
      <c r="O5068" s="14"/>
      <c r="P5068" s="14"/>
      <c r="Q5068" s="14"/>
      <c r="R5068" s="14"/>
    </row>
    <row r="5069" spans="15:18" x14ac:dyDescent="0.3">
      <c r="O5069" s="14"/>
      <c r="P5069" s="14"/>
      <c r="Q5069" s="14"/>
      <c r="R5069" s="14"/>
    </row>
    <row r="5070" spans="15:18" x14ac:dyDescent="0.3">
      <c r="O5070" s="14"/>
      <c r="P5070" s="14"/>
      <c r="Q5070" s="14"/>
      <c r="R5070" s="14"/>
    </row>
    <row r="5071" spans="15:18" x14ac:dyDescent="0.3">
      <c r="O5071" s="14"/>
      <c r="P5071" s="14"/>
      <c r="Q5071" s="14"/>
      <c r="R5071" s="14"/>
    </row>
    <row r="5072" spans="15:18" x14ac:dyDescent="0.3">
      <c r="O5072" s="14"/>
      <c r="P5072" s="14"/>
      <c r="Q5072" s="14"/>
      <c r="R5072" s="14"/>
    </row>
    <row r="5073" spans="15:18" x14ac:dyDescent="0.3">
      <c r="O5073" s="14"/>
      <c r="P5073" s="14"/>
      <c r="Q5073" s="14"/>
      <c r="R5073" s="14"/>
    </row>
    <row r="5074" spans="15:18" x14ac:dyDescent="0.3">
      <c r="O5074" s="14"/>
      <c r="P5074" s="14"/>
      <c r="Q5074" s="14"/>
      <c r="R5074" s="14"/>
    </row>
    <row r="5075" spans="15:18" x14ac:dyDescent="0.3">
      <c r="O5075" s="14"/>
      <c r="P5075" s="14"/>
      <c r="Q5075" s="14"/>
      <c r="R5075" s="14"/>
    </row>
    <row r="5076" spans="15:18" x14ac:dyDescent="0.3">
      <c r="O5076" s="14"/>
      <c r="P5076" s="14"/>
      <c r="Q5076" s="14"/>
      <c r="R5076" s="14"/>
    </row>
    <row r="5077" spans="15:18" x14ac:dyDescent="0.3">
      <c r="O5077" s="14"/>
      <c r="P5077" s="14"/>
      <c r="Q5077" s="14"/>
      <c r="R5077" s="14"/>
    </row>
    <row r="5078" spans="15:18" x14ac:dyDescent="0.3">
      <c r="O5078" s="14"/>
      <c r="P5078" s="14"/>
      <c r="Q5078" s="14"/>
      <c r="R5078" s="14"/>
    </row>
    <row r="5079" spans="15:18" x14ac:dyDescent="0.3">
      <c r="O5079" s="14"/>
      <c r="P5079" s="14"/>
      <c r="Q5079" s="14"/>
      <c r="R5079" s="14"/>
    </row>
    <row r="5080" spans="15:18" x14ac:dyDescent="0.3">
      <c r="O5080" s="14"/>
      <c r="P5080" s="14"/>
      <c r="Q5080" s="14"/>
      <c r="R5080" s="14"/>
    </row>
    <row r="5081" spans="15:18" x14ac:dyDescent="0.3">
      <c r="O5081" s="14"/>
      <c r="P5081" s="14"/>
      <c r="Q5081" s="14"/>
      <c r="R5081" s="14"/>
    </row>
    <row r="5082" spans="15:18" x14ac:dyDescent="0.3">
      <c r="O5082" s="14"/>
      <c r="P5082" s="14"/>
      <c r="Q5082" s="14"/>
      <c r="R5082" s="14"/>
    </row>
    <row r="5083" spans="15:18" x14ac:dyDescent="0.3">
      <c r="O5083" s="14"/>
      <c r="P5083" s="14"/>
      <c r="Q5083" s="14"/>
      <c r="R5083" s="14"/>
    </row>
    <row r="5084" spans="15:18" x14ac:dyDescent="0.3">
      <c r="O5084" s="14"/>
      <c r="P5084" s="14"/>
      <c r="Q5084" s="14"/>
      <c r="R5084" s="14"/>
    </row>
    <row r="5085" spans="15:18" x14ac:dyDescent="0.3">
      <c r="O5085" s="14"/>
      <c r="P5085" s="14"/>
      <c r="Q5085" s="14"/>
      <c r="R5085" s="14"/>
    </row>
    <row r="5086" spans="15:18" x14ac:dyDescent="0.3">
      <c r="O5086" s="14"/>
      <c r="P5086" s="14"/>
      <c r="Q5086" s="14"/>
      <c r="R5086" s="14"/>
    </row>
    <row r="5087" spans="15:18" x14ac:dyDescent="0.3">
      <c r="O5087" s="14"/>
      <c r="P5087" s="14"/>
      <c r="Q5087" s="14"/>
      <c r="R5087" s="14"/>
    </row>
    <row r="5088" spans="15:18" x14ac:dyDescent="0.3">
      <c r="O5088" s="14"/>
      <c r="P5088" s="14"/>
      <c r="Q5088" s="14"/>
      <c r="R5088" s="14"/>
    </row>
    <row r="5089" spans="15:18" x14ac:dyDescent="0.3">
      <c r="O5089" s="14"/>
      <c r="P5089" s="14"/>
      <c r="Q5089" s="14"/>
      <c r="R5089" s="14"/>
    </row>
    <row r="5090" spans="15:18" x14ac:dyDescent="0.3">
      <c r="O5090" s="14"/>
      <c r="P5090" s="14"/>
      <c r="Q5090" s="14"/>
      <c r="R5090" s="14"/>
    </row>
    <row r="5091" spans="15:18" x14ac:dyDescent="0.3">
      <c r="O5091" s="14"/>
      <c r="P5091" s="14"/>
      <c r="Q5091" s="14"/>
      <c r="R5091" s="14"/>
    </row>
    <row r="5092" spans="15:18" x14ac:dyDescent="0.3">
      <c r="O5092" s="14"/>
      <c r="P5092" s="14"/>
      <c r="Q5092" s="14"/>
      <c r="R5092" s="14"/>
    </row>
    <row r="5093" spans="15:18" x14ac:dyDescent="0.3">
      <c r="O5093" s="14"/>
      <c r="P5093" s="14"/>
      <c r="Q5093" s="14"/>
      <c r="R5093" s="14"/>
    </row>
    <row r="5094" spans="15:18" x14ac:dyDescent="0.3">
      <c r="O5094" s="14"/>
      <c r="P5094" s="14"/>
      <c r="Q5094" s="14"/>
      <c r="R5094" s="14"/>
    </row>
    <row r="5095" spans="15:18" x14ac:dyDescent="0.3">
      <c r="O5095" s="14"/>
      <c r="P5095" s="14"/>
      <c r="Q5095" s="14"/>
      <c r="R5095" s="14"/>
    </row>
    <row r="5096" spans="15:18" x14ac:dyDescent="0.3">
      <c r="O5096" s="14"/>
      <c r="P5096" s="14"/>
      <c r="Q5096" s="14"/>
      <c r="R5096" s="14"/>
    </row>
    <row r="5097" spans="15:18" x14ac:dyDescent="0.3">
      <c r="O5097" s="14"/>
      <c r="P5097" s="14"/>
      <c r="Q5097" s="14"/>
      <c r="R5097" s="14"/>
    </row>
    <row r="5098" spans="15:18" x14ac:dyDescent="0.3">
      <c r="O5098" s="14"/>
      <c r="P5098" s="14"/>
      <c r="Q5098" s="14"/>
      <c r="R5098" s="14"/>
    </row>
    <row r="5099" spans="15:18" x14ac:dyDescent="0.3">
      <c r="O5099" s="14"/>
      <c r="P5099" s="14"/>
      <c r="Q5099" s="14"/>
      <c r="R5099" s="14"/>
    </row>
    <row r="5100" spans="15:18" x14ac:dyDescent="0.3">
      <c r="O5100" s="14"/>
      <c r="P5100" s="14"/>
      <c r="Q5100" s="14"/>
      <c r="R5100" s="14"/>
    </row>
    <row r="5101" spans="15:18" x14ac:dyDescent="0.3">
      <c r="O5101" s="14"/>
      <c r="P5101" s="14"/>
      <c r="Q5101" s="14"/>
      <c r="R5101" s="14"/>
    </row>
    <row r="5102" spans="15:18" x14ac:dyDescent="0.3">
      <c r="O5102" s="14"/>
      <c r="P5102" s="14"/>
      <c r="Q5102" s="14"/>
      <c r="R5102" s="14"/>
    </row>
    <row r="5103" spans="15:18" x14ac:dyDescent="0.3">
      <c r="O5103" s="14"/>
      <c r="P5103" s="14"/>
      <c r="Q5103" s="14"/>
      <c r="R5103" s="14"/>
    </row>
    <row r="5104" spans="15:18" x14ac:dyDescent="0.3">
      <c r="O5104" s="14"/>
      <c r="P5104" s="14"/>
      <c r="Q5104" s="14"/>
      <c r="R5104" s="14"/>
    </row>
    <row r="5105" spans="15:18" x14ac:dyDescent="0.3">
      <c r="O5105" s="14"/>
      <c r="P5105" s="14"/>
      <c r="Q5105" s="14"/>
      <c r="R5105" s="14"/>
    </row>
    <row r="5106" spans="15:18" x14ac:dyDescent="0.3">
      <c r="O5106" s="14"/>
      <c r="P5106" s="14"/>
      <c r="Q5106" s="14"/>
      <c r="R5106" s="14"/>
    </row>
    <row r="5107" spans="15:18" x14ac:dyDescent="0.3">
      <c r="O5107" s="14"/>
      <c r="P5107" s="14"/>
      <c r="Q5107" s="14"/>
      <c r="R5107" s="14"/>
    </row>
    <row r="5108" spans="15:18" x14ac:dyDescent="0.3">
      <c r="O5108" s="14"/>
      <c r="P5108" s="14"/>
      <c r="Q5108" s="14"/>
      <c r="R5108" s="14"/>
    </row>
    <row r="5109" spans="15:18" x14ac:dyDescent="0.3">
      <c r="O5109" s="14"/>
      <c r="P5109" s="14"/>
      <c r="Q5109" s="14"/>
      <c r="R5109" s="14"/>
    </row>
    <row r="5110" spans="15:18" x14ac:dyDescent="0.3">
      <c r="O5110" s="14"/>
      <c r="P5110" s="14"/>
      <c r="Q5110" s="14"/>
      <c r="R5110" s="14"/>
    </row>
    <row r="5111" spans="15:18" x14ac:dyDescent="0.3">
      <c r="O5111" s="14"/>
      <c r="P5111" s="14"/>
      <c r="Q5111" s="14"/>
      <c r="R5111" s="14"/>
    </row>
    <row r="5112" spans="15:18" x14ac:dyDescent="0.3">
      <c r="O5112" s="14"/>
      <c r="P5112" s="14"/>
      <c r="Q5112" s="14"/>
      <c r="R5112" s="14"/>
    </row>
    <row r="5113" spans="15:18" x14ac:dyDescent="0.3">
      <c r="O5113" s="14"/>
      <c r="P5113" s="14"/>
      <c r="Q5113" s="14"/>
      <c r="R5113" s="14"/>
    </row>
    <row r="5114" spans="15:18" x14ac:dyDescent="0.3">
      <c r="O5114" s="14"/>
      <c r="P5114" s="14"/>
      <c r="Q5114" s="14"/>
      <c r="R5114" s="14"/>
    </row>
    <row r="5115" spans="15:18" x14ac:dyDescent="0.3">
      <c r="O5115" s="14"/>
      <c r="P5115" s="14"/>
      <c r="Q5115" s="14"/>
      <c r="R5115" s="14"/>
    </row>
    <row r="5116" spans="15:18" x14ac:dyDescent="0.3">
      <c r="O5116" s="14"/>
      <c r="P5116" s="14"/>
      <c r="Q5116" s="14"/>
      <c r="R5116" s="14"/>
    </row>
    <row r="5117" spans="15:18" x14ac:dyDescent="0.3">
      <c r="O5117" s="14"/>
      <c r="P5117" s="14"/>
      <c r="Q5117" s="14"/>
      <c r="R5117" s="14"/>
    </row>
    <row r="5118" spans="15:18" x14ac:dyDescent="0.3">
      <c r="O5118" s="14"/>
      <c r="P5118" s="14"/>
      <c r="Q5118" s="14"/>
      <c r="R5118" s="14"/>
    </row>
    <row r="5119" spans="15:18" x14ac:dyDescent="0.3">
      <c r="O5119" s="14"/>
      <c r="P5119" s="14"/>
      <c r="Q5119" s="14"/>
      <c r="R5119" s="14"/>
    </row>
    <row r="5120" spans="15:18" x14ac:dyDescent="0.3">
      <c r="O5120" s="14"/>
      <c r="P5120" s="14"/>
      <c r="Q5120" s="14"/>
      <c r="R5120" s="14"/>
    </row>
    <row r="5121" spans="15:18" x14ac:dyDescent="0.3">
      <c r="O5121" s="14"/>
      <c r="P5121" s="14"/>
      <c r="Q5121" s="14"/>
      <c r="R5121" s="14"/>
    </row>
    <row r="5122" spans="15:18" x14ac:dyDescent="0.3">
      <c r="O5122" s="14"/>
      <c r="P5122" s="14"/>
      <c r="Q5122" s="14"/>
      <c r="R5122" s="14"/>
    </row>
    <row r="5123" spans="15:18" x14ac:dyDescent="0.3">
      <c r="O5123" s="14"/>
      <c r="P5123" s="14"/>
      <c r="Q5123" s="14"/>
      <c r="R5123" s="14"/>
    </row>
    <row r="5124" spans="15:18" x14ac:dyDescent="0.3">
      <c r="O5124" s="14"/>
      <c r="P5124" s="14"/>
      <c r="Q5124" s="14"/>
      <c r="R5124" s="14"/>
    </row>
    <row r="5125" spans="15:18" x14ac:dyDescent="0.3">
      <c r="O5125" s="14"/>
      <c r="P5125" s="14"/>
      <c r="Q5125" s="14"/>
      <c r="R5125" s="14"/>
    </row>
    <row r="5126" spans="15:18" x14ac:dyDescent="0.3">
      <c r="O5126" s="14"/>
      <c r="P5126" s="14"/>
      <c r="Q5126" s="14"/>
      <c r="R5126" s="14"/>
    </row>
    <row r="5127" spans="15:18" x14ac:dyDescent="0.3">
      <c r="O5127" s="14"/>
      <c r="P5127" s="14"/>
      <c r="Q5127" s="14"/>
      <c r="R5127" s="14"/>
    </row>
    <row r="5128" spans="15:18" x14ac:dyDescent="0.3">
      <c r="O5128" s="14"/>
      <c r="P5128" s="14"/>
      <c r="Q5128" s="14"/>
      <c r="R5128" s="14"/>
    </row>
    <row r="5129" spans="15:18" x14ac:dyDescent="0.3">
      <c r="O5129" s="14"/>
      <c r="P5129" s="14"/>
      <c r="Q5129" s="14"/>
      <c r="R5129" s="14"/>
    </row>
    <row r="5130" spans="15:18" x14ac:dyDescent="0.3">
      <c r="O5130" s="14"/>
      <c r="P5130" s="14"/>
      <c r="Q5130" s="14"/>
      <c r="R5130" s="14"/>
    </row>
    <row r="5131" spans="15:18" x14ac:dyDescent="0.3">
      <c r="O5131" s="14"/>
      <c r="P5131" s="14"/>
      <c r="Q5131" s="14"/>
      <c r="R5131" s="14"/>
    </row>
    <row r="5132" spans="15:18" x14ac:dyDescent="0.3">
      <c r="O5132" s="14"/>
      <c r="P5132" s="14"/>
      <c r="Q5132" s="14"/>
      <c r="R5132" s="14"/>
    </row>
    <row r="5133" spans="15:18" x14ac:dyDescent="0.3">
      <c r="O5133" s="14"/>
      <c r="P5133" s="14"/>
      <c r="Q5133" s="14"/>
      <c r="R5133" s="14"/>
    </row>
    <row r="5134" spans="15:18" x14ac:dyDescent="0.3">
      <c r="O5134" s="14"/>
      <c r="P5134" s="14"/>
      <c r="Q5134" s="14"/>
      <c r="R5134" s="14"/>
    </row>
    <row r="5135" spans="15:18" x14ac:dyDescent="0.3">
      <c r="O5135" s="14"/>
      <c r="P5135" s="14"/>
      <c r="Q5135" s="14"/>
      <c r="R5135" s="14"/>
    </row>
    <row r="5136" spans="15:18" x14ac:dyDescent="0.3">
      <c r="O5136" s="14"/>
      <c r="P5136" s="14"/>
      <c r="Q5136" s="14"/>
      <c r="R5136" s="14"/>
    </row>
    <row r="5137" spans="15:18" x14ac:dyDescent="0.3">
      <c r="O5137" s="14"/>
      <c r="P5137" s="14"/>
      <c r="Q5137" s="14"/>
      <c r="R5137" s="14"/>
    </row>
    <row r="5138" spans="15:18" x14ac:dyDescent="0.3">
      <c r="O5138" s="14"/>
      <c r="P5138" s="14"/>
      <c r="Q5138" s="14"/>
      <c r="R5138" s="14"/>
    </row>
    <row r="5139" spans="15:18" x14ac:dyDescent="0.3">
      <c r="O5139" s="14"/>
      <c r="P5139" s="14"/>
      <c r="Q5139" s="14"/>
      <c r="R5139" s="14"/>
    </row>
    <row r="5140" spans="15:18" x14ac:dyDescent="0.3">
      <c r="O5140" s="14"/>
      <c r="P5140" s="14"/>
      <c r="Q5140" s="14"/>
      <c r="R5140" s="14"/>
    </row>
    <row r="5141" spans="15:18" x14ac:dyDescent="0.3">
      <c r="O5141" s="14"/>
      <c r="P5141" s="14"/>
      <c r="Q5141" s="14"/>
      <c r="R5141" s="14"/>
    </row>
    <row r="5142" spans="15:18" x14ac:dyDescent="0.3">
      <c r="O5142" s="14"/>
      <c r="P5142" s="14"/>
      <c r="Q5142" s="14"/>
      <c r="R5142" s="14"/>
    </row>
    <row r="5143" spans="15:18" x14ac:dyDescent="0.3">
      <c r="O5143" s="14"/>
      <c r="P5143" s="14"/>
      <c r="Q5143" s="14"/>
      <c r="R5143" s="14"/>
    </row>
    <row r="5144" spans="15:18" x14ac:dyDescent="0.3">
      <c r="O5144" s="14"/>
      <c r="P5144" s="14"/>
      <c r="Q5144" s="14"/>
      <c r="R5144" s="14"/>
    </row>
    <row r="5145" spans="15:18" x14ac:dyDescent="0.3">
      <c r="O5145" s="14"/>
      <c r="P5145" s="14"/>
      <c r="Q5145" s="14"/>
      <c r="R5145" s="14"/>
    </row>
    <row r="5146" spans="15:18" x14ac:dyDescent="0.3">
      <c r="O5146" s="14"/>
      <c r="P5146" s="14"/>
      <c r="Q5146" s="14"/>
      <c r="R5146" s="14"/>
    </row>
    <row r="5147" spans="15:18" x14ac:dyDescent="0.3">
      <c r="O5147" s="14"/>
      <c r="P5147" s="14"/>
      <c r="Q5147" s="14"/>
      <c r="R5147" s="14"/>
    </row>
    <row r="5148" spans="15:18" x14ac:dyDescent="0.3">
      <c r="O5148" s="14"/>
      <c r="P5148" s="14"/>
      <c r="Q5148" s="14"/>
      <c r="R5148" s="14"/>
    </row>
    <row r="5149" spans="15:18" x14ac:dyDescent="0.3">
      <c r="O5149" s="14"/>
      <c r="P5149" s="14"/>
      <c r="Q5149" s="14"/>
      <c r="R5149" s="14"/>
    </row>
    <row r="5150" spans="15:18" x14ac:dyDescent="0.3">
      <c r="O5150" s="14"/>
      <c r="P5150" s="14"/>
      <c r="Q5150" s="14"/>
      <c r="R5150" s="14"/>
    </row>
    <row r="5151" spans="15:18" x14ac:dyDescent="0.3">
      <c r="O5151" s="14"/>
      <c r="P5151" s="14"/>
      <c r="Q5151" s="14"/>
      <c r="R5151" s="14"/>
    </row>
    <row r="5152" spans="15:18" x14ac:dyDescent="0.3">
      <c r="O5152" s="14"/>
      <c r="P5152" s="14"/>
      <c r="Q5152" s="14"/>
      <c r="R5152" s="14"/>
    </row>
    <row r="5153" spans="15:18" x14ac:dyDescent="0.3">
      <c r="O5153" s="14"/>
      <c r="P5153" s="14"/>
      <c r="Q5153" s="14"/>
      <c r="R5153" s="14"/>
    </row>
    <row r="5154" spans="15:18" x14ac:dyDescent="0.3">
      <c r="O5154" s="14"/>
      <c r="P5154" s="14"/>
      <c r="Q5154" s="14"/>
      <c r="R5154" s="14"/>
    </row>
    <row r="5155" spans="15:18" x14ac:dyDescent="0.3">
      <c r="O5155" s="14"/>
      <c r="P5155" s="14"/>
      <c r="Q5155" s="14"/>
      <c r="R5155" s="14"/>
    </row>
    <row r="5156" spans="15:18" x14ac:dyDescent="0.3">
      <c r="O5156" s="14"/>
      <c r="P5156" s="14"/>
      <c r="Q5156" s="14"/>
      <c r="R5156" s="14"/>
    </row>
    <row r="5157" spans="15:18" x14ac:dyDescent="0.3">
      <c r="O5157" s="14"/>
      <c r="P5157" s="14"/>
      <c r="Q5157" s="14"/>
      <c r="R5157" s="14"/>
    </row>
    <row r="5158" spans="15:18" x14ac:dyDescent="0.3">
      <c r="O5158" s="14"/>
      <c r="P5158" s="14"/>
      <c r="Q5158" s="14"/>
      <c r="R5158" s="14"/>
    </row>
    <row r="5159" spans="15:18" x14ac:dyDescent="0.3">
      <c r="O5159" s="14"/>
      <c r="P5159" s="14"/>
      <c r="Q5159" s="14"/>
      <c r="R5159" s="14"/>
    </row>
    <row r="5160" spans="15:18" x14ac:dyDescent="0.3">
      <c r="O5160" s="14"/>
      <c r="P5160" s="14"/>
      <c r="Q5160" s="14"/>
      <c r="R5160" s="14"/>
    </row>
    <row r="5161" spans="15:18" x14ac:dyDescent="0.3">
      <c r="O5161" s="14"/>
      <c r="P5161" s="14"/>
      <c r="Q5161" s="14"/>
      <c r="R5161" s="14"/>
    </row>
    <row r="5162" spans="15:18" x14ac:dyDescent="0.3">
      <c r="O5162" s="14"/>
      <c r="P5162" s="14"/>
      <c r="Q5162" s="14"/>
      <c r="R5162" s="14"/>
    </row>
    <row r="5163" spans="15:18" x14ac:dyDescent="0.3">
      <c r="O5163" s="14"/>
      <c r="P5163" s="14"/>
      <c r="Q5163" s="14"/>
      <c r="R5163" s="14"/>
    </row>
    <row r="5164" spans="15:18" x14ac:dyDescent="0.3">
      <c r="O5164" s="14"/>
      <c r="P5164" s="14"/>
      <c r="Q5164" s="14"/>
      <c r="R5164" s="14"/>
    </row>
    <row r="5165" spans="15:18" x14ac:dyDescent="0.3">
      <c r="O5165" s="14"/>
      <c r="P5165" s="14"/>
      <c r="Q5165" s="14"/>
      <c r="R5165" s="14"/>
    </row>
    <row r="5166" spans="15:18" x14ac:dyDescent="0.3">
      <c r="O5166" s="14"/>
      <c r="P5166" s="14"/>
      <c r="Q5166" s="14"/>
      <c r="R5166" s="14"/>
    </row>
    <row r="5167" spans="15:18" x14ac:dyDescent="0.3">
      <c r="O5167" s="14"/>
      <c r="P5167" s="14"/>
      <c r="Q5167" s="14"/>
      <c r="R5167" s="14"/>
    </row>
    <row r="5168" spans="15:18" x14ac:dyDescent="0.3">
      <c r="O5168" s="14"/>
      <c r="P5168" s="14"/>
      <c r="Q5168" s="14"/>
      <c r="R5168" s="14"/>
    </row>
    <row r="5169" spans="15:18" x14ac:dyDescent="0.3">
      <c r="O5169" s="14"/>
      <c r="P5169" s="14"/>
      <c r="Q5169" s="14"/>
      <c r="R5169" s="14"/>
    </row>
    <row r="5170" spans="15:18" x14ac:dyDescent="0.3">
      <c r="O5170" s="14"/>
      <c r="P5170" s="14"/>
      <c r="Q5170" s="14"/>
      <c r="R5170" s="14"/>
    </row>
    <row r="5171" spans="15:18" x14ac:dyDescent="0.3">
      <c r="O5171" s="14"/>
      <c r="P5171" s="14"/>
      <c r="Q5171" s="14"/>
      <c r="R5171" s="14"/>
    </row>
    <row r="5172" spans="15:18" x14ac:dyDescent="0.3">
      <c r="O5172" s="14"/>
      <c r="P5172" s="14"/>
      <c r="Q5172" s="14"/>
      <c r="R5172" s="14"/>
    </row>
    <row r="5173" spans="15:18" x14ac:dyDescent="0.3">
      <c r="O5173" s="14"/>
      <c r="P5173" s="14"/>
      <c r="Q5173" s="14"/>
      <c r="R5173" s="14"/>
    </row>
    <row r="5174" spans="15:18" x14ac:dyDescent="0.3">
      <c r="O5174" s="14"/>
      <c r="P5174" s="14"/>
      <c r="Q5174" s="14"/>
      <c r="R5174" s="14"/>
    </row>
    <row r="5175" spans="15:18" x14ac:dyDescent="0.3">
      <c r="O5175" s="14"/>
      <c r="P5175" s="14"/>
      <c r="Q5175" s="14"/>
      <c r="R5175" s="14"/>
    </row>
    <row r="5176" spans="15:18" x14ac:dyDescent="0.3">
      <c r="O5176" s="14"/>
      <c r="P5176" s="14"/>
      <c r="Q5176" s="14"/>
      <c r="R5176" s="14"/>
    </row>
    <row r="5177" spans="15:18" x14ac:dyDescent="0.3">
      <c r="O5177" s="14"/>
      <c r="P5177" s="14"/>
      <c r="Q5177" s="14"/>
      <c r="R5177" s="14"/>
    </row>
    <row r="5178" spans="15:18" x14ac:dyDescent="0.3">
      <c r="O5178" s="14"/>
      <c r="P5178" s="14"/>
      <c r="Q5178" s="14"/>
      <c r="R5178" s="14"/>
    </row>
    <row r="5179" spans="15:18" x14ac:dyDescent="0.3">
      <c r="O5179" s="14"/>
      <c r="P5179" s="14"/>
      <c r="Q5179" s="14"/>
      <c r="R5179" s="14"/>
    </row>
    <row r="5180" spans="15:18" x14ac:dyDescent="0.3">
      <c r="O5180" s="14"/>
      <c r="P5180" s="14"/>
      <c r="Q5180" s="14"/>
      <c r="R5180" s="14"/>
    </row>
    <row r="5181" spans="15:18" x14ac:dyDescent="0.3">
      <c r="O5181" s="14"/>
      <c r="P5181" s="14"/>
      <c r="Q5181" s="14"/>
      <c r="R5181" s="14"/>
    </row>
    <row r="5182" spans="15:18" x14ac:dyDescent="0.3">
      <c r="O5182" s="14"/>
      <c r="P5182" s="14"/>
      <c r="Q5182" s="14"/>
      <c r="R5182" s="14"/>
    </row>
    <row r="5183" spans="15:18" x14ac:dyDescent="0.3">
      <c r="O5183" s="14"/>
      <c r="P5183" s="14"/>
      <c r="Q5183" s="14"/>
      <c r="R5183" s="14"/>
    </row>
    <row r="5184" spans="15:18" x14ac:dyDescent="0.3">
      <c r="O5184" s="14"/>
      <c r="P5184" s="14"/>
      <c r="Q5184" s="14"/>
      <c r="R5184" s="14"/>
    </row>
    <row r="5185" spans="15:18" x14ac:dyDescent="0.3">
      <c r="O5185" s="14"/>
      <c r="P5185" s="14"/>
      <c r="Q5185" s="14"/>
      <c r="R5185" s="14"/>
    </row>
    <row r="5186" spans="15:18" x14ac:dyDescent="0.3">
      <c r="O5186" s="14"/>
      <c r="P5186" s="14"/>
      <c r="Q5186" s="14"/>
      <c r="R5186" s="14"/>
    </row>
    <row r="5187" spans="15:18" x14ac:dyDescent="0.3">
      <c r="O5187" s="14"/>
      <c r="P5187" s="14"/>
      <c r="Q5187" s="14"/>
      <c r="R5187" s="14"/>
    </row>
    <row r="5188" spans="15:18" x14ac:dyDescent="0.3">
      <c r="O5188" s="14"/>
      <c r="P5188" s="14"/>
      <c r="Q5188" s="14"/>
      <c r="R5188" s="14"/>
    </row>
    <row r="5189" spans="15:18" x14ac:dyDescent="0.3">
      <c r="O5189" s="14"/>
      <c r="P5189" s="14"/>
      <c r="Q5189" s="14"/>
      <c r="R5189" s="14"/>
    </row>
    <row r="5190" spans="15:18" x14ac:dyDescent="0.3">
      <c r="O5190" s="14"/>
      <c r="P5190" s="14"/>
      <c r="Q5190" s="14"/>
      <c r="R5190" s="14"/>
    </row>
    <row r="5191" spans="15:18" x14ac:dyDescent="0.3">
      <c r="O5191" s="14"/>
      <c r="P5191" s="14"/>
      <c r="Q5191" s="14"/>
      <c r="R5191" s="14"/>
    </row>
    <row r="5192" spans="15:18" x14ac:dyDescent="0.3">
      <c r="O5192" s="14"/>
      <c r="P5192" s="14"/>
      <c r="Q5192" s="14"/>
      <c r="R5192" s="14"/>
    </row>
    <row r="5193" spans="15:18" x14ac:dyDescent="0.3">
      <c r="O5193" s="14"/>
      <c r="P5193" s="14"/>
      <c r="Q5193" s="14"/>
      <c r="R5193" s="14"/>
    </row>
    <row r="5194" spans="15:18" x14ac:dyDescent="0.3">
      <c r="O5194" s="14"/>
      <c r="P5194" s="14"/>
      <c r="Q5194" s="14"/>
      <c r="R5194" s="14"/>
    </row>
    <row r="5195" spans="15:18" x14ac:dyDescent="0.3">
      <c r="O5195" s="14"/>
      <c r="P5195" s="14"/>
      <c r="Q5195" s="14"/>
      <c r="R5195" s="14"/>
    </row>
    <row r="5196" spans="15:18" x14ac:dyDescent="0.3">
      <c r="O5196" s="14"/>
      <c r="P5196" s="14"/>
      <c r="Q5196" s="14"/>
      <c r="R5196" s="14"/>
    </row>
    <row r="5197" spans="15:18" x14ac:dyDescent="0.3">
      <c r="O5197" s="14"/>
      <c r="P5197" s="14"/>
      <c r="Q5197" s="14"/>
      <c r="R5197" s="14"/>
    </row>
    <row r="5198" spans="15:18" x14ac:dyDescent="0.3">
      <c r="O5198" s="14"/>
      <c r="P5198" s="14"/>
      <c r="Q5198" s="14"/>
      <c r="R5198" s="14"/>
    </row>
    <row r="5199" spans="15:18" x14ac:dyDescent="0.3">
      <c r="O5199" s="14"/>
      <c r="P5199" s="14"/>
      <c r="Q5199" s="14"/>
      <c r="R5199" s="14"/>
    </row>
    <row r="5200" spans="15:18" x14ac:dyDescent="0.3">
      <c r="O5200" s="14"/>
      <c r="P5200" s="14"/>
      <c r="Q5200" s="14"/>
      <c r="R5200" s="14"/>
    </row>
    <row r="5201" spans="15:18" x14ac:dyDescent="0.3">
      <c r="O5201" s="14"/>
      <c r="P5201" s="14"/>
      <c r="Q5201" s="14"/>
      <c r="R5201" s="14"/>
    </row>
    <row r="5202" spans="15:18" x14ac:dyDescent="0.3">
      <c r="O5202" s="14"/>
      <c r="P5202" s="14"/>
      <c r="Q5202" s="14"/>
      <c r="R5202" s="14"/>
    </row>
    <row r="5203" spans="15:18" x14ac:dyDescent="0.3">
      <c r="O5203" s="14"/>
      <c r="P5203" s="14"/>
      <c r="Q5203" s="14"/>
      <c r="R5203" s="14"/>
    </row>
    <row r="5204" spans="15:18" x14ac:dyDescent="0.3">
      <c r="O5204" s="14"/>
      <c r="P5204" s="14"/>
      <c r="Q5204" s="14"/>
      <c r="R5204" s="14"/>
    </row>
    <row r="5205" spans="15:18" x14ac:dyDescent="0.3">
      <c r="O5205" s="14"/>
      <c r="P5205" s="14"/>
      <c r="Q5205" s="14"/>
      <c r="R5205" s="14"/>
    </row>
    <row r="5206" spans="15:18" x14ac:dyDescent="0.3">
      <c r="O5206" s="14"/>
      <c r="P5206" s="14"/>
      <c r="Q5206" s="14"/>
      <c r="R5206" s="14"/>
    </row>
    <row r="5207" spans="15:18" x14ac:dyDescent="0.3">
      <c r="O5207" s="14"/>
      <c r="P5207" s="14"/>
      <c r="Q5207" s="14"/>
      <c r="R5207" s="14"/>
    </row>
    <row r="5208" spans="15:18" x14ac:dyDescent="0.3">
      <c r="O5208" s="14"/>
      <c r="P5208" s="14"/>
      <c r="Q5208" s="14"/>
      <c r="R5208" s="14"/>
    </row>
    <row r="5209" spans="15:18" x14ac:dyDescent="0.3">
      <c r="O5209" s="14"/>
      <c r="P5209" s="14"/>
      <c r="Q5209" s="14"/>
      <c r="R5209" s="14"/>
    </row>
    <row r="5210" spans="15:18" x14ac:dyDescent="0.3">
      <c r="O5210" s="14"/>
      <c r="P5210" s="14"/>
      <c r="Q5210" s="14"/>
      <c r="R5210" s="14"/>
    </row>
    <row r="5211" spans="15:18" x14ac:dyDescent="0.3">
      <c r="O5211" s="14"/>
      <c r="P5211" s="14"/>
      <c r="Q5211" s="14"/>
      <c r="R5211" s="14"/>
    </row>
    <row r="5212" spans="15:18" x14ac:dyDescent="0.3">
      <c r="O5212" s="14"/>
      <c r="P5212" s="14"/>
      <c r="Q5212" s="14"/>
      <c r="R5212" s="14"/>
    </row>
    <row r="5213" spans="15:18" x14ac:dyDescent="0.3">
      <c r="O5213" s="14"/>
      <c r="P5213" s="14"/>
      <c r="Q5213" s="14"/>
      <c r="R5213" s="14"/>
    </row>
    <row r="5214" spans="15:18" x14ac:dyDescent="0.3">
      <c r="O5214" s="14"/>
      <c r="P5214" s="14"/>
      <c r="Q5214" s="14"/>
      <c r="R5214" s="14"/>
    </row>
    <row r="5215" spans="15:18" x14ac:dyDescent="0.3">
      <c r="O5215" s="14"/>
      <c r="P5215" s="14"/>
      <c r="Q5215" s="14"/>
      <c r="R5215" s="14"/>
    </row>
    <row r="5216" spans="15:18" x14ac:dyDescent="0.3">
      <c r="O5216" s="14"/>
      <c r="P5216" s="14"/>
      <c r="Q5216" s="14"/>
      <c r="R5216" s="14"/>
    </row>
    <row r="5217" spans="15:18" x14ac:dyDescent="0.3">
      <c r="O5217" s="14"/>
      <c r="P5217" s="14"/>
      <c r="Q5217" s="14"/>
      <c r="R5217" s="14"/>
    </row>
    <row r="5218" spans="15:18" x14ac:dyDescent="0.3">
      <c r="O5218" s="14"/>
      <c r="P5218" s="14"/>
      <c r="Q5218" s="14"/>
      <c r="R5218" s="14"/>
    </row>
    <row r="5219" spans="15:18" x14ac:dyDescent="0.3">
      <c r="O5219" s="14"/>
      <c r="P5219" s="14"/>
      <c r="Q5219" s="14"/>
      <c r="R5219" s="14"/>
    </row>
    <row r="5220" spans="15:18" x14ac:dyDescent="0.3">
      <c r="O5220" s="14"/>
      <c r="P5220" s="14"/>
      <c r="Q5220" s="14"/>
      <c r="R5220" s="14"/>
    </row>
    <row r="5221" spans="15:18" x14ac:dyDescent="0.3">
      <c r="O5221" s="14"/>
      <c r="P5221" s="14"/>
      <c r="Q5221" s="14"/>
      <c r="R5221" s="14"/>
    </row>
    <row r="5222" spans="15:18" x14ac:dyDescent="0.3">
      <c r="O5222" s="14"/>
      <c r="P5222" s="14"/>
      <c r="Q5222" s="14"/>
      <c r="R5222" s="14"/>
    </row>
    <row r="5223" spans="15:18" x14ac:dyDescent="0.3">
      <c r="O5223" s="14"/>
      <c r="P5223" s="14"/>
      <c r="Q5223" s="14"/>
      <c r="R5223" s="14"/>
    </row>
    <row r="5224" spans="15:18" x14ac:dyDescent="0.3">
      <c r="O5224" s="14"/>
      <c r="P5224" s="14"/>
      <c r="Q5224" s="14"/>
      <c r="R5224" s="14"/>
    </row>
    <row r="5225" spans="15:18" x14ac:dyDescent="0.3">
      <c r="O5225" s="14"/>
      <c r="P5225" s="14"/>
      <c r="Q5225" s="14"/>
      <c r="R5225" s="14"/>
    </row>
    <row r="5226" spans="15:18" x14ac:dyDescent="0.3">
      <c r="O5226" s="14"/>
      <c r="P5226" s="14"/>
      <c r="Q5226" s="14"/>
      <c r="R5226" s="14"/>
    </row>
    <row r="5227" spans="15:18" x14ac:dyDescent="0.3">
      <c r="O5227" s="14"/>
      <c r="P5227" s="14"/>
      <c r="Q5227" s="14"/>
      <c r="R5227" s="14"/>
    </row>
    <row r="5228" spans="15:18" x14ac:dyDescent="0.3">
      <c r="O5228" s="14"/>
      <c r="P5228" s="14"/>
      <c r="Q5228" s="14"/>
      <c r="R5228" s="14"/>
    </row>
    <row r="5229" spans="15:18" x14ac:dyDescent="0.3">
      <c r="O5229" s="14"/>
      <c r="P5229" s="14"/>
      <c r="Q5229" s="14"/>
      <c r="R5229" s="14"/>
    </row>
    <row r="5230" spans="15:18" x14ac:dyDescent="0.3">
      <c r="O5230" s="14"/>
      <c r="P5230" s="14"/>
      <c r="Q5230" s="14"/>
      <c r="R5230" s="14"/>
    </row>
    <row r="5231" spans="15:18" x14ac:dyDescent="0.3">
      <c r="O5231" s="14"/>
      <c r="P5231" s="14"/>
      <c r="Q5231" s="14"/>
      <c r="R5231" s="14"/>
    </row>
    <row r="5232" spans="15:18" x14ac:dyDescent="0.3">
      <c r="O5232" s="14"/>
      <c r="P5232" s="14"/>
      <c r="Q5232" s="14"/>
      <c r="R5232" s="14"/>
    </row>
    <row r="5233" spans="15:18" x14ac:dyDescent="0.3">
      <c r="O5233" s="14"/>
      <c r="P5233" s="14"/>
      <c r="Q5233" s="14"/>
      <c r="R5233" s="14"/>
    </row>
    <row r="5234" spans="15:18" x14ac:dyDescent="0.3">
      <c r="O5234" s="14"/>
      <c r="P5234" s="14"/>
      <c r="Q5234" s="14"/>
      <c r="R5234" s="14"/>
    </row>
    <row r="5235" spans="15:18" x14ac:dyDescent="0.3">
      <c r="O5235" s="14"/>
      <c r="P5235" s="14"/>
      <c r="Q5235" s="14"/>
      <c r="R5235" s="14"/>
    </row>
    <row r="5236" spans="15:18" x14ac:dyDescent="0.3">
      <c r="O5236" s="14"/>
      <c r="P5236" s="14"/>
      <c r="Q5236" s="14"/>
      <c r="R5236" s="14"/>
    </row>
    <row r="5237" spans="15:18" x14ac:dyDescent="0.3">
      <c r="O5237" s="14"/>
      <c r="P5237" s="14"/>
      <c r="Q5237" s="14"/>
      <c r="R5237" s="14"/>
    </row>
    <row r="5238" spans="15:18" x14ac:dyDescent="0.3">
      <c r="O5238" s="14"/>
      <c r="P5238" s="14"/>
      <c r="Q5238" s="14"/>
      <c r="R5238" s="14"/>
    </row>
    <row r="5239" spans="15:18" x14ac:dyDescent="0.3">
      <c r="O5239" s="14"/>
      <c r="P5239" s="14"/>
      <c r="Q5239" s="14"/>
      <c r="R5239" s="14"/>
    </row>
    <row r="5240" spans="15:18" x14ac:dyDescent="0.3">
      <c r="O5240" s="14"/>
      <c r="P5240" s="14"/>
      <c r="Q5240" s="14"/>
      <c r="R5240" s="14"/>
    </row>
    <row r="5241" spans="15:18" x14ac:dyDescent="0.3">
      <c r="O5241" s="14"/>
      <c r="P5241" s="14"/>
      <c r="Q5241" s="14"/>
      <c r="R5241" s="14"/>
    </row>
    <row r="5242" spans="15:18" x14ac:dyDescent="0.3">
      <c r="O5242" s="14"/>
      <c r="P5242" s="14"/>
      <c r="Q5242" s="14"/>
      <c r="R5242" s="14"/>
    </row>
    <row r="5243" spans="15:18" x14ac:dyDescent="0.3">
      <c r="O5243" s="14"/>
      <c r="P5243" s="14"/>
      <c r="Q5243" s="14"/>
      <c r="R5243" s="14"/>
    </row>
    <row r="5244" spans="15:18" x14ac:dyDescent="0.3">
      <c r="O5244" s="14"/>
      <c r="P5244" s="14"/>
      <c r="Q5244" s="14"/>
      <c r="R5244" s="14"/>
    </row>
    <row r="5245" spans="15:18" x14ac:dyDescent="0.3">
      <c r="O5245" s="14"/>
      <c r="P5245" s="14"/>
      <c r="Q5245" s="14"/>
      <c r="R5245" s="14"/>
    </row>
    <row r="5246" spans="15:18" x14ac:dyDescent="0.3">
      <c r="O5246" s="14"/>
      <c r="P5246" s="14"/>
      <c r="Q5246" s="14"/>
      <c r="R5246" s="14"/>
    </row>
    <row r="5247" spans="15:18" x14ac:dyDescent="0.3">
      <c r="O5247" s="14"/>
      <c r="P5247" s="14"/>
      <c r="Q5247" s="14"/>
      <c r="R5247" s="14"/>
    </row>
    <row r="5248" spans="15:18" x14ac:dyDescent="0.3">
      <c r="O5248" s="14"/>
      <c r="P5248" s="14"/>
      <c r="Q5248" s="14"/>
      <c r="R5248" s="14"/>
    </row>
    <row r="5249" spans="15:18" x14ac:dyDescent="0.3">
      <c r="O5249" s="14"/>
      <c r="P5249" s="14"/>
      <c r="Q5249" s="14"/>
      <c r="R5249" s="14"/>
    </row>
    <row r="5250" spans="15:18" x14ac:dyDescent="0.3">
      <c r="O5250" s="14"/>
      <c r="P5250" s="14"/>
      <c r="Q5250" s="14"/>
      <c r="R5250" s="14"/>
    </row>
    <row r="5251" spans="15:18" x14ac:dyDescent="0.3">
      <c r="O5251" s="14"/>
      <c r="P5251" s="14"/>
      <c r="Q5251" s="14"/>
      <c r="R5251" s="14"/>
    </row>
    <row r="5252" spans="15:18" x14ac:dyDescent="0.3">
      <c r="O5252" s="14"/>
      <c r="P5252" s="14"/>
      <c r="Q5252" s="14"/>
      <c r="R5252" s="14"/>
    </row>
    <row r="5253" spans="15:18" x14ac:dyDescent="0.3">
      <c r="O5253" s="14"/>
      <c r="P5253" s="14"/>
      <c r="Q5253" s="14"/>
      <c r="R5253" s="14"/>
    </row>
    <row r="5254" spans="15:18" x14ac:dyDescent="0.3">
      <c r="O5254" s="14"/>
      <c r="P5254" s="14"/>
      <c r="Q5254" s="14"/>
      <c r="R5254" s="14"/>
    </row>
    <row r="5255" spans="15:18" x14ac:dyDescent="0.3">
      <c r="O5255" s="14"/>
      <c r="P5255" s="14"/>
      <c r="Q5255" s="14"/>
      <c r="R5255" s="14"/>
    </row>
    <row r="5256" spans="15:18" x14ac:dyDescent="0.3">
      <c r="O5256" s="14"/>
      <c r="P5256" s="14"/>
      <c r="Q5256" s="14"/>
      <c r="R5256" s="14"/>
    </row>
    <row r="5257" spans="15:18" x14ac:dyDescent="0.3">
      <c r="O5257" s="14"/>
      <c r="P5257" s="14"/>
      <c r="Q5257" s="14"/>
      <c r="R5257" s="14"/>
    </row>
    <row r="5258" spans="15:18" x14ac:dyDescent="0.3">
      <c r="O5258" s="14"/>
      <c r="P5258" s="14"/>
      <c r="Q5258" s="14"/>
      <c r="R5258" s="14"/>
    </row>
    <row r="5259" spans="15:18" x14ac:dyDescent="0.3">
      <c r="O5259" s="14"/>
      <c r="P5259" s="14"/>
      <c r="Q5259" s="14"/>
      <c r="R5259" s="14"/>
    </row>
    <row r="5260" spans="15:18" x14ac:dyDescent="0.3">
      <c r="O5260" s="14"/>
      <c r="P5260" s="14"/>
      <c r="Q5260" s="14"/>
      <c r="R5260" s="14"/>
    </row>
    <row r="5261" spans="15:18" x14ac:dyDescent="0.3">
      <c r="O5261" s="14"/>
      <c r="P5261" s="14"/>
      <c r="Q5261" s="14"/>
      <c r="R5261" s="14"/>
    </row>
    <row r="5262" spans="15:18" x14ac:dyDescent="0.3">
      <c r="O5262" s="14"/>
      <c r="P5262" s="14"/>
      <c r="Q5262" s="14"/>
      <c r="R5262" s="14"/>
    </row>
    <row r="5263" spans="15:18" x14ac:dyDescent="0.3">
      <c r="O5263" s="14"/>
      <c r="P5263" s="14"/>
      <c r="Q5263" s="14"/>
      <c r="R5263" s="14"/>
    </row>
    <row r="5264" spans="15:18" x14ac:dyDescent="0.3">
      <c r="O5264" s="14"/>
      <c r="P5264" s="14"/>
      <c r="Q5264" s="14"/>
      <c r="R5264" s="14"/>
    </row>
    <row r="5265" spans="15:18" x14ac:dyDescent="0.3">
      <c r="O5265" s="14"/>
      <c r="P5265" s="14"/>
      <c r="Q5265" s="14"/>
      <c r="R5265" s="14"/>
    </row>
    <row r="5266" spans="15:18" x14ac:dyDescent="0.3">
      <c r="O5266" s="14"/>
      <c r="P5266" s="14"/>
      <c r="Q5266" s="14"/>
      <c r="R5266" s="14"/>
    </row>
    <row r="5267" spans="15:18" x14ac:dyDescent="0.3">
      <c r="O5267" s="14"/>
      <c r="P5267" s="14"/>
      <c r="Q5267" s="14"/>
      <c r="R5267" s="14"/>
    </row>
    <row r="5268" spans="15:18" x14ac:dyDescent="0.3">
      <c r="O5268" s="14"/>
      <c r="P5268" s="14"/>
      <c r="Q5268" s="14"/>
      <c r="R5268" s="14"/>
    </row>
    <row r="5269" spans="15:18" x14ac:dyDescent="0.3">
      <c r="O5269" s="14"/>
      <c r="P5269" s="14"/>
      <c r="Q5269" s="14"/>
      <c r="R5269" s="14"/>
    </row>
    <row r="5270" spans="15:18" x14ac:dyDescent="0.3">
      <c r="O5270" s="14"/>
      <c r="P5270" s="14"/>
      <c r="Q5270" s="14"/>
      <c r="R5270" s="14"/>
    </row>
    <row r="5271" spans="15:18" x14ac:dyDescent="0.3">
      <c r="O5271" s="14"/>
      <c r="P5271" s="14"/>
      <c r="Q5271" s="14"/>
      <c r="R5271" s="14"/>
    </row>
    <row r="5272" spans="15:18" x14ac:dyDescent="0.3">
      <c r="O5272" s="14"/>
      <c r="P5272" s="14"/>
      <c r="Q5272" s="14"/>
      <c r="R5272" s="14"/>
    </row>
    <row r="5273" spans="15:18" x14ac:dyDescent="0.3">
      <c r="O5273" s="14"/>
      <c r="P5273" s="14"/>
      <c r="Q5273" s="14"/>
      <c r="R5273" s="14"/>
    </row>
    <row r="5274" spans="15:18" x14ac:dyDescent="0.3">
      <c r="O5274" s="14"/>
      <c r="P5274" s="14"/>
      <c r="Q5274" s="14"/>
      <c r="R5274" s="14"/>
    </row>
    <row r="5275" spans="15:18" x14ac:dyDescent="0.3">
      <c r="O5275" s="14"/>
      <c r="P5275" s="14"/>
      <c r="Q5275" s="14"/>
      <c r="R5275" s="14"/>
    </row>
    <row r="5276" spans="15:18" x14ac:dyDescent="0.3">
      <c r="O5276" s="14"/>
      <c r="P5276" s="14"/>
      <c r="Q5276" s="14"/>
      <c r="R5276" s="14"/>
    </row>
    <row r="5277" spans="15:18" x14ac:dyDescent="0.3">
      <c r="O5277" s="14"/>
      <c r="P5277" s="14"/>
      <c r="Q5277" s="14"/>
      <c r="R5277" s="14"/>
    </row>
    <row r="5278" spans="15:18" x14ac:dyDescent="0.3">
      <c r="O5278" s="14"/>
      <c r="P5278" s="14"/>
      <c r="Q5278" s="14"/>
      <c r="R5278" s="14"/>
    </row>
    <row r="5279" spans="15:18" x14ac:dyDescent="0.3">
      <c r="O5279" s="14"/>
      <c r="P5279" s="14"/>
      <c r="Q5279" s="14"/>
      <c r="R5279" s="14"/>
    </row>
    <row r="5280" spans="15:18" x14ac:dyDescent="0.3">
      <c r="O5280" s="14"/>
      <c r="P5280" s="14"/>
      <c r="Q5280" s="14"/>
      <c r="R5280" s="14"/>
    </row>
    <row r="5281" spans="15:18" x14ac:dyDescent="0.3">
      <c r="O5281" s="14"/>
      <c r="P5281" s="14"/>
      <c r="Q5281" s="14"/>
      <c r="R5281" s="14"/>
    </row>
    <row r="5282" spans="15:18" x14ac:dyDescent="0.3">
      <c r="O5282" s="14"/>
      <c r="P5282" s="14"/>
      <c r="Q5282" s="14"/>
      <c r="R5282" s="14"/>
    </row>
    <row r="5283" spans="15:18" x14ac:dyDescent="0.3">
      <c r="O5283" s="14"/>
      <c r="P5283" s="14"/>
      <c r="Q5283" s="14"/>
      <c r="R5283" s="14"/>
    </row>
    <row r="5284" spans="15:18" x14ac:dyDescent="0.3">
      <c r="O5284" s="14"/>
      <c r="P5284" s="14"/>
      <c r="Q5284" s="14"/>
      <c r="R5284" s="14"/>
    </row>
    <row r="5285" spans="15:18" x14ac:dyDescent="0.3">
      <c r="O5285" s="14"/>
      <c r="P5285" s="14"/>
      <c r="Q5285" s="14"/>
      <c r="R5285" s="14"/>
    </row>
    <row r="5286" spans="15:18" x14ac:dyDescent="0.3">
      <c r="O5286" s="14"/>
      <c r="P5286" s="14"/>
      <c r="Q5286" s="14"/>
      <c r="R5286" s="14"/>
    </row>
    <row r="5287" spans="15:18" x14ac:dyDescent="0.3">
      <c r="O5287" s="14"/>
      <c r="P5287" s="14"/>
      <c r="Q5287" s="14"/>
      <c r="R5287" s="14"/>
    </row>
    <row r="5288" spans="15:18" x14ac:dyDescent="0.3">
      <c r="O5288" s="14"/>
      <c r="P5288" s="14"/>
      <c r="Q5288" s="14"/>
      <c r="R5288" s="14"/>
    </row>
    <row r="5289" spans="15:18" x14ac:dyDescent="0.3">
      <c r="O5289" s="14"/>
      <c r="P5289" s="14"/>
      <c r="Q5289" s="14"/>
      <c r="R5289" s="14"/>
    </row>
    <row r="5290" spans="15:18" x14ac:dyDescent="0.3">
      <c r="O5290" s="14"/>
      <c r="P5290" s="14"/>
      <c r="Q5290" s="14"/>
      <c r="R5290" s="14"/>
    </row>
    <row r="5291" spans="15:18" x14ac:dyDescent="0.3">
      <c r="O5291" s="14"/>
      <c r="P5291" s="14"/>
      <c r="Q5291" s="14"/>
      <c r="R5291" s="14"/>
    </row>
    <row r="5292" spans="15:18" x14ac:dyDescent="0.3">
      <c r="O5292" s="14"/>
      <c r="P5292" s="14"/>
      <c r="Q5292" s="14"/>
      <c r="R5292" s="14"/>
    </row>
    <row r="5293" spans="15:18" x14ac:dyDescent="0.3">
      <c r="O5293" s="14"/>
      <c r="P5293" s="14"/>
      <c r="Q5293" s="14"/>
      <c r="R5293" s="14"/>
    </row>
    <row r="5294" spans="15:18" x14ac:dyDescent="0.3">
      <c r="O5294" s="14"/>
      <c r="P5294" s="14"/>
      <c r="Q5294" s="14"/>
      <c r="R5294" s="14"/>
    </row>
    <row r="5295" spans="15:18" x14ac:dyDescent="0.3">
      <c r="O5295" s="14"/>
      <c r="P5295" s="14"/>
      <c r="Q5295" s="14"/>
      <c r="R5295" s="14"/>
    </row>
    <row r="5296" spans="15:18" x14ac:dyDescent="0.3">
      <c r="O5296" s="14"/>
      <c r="P5296" s="14"/>
      <c r="Q5296" s="14"/>
      <c r="R5296" s="14"/>
    </row>
    <row r="5297" spans="15:18" x14ac:dyDescent="0.3">
      <c r="O5297" s="14"/>
      <c r="P5297" s="14"/>
      <c r="Q5297" s="14"/>
      <c r="R5297" s="14"/>
    </row>
    <row r="5298" spans="15:18" x14ac:dyDescent="0.3">
      <c r="O5298" s="14"/>
      <c r="P5298" s="14"/>
      <c r="Q5298" s="14"/>
      <c r="R5298" s="14"/>
    </row>
    <row r="5299" spans="15:18" x14ac:dyDescent="0.3">
      <c r="O5299" s="14"/>
      <c r="P5299" s="14"/>
      <c r="Q5299" s="14"/>
      <c r="R5299" s="14"/>
    </row>
    <row r="5300" spans="15:18" x14ac:dyDescent="0.3">
      <c r="O5300" s="14"/>
      <c r="P5300" s="14"/>
      <c r="Q5300" s="14"/>
      <c r="R5300" s="14"/>
    </row>
    <row r="5301" spans="15:18" x14ac:dyDescent="0.3">
      <c r="O5301" s="14"/>
      <c r="P5301" s="14"/>
      <c r="Q5301" s="14"/>
      <c r="R5301" s="14"/>
    </row>
    <row r="5302" spans="15:18" x14ac:dyDescent="0.3">
      <c r="O5302" s="14"/>
      <c r="P5302" s="14"/>
      <c r="Q5302" s="14"/>
      <c r="R5302" s="14"/>
    </row>
    <row r="5303" spans="15:18" x14ac:dyDescent="0.3">
      <c r="O5303" s="14"/>
      <c r="P5303" s="14"/>
      <c r="Q5303" s="14"/>
      <c r="R5303" s="14"/>
    </row>
    <row r="5304" spans="15:18" x14ac:dyDescent="0.3">
      <c r="O5304" s="14"/>
      <c r="P5304" s="14"/>
      <c r="Q5304" s="14"/>
      <c r="R5304" s="14"/>
    </row>
    <row r="5305" spans="15:18" x14ac:dyDescent="0.3">
      <c r="O5305" s="14"/>
      <c r="P5305" s="14"/>
      <c r="Q5305" s="14"/>
      <c r="R5305" s="14"/>
    </row>
    <row r="5306" spans="15:18" x14ac:dyDescent="0.3">
      <c r="O5306" s="14"/>
      <c r="P5306" s="14"/>
      <c r="Q5306" s="14"/>
      <c r="R5306" s="14"/>
    </row>
    <row r="5307" spans="15:18" x14ac:dyDescent="0.3">
      <c r="O5307" s="14"/>
      <c r="P5307" s="14"/>
      <c r="Q5307" s="14"/>
      <c r="R5307" s="14"/>
    </row>
    <row r="5308" spans="15:18" x14ac:dyDescent="0.3">
      <c r="O5308" s="14"/>
      <c r="P5308" s="14"/>
      <c r="Q5308" s="14"/>
      <c r="R5308" s="14"/>
    </row>
    <row r="5309" spans="15:18" x14ac:dyDescent="0.3">
      <c r="O5309" s="14"/>
      <c r="P5309" s="14"/>
      <c r="Q5309" s="14"/>
      <c r="R5309" s="14"/>
    </row>
    <row r="5310" spans="15:18" x14ac:dyDescent="0.3">
      <c r="O5310" s="14"/>
      <c r="P5310" s="14"/>
      <c r="Q5310" s="14"/>
      <c r="R5310" s="14"/>
    </row>
    <row r="5311" spans="15:18" x14ac:dyDescent="0.3">
      <c r="O5311" s="14"/>
      <c r="P5311" s="14"/>
      <c r="Q5311" s="14"/>
      <c r="R5311" s="14"/>
    </row>
    <row r="5312" spans="15:18" x14ac:dyDescent="0.3">
      <c r="O5312" s="14"/>
      <c r="P5312" s="14"/>
      <c r="Q5312" s="14"/>
      <c r="R5312" s="14"/>
    </row>
    <row r="5313" spans="15:18" x14ac:dyDescent="0.3">
      <c r="O5313" s="14"/>
      <c r="P5313" s="14"/>
      <c r="Q5313" s="14"/>
      <c r="R5313" s="14"/>
    </row>
    <row r="5314" spans="15:18" x14ac:dyDescent="0.3">
      <c r="O5314" s="14"/>
      <c r="P5314" s="14"/>
      <c r="Q5314" s="14"/>
      <c r="R5314" s="14"/>
    </row>
    <row r="5315" spans="15:18" x14ac:dyDescent="0.3">
      <c r="O5315" s="14"/>
      <c r="P5315" s="14"/>
      <c r="Q5315" s="14"/>
      <c r="R5315" s="14"/>
    </row>
    <row r="5316" spans="15:18" x14ac:dyDescent="0.3">
      <c r="O5316" s="14"/>
      <c r="P5316" s="14"/>
      <c r="Q5316" s="14"/>
      <c r="R5316" s="14"/>
    </row>
    <row r="5317" spans="15:18" x14ac:dyDescent="0.3">
      <c r="O5317" s="14"/>
      <c r="P5317" s="14"/>
      <c r="Q5317" s="14"/>
      <c r="R5317" s="14"/>
    </row>
    <row r="5318" spans="15:18" x14ac:dyDescent="0.3">
      <c r="O5318" s="14"/>
      <c r="P5318" s="14"/>
      <c r="Q5318" s="14"/>
      <c r="R5318" s="14"/>
    </row>
    <row r="5319" spans="15:18" x14ac:dyDescent="0.3">
      <c r="O5319" s="14"/>
      <c r="P5319" s="14"/>
      <c r="Q5319" s="14"/>
      <c r="R5319" s="14"/>
    </row>
    <row r="5320" spans="15:18" x14ac:dyDescent="0.3">
      <c r="O5320" s="14"/>
      <c r="P5320" s="14"/>
      <c r="Q5320" s="14"/>
      <c r="R5320" s="14"/>
    </row>
    <row r="5321" spans="15:18" x14ac:dyDescent="0.3">
      <c r="O5321" s="14"/>
      <c r="P5321" s="14"/>
      <c r="Q5321" s="14"/>
      <c r="R5321" s="14"/>
    </row>
    <row r="5322" spans="15:18" x14ac:dyDescent="0.3">
      <c r="O5322" s="14"/>
      <c r="P5322" s="14"/>
      <c r="Q5322" s="14"/>
      <c r="R5322" s="14"/>
    </row>
    <row r="5323" spans="15:18" x14ac:dyDescent="0.3">
      <c r="O5323" s="14"/>
      <c r="P5323" s="14"/>
      <c r="Q5323" s="14"/>
      <c r="R5323" s="14"/>
    </row>
    <row r="5324" spans="15:18" x14ac:dyDescent="0.3">
      <c r="O5324" s="14"/>
      <c r="P5324" s="14"/>
      <c r="Q5324" s="14"/>
      <c r="R5324" s="14"/>
    </row>
    <row r="5325" spans="15:18" x14ac:dyDescent="0.3">
      <c r="O5325" s="14"/>
      <c r="P5325" s="14"/>
      <c r="Q5325" s="14"/>
      <c r="R5325" s="14"/>
    </row>
    <row r="5326" spans="15:18" x14ac:dyDescent="0.3">
      <c r="O5326" s="14"/>
      <c r="P5326" s="14"/>
      <c r="Q5326" s="14"/>
      <c r="R5326" s="14"/>
    </row>
    <row r="5327" spans="15:18" x14ac:dyDescent="0.3">
      <c r="O5327" s="14"/>
      <c r="P5327" s="14"/>
      <c r="Q5327" s="14"/>
      <c r="R5327" s="14"/>
    </row>
    <row r="5328" spans="15:18" x14ac:dyDescent="0.3">
      <c r="O5328" s="14"/>
      <c r="P5328" s="14"/>
      <c r="Q5328" s="14"/>
      <c r="R5328" s="14"/>
    </row>
    <row r="5329" spans="15:18" x14ac:dyDescent="0.3">
      <c r="O5329" s="14"/>
      <c r="P5329" s="14"/>
      <c r="Q5329" s="14"/>
      <c r="R5329" s="14"/>
    </row>
    <row r="5330" spans="15:18" x14ac:dyDescent="0.3">
      <c r="O5330" s="14"/>
      <c r="P5330" s="14"/>
      <c r="Q5330" s="14"/>
      <c r="R5330" s="14"/>
    </row>
    <row r="5331" spans="15:18" x14ac:dyDescent="0.3">
      <c r="O5331" s="14"/>
      <c r="P5331" s="14"/>
      <c r="Q5331" s="14"/>
      <c r="R5331" s="14"/>
    </row>
    <row r="5332" spans="15:18" x14ac:dyDescent="0.3">
      <c r="O5332" s="14"/>
      <c r="P5332" s="14"/>
      <c r="Q5332" s="14"/>
      <c r="R5332" s="14"/>
    </row>
    <row r="5333" spans="15:18" x14ac:dyDescent="0.3">
      <c r="O5333" s="14"/>
      <c r="P5333" s="14"/>
      <c r="Q5333" s="14"/>
      <c r="R5333" s="14"/>
    </row>
    <row r="5334" spans="15:18" x14ac:dyDescent="0.3">
      <c r="O5334" s="14"/>
      <c r="P5334" s="14"/>
      <c r="Q5334" s="14"/>
      <c r="R5334" s="14"/>
    </row>
    <row r="5335" spans="15:18" x14ac:dyDescent="0.3">
      <c r="O5335" s="14"/>
      <c r="P5335" s="14"/>
      <c r="Q5335" s="14"/>
      <c r="R5335" s="14"/>
    </row>
    <row r="5336" spans="15:18" x14ac:dyDescent="0.3">
      <c r="O5336" s="14"/>
      <c r="P5336" s="14"/>
      <c r="Q5336" s="14"/>
      <c r="R5336" s="14"/>
    </row>
    <row r="5337" spans="15:18" x14ac:dyDescent="0.3">
      <c r="O5337" s="14"/>
      <c r="P5337" s="14"/>
      <c r="Q5337" s="14"/>
      <c r="R5337" s="14"/>
    </row>
    <row r="5338" spans="15:18" x14ac:dyDescent="0.3">
      <c r="O5338" s="14"/>
      <c r="P5338" s="14"/>
      <c r="Q5338" s="14"/>
      <c r="R5338" s="14"/>
    </row>
    <row r="5339" spans="15:18" x14ac:dyDescent="0.3">
      <c r="O5339" s="14"/>
      <c r="P5339" s="14"/>
      <c r="Q5339" s="14"/>
      <c r="R5339" s="14"/>
    </row>
    <row r="5340" spans="15:18" x14ac:dyDescent="0.3">
      <c r="O5340" s="14"/>
      <c r="P5340" s="14"/>
      <c r="Q5340" s="14"/>
      <c r="R5340" s="14"/>
    </row>
    <row r="5341" spans="15:18" x14ac:dyDescent="0.3">
      <c r="O5341" s="14"/>
      <c r="P5341" s="14"/>
      <c r="Q5341" s="14"/>
      <c r="R5341" s="14"/>
    </row>
    <row r="5342" spans="15:18" x14ac:dyDescent="0.3">
      <c r="O5342" s="14"/>
      <c r="P5342" s="14"/>
      <c r="Q5342" s="14"/>
      <c r="R5342" s="14"/>
    </row>
    <row r="5343" spans="15:18" x14ac:dyDescent="0.3">
      <c r="O5343" s="14"/>
      <c r="P5343" s="14"/>
      <c r="Q5343" s="14"/>
      <c r="R5343" s="14"/>
    </row>
    <row r="5344" spans="15:18" x14ac:dyDescent="0.3">
      <c r="O5344" s="14"/>
      <c r="P5344" s="14"/>
      <c r="Q5344" s="14"/>
      <c r="R5344" s="14"/>
    </row>
    <row r="5345" spans="15:18" x14ac:dyDescent="0.3">
      <c r="O5345" s="14"/>
      <c r="P5345" s="14"/>
      <c r="Q5345" s="14"/>
      <c r="R5345" s="14"/>
    </row>
    <row r="5346" spans="15:18" x14ac:dyDescent="0.3">
      <c r="O5346" s="14"/>
      <c r="P5346" s="14"/>
      <c r="Q5346" s="14"/>
      <c r="R5346" s="14"/>
    </row>
    <row r="5347" spans="15:18" x14ac:dyDescent="0.3">
      <c r="O5347" s="14"/>
      <c r="P5347" s="14"/>
      <c r="Q5347" s="14"/>
      <c r="R5347" s="14"/>
    </row>
    <row r="5348" spans="15:18" x14ac:dyDescent="0.3">
      <c r="O5348" s="14"/>
      <c r="P5348" s="14"/>
      <c r="Q5348" s="14"/>
      <c r="R5348" s="14"/>
    </row>
    <row r="5349" spans="15:18" x14ac:dyDescent="0.3">
      <c r="O5349" s="14"/>
      <c r="P5349" s="14"/>
      <c r="Q5349" s="14"/>
      <c r="R5349" s="14"/>
    </row>
    <row r="5350" spans="15:18" x14ac:dyDescent="0.3">
      <c r="O5350" s="14"/>
      <c r="P5350" s="14"/>
      <c r="Q5350" s="14"/>
      <c r="R5350" s="14"/>
    </row>
    <row r="5351" spans="15:18" x14ac:dyDescent="0.3">
      <c r="O5351" s="14"/>
      <c r="P5351" s="14"/>
      <c r="Q5351" s="14"/>
      <c r="R5351" s="14"/>
    </row>
    <row r="5352" spans="15:18" x14ac:dyDescent="0.3">
      <c r="O5352" s="14"/>
      <c r="P5352" s="14"/>
      <c r="Q5352" s="14"/>
      <c r="R5352" s="14"/>
    </row>
    <row r="5353" spans="15:18" x14ac:dyDescent="0.3">
      <c r="O5353" s="14"/>
      <c r="P5353" s="14"/>
      <c r="Q5353" s="14"/>
      <c r="R5353" s="14"/>
    </row>
    <row r="5354" spans="15:18" x14ac:dyDescent="0.3">
      <c r="O5354" s="14"/>
      <c r="P5354" s="14"/>
      <c r="Q5354" s="14"/>
      <c r="R5354" s="14"/>
    </row>
    <row r="5355" spans="15:18" x14ac:dyDescent="0.3">
      <c r="O5355" s="14"/>
      <c r="P5355" s="14"/>
      <c r="Q5355" s="14"/>
      <c r="R5355" s="14"/>
    </row>
    <row r="5356" spans="15:18" x14ac:dyDescent="0.3">
      <c r="O5356" s="14"/>
      <c r="P5356" s="14"/>
      <c r="Q5356" s="14"/>
      <c r="R5356" s="14"/>
    </row>
    <row r="5357" spans="15:18" x14ac:dyDescent="0.3">
      <c r="O5357" s="14"/>
      <c r="P5357" s="14"/>
      <c r="Q5357" s="14"/>
      <c r="R5357" s="14"/>
    </row>
    <row r="5358" spans="15:18" x14ac:dyDescent="0.3">
      <c r="O5358" s="14"/>
      <c r="P5358" s="14"/>
      <c r="Q5358" s="14"/>
      <c r="R5358" s="14"/>
    </row>
    <row r="5359" spans="15:18" x14ac:dyDescent="0.3">
      <c r="O5359" s="14"/>
      <c r="P5359" s="14"/>
      <c r="Q5359" s="14"/>
      <c r="R5359" s="14"/>
    </row>
    <row r="5360" spans="15:18" x14ac:dyDescent="0.3">
      <c r="O5360" s="14"/>
      <c r="P5360" s="14"/>
      <c r="Q5360" s="14"/>
      <c r="R5360" s="14"/>
    </row>
    <row r="5361" spans="15:18" x14ac:dyDescent="0.3">
      <c r="O5361" s="14"/>
      <c r="P5361" s="14"/>
      <c r="Q5361" s="14"/>
      <c r="R5361" s="14"/>
    </row>
    <row r="5362" spans="15:18" x14ac:dyDescent="0.3">
      <c r="O5362" s="14"/>
      <c r="P5362" s="14"/>
      <c r="Q5362" s="14"/>
      <c r="R5362" s="14"/>
    </row>
    <row r="5363" spans="15:18" x14ac:dyDescent="0.3">
      <c r="O5363" s="14"/>
      <c r="P5363" s="14"/>
      <c r="Q5363" s="14"/>
      <c r="R5363" s="14"/>
    </row>
    <row r="5364" spans="15:18" x14ac:dyDescent="0.3">
      <c r="O5364" s="14"/>
      <c r="P5364" s="14"/>
      <c r="Q5364" s="14"/>
      <c r="R5364" s="14"/>
    </row>
    <row r="5365" spans="15:18" x14ac:dyDescent="0.3">
      <c r="O5365" s="14"/>
      <c r="P5365" s="14"/>
      <c r="Q5365" s="14"/>
      <c r="R5365" s="14"/>
    </row>
    <row r="5366" spans="15:18" x14ac:dyDescent="0.3">
      <c r="O5366" s="14"/>
      <c r="P5366" s="14"/>
      <c r="Q5366" s="14"/>
      <c r="R5366" s="14"/>
    </row>
    <row r="5367" spans="15:18" x14ac:dyDescent="0.3">
      <c r="O5367" s="14"/>
      <c r="P5367" s="14"/>
      <c r="Q5367" s="14"/>
      <c r="R5367" s="14"/>
    </row>
    <row r="5368" spans="15:18" x14ac:dyDescent="0.3">
      <c r="O5368" s="14"/>
      <c r="P5368" s="14"/>
      <c r="Q5368" s="14"/>
      <c r="R5368" s="14"/>
    </row>
    <row r="5369" spans="15:18" x14ac:dyDescent="0.3">
      <c r="O5369" s="14"/>
      <c r="P5369" s="14"/>
      <c r="Q5369" s="14"/>
      <c r="R5369" s="14"/>
    </row>
    <row r="5370" spans="15:18" x14ac:dyDescent="0.3">
      <c r="O5370" s="14"/>
      <c r="P5370" s="14"/>
      <c r="Q5370" s="14"/>
      <c r="R5370" s="14"/>
    </row>
    <row r="5371" spans="15:18" x14ac:dyDescent="0.3">
      <c r="O5371" s="14"/>
      <c r="P5371" s="14"/>
      <c r="Q5371" s="14"/>
      <c r="R5371" s="14"/>
    </row>
    <row r="5372" spans="15:18" x14ac:dyDescent="0.3">
      <c r="O5372" s="14"/>
      <c r="P5372" s="14"/>
      <c r="Q5372" s="14"/>
      <c r="R5372" s="14"/>
    </row>
    <row r="5373" spans="15:18" x14ac:dyDescent="0.3">
      <c r="O5373" s="14"/>
      <c r="P5373" s="14"/>
      <c r="Q5373" s="14"/>
      <c r="R5373" s="14"/>
    </row>
    <row r="5374" spans="15:18" x14ac:dyDescent="0.3">
      <c r="O5374" s="14"/>
      <c r="P5374" s="14"/>
      <c r="Q5374" s="14"/>
      <c r="R5374" s="14"/>
    </row>
    <row r="5375" spans="15:18" x14ac:dyDescent="0.3">
      <c r="O5375" s="14"/>
      <c r="P5375" s="14"/>
      <c r="Q5375" s="14"/>
      <c r="R5375" s="14"/>
    </row>
    <row r="5376" spans="15:18" x14ac:dyDescent="0.3">
      <c r="O5376" s="14"/>
      <c r="P5376" s="14"/>
      <c r="Q5376" s="14"/>
      <c r="R5376" s="14"/>
    </row>
    <row r="5377" spans="15:18" x14ac:dyDescent="0.3">
      <c r="O5377" s="14"/>
      <c r="P5377" s="14"/>
      <c r="Q5377" s="14"/>
      <c r="R5377" s="14"/>
    </row>
    <row r="5378" spans="15:18" x14ac:dyDescent="0.3">
      <c r="O5378" s="14"/>
      <c r="P5378" s="14"/>
      <c r="Q5378" s="14"/>
      <c r="R5378" s="14"/>
    </row>
    <row r="5379" spans="15:18" x14ac:dyDescent="0.3">
      <c r="O5379" s="14"/>
      <c r="P5379" s="14"/>
      <c r="Q5379" s="14"/>
      <c r="R5379" s="14"/>
    </row>
    <row r="5380" spans="15:18" x14ac:dyDescent="0.3">
      <c r="O5380" s="14"/>
      <c r="P5380" s="14"/>
      <c r="Q5380" s="14"/>
      <c r="R5380" s="14"/>
    </row>
    <row r="5381" spans="15:18" x14ac:dyDescent="0.3">
      <c r="O5381" s="14"/>
      <c r="P5381" s="14"/>
      <c r="Q5381" s="14"/>
      <c r="R5381" s="14"/>
    </row>
    <row r="5382" spans="15:18" x14ac:dyDescent="0.3">
      <c r="O5382" s="14"/>
      <c r="P5382" s="14"/>
      <c r="Q5382" s="14"/>
      <c r="R5382" s="14"/>
    </row>
    <row r="5383" spans="15:18" x14ac:dyDescent="0.3">
      <c r="O5383" s="14"/>
      <c r="P5383" s="14"/>
      <c r="Q5383" s="14"/>
      <c r="R5383" s="14"/>
    </row>
    <row r="5384" spans="15:18" x14ac:dyDescent="0.3">
      <c r="O5384" s="14"/>
      <c r="P5384" s="14"/>
      <c r="Q5384" s="14"/>
      <c r="R5384" s="14"/>
    </row>
    <row r="5385" spans="15:18" x14ac:dyDescent="0.3">
      <c r="O5385" s="14"/>
      <c r="P5385" s="14"/>
      <c r="Q5385" s="14"/>
      <c r="R5385" s="14"/>
    </row>
    <row r="5386" spans="15:18" x14ac:dyDescent="0.3">
      <c r="O5386" s="14"/>
      <c r="P5386" s="14"/>
      <c r="Q5386" s="14"/>
      <c r="R5386" s="14"/>
    </row>
    <row r="5387" spans="15:18" x14ac:dyDescent="0.3">
      <c r="O5387" s="14"/>
      <c r="P5387" s="14"/>
      <c r="Q5387" s="14"/>
      <c r="R5387" s="14"/>
    </row>
    <row r="5388" spans="15:18" x14ac:dyDescent="0.3">
      <c r="O5388" s="14"/>
      <c r="P5388" s="14"/>
      <c r="Q5388" s="14"/>
      <c r="R5388" s="14"/>
    </row>
    <row r="5389" spans="15:18" x14ac:dyDescent="0.3">
      <c r="O5389" s="14"/>
      <c r="P5389" s="14"/>
      <c r="Q5389" s="14"/>
      <c r="R5389" s="14"/>
    </row>
    <row r="5390" spans="15:18" x14ac:dyDescent="0.3">
      <c r="O5390" s="14"/>
      <c r="P5390" s="14"/>
      <c r="Q5390" s="14"/>
      <c r="R5390" s="14"/>
    </row>
    <row r="5391" spans="15:18" x14ac:dyDescent="0.3">
      <c r="O5391" s="14"/>
      <c r="P5391" s="14"/>
      <c r="Q5391" s="14"/>
      <c r="R5391" s="14"/>
    </row>
    <row r="5392" spans="15:18" x14ac:dyDescent="0.3">
      <c r="O5392" s="14"/>
      <c r="P5392" s="14"/>
      <c r="Q5392" s="14"/>
      <c r="R5392" s="14"/>
    </row>
    <row r="5393" spans="15:18" x14ac:dyDescent="0.3">
      <c r="O5393" s="14"/>
      <c r="P5393" s="14"/>
      <c r="Q5393" s="14"/>
      <c r="R5393" s="14"/>
    </row>
    <row r="5394" spans="15:18" x14ac:dyDescent="0.3">
      <c r="O5394" s="14"/>
      <c r="P5394" s="14"/>
      <c r="Q5394" s="14"/>
      <c r="R5394" s="14"/>
    </row>
    <row r="5395" spans="15:18" x14ac:dyDescent="0.3">
      <c r="O5395" s="14"/>
      <c r="P5395" s="14"/>
      <c r="Q5395" s="14"/>
      <c r="R5395" s="14"/>
    </row>
    <row r="5396" spans="15:18" x14ac:dyDescent="0.3">
      <c r="O5396" s="14"/>
      <c r="P5396" s="14"/>
      <c r="Q5396" s="14"/>
      <c r="R5396" s="14"/>
    </row>
    <row r="5397" spans="15:18" x14ac:dyDescent="0.3">
      <c r="O5397" s="14"/>
      <c r="P5397" s="14"/>
      <c r="Q5397" s="14"/>
      <c r="R5397" s="14"/>
    </row>
    <row r="5398" spans="15:18" x14ac:dyDescent="0.3">
      <c r="O5398" s="14"/>
      <c r="P5398" s="14"/>
      <c r="Q5398" s="14"/>
      <c r="R5398" s="14"/>
    </row>
    <row r="5399" spans="15:18" x14ac:dyDescent="0.3">
      <c r="O5399" s="14"/>
      <c r="P5399" s="14"/>
      <c r="Q5399" s="14"/>
      <c r="R5399" s="14"/>
    </row>
    <row r="5400" spans="15:18" x14ac:dyDescent="0.3">
      <c r="O5400" s="14"/>
      <c r="P5400" s="14"/>
      <c r="Q5400" s="14"/>
      <c r="R5400" s="14"/>
    </row>
    <row r="5401" spans="15:18" x14ac:dyDescent="0.3">
      <c r="O5401" s="14"/>
      <c r="P5401" s="14"/>
      <c r="Q5401" s="14"/>
      <c r="R5401" s="14"/>
    </row>
    <row r="5402" spans="15:18" x14ac:dyDescent="0.3">
      <c r="O5402" s="14"/>
      <c r="P5402" s="14"/>
      <c r="Q5402" s="14"/>
      <c r="R5402" s="14"/>
    </row>
    <row r="5403" spans="15:18" x14ac:dyDescent="0.3">
      <c r="O5403" s="14"/>
      <c r="P5403" s="14"/>
      <c r="Q5403" s="14"/>
      <c r="R5403" s="14"/>
    </row>
    <row r="5404" spans="15:18" x14ac:dyDescent="0.3">
      <c r="O5404" s="14"/>
      <c r="P5404" s="14"/>
      <c r="Q5404" s="14"/>
      <c r="R5404" s="14"/>
    </row>
    <row r="5405" spans="15:18" x14ac:dyDescent="0.3">
      <c r="O5405" s="14"/>
      <c r="P5405" s="14"/>
      <c r="Q5405" s="14"/>
      <c r="R5405" s="14"/>
    </row>
    <row r="5406" spans="15:18" x14ac:dyDescent="0.3">
      <c r="O5406" s="14"/>
      <c r="P5406" s="14"/>
      <c r="Q5406" s="14"/>
      <c r="R5406" s="14"/>
    </row>
    <row r="5407" spans="15:18" x14ac:dyDescent="0.3">
      <c r="O5407" s="14"/>
      <c r="P5407" s="14"/>
      <c r="Q5407" s="14"/>
      <c r="R5407" s="14"/>
    </row>
    <row r="5408" spans="15:18" x14ac:dyDescent="0.3">
      <c r="O5408" s="14"/>
      <c r="P5408" s="14"/>
      <c r="Q5408" s="14"/>
      <c r="R5408" s="14"/>
    </row>
    <row r="5409" spans="15:18" x14ac:dyDescent="0.3">
      <c r="O5409" s="14"/>
      <c r="P5409" s="14"/>
      <c r="Q5409" s="14"/>
      <c r="R5409" s="14"/>
    </row>
    <row r="5410" spans="15:18" x14ac:dyDescent="0.3">
      <c r="O5410" s="14"/>
      <c r="P5410" s="14"/>
      <c r="Q5410" s="14"/>
      <c r="R5410" s="14"/>
    </row>
    <row r="5411" spans="15:18" x14ac:dyDescent="0.3">
      <c r="O5411" s="14"/>
      <c r="P5411" s="14"/>
      <c r="Q5411" s="14"/>
      <c r="R5411" s="14"/>
    </row>
    <row r="5412" spans="15:18" x14ac:dyDescent="0.3">
      <c r="O5412" s="14"/>
      <c r="P5412" s="14"/>
      <c r="Q5412" s="14"/>
      <c r="R5412" s="14"/>
    </row>
    <row r="5413" spans="15:18" x14ac:dyDescent="0.3">
      <c r="O5413" s="14"/>
      <c r="P5413" s="14"/>
      <c r="Q5413" s="14"/>
      <c r="R5413" s="14"/>
    </row>
    <row r="5414" spans="15:18" x14ac:dyDescent="0.3">
      <c r="O5414" s="14"/>
      <c r="P5414" s="14"/>
      <c r="Q5414" s="14"/>
      <c r="R5414" s="14"/>
    </row>
    <row r="5415" spans="15:18" x14ac:dyDescent="0.3">
      <c r="O5415" s="14"/>
      <c r="P5415" s="14"/>
      <c r="Q5415" s="14"/>
      <c r="R5415" s="14"/>
    </row>
    <row r="5416" spans="15:18" x14ac:dyDescent="0.3">
      <c r="O5416" s="14"/>
      <c r="P5416" s="14"/>
      <c r="Q5416" s="14"/>
      <c r="R5416" s="14"/>
    </row>
    <row r="5417" spans="15:18" x14ac:dyDescent="0.3">
      <c r="O5417" s="14"/>
      <c r="P5417" s="14"/>
      <c r="Q5417" s="14"/>
      <c r="R5417" s="14"/>
    </row>
    <row r="5418" spans="15:18" x14ac:dyDescent="0.3">
      <c r="O5418" s="14"/>
      <c r="P5418" s="14"/>
      <c r="Q5418" s="14"/>
      <c r="R5418" s="14"/>
    </row>
    <row r="5419" spans="15:18" x14ac:dyDescent="0.3">
      <c r="O5419" s="14"/>
      <c r="P5419" s="14"/>
      <c r="Q5419" s="14"/>
      <c r="R5419" s="14"/>
    </row>
    <row r="5420" spans="15:18" x14ac:dyDescent="0.3">
      <c r="O5420" s="14"/>
      <c r="P5420" s="14"/>
      <c r="Q5420" s="14"/>
      <c r="R5420" s="14"/>
    </row>
    <row r="5421" spans="15:18" x14ac:dyDescent="0.3">
      <c r="O5421" s="14"/>
      <c r="P5421" s="14"/>
      <c r="Q5421" s="14"/>
      <c r="R5421" s="14"/>
    </row>
    <row r="5422" spans="15:18" x14ac:dyDescent="0.3">
      <c r="O5422" s="14"/>
      <c r="P5422" s="14"/>
      <c r="Q5422" s="14"/>
      <c r="R5422" s="14"/>
    </row>
    <row r="5423" spans="15:18" x14ac:dyDescent="0.3">
      <c r="O5423" s="14"/>
      <c r="P5423" s="14"/>
      <c r="Q5423" s="14"/>
      <c r="R5423" s="14"/>
    </row>
    <row r="5424" spans="15:18" x14ac:dyDescent="0.3">
      <c r="O5424" s="14"/>
      <c r="P5424" s="14"/>
      <c r="Q5424" s="14"/>
      <c r="R5424" s="14"/>
    </row>
    <row r="5425" spans="15:18" x14ac:dyDescent="0.3">
      <c r="O5425" s="14"/>
      <c r="P5425" s="14"/>
      <c r="Q5425" s="14"/>
      <c r="R5425" s="14"/>
    </row>
    <row r="5426" spans="15:18" x14ac:dyDescent="0.3">
      <c r="O5426" s="14"/>
      <c r="P5426" s="14"/>
      <c r="Q5426" s="14"/>
      <c r="R5426" s="14"/>
    </row>
    <row r="5427" spans="15:18" x14ac:dyDescent="0.3">
      <c r="O5427" s="14"/>
      <c r="P5427" s="14"/>
      <c r="Q5427" s="14"/>
      <c r="R5427" s="14"/>
    </row>
    <row r="5428" spans="15:18" x14ac:dyDescent="0.3">
      <c r="O5428" s="14"/>
      <c r="P5428" s="14"/>
      <c r="Q5428" s="14"/>
      <c r="R5428" s="14"/>
    </row>
    <row r="5429" spans="15:18" x14ac:dyDescent="0.3">
      <c r="O5429" s="14"/>
      <c r="P5429" s="14"/>
      <c r="Q5429" s="14"/>
      <c r="R5429" s="14"/>
    </row>
    <row r="5430" spans="15:18" x14ac:dyDescent="0.3">
      <c r="O5430" s="14"/>
      <c r="P5430" s="14"/>
      <c r="Q5430" s="14"/>
      <c r="R5430" s="14"/>
    </row>
    <row r="5431" spans="15:18" x14ac:dyDescent="0.3">
      <c r="O5431" s="14"/>
      <c r="P5431" s="14"/>
      <c r="Q5431" s="14"/>
      <c r="R5431" s="14"/>
    </row>
    <row r="5432" spans="15:18" x14ac:dyDescent="0.3">
      <c r="O5432" s="14"/>
      <c r="P5432" s="14"/>
      <c r="Q5432" s="14"/>
      <c r="R5432" s="14"/>
    </row>
    <row r="5433" spans="15:18" x14ac:dyDescent="0.3">
      <c r="O5433" s="14"/>
      <c r="P5433" s="14"/>
      <c r="Q5433" s="14"/>
      <c r="R5433" s="14"/>
    </row>
    <row r="5434" spans="15:18" x14ac:dyDescent="0.3">
      <c r="O5434" s="14"/>
      <c r="P5434" s="14"/>
      <c r="Q5434" s="14"/>
      <c r="R5434" s="14"/>
    </row>
    <row r="5435" spans="15:18" x14ac:dyDescent="0.3">
      <c r="O5435" s="14"/>
      <c r="P5435" s="14"/>
      <c r="Q5435" s="14"/>
      <c r="R5435" s="14"/>
    </row>
    <row r="5436" spans="15:18" x14ac:dyDescent="0.3">
      <c r="O5436" s="14"/>
      <c r="P5436" s="14"/>
      <c r="Q5436" s="14"/>
      <c r="R5436" s="14"/>
    </row>
    <row r="5437" spans="15:18" x14ac:dyDescent="0.3">
      <c r="O5437" s="14"/>
      <c r="P5437" s="14"/>
      <c r="Q5437" s="14"/>
      <c r="R5437" s="14"/>
    </row>
    <row r="5438" spans="15:18" x14ac:dyDescent="0.3">
      <c r="O5438" s="14"/>
      <c r="P5438" s="14"/>
      <c r="Q5438" s="14"/>
      <c r="R5438" s="14"/>
    </row>
    <row r="5439" spans="15:18" x14ac:dyDescent="0.3">
      <c r="O5439" s="14"/>
      <c r="P5439" s="14"/>
      <c r="Q5439" s="14"/>
      <c r="R5439" s="14"/>
    </row>
    <row r="5440" spans="15:18" x14ac:dyDescent="0.3">
      <c r="O5440" s="14"/>
      <c r="P5440" s="14"/>
      <c r="Q5440" s="14"/>
      <c r="R5440" s="14"/>
    </row>
    <row r="5441" spans="15:18" x14ac:dyDescent="0.3">
      <c r="O5441" s="14"/>
      <c r="P5441" s="14"/>
      <c r="Q5441" s="14"/>
      <c r="R5441" s="14"/>
    </row>
    <row r="5442" spans="15:18" x14ac:dyDescent="0.3">
      <c r="O5442" s="14"/>
      <c r="P5442" s="14"/>
      <c r="Q5442" s="14"/>
      <c r="R5442" s="14"/>
    </row>
    <row r="5443" spans="15:18" x14ac:dyDescent="0.3">
      <c r="O5443" s="14"/>
      <c r="P5443" s="14"/>
      <c r="Q5443" s="14"/>
      <c r="R5443" s="14"/>
    </row>
    <row r="5444" spans="15:18" x14ac:dyDescent="0.3">
      <c r="O5444" s="14"/>
      <c r="P5444" s="14"/>
      <c r="Q5444" s="14"/>
      <c r="R5444" s="14"/>
    </row>
    <row r="5445" spans="15:18" x14ac:dyDescent="0.3">
      <c r="O5445" s="14"/>
      <c r="P5445" s="14"/>
      <c r="Q5445" s="14"/>
      <c r="R5445" s="14"/>
    </row>
    <row r="5446" spans="15:18" x14ac:dyDescent="0.3">
      <c r="O5446" s="14"/>
      <c r="P5446" s="14"/>
      <c r="Q5446" s="14"/>
      <c r="R5446" s="14"/>
    </row>
    <row r="5447" spans="15:18" x14ac:dyDescent="0.3">
      <c r="O5447" s="14"/>
      <c r="P5447" s="14"/>
      <c r="Q5447" s="14"/>
      <c r="R5447" s="14"/>
    </row>
    <row r="5448" spans="15:18" x14ac:dyDescent="0.3">
      <c r="O5448" s="14"/>
      <c r="P5448" s="14"/>
      <c r="Q5448" s="14"/>
      <c r="R5448" s="14"/>
    </row>
    <row r="5449" spans="15:18" x14ac:dyDescent="0.3">
      <c r="O5449" s="14"/>
      <c r="P5449" s="14"/>
      <c r="Q5449" s="14"/>
      <c r="R5449" s="14"/>
    </row>
    <row r="5450" spans="15:18" x14ac:dyDescent="0.3">
      <c r="O5450" s="14"/>
      <c r="P5450" s="14"/>
      <c r="Q5450" s="14"/>
      <c r="R5450" s="14"/>
    </row>
    <row r="5451" spans="15:18" x14ac:dyDescent="0.3">
      <c r="O5451" s="14"/>
      <c r="P5451" s="14"/>
      <c r="Q5451" s="14"/>
      <c r="R5451" s="14"/>
    </row>
    <row r="5452" spans="15:18" x14ac:dyDescent="0.3">
      <c r="O5452" s="14"/>
      <c r="P5452" s="14"/>
      <c r="Q5452" s="14"/>
      <c r="R5452" s="14"/>
    </row>
    <row r="5453" spans="15:18" x14ac:dyDescent="0.3">
      <c r="O5453" s="14"/>
      <c r="P5453" s="14"/>
      <c r="Q5453" s="14"/>
      <c r="R5453" s="14"/>
    </row>
    <row r="5454" spans="15:18" x14ac:dyDescent="0.3">
      <c r="O5454" s="14"/>
      <c r="P5454" s="14"/>
      <c r="Q5454" s="14"/>
      <c r="R5454" s="14"/>
    </row>
    <row r="5455" spans="15:18" x14ac:dyDescent="0.3">
      <c r="O5455" s="14"/>
      <c r="P5455" s="14"/>
      <c r="Q5455" s="14"/>
      <c r="R5455" s="14"/>
    </row>
    <row r="5456" spans="15:18" x14ac:dyDescent="0.3">
      <c r="O5456" s="14"/>
      <c r="P5456" s="14"/>
      <c r="Q5456" s="14"/>
      <c r="R5456" s="14"/>
    </row>
    <row r="5457" spans="15:18" x14ac:dyDescent="0.3">
      <c r="O5457" s="14"/>
      <c r="P5457" s="14"/>
      <c r="Q5457" s="14"/>
      <c r="R5457" s="14"/>
    </row>
    <row r="5458" spans="15:18" x14ac:dyDescent="0.3">
      <c r="O5458" s="14"/>
      <c r="P5458" s="14"/>
      <c r="Q5458" s="14"/>
      <c r="R5458" s="14"/>
    </row>
    <row r="5459" spans="15:18" x14ac:dyDescent="0.3">
      <c r="O5459" s="14"/>
      <c r="P5459" s="14"/>
      <c r="Q5459" s="14"/>
      <c r="R5459" s="14"/>
    </row>
    <row r="5460" spans="15:18" x14ac:dyDescent="0.3">
      <c r="O5460" s="14"/>
      <c r="P5460" s="14"/>
      <c r="Q5460" s="14"/>
      <c r="R5460" s="14"/>
    </row>
    <row r="5461" spans="15:18" x14ac:dyDescent="0.3">
      <c r="O5461" s="14"/>
      <c r="P5461" s="14"/>
      <c r="Q5461" s="14"/>
      <c r="R5461" s="14"/>
    </row>
    <row r="5462" spans="15:18" x14ac:dyDescent="0.3">
      <c r="O5462" s="14"/>
      <c r="P5462" s="14"/>
      <c r="Q5462" s="14"/>
      <c r="R5462" s="14"/>
    </row>
    <row r="5463" spans="15:18" x14ac:dyDescent="0.3">
      <c r="O5463" s="14"/>
      <c r="P5463" s="14"/>
      <c r="Q5463" s="14"/>
      <c r="R5463" s="14"/>
    </row>
    <row r="5464" spans="15:18" x14ac:dyDescent="0.3">
      <c r="O5464" s="14"/>
      <c r="P5464" s="14"/>
      <c r="Q5464" s="14"/>
      <c r="R5464" s="14"/>
    </row>
    <row r="5465" spans="15:18" x14ac:dyDescent="0.3">
      <c r="O5465" s="14"/>
      <c r="P5465" s="14"/>
      <c r="Q5465" s="14"/>
      <c r="R5465" s="14"/>
    </row>
    <row r="5466" spans="15:18" x14ac:dyDescent="0.3">
      <c r="O5466" s="14"/>
      <c r="P5466" s="14"/>
      <c r="Q5466" s="14"/>
      <c r="R5466" s="14"/>
    </row>
    <row r="5467" spans="15:18" x14ac:dyDescent="0.3">
      <c r="O5467" s="14"/>
      <c r="P5467" s="14"/>
      <c r="Q5467" s="14"/>
      <c r="R5467" s="14"/>
    </row>
    <row r="5468" spans="15:18" x14ac:dyDescent="0.3">
      <c r="O5468" s="14"/>
      <c r="P5468" s="14"/>
      <c r="Q5468" s="14"/>
      <c r="R5468" s="14"/>
    </row>
    <row r="5469" spans="15:18" x14ac:dyDescent="0.3">
      <c r="O5469" s="14"/>
      <c r="P5469" s="14"/>
      <c r="Q5469" s="14"/>
      <c r="R5469" s="14"/>
    </row>
    <row r="5470" spans="15:18" x14ac:dyDescent="0.3">
      <c r="O5470" s="14"/>
      <c r="P5470" s="14"/>
      <c r="Q5470" s="14"/>
      <c r="R5470" s="14"/>
    </row>
    <row r="5471" spans="15:18" x14ac:dyDescent="0.3">
      <c r="O5471" s="14"/>
      <c r="P5471" s="14"/>
      <c r="Q5471" s="14"/>
      <c r="R5471" s="14"/>
    </row>
    <row r="5472" spans="15:18" x14ac:dyDescent="0.3">
      <c r="O5472" s="14"/>
      <c r="P5472" s="14"/>
      <c r="Q5472" s="14"/>
      <c r="R5472" s="14"/>
    </row>
    <row r="5473" spans="15:18" x14ac:dyDescent="0.3">
      <c r="O5473" s="14"/>
      <c r="P5473" s="14"/>
      <c r="Q5473" s="14"/>
      <c r="R5473" s="14"/>
    </row>
    <row r="5474" spans="15:18" x14ac:dyDescent="0.3">
      <c r="O5474" s="14"/>
      <c r="P5474" s="14"/>
      <c r="Q5474" s="14"/>
      <c r="R5474" s="14"/>
    </row>
    <row r="5475" spans="15:18" x14ac:dyDescent="0.3">
      <c r="O5475" s="14"/>
      <c r="P5475" s="14"/>
      <c r="Q5475" s="14"/>
      <c r="R5475" s="14"/>
    </row>
    <row r="5476" spans="15:18" x14ac:dyDescent="0.3">
      <c r="O5476" s="14"/>
      <c r="P5476" s="14"/>
      <c r="Q5476" s="14"/>
      <c r="R5476" s="14"/>
    </row>
    <row r="5477" spans="15:18" x14ac:dyDescent="0.3">
      <c r="O5477" s="14"/>
      <c r="P5477" s="14"/>
      <c r="Q5477" s="14"/>
      <c r="R5477" s="14"/>
    </row>
    <row r="5478" spans="15:18" x14ac:dyDescent="0.3">
      <c r="O5478" s="14"/>
      <c r="P5478" s="14"/>
      <c r="Q5478" s="14"/>
      <c r="R5478" s="14"/>
    </row>
    <row r="5479" spans="15:18" x14ac:dyDescent="0.3">
      <c r="O5479" s="14"/>
      <c r="P5479" s="14"/>
      <c r="Q5479" s="14"/>
      <c r="R5479" s="14"/>
    </row>
    <row r="5480" spans="15:18" x14ac:dyDescent="0.3">
      <c r="O5480" s="14"/>
      <c r="P5480" s="14"/>
      <c r="Q5480" s="14"/>
      <c r="R5480" s="14"/>
    </row>
    <row r="5481" spans="15:18" x14ac:dyDescent="0.3">
      <c r="O5481" s="14"/>
      <c r="P5481" s="14"/>
      <c r="Q5481" s="14"/>
      <c r="R5481" s="14"/>
    </row>
    <row r="5482" spans="15:18" x14ac:dyDescent="0.3">
      <c r="O5482" s="14"/>
      <c r="P5482" s="14"/>
      <c r="Q5482" s="14"/>
      <c r="R5482" s="14"/>
    </row>
    <row r="5483" spans="15:18" x14ac:dyDescent="0.3">
      <c r="O5483" s="14"/>
      <c r="P5483" s="14"/>
      <c r="Q5483" s="14"/>
      <c r="R5483" s="14"/>
    </row>
    <row r="5484" spans="15:18" x14ac:dyDescent="0.3">
      <c r="O5484" s="14"/>
      <c r="P5484" s="14"/>
      <c r="Q5484" s="14"/>
      <c r="R5484" s="14"/>
    </row>
    <row r="5485" spans="15:18" x14ac:dyDescent="0.3">
      <c r="O5485" s="14"/>
      <c r="P5485" s="14"/>
      <c r="Q5485" s="14"/>
      <c r="R5485" s="14"/>
    </row>
    <row r="5486" spans="15:18" x14ac:dyDescent="0.3">
      <c r="O5486" s="14"/>
      <c r="P5486" s="14"/>
      <c r="Q5486" s="14"/>
      <c r="R5486" s="14"/>
    </row>
    <row r="5487" spans="15:18" x14ac:dyDescent="0.3">
      <c r="O5487" s="14"/>
      <c r="P5487" s="14"/>
      <c r="Q5487" s="14"/>
      <c r="R5487" s="14"/>
    </row>
    <row r="5488" spans="15:18" x14ac:dyDescent="0.3">
      <c r="O5488" s="14"/>
      <c r="P5488" s="14"/>
      <c r="Q5488" s="14"/>
      <c r="R5488" s="14"/>
    </row>
    <row r="5489" spans="15:18" x14ac:dyDescent="0.3">
      <c r="O5489" s="14"/>
      <c r="P5489" s="14"/>
      <c r="Q5489" s="14"/>
      <c r="R5489" s="14"/>
    </row>
    <row r="5490" spans="15:18" x14ac:dyDescent="0.3">
      <c r="O5490" s="14"/>
      <c r="P5490" s="14"/>
      <c r="Q5490" s="14"/>
      <c r="R5490" s="14"/>
    </row>
    <row r="5491" spans="15:18" x14ac:dyDescent="0.3">
      <c r="O5491" s="14"/>
      <c r="P5491" s="14"/>
      <c r="Q5491" s="14"/>
      <c r="R5491" s="14"/>
    </row>
    <row r="5492" spans="15:18" x14ac:dyDescent="0.3">
      <c r="O5492" s="14"/>
      <c r="P5492" s="14"/>
      <c r="Q5492" s="14"/>
      <c r="R5492" s="14"/>
    </row>
    <row r="5493" spans="15:18" x14ac:dyDescent="0.3">
      <c r="O5493" s="14"/>
      <c r="P5493" s="14"/>
      <c r="Q5493" s="14"/>
      <c r="R5493" s="14"/>
    </row>
    <row r="5494" spans="15:18" x14ac:dyDescent="0.3">
      <c r="O5494" s="14"/>
      <c r="P5494" s="14"/>
      <c r="Q5494" s="14"/>
      <c r="R5494" s="14"/>
    </row>
    <row r="5495" spans="15:18" x14ac:dyDescent="0.3">
      <c r="O5495" s="14"/>
      <c r="P5495" s="14"/>
      <c r="Q5495" s="14"/>
      <c r="R5495" s="14"/>
    </row>
    <row r="5496" spans="15:18" x14ac:dyDescent="0.3">
      <c r="O5496" s="14"/>
      <c r="P5496" s="14"/>
      <c r="Q5496" s="14"/>
      <c r="R5496" s="14"/>
    </row>
    <row r="5497" spans="15:18" x14ac:dyDescent="0.3">
      <c r="O5497" s="14"/>
      <c r="P5497" s="14"/>
      <c r="Q5497" s="14"/>
      <c r="R5497" s="14"/>
    </row>
    <row r="5498" spans="15:18" x14ac:dyDescent="0.3">
      <c r="O5498" s="14"/>
      <c r="P5498" s="14"/>
      <c r="Q5498" s="14"/>
      <c r="R5498" s="14"/>
    </row>
    <row r="5499" spans="15:18" x14ac:dyDescent="0.3">
      <c r="O5499" s="14"/>
      <c r="P5499" s="14"/>
      <c r="Q5499" s="14"/>
      <c r="R5499" s="14"/>
    </row>
    <row r="5500" spans="15:18" x14ac:dyDescent="0.3">
      <c r="O5500" s="14"/>
      <c r="P5500" s="14"/>
      <c r="Q5500" s="14"/>
      <c r="R5500" s="14"/>
    </row>
    <row r="5501" spans="15:18" x14ac:dyDescent="0.3">
      <c r="O5501" s="14"/>
      <c r="P5501" s="14"/>
      <c r="Q5501" s="14"/>
      <c r="R5501" s="14"/>
    </row>
    <row r="5502" spans="15:18" x14ac:dyDescent="0.3">
      <c r="O5502" s="14"/>
      <c r="P5502" s="14"/>
      <c r="Q5502" s="14"/>
      <c r="R5502" s="14"/>
    </row>
    <row r="5503" spans="15:18" x14ac:dyDescent="0.3">
      <c r="O5503" s="14"/>
      <c r="P5503" s="14"/>
      <c r="Q5503" s="14"/>
      <c r="R5503" s="14"/>
    </row>
    <row r="5504" spans="15:18" x14ac:dyDescent="0.3">
      <c r="O5504" s="14"/>
      <c r="P5504" s="14"/>
      <c r="Q5504" s="14"/>
      <c r="R5504" s="14"/>
    </row>
    <row r="5505" spans="15:18" x14ac:dyDescent="0.3">
      <c r="O5505" s="14"/>
      <c r="P5505" s="14"/>
      <c r="Q5505" s="14"/>
      <c r="R5505" s="14"/>
    </row>
    <row r="5506" spans="15:18" x14ac:dyDescent="0.3">
      <c r="O5506" s="14"/>
      <c r="P5506" s="14"/>
      <c r="Q5506" s="14"/>
      <c r="R5506" s="14"/>
    </row>
    <row r="5507" spans="15:18" x14ac:dyDescent="0.3">
      <c r="O5507" s="14"/>
      <c r="P5507" s="14"/>
      <c r="Q5507" s="14"/>
      <c r="R5507" s="14"/>
    </row>
    <row r="5508" spans="15:18" x14ac:dyDescent="0.3">
      <c r="O5508" s="14"/>
      <c r="P5508" s="14"/>
      <c r="Q5508" s="14"/>
      <c r="R5508" s="14"/>
    </row>
    <row r="5509" spans="15:18" x14ac:dyDescent="0.3">
      <c r="O5509" s="14"/>
      <c r="P5509" s="14"/>
      <c r="Q5509" s="14"/>
      <c r="R5509" s="14"/>
    </row>
    <row r="5510" spans="15:18" x14ac:dyDescent="0.3">
      <c r="O5510" s="14"/>
      <c r="P5510" s="14"/>
      <c r="Q5510" s="14"/>
      <c r="R5510" s="14"/>
    </row>
    <row r="5511" spans="15:18" x14ac:dyDescent="0.3">
      <c r="O5511" s="14"/>
      <c r="P5511" s="14"/>
      <c r="Q5511" s="14"/>
      <c r="R5511" s="14"/>
    </row>
    <row r="5512" spans="15:18" x14ac:dyDescent="0.3">
      <c r="O5512" s="14"/>
      <c r="P5512" s="14"/>
      <c r="Q5512" s="14"/>
      <c r="R5512" s="14"/>
    </row>
    <row r="5513" spans="15:18" x14ac:dyDescent="0.3">
      <c r="O5513" s="14"/>
      <c r="P5513" s="14"/>
      <c r="Q5513" s="14"/>
      <c r="R5513" s="14"/>
    </row>
    <row r="5514" spans="15:18" x14ac:dyDescent="0.3">
      <c r="O5514" s="14"/>
      <c r="P5514" s="14"/>
      <c r="Q5514" s="14"/>
      <c r="R5514" s="14"/>
    </row>
    <row r="5515" spans="15:18" x14ac:dyDescent="0.3">
      <c r="O5515" s="14"/>
      <c r="P5515" s="14"/>
      <c r="Q5515" s="14"/>
      <c r="R5515" s="14"/>
    </row>
    <row r="5516" spans="15:18" x14ac:dyDescent="0.3">
      <c r="O5516" s="14"/>
      <c r="P5516" s="14"/>
      <c r="Q5516" s="14"/>
      <c r="R5516" s="14"/>
    </row>
    <row r="5517" spans="15:18" x14ac:dyDescent="0.3">
      <c r="O5517" s="14"/>
      <c r="P5517" s="14"/>
      <c r="Q5517" s="14"/>
      <c r="R5517" s="14"/>
    </row>
    <row r="5518" spans="15:18" x14ac:dyDescent="0.3">
      <c r="O5518" s="14"/>
      <c r="P5518" s="14"/>
      <c r="Q5518" s="14"/>
      <c r="R5518" s="14"/>
    </row>
    <row r="5519" spans="15:18" x14ac:dyDescent="0.3">
      <c r="O5519" s="14"/>
      <c r="P5519" s="14"/>
      <c r="Q5519" s="14"/>
      <c r="R5519" s="14"/>
    </row>
    <row r="5520" spans="15:18" x14ac:dyDescent="0.3">
      <c r="O5520" s="14"/>
      <c r="P5520" s="14"/>
      <c r="Q5520" s="14"/>
      <c r="R5520" s="14"/>
    </row>
    <row r="5521" spans="15:18" x14ac:dyDescent="0.3">
      <c r="O5521" s="14"/>
      <c r="P5521" s="14"/>
      <c r="Q5521" s="14"/>
      <c r="R5521" s="14"/>
    </row>
    <row r="5522" spans="15:18" x14ac:dyDescent="0.3">
      <c r="O5522" s="14"/>
      <c r="P5522" s="14"/>
      <c r="Q5522" s="14"/>
      <c r="R5522" s="14"/>
    </row>
    <row r="5523" spans="15:18" x14ac:dyDescent="0.3">
      <c r="O5523" s="14"/>
      <c r="P5523" s="14"/>
      <c r="Q5523" s="14"/>
      <c r="R5523" s="14"/>
    </row>
    <row r="5524" spans="15:18" x14ac:dyDescent="0.3">
      <c r="O5524" s="14"/>
      <c r="P5524" s="14"/>
      <c r="Q5524" s="14"/>
      <c r="R5524" s="14"/>
    </row>
    <row r="5525" spans="15:18" x14ac:dyDescent="0.3">
      <c r="O5525" s="14"/>
      <c r="P5525" s="14"/>
      <c r="Q5525" s="14"/>
      <c r="R5525" s="14"/>
    </row>
    <row r="5526" spans="15:18" x14ac:dyDescent="0.3">
      <c r="O5526" s="14"/>
      <c r="P5526" s="14"/>
      <c r="Q5526" s="14"/>
      <c r="R5526" s="14"/>
    </row>
    <row r="5527" spans="15:18" x14ac:dyDescent="0.3">
      <c r="O5527" s="14"/>
      <c r="P5527" s="14"/>
      <c r="Q5527" s="14"/>
      <c r="R5527" s="14"/>
    </row>
    <row r="5528" spans="15:18" x14ac:dyDescent="0.3">
      <c r="O5528" s="14"/>
      <c r="P5528" s="14"/>
      <c r="Q5528" s="14"/>
      <c r="R5528" s="14"/>
    </row>
    <row r="5529" spans="15:18" x14ac:dyDescent="0.3">
      <c r="O5529" s="14"/>
      <c r="P5529" s="14"/>
      <c r="Q5529" s="14"/>
      <c r="R5529" s="14"/>
    </row>
    <row r="5530" spans="15:18" x14ac:dyDescent="0.3">
      <c r="O5530" s="14"/>
      <c r="P5530" s="14"/>
      <c r="Q5530" s="14"/>
      <c r="R5530" s="14"/>
    </row>
    <row r="5531" spans="15:18" x14ac:dyDescent="0.3">
      <c r="O5531" s="14"/>
      <c r="P5531" s="14"/>
      <c r="Q5531" s="14"/>
      <c r="R5531" s="14"/>
    </row>
    <row r="5532" spans="15:18" x14ac:dyDescent="0.3">
      <c r="O5532" s="14"/>
      <c r="P5532" s="14"/>
      <c r="Q5532" s="14"/>
      <c r="R5532" s="14"/>
    </row>
    <row r="5533" spans="15:18" x14ac:dyDescent="0.3">
      <c r="O5533" s="14"/>
      <c r="P5533" s="14"/>
      <c r="Q5533" s="14"/>
      <c r="R5533" s="14"/>
    </row>
    <row r="5534" spans="15:18" x14ac:dyDescent="0.3">
      <c r="O5534" s="14"/>
      <c r="P5534" s="14"/>
      <c r="Q5534" s="14"/>
      <c r="R5534" s="14"/>
    </row>
    <row r="5535" spans="15:18" x14ac:dyDescent="0.3">
      <c r="O5535" s="14"/>
      <c r="P5535" s="14"/>
      <c r="Q5535" s="14"/>
      <c r="R5535" s="14"/>
    </row>
    <row r="5536" spans="15:18" x14ac:dyDescent="0.3">
      <c r="O5536" s="14"/>
      <c r="P5536" s="14"/>
      <c r="Q5536" s="14"/>
      <c r="R5536" s="14"/>
    </row>
    <row r="5537" spans="15:18" x14ac:dyDescent="0.3">
      <c r="O5537" s="14"/>
      <c r="P5537" s="14"/>
      <c r="Q5537" s="14"/>
      <c r="R5537" s="14"/>
    </row>
    <row r="5538" spans="15:18" x14ac:dyDescent="0.3">
      <c r="O5538" s="14"/>
      <c r="P5538" s="14"/>
      <c r="Q5538" s="14"/>
      <c r="R5538" s="14"/>
    </row>
    <row r="5539" spans="15:18" x14ac:dyDescent="0.3">
      <c r="O5539" s="14"/>
      <c r="P5539" s="14"/>
      <c r="Q5539" s="14"/>
      <c r="R5539" s="14"/>
    </row>
    <row r="5540" spans="15:18" x14ac:dyDescent="0.3">
      <c r="O5540" s="14"/>
      <c r="P5540" s="14"/>
      <c r="Q5540" s="14"/>
      <c r="R5540" s="14"/>
    </row>
    <row r="5541" spans="15:18" x14ac:dyDescent="0.3">
      <c r="O5541" s="14"/>
      <c r="P5541" s="14"/>
      <c r="Q5541" s="14"/>
      <c r="R5541" s="14"/>
    </row>
    <row r="5542" spans="15:18" x14ac:dyDescent="0.3">
      <c r="O5542" s="14"/>
      <c r="P5542" s="14"/>
      <c r="Q5542" s="14"/>
      <c r="R5542" s="14"/>
    </row>
    <row r="5543" spans="15:18" x14ac:dyDescent="0.3">
      <c r="O5543" s="14"/>
      <c r="P5543" s="14"/>
      <c r="Q5543" s="14"/>
      <c r="R5543" s="14"/>
    </row>
    <row r="5544" spans="15:18" x14ac:dyDescent="0.3">
      <c r="O5544" s="14"/>
      <c r="P5544" s="14"/>
      <c r="Q5544" s="14"/>
      <c r="R5544" s="14"/>
    </row>
    <row r="5545" spans="15:18" x14ac:dyDescent="0.3">
      <c r="O5545" s="14"/>
      <c r="P5545" s="14"/>
      <c r="Q5545" s="14"/>
      <c r="R5545" s="14"/>
    </row>
    <row r="5546" spans="15:18" x14ac:dyDescent="0.3">
      <c r="O5546" s="14"/>
      <c r="P5546" s="14"/>
      <c r="Q5546" s="14"/>
      <c r="R5546" s="14"/>
    </row>
    <row r="5547" spans="15:18" x14ac:dyDescent="0.3">
      <c r="O5547" s="14"/>
      <c r="P5547" s="14"/>
      <c r="Q5547" s="14"/>
      <c r="R5547" s="14"/>
    </row>
    <row r="5548" spans="15:18" x14ac:dyDescent="0.3">
      <c r="O5548" s="14"/>
      <c r="P5548" s="14"/>
      <c r="Q5548" s="14"/>
      <c r="R5548" s="14"/>
    </row>
    <row r="5549" spans="15:18" x14ac:dyDescent="0.3">
      <c r="O5549" s="14"/>
      <c r="P5549" s="14"/>
      <c r="Q5549" s="14"/>
      <c r="R5549" s="14"/>
    </row>
    <row r="5550" spans="15:18" x14ac:dyDescent="0.3">
      <c r="O5550" s="14"/>
      <c r="P5550" s="14"/>
      <c r="Q5550" s="14"/>
      <c r="R5550" s="14"/>
    </row>
    <row r="5551" spans="15:18" x14ac:dyDescent="0.3">
      <c r="O5551" s="14"/>
      <c r="P5551" s="14"/>
      <c r="Q5551" s="14"/>
      <c r="R5551" s="14"/>
    </row>
    <row r="5552" spans="15:18" x14ac:dyDescent="0.3">
      <c r="O5552" s="14"/>
      <c r="P5552" s="14"/>
      <c r="Q5552" s="14"/>
      <c r="R5552" s="14"/>
    </row>
    <row r="5553" spans="15:18" x14ac:dyDescent="0.3">
      <c r="O5553" s="14"/>
      <c r="P5553" s="14"/>
      <c r="Q5553" s="14"/>
      <c r="R5553" s="14"/>
    </row>
    <row r="5554" spans="15:18" x14ac:dyDescent="0.3">
      <c r="O5554" s="14"/>
      <c r="P5554" s="14"/>
      <c r="Q5554" s="14"/>
      <c r="R5554" s="14"/>
    </row>
    <row r="5555" spans="15:18" x14ac:dyDescent="0.3">
      <c r="O5555" s="14"/>
      <c r="P5555" s="14"/>
      <c r="Q5555" s="14"/>
      <c r="R5555" s="14"/>
    </row>
    <row r="5556" spans="15:18" x14ac:dyDescent="0.3">
      <c r="O5556" s="14"/>
      <c r="P5556" s="14"/>
      <c r="Q5556" s="14"/>
      <c r="R5556" s="14"/>
    </row>
    <row r="5557" spans="15:18" x14ac:dyDescent="0.3">
      <c r="O5557" s="14"/>
      <c r="P5557" s="14"/>
      <c r="Q5557" s="14"/>
      <c r="R5557" s="14"/>
    </row>
    <row r="5558" spans="15:18" x14ac:dyDescent="0.3">
      <c r="O5558" s="14"/>
      <c r="P5558" s="14"/>
      <c r="Q5558" s="14"/>
      <c r="R5558" s="14"/>
    </row>
    <row r="5559" spans="15:18" x14ac:dyDescent="0.3">
      <c r="O5559" s="14"/>
      <c r="P5559" s="14"/>
      <c r="Q5559" s="14"/>
      <c r="R5559" s="14"/>
    </row>
    <row r="5560" spans="15:18" x14ac:dyDescent="0.3">
      <c r="O5560" s="14"/>
      <c r="P5560" s="14"/>
      <c r="Q5560" s="14"/>
      <c r="R5560" s="14"/>
    </row>
    <row r="5561" spans="15:18" x14ac:dyDescent="0.3">
      <c r="O5561" s="14"/>
      <c r="P5561" s="14"/>
      <c r="Q5561" s="14"/>
      <c r="R5561" s="14"/>
    </row>
    <row r="5562" spans="15:18" x14ac:dyDescent="0.3">
      <c r="O5562" s="14"/>
      <c r="P5562" s="14"/>
      <c r="Q5562" s="14"/>
      <c r="R5562" s="14"/>
    </row>
    <row r="5563" spans="15:18" x14ac:dyDescent="0.3">
      <c r="O5563" s="14"/>
      <c r="P5563" s="14"/>
      <c r="Q5563" s="14"/>
      <c r="R5563" s="14"/>
    </row>
    <row r="5564" spans="15:18" x14ac:dyDescent="0.3">
      <c r="O5564" s="14"/>
      <c r="P5564" s="14"/>
      <c r="Q5564" s="14"/>
      <c r="R5564" s="14"/>
    </row>
    <row r="5565" spans="15:18" x14ac:dyDescent="0.3">
      <c r="O5565" s="14"/>
      <c r="P5565" s="14"/>
      <c r="Q5565" s="14"/>
      <c r="R5565" s="14"/>
    </row>
    <row r="5566" spans="15:18" x14ac:dyDescent="0.3">
      <c r="O5566" s="14"/>
      <c r="P5566" s="14"/>
      <c r="Q5566" s="14"/>
      <c r="R5566" s="14"/>
    </row>
    <row r="5567" spans="15:18" x14ac:dyDescent="0.3">
      <c r="O5567" s="14"/>
      <c r="P5567" s="14"/>
      <c r="Q5567" s="14"/>
      <c r="R5567" s="14"/>
    </row>
    <row r="5568" spans="15:18" x14ac:dyDescent="0.3">
      <c r="O5568" s="14"/>
      <c r="P5568" s="14"/>
      <c r="Q5568" s="14"/>
      <c r="R5568" s="14"/>
    </row>
    <row r="5569" spans="15:18" x14ac:dyDescent="0.3">
      <c r="O5569" s="14"/>
      <c r="P5569" s="14"/>
      <c r="Q5569" s="14"/>
      <c r="R5569" s="14"/>
    </row>
    <row r="5570" spans="15:18" x14ac:dyDescent="0.3">
      <c r="O5570" s="14"/>
      <c r="P5570" s="14"/>
      <c r="Q5570" s="14"/>
      <c r="R5570" s="14"/>
    </row>
    <row r="5571" spans="15:18" x14ac:dyDescent="0.3">
      <c r="O5571" s="14"/>
      <c r="P5571" s="14"/>
      <c r="Q5571" s="14"/>
      <c r="R5571" s="14"/>
    </row>
    <row r="5572" spans="15:18" x14ac:dyDescent="0.3">
      <c r="O5572" s="14"/>
      <c r="P5572" s="14"/>
      <c r="Q5572" s="14"/>
      <c r="R5572" s="14"/>
    </row>
    <row r="5573" spans="15:18" x14ac:dyDescent="0.3">
      <c r="O5573" s="14"/>
      <c r="P5573" s="14"/>
      <c r="Q5573" s="14"/>
      <c r="R5573" s="14"/>
    </row>
    <row r="5574" spans="15:18" x14ac:dyDescent="0.3">
      <c r="O5574" s="14"/>
      <c r="P5574" s="14"/>
      <c r="Q5574" s="14"/>
      <c r="R5574" s="14"/>
    </row>
    <row r="5575" spans="15:18" x14ac:dyDescent="0.3">
      <c r="O5575" s="14"/>
      <c r="P5575" s="14"/>
      <c r="Q5575" s="14"/>
      <c r="R5575" s="14"/>
    </row>
    <row r="5576" spans="15:18" x14ac:dyDescent="0.3">
      <c r="O5576" s="14"/>
      <c r="P5576" s="14"/>
      <c r="Q5576" s="14"/>
      <c r="R5576" s="14"/>
    </row>
    <row r="5577" spans="15:18" x14ac:dyDescent="0.3">
      <c r="O5577" s="14"/>
      <c r="P5577" s="14"/>
      <c r="Q5577" s="14"/>
      <c r="R5577" s="14"/>
    </row>
    <row r="5578" spans="15:18" x14ac:dyDescent="0.3">
      <c r="O5578" s="14"/>
      <c r="P5578" s="14"/>
      <c r="Q5578" s="14"/>
      <c r="R5578" s="14"/>
    </row>
    <row r="5579" spans="15:18" x14ac:dyDescent="0.3">
      <c r="O5579" s="14"/>
      <c r="P5579" s="14"/>
      <c r="Q5579" s="14"/>
      <c r="R5579" s="14"/>
    </row>
    <row r="5580" spans="15:18" x14ac:dyDescent="0.3">
      <c r="O5580" s="14"/>
      <c r="P5580" s="14"/>
      <c r="Q5580" s="14"/>
      <c r="R5580" s="14"/>
    </row>
    <row r="5581" spans="15:18" x14ac:dyDescent="0.3">
      <c r="O5581" s="14"/>
      <c r="P5581" s="14"/>
      <c r="Q5581" s="14"/>
      <c r="R5581" s="14"/>
    </row>
    <row r="5582" spans="15:18" x14ac:dyDescent="0.3">
      <c r="O5582" s="14"/>
      <c r="P5582" s="14"/>
      <c r="Q5582" s="14"/>
      <c r="R5582" s="14"/>
    </row>
    <row r="5583" spans="15:18" x14ac:dyDescent="0.3">
      <c r="O5583" s="14"/>
      <c r="P5583" s="14"/>
      <c r="Q5583" s="14"/>
      <c r="R5583" s="14"/>
    </row>
    <row r="5584" spans="15:18" x14ac:dyDescent="0.3">
      <c r="O5584" s="14"/>
      <c r="P5584" s="14"/>
      <c r="Q5584" s="14"/>
      <c r="R5584" s="14"/>
    </row>
    <row r="5585" spans="15:18" x14ac:dyDescent="0.3">
      <c r="O5585" s="14"/>
      <c r="P5585" s="14"/>
      <c r="Q5585" s="14"/>
      <c r="R5585" s="14"/>
    </row>
    <row r="5586" spans="15:18" x14ac:dyDescent="0.3">
      <c r="O5586" s="14"/>
      <c r="P5586" s="14"/>
      <c r="Q5586" s="14"/>
      <c r="R5586" s="14"/>
    </row>
    <row r="5587" spans="15:18" x14ac:dyDescent="0.3">
      <c r="O5587" s="14"/>
      <c r="P5587" s="14"/>
      <c r="Q5587" s="14"/>
      <c r="R5587" s="14"/>
    </row>
    <row r="5588" spans="15:18" x14ac:dyDescent="0.3">
      <c r="O5588" s="14"/>
      <c r="P5588" s="14"/>
      <c r="Q5588" s="14"/>
      <c r="R5588" s="14"/>
    </row>
    <row r="5589" spans="15:18" x14ac:dyDescent="0.3">
      <c r="O5589" s="14"/>
      <c r="P5589" s="14"/>
      <c r="Q5589" s="14"/>
      <c r="R5589" s="14"/>
    </row>
    <row r="5590" spans="15:18" x14ac:dyDescent="0.3">
      <c r="O5590" s="14"/>
      <c r="P5590" s="14"/>
      <c r="Q5590" s="14"/>
      <c r="R5590" s="14"/>
    </row>
    <row r="5591" spans="15:18" x14ac:dyDescent="0.3">
      <c r="O5591" s="14"/>
      <c r="P5591" s="14"/>
      <c r="Q5591" s="14"/>
      <c r="R5591" s="14"/>
    </row>
    <row r="5592" spans="15:18" x14ac:dyDescent="0.3">
      <c r="O5592" s="14"/>
      <c r="P5592" s="14"/>
      <c r="Q5592" s="14"/>
      <c r="R5592" s="14"/>
    </row>
    <row r="5593" spans="15:18" x14ac:dyDescent="0.3">
      <c r="O5593" s="14"/>
      <c r="P5593" s="14"/>
      <c r="Q5593" s="14"/>
      <c r="R5593" s="14"/>
    </row>
    <row r="5594" spans="15:18" x14ac:dyDescent="0.3">
      <c r="O5594" s="14"/>
      <c r="P5594" s="14"/>
      <c r="Q5594" s="14"/>
      <c r="R5594" s="14"/>
    </row>
    <row r="5595" spans="15:18" x14ac:dyDescent="0.3">
      <c r="O5595" s="14"/>
      <c r="P5595" s="14"/>
      <c r="Q5595" s="14"/>
      <c r="R5595" s="14"/>
    </row>
    <row r="5596" spans="15:18" x14ac:dyDescent="0.3">
      <c r="O5596" s="14"/>
      <c r="P5596" s="14"/>
      <c r="Q5596" s="14"/>
      <c r="R5596" s="14"/>
    </row>
    <row r="5597" spans="15:18" x14ac:dyDescent="0.3">
      <c r="O5597" s="14"/>
      <c r="P5597" s="14"/>
      <c r="Q5597" s="14"/>
      <c r="R5597" s="14"/>
    </row>
    <row r="5598" spans="15:18" x14ac:dyDescent="0.3">
      <c r="O5598" s="14"/>
      <c r="P5598" s="14"/>
      <c r="Q5598" s="14"/>
      <c r="R5598" s="14"/>
    </row>
    <row r="5599" spans="15:18" x14ac:dyDescent="0.3">
      <c r="O5599" s="14"/>
      <c r="P5599" s="14"/>
      <c r="Q5599" s="14"/>
      <c r="R5599" s="14"/>
    </row>
    <row r="5600" spans="15:18" x14ac:dyDescent="0.3">
      <c r="O5600" s="14"/>
      <c r="P5600" s="14"/>
      <c r="Q5600" s="14"/>
      <c r="R5600" s="14"/>
    </row>
    <row r="5601" spans="15:18" x14ac:dyDescent="0.3">
      <c r="O5601" s="14"/>
      <c r="P5601" s="14"/>
      <c r="Q5601" s="14"/>
      <c r="R5601" s="14"/>
    </row>
    <row r="5602" spans="15:18" x14ac:dyDescent="0.3">
      <c r="O5602" s="14"/>
      <c r="P5602" s="14"/>
      <c r="Q5602" s="14"/>
      <c r="R5602" s="14"/>
    </row>
    <row r="5603" spans="15:18" x14ac:dyDescent="0.3">
      <c r="O5603" s="14"/>
      <c r="P5603" s="14"/>
      <c r="Q5603" s="14"/>
      <c r="R5603" s="14"/>
    </row>
    <row r="5604" spans="15:18" x14ac:dyDescent="0.3">
      <c r="O5604" s="14"/>
      <c r="P5604" s="14"/>
      <c r="Q5604" s="14"/>
      <c r="R5604" s="14"/>
    </row>
    <row r="5605" spans="15:18" x14ac:dyDescent="0.3">
      <c r="O5605" s="14"/>
      <c r="P5605" s="14"/>
      <c r="Q5605" s="14"/>
      <c r="R5605" s="14"/>
    </row>
    <row r="5606" spans="15:18" x14ac:dyDescent="0.3">
      <c r="O5606" s="14"/>
      <c r="P5606" s="14"/>
      <c r="Q5606" s="14"/>
      <c r="R5606" s="14"/>
    </row>
    <row r="5607" spans="15:18" x14ac:dyDescent="0.3">
      <c r="O5607" s="14"/>
      <c r="P5607" s="14"/>
      <c r="Q5607" s="14"/>
      <c r="R5607" s="14"/>
    </row>
    <row r="5608" spans="15:18" x14ac:dyDescent="0.3">
      <c r="O5608" s="14"/>
      <c r="P5608" s="14"/>
      <c r="Q5608" s="14"/>
      <c r="R5608" s="14"/>
    </row>
    <row r="5609" spans="15:18" x14ac:dyDescent="0.3">
      <c r="O5609" s="14"/>
      <c r="P5609" s="14"/>
      <c r="Q5609" s="14"/>
      <c r="R5609" s="14"/>
    </row>
    <row r="5610" spans="15:18" x14ac:dyDescent="0.3">
      <c r="O5610" s="14"/>
      <c r="P5610" s="14"/>
      <c r="Q5610" s="14"/>
      <c r="R5610" s="14"/>
    </row>
    <row r="5611" spans="15:18" x14ac:dyDescent="0.3">
      <c r="O5611" s="14"/>
      <c r="P5611" s="14"/>
      <c r="Q5611" s="14"/>
      <c r="R5611" s="14"/>
    </row>
    <row r="5612" spans="15:18" x14ac:dyDescent="0.3">
      <c r="O5612" s="14"/>
      <c r="P5612" s="14"/>
      <c r="Q5612" s="14"/>
      <c r="R5612" s="14"/>
    </row>
    <row r="5613" spans="15:18" x14ac:dyDescent="0.3">
      <c r="O5613" s="14"/>
      <c r="P5613" s="14"/>
      <c r="Q5613" s="14"/>
      <c r="R5613" s="14"/>
    </row>
    <row r="5614" spans="15:18" x14ac:dyDescent="0.3">
      <c r="O5614" s="14"/>
      <c r="P5614" s="14"/>
      <c r="Q5614" s="14"/>
      <c r="R5614" s="14"/>
    </row>
    <row r="5615" spans="15:18" x14ac:dyDescent="0.3">
      <c r="O5615" s="14"/>
      <c r="P5615" s="14"/>
      <c r="Q5615" s="14"/>
      <c r="R5615" s="14"/>
    </row>
    <row r="5616" spans="15:18" x14ac:dyDescent="0.3">
      <c r="O5616" s="14"/>
      <c r="P5616" s="14"/>
      <c r="Q5616" s="14"/>
      <c r="R5616" s="14"/>
    </row>
    <row r="5617" spans="15:18" x14ac:dyDescent="0.3">
      <c r="O5617" s="14"/>
      <c r="P5617" s="14"/>
      <c r="Q5617" s="14"/>
      <c r="R5617" s="14"/>
    </row>
    <row r="5618" spans="15:18" x14ac:dyDescent="0.3">
      <c r="O5618" s="14"/>
      <c r="P5618" s="14"/>
      <c r="Q5618" s="14"/>
      <c r="R5618" s="14"/>
    </row>
    <row r="5619" spans="15:18" x14ac:dyDescent="0.3">
      <c r="O5619" s="14"/>
      <c r="P5619" s="14"/>
      <c r="Q5619" s="14"/>
      <c r="R5619" s="14"/>
    </row>
    <row r="5620" spans="15:18" x14ac:dyDescent="0.3">
      <c r="O5620" s="14"/>
      <c r="P5620" s="14"/>
      <c r="Q5620" s="14"/>
      <c r="R5620" s="14"/>
    </row>
    <row r="5621" spans="15:18" x14ac:dyDescent="0.3">
      <c r="O5621" s="14"/>
      <c r="P5621" s="14"/>
      <c r="Q5621" s="14"/>
      <c r="R5621" s="14"/>
    </row>
    <row r="5622" spans="15:18" x14ac:dyDescent="0.3">
      <c r="O5622" s="14"/>
      <c r="P5622" s="14"/>
      <c r="Q5622" s="14"/>
      <c r="R5622" s="14"/>
    </row>
    <row r="5623" spans="15:18" x14ac:dyDescent="0.3">
      <c r="O5623" s="14"/>
      <c r="P5623" s="14"/>
      <c r="Q5623" s="14"/>
      <c r="R5623" s="14"/>
    </row>
    <row r="5624" spans="15:18" x14ac:dyDescent="0.3">
      <c r="O5624" s="14"/>
      <c r="P5624" s="14"/>
      <c r="Q5624" s="14"/>
      <c r="R5624" s="14"/>
    </row>
    <row r="5625" spans="15:18" x14ac:dyDescent="0.3">
      <c r="O5625" s="14"/>
      <c r="P5625" s="14"/>
      <c r="Q5625" s="14"/>
      <c r="R5625" s="14"/>
    </row>
    <row r="5626" spans="15:18" x14ac:dyDescent="0.3">
      <c r="O5626" s="14"/>
      <c r="P5626" s="14"/>
      <c r="Q5626" s="14"/>
      <c r="R5626" s="14"/>
    </row>
    <row r="5627" spans="15:18" x14ac:dyDescent="0.3">
      <c r="O5627" s="14"/>
      <c r="P5627" s="14"/>
      <c r="Q5627" s="14"/>
      <c r="R5627" s="14"/>
    </row>
    <row r="5628" spans="15:18" x14ac:dyDescent="0.3">
      <c r="O5628" s="14"/>
      <c r="P5628" s="14"/>
      <c r="Q5628" s="14"/>
      <c r="R5628" s="14"/>
    </row>
    <row r="5629" spans="15:18" x14ac:dyDescent="0.3">
      <c r="O5629" s="14"/>
      <c r="P5629" s="14"/>
      <c r="Q5629" s="14"/>
      <c r="R5629" s="14"/>
    </row>
    <row r="5630" spans="15:18" x14ac:dyDescent="0.3">
      <c r="O5630" s="14"/>
      <c r="P5630" s="14"/>
      <c r="Q5630" s="14"/>
      <c r="R5630" s="14"/>
    </row>
    <row r="5631" spans="15:18" x14ac:dyDescent="0.3">
      <c r="O5631" s="14"/>
      <c r="P5631" s="14"/>
      <c r="Q5631" s="14"/>
      <c r="R5631" s="14"/>
    </row>
    <row r="5632" spans="15:18" x14ac:dyDescent="0.3">
      <c r="O5632" s="14"/>
      <c r="P5632" s="14"/>
      <c r="Q5632" s="14"/>
      <c r="R5632" s="14"/>
    </row>
    <row r="5633" spans="15:18" x14ac:dyDescent="0.3">
      <c r="O5633" s="14"/>
      <c r="P5633" s="14"/>
      <c r="Q5633" s="14"/>
      <c r="R5633" s="14"/>
    </row>
    <row r="5634" spans="15:18" x14ac:dyDescent="0.3">
      <c r="O5634" s="14"/>
      <c r="P5634" s="14"/>
      <c r="Q5634" s="14"/>
      <c r="R5634" s="14"/>
    </row>
    <row r="5635" spans="15:18" x14ac:dyDescent="0.3">
      <c r="O5635" s="14"/>
      <c r="P5635" s="14"/>
      <c r="Q5635" s="14"/>
      <c r="R5635" s="14"/>
    </row>
    <row r="5636" spans="15:18" x14ac:dyDescent="0.3">
      <c r="O5636" s="14"/>
      <c r="P5636" s="14"/>
      <c r="Q5636" s="14"/>
      <c r="R5636" s="14"/>
    </row>
    <row r="5637" spans="15:18" x14ac:dyDescent="0.3">
      <c r="O5637" s="14"/>
      <c r="P5637" s="14"/>
      <c r="Q5637" s="14"/>
      <c r="R5637" s="14"/>
    </row>
    <row r="5638" spans="15:18" x14ac:dyDescent="0.3">
      <c r="O5638" s="14"/>
      <c r="P5638" s="14"/>
      <c r="Q5638" s="14"/>
      <c r="R5638" s="14"/>
    </row>
    <row r="5639" spans="15:18" x14ac:dyDescent="0.3">
      <c r="O5639" s="14"/>
      <c r="P5639" s="14"/>
      <c r="Q5639" s="14"/>
      <c r="R5639" s="14"/>
    </row>
    <row r="5640" spans="15:18" x14ac:dyDescent="0.3">
      <c r="O5640" s="14"/>
      <c r="P5640" s="14"/>
      <c r="Q5640" s="14"/>
      <c r="R5640" s="14"/>
    </row>
    <row r="5641" spans="15:18" x14ac:dyDescent="0.3">
      <c r="O5641" s="14"/>
      <c r="P5641" s="14"/>
      <c r="Q5641" s="14"/>
      <c r="R5641" s="14"/>
    </row>
    <row r="5642" spans="15:18" x14ac:dyDescent="0.3">
      <c r="O5642" s="14"/>
      <c r="P5642" s="14"/>
      <c r="Q5642" s="14"/>
      <c r="R5642" s="14"/>
    </row>
    <row r="5643" spans="15:18" x14ac:dyDescent="0.3">
      <c r="O5643" s="14"/>
      <c r="P5643" s="14"/>
      <c r="Q5643" s="14"/>
      <c r="R5643" s="14"/>
    </row>
    <row r="5644" spans="15:18" x14ac:dyDescent="0.3">
      <c r="O5644" s="14"/>
      <c r="P5644" s="14"/>
      <c r="Q5644" s="14"/>
      <c r="R5644" s="14"/>
    </row>
    <row r="5645" spans="15:18" x14ac:dyDescent="0.3">
      <c r="O5645" s="14"/>
      <c r="P5645" s="14"/>
      <c r="Q5645" s="14"/>
      <c r="R5645" s="14"/>
    </row>
    <row r="5646" spans="15:18" x14ac:dyDescent="0.3">
      <c r="O5646" s="14"/>
      <c r="P5646" s="14"/>
      <c r="Q5646" s="14"/>
      <c r="R5646" s="14"/>
    </row>
    <row r="5647" spans="15:18" x14ac:dyDescent="0.3">
      <c r="O5647" s="14"/>
      <c r="P5647" s="14"/>
      <c r="Q5647" s="14"/>
      <c r="R5647" s="14"/>
    </row>
    <row r="5648" spans="15:18" x14ac:dyDescent="0.3">
      <c r="O5648" s="14"/>
      <c r="P5648" s="14"/>
      <c r="Q5648" s="14"/>
      <c r="R5648" s="14"/>
    </row>
    <row r="5649" spans="15:18" x14ac:dyDescent="0.3">
      <c r="O5649" s="14"/>
      <c r="P5649" s="14"/>
      <c r="Q5649" s="14"/>
      <c r="R5649" s="14"/>
    </row>
    <row r="5650" spans="15:18" x14ac:dyDescent="0.3">
      <c r="O5650" s="14"/>
      <c r="P5650" s="14"/>
      <c r="Q5650" s="14"/>
      <c r="R5650" s="14"/>
    </row>
    <row r="5651" spans="15:18" x14ac:dyDescent="0.3">
      <c r="O5651" s="14"/>
      <c r="P5651" s="14"/>
      <c r="Q5651" s="14"/>
      <c r="R5651" s="14"/>
    </row>
    <row r="5652" spans="15:18" x14ac:dyDescent="0.3">
      <c r="O5652" s="14"/>
      <c r="P5652" s="14"/>
      <c r="Q5652" s="14"/>
      <c r="R5652" s="14"/>
    </row>
    <row r="5653" spans="15:18" x14ac:dyDescent="0.3">
      <c r="O5653" s="14"/>
      <c r="P5653" s="14"/>
      <c r="Q5653" s="14"/>
      <c r="R5653" s="14"/>
    </row>
    <row r="5654" spans="15:18" x14ac:dyDescent="0.3">
      <c r="O5654" s="14"/>
      <c r="P5654" s="14"/>
      <c r="Q5654" s="14"/>
      <c r="R5654" s="14"/>
    </row>
    <row r="5655" spans="15:18" x14ac:dyDescent="0.3">
      <c r="O5655" s="14"/>
      <c r="P5655" s="14"/>
      <c r="Q5655" s="14"/>
      <c r="R5655" s="14"/>
    </row>
    <row r="5656" spans="15:18" x14ac:dyDescent="0.3">
      <c r="O5656" s="14"/>
      <c r="P5656" s="14"/>
      <c r="Q5656" s="14"/>
      <c r="R5656" s="14"/>
    </row>
    <row r="5657" spans="15:18" x14ac:dyDescent="0.3">
      <c r="O5657" s="14"/>
      <c r="P5657" s="14"/>
      <c r="Q5657" s="14"/>
      <c r="R5657" s="14"/>
    </row>
    <row r="5658" spans="15:18" x14ac:dyDescent="0.3">
      <c r="O5658" s="14"/>
      <c r="P5658" s="14"/>
      <c r="Q5658" s="14"/>
      <c r="R5658" s="14"/>
    </row>
    <row r="5659" spans="15:18" x14ac:dyDescent="0.3">
      <c r="O5659" s="14"/>
      <c r="P5659" s="14"/>
      <c r="Q5659" s="14"/>
      <c r="R5659" s="14"/>
    </row>
    <row r="5660" spans="15:18" x14ac:dyDescent="0.3">
      <c r="O5660" s="14"/>
      <c r="P5660" s="14"/>
      <c r="Q5660" s="14"/>
      <c r="R5660" s="14"/>
    </row>
    <row r="5661" spans="15:18" x14ac:dyDescent="0.3">
      <c r="O5661" s="14"/>
      <c r="P5661" s="14"/>
      <c r="Q5661" s="14"/>
      <c r="R5661" s="14"/>
    </row>
    <row r="5662" spans="15:18" x14ac:dyDescent="0.3">
      <c r="O5662" s="14"/>
      <c r="P5662" s="14"/>
      <c r="Q5662" s="14"/>
      <c r="R5662" s="14"/>
    </row>
    <row r="5663" spans="15:18" x14ac:dyDescent="0.3">
      <c r="O5663" s="14"/>
      <c r="P5663" s="14"/>
      <c r="Q5663" s="14"/>
      <c r="R5663" s="14"/>
    </row>
    <row r="5664" spans="15:18" x14ac:dyDescent="0.3">
      <c r="O5664" s="14"/>
      <c r="P5664" s="14"/>
      <c r="Q5664" s="14"/>
      <c r="R5664" s="14"/>
    </row>
    <row r="5665" spans="15:18" x14ac:dyDescent="0.3">
      <c r="O5665" s="14"/>
      <c r="P5665" s="14"/>
      <c r="Q5665" s="14"/>
      <c r="R5665" s="14"/>
    </row>
    <row r="5666" spans="15:18" x14ac:dyDescent="0.3">
      <c r="O5666" s="14"/>
      <c r="P5666" s="14"/>
      <c r="Q5666" s="14"/>
      <c r="R5666" s="14"/>
    </row>
    <row r="5667" spans="15:18" x14ac:dyDescent="0.3">
      <c r="O5667" s="14"/>
      <c r="P5667" s="14"/>
      <c r="Q5667" s="14"/>
      <c r="R5667" s="14"/>
    </row>
    <row r="5668" spans="15:18" x14ac:dyDescent="0.3">
      <c r="O5668" s="14"/>
      <c r="P5668" s="14"/>
      <c r="Q5668" s="14"/>
      <c r="R5668" s="14"/>
    </row>
    <row r="5669" spans="15:18" x14ac:dyDescent="0.3">
      <c r="O5669" s="14"/>
      <c r="P5669" s="14"/>
      <c r="Q5669" s="14"/>
      <c r="R5669" s="14"/>
    </row>
    <row r="5670" spans="15:18" x14ac:dyDescent="0.3">
      <c r="O5670" s="14"/>
      <c r="P5670" s="14"/>
      <c r="Q5670" s="14"/>
      <c r="R5670" s="14"/>
    </row>
    <row r="5671" spans="15:18" x14ac:dyDescent="0.3">
      <c r="O5671" s="14"/>
      <c r="P5671" s="14"/>
      <c r="Q5671" s="14"/>
      <c r="R5671" s="14"/>
    </row>
    <row r="5672" spans="15:18" x14ac:dyDescent="0.3">
      <c r="O5672" s="14"/>
      <c r="P5672" s="14"/>
      <c r="Q5672" s="14"/>
      <c r="R5672" s="14"/>
    </row>
    <row r="5673" spans="15:18" x14ac:dyDescent="0.3">
      <c r="O5673" s="14"/>
      <c r="P5673" s="14"/>
      <c r="Q5673" s="14"/>
      <c r="R5673" s="14"/>
    </row>
    <row r="5674" spans="15:18" x14ac:dyDescent="0.3">
      <c r="O5674" s="14"/>
      <c r="P5674" s="14"/>
      <c r="Q5674" s="14"/>
      <c r="R5674" s="14"/>
    </row>
    <row r="5675" spans="15:18" x14ac:dyDescent="0.3">
      <c r="O5675" s="14"/>
      <c r="P5675" s="14"/>
      <c r="Q5675" s="14"/>
      <c r="R5675" s="14"/>
    </row>
    <row r="5676" spans="15:18" x14ac:dyDescent="0.3">
      <c r="O5676" s="14"/>
      <c r="P5676" s="14"/>
      <c r="Q5676" s="14"/>
      <c r="R5676" s="14"/>
    </row>
    <row r="5677" spans="15:18" x14ac:dyDescent="0.3">
      <c r="O5677" s="14"/>
      <c r="P5677" s="14"/>
      <c r="Q5677" s="14"/>
      <c r="R5677" s="14"/>
    </row>
    <row r="5678" spans="15:18" x14ac:dyDescent="0.3">
      <c r="O5678" s="14"/>
      <c r="P5678" s="14"/>
      <c r="Q5678" s="14"/>
      <c r="R5678" s="14"/>
    </row>
    <row r="5679" spans="15:18" x14ac:dyDescent="0.3">
      <c r="O5679" s="14"/>
      <c r="P5679" s="14"/>
      <c r="Q5679" s="14"/>
      <c r="R5679" s="14"/>
    </row>
    <row r="5680" spans="15:18" x14ac:dyDescent="0.3">
      <c r="O5680" s="14"/>
      <c r="P5680" s="14"/>
      <c r="Q5680" s="14"/>
      <c r="R5680" s="14"/>
    </row>
    <row r="5681" spans="15:18" x14ac:dyDescent="0.3">
      <c r="O5681" s="14"/>
      <c r="P5681" s="14"/>
      <c r="Q5681" s="14"/>
      <c r="R5681" s="14"/>
    </row>
    <row r="5682" spans="15:18" x14ac:dyDescent="0.3">
      <c r="O5682" s="14"/>
      <c r="P5682" s="14"/>
      <c r="Q5682" s="14"/>
      <c r="R5682" s="14"/>
    </row>
    <row r="5683" spans="15:18" x14ac:dyDescent="0.3">
      <c r="O5683" s="14"/>
      <c r="P5683" s="14"/>
      <c r="Q5683" s="14"/>
      <c r="R5683" s="14"/>
    </row>
    <row r="5684" spans="15:18" x14ac:dyDescent="0.3">
      <c r="O5684" s="14"/>
      <c r="P5684" s="14"/>
      <c r="Q5684" s="14"/>
      <c r="R5684" s="14"/>
    </row>
    <row r="5685" spans="15:18" x14ac:dyDescent="0.3">
      <c r="O5685" s="14"/>
      <c r="P5685" s="14"/>
      <c r="Q5685" s="14"/>
      <c r="R5685" s="14"/>
    </row>
    <row r="5686" spans="15:18" x14ac:dyDescent="0.3">
      <c r="O5686" s="14"/>
      <c r="P5686" s="14"/>
      <c r="Q5686" s="14"/>
      <c r="R5686" s="14"/>
    </row>
    <row r="5687" spans="15:18" x14ac:dyDescent="0.3">
      <c r="O5687" s="14"/>
      <c r="P5687" s="14"/>
      <c r="Q5687" s="14"/>
      <c r="R5687" s="14"/>
    </row>
    <row r="5688" spans="15:18" x14ac:dyDescent="0.3">
      <c r="O5688" s="14"/>
      <c r="P5688" s="14"/>
      <c r="Q5688" s="14"/>
      <c r="R5688" s="14"/>
    </row>
    <row r="5689" spans="15:18" x14ac:dyDescent="0.3">
      <c r="O5689" s="14"/>
      <c r="P5689" s="14"/>
      <c r="Q5689" s="14"/>
      <c r="R5689" s="14"/>
    </row>
    <row r="5690" spans="15:18" x14ac:dyDescent="0.3">
      <c r="O5690" s="14"/>
      <c r="P5690" s="14"/>
      <c r="Q5690" s="14"/>
      <c r="R5690" s="14"/>
    </row>
    <row r="5691" spans="15:18" x14ac:dyDescent="0.3">
      <c r="O5691" s="14"/>
      <c r="P5691" s="14"/>
      <c r="Q5691" s="14"/>
      <c r="R5691" s="14"/>
    </row>
    <row r="5692" spans="15:18" x14ac:dyDescent="0.3">
      <c r="O5692" s="14"/>
      <c r="P5692" s="14"/>
      <c r="Q5692" s="14"/>
      <c r="R5692" s="14"/>
    </row>
    <row r="5693" spans="15:18" x14ac:dyDescent="0.3">
      <c r="O5693" s="14"/>
      <c r="P5693" s="14"/>
      <c r="Q5693" s="14"/>
      <c r="R5693" s="14"/>
    </row>
    <row r="5694" spans="15:18" x14ac:dyDescent="0.3">
      <c r="O5694" s="14"/>
      <c r="P5694" s="14"/>
      <c r="Q5694" s="14"/>
      <c r="R5694" s="14"/>
    </row>
    <row r="5695" spans="15:18" x14ac:dyDescent="0.3">
      <c r="O5695" s="14"/>
      <c r="P5695" s="14"/>
      <c r="Q5695" s="14"/>
      <c r="R5695" s="14"/>
    </row>
    <row r="5696" spans="15:18" x14ac:dyDescent="0.3">
      <c r="O5696" s="14"/>
      <c r="P5696" s="14"/>
      <c r="Q5696" s="14"/>
      <c r="R5696" s="14"/>
    </row>
    <row r="5697" spans="15:18" x14ac:dyDescent="0.3">
      <c r="O5697" s="14"/>
      <c r="P5697" s="14"/>
      <c r="Q5697" s="14"/>
      <c r="R5697" s="14"/>
    </row>
    <row r="5698" spans="15:18" x14ac:dyDescent="0.3">
      <c r="O5698" s="14"/>
      <c r="P5698" s="14"/>
      <c r="Q5698" s="14"/>
      <c r="R5698" s="14"/>
    </row>
    <row r="5699" spans="15:18" x14ac:dyDescent="0.3">
      <c r="O5699" s="14"/>
      <c r="P5699" s="14"/>
      <c r="Q5699" s="14"/>
      <c r="R5699" s="14"/>
    </row>
    <row r="5700" spans="15:18" x14ac:dyDescent="0.3">
      <c r="O5700" s="14"/>
      <c r="P5700" s="14"/>
      <c r="Q5700" s="14"/>
      <c r="R5700" s="14"/>
    </row>
    <row r="5701" spans="15:18" x14ac:dyDescent="0.3">
      <c r="O5701" s="14"/>
      <c r="P5701" s="14"/>
      <c r="Q5701" s="14"/>
      <c r="R5701" s="14"/>
    </row>
    <row r="5702" spans="15:18" x14ac:dyDescent="0.3">
      <c r="O5702" s="14"/>
      <c r="P5702" s="14"/>
      <c r="Q5702" s="14"/>
      <c r="R5702" s="14"/>
    </row>
    <row r="5703" spans="15:18" x14ac:dyDescent="0.3">
      <c r="O5703" s="14"/>
      <c r="P5703" s="14"/>
      <c r="Q5703" s="14"/>
      <c r="R5703" s="14"/>
    </row>
    <row r="5704" spans="15:18" x14ac:dyDescent="0.3">
      <c r="O5704" s="14"/>
      <c r="P5704" s="14"/>
      <c r="Q5704" s="14"/>
      <c r="R5704" s="14"/>
    </row>
    <row r="5705" spans="15:18" x14ac:dyDescent="0.3">
      <c r="O5705" s="14"/>
      <c r="P5705" s="14"/>
      <c r="Q5705" s="14"/>
      <c r="R5705" s="14"/>
    </row>
    <row r="5706" spans="15:18" x14ac:dyDescent="0.3">
      <c r="O5706" s="14"/>
      <c r="P5706" s="14"/>
      <c r="Q5706" s="14"/>
      <c r="R5706" s="14"/>
    </row>
    <row r="5707" spans="15:18" x14ac:dyDescent="0.3">
      <c r="O5707" s="14"/>
      <c r="P5707" s="14"/>
      <c r="Q5707" s="14"/>
      <c r="R5707" s="14"/>
    </row>
    <row r="5708" spans="15:18" x14ac:dyDescent="0.3">
      <c r="O5708" s="14"/>
      <c r="P5708" s="14"/>
      <c r="Q5708" s="14"/>
      <c r="R5708" s="14"/>
    </row>
    <row r="5709" spans="15:18" x14ac:dyDescent="0.3">
      <c r="O5709" s="14"/>
      <c r="P5709" s="14"/>
      <c r="Q5709" s="14"/>
      <c r="R5709" s="14"/>
    </row>
    <row r="5710" spans="15:18" x14ac:dyDescent="0.3">
      <c r="O5710" s="14"/>
      <c r="P5710" s="14"/>
      <c r="Q5710" s="14"/>
      <c r="R5710" s="14"/>
    </row>
    <row r="5711" spans="15:18" x14ac:dyDescent="0.3">
      <c r="O5711" s="14"/>
      <c r="P5711" s="14"/>
      <c r="Q5711" s="14"/>
      <c r="R5711" s="14"/>
    </row>
    <row r="5712" spans="15:18" x14ac:dyDescent="0.3">
      <c r="O5712" s="14"/>
      <c r="P5712" s="14"/>
      <c r="Q5712" s="14"/>
      <c r="R5712" s="14"/>
    </row>
    <row r="5713" spans="15:18" x14ac:dyDescent="0.3">
      <c r="O5713" s="14"/>
      <c r="P5713" s="14"/>
      <c r="Q5713" s="14"/>
      <c r="R5713" s="14"/>
    </row>
    <row r="5714" spans="15:18" x14ac:dyDescent="0.3">
      <c r="O5714" s="14"/>
      <c r="P5714" s="14"/>
      <c r="Q5714" s="14"/>
      <c r="R5714" s="14"/>
    </row>
    <row r="5715" spans="15:18" x14ac:dyDescent="0.3">
      <c r="O5715" s="14"/>
      <c r="P5715" s="14"/>
      <c r="Q5715" s="14"/>
      <c r="R5715" s="14"/>
    </row>
    <row r="5716" spans="15:18" x14ac:dyDescent="0.3">
      <c r="O5716" s="14"/>
      <c r="P5716" s="14"/>
      <c r="Q5716" s="14"/>
      <c r="R5716" s="14"/>
    </row>
    <row r="5717" spans="15:18" x14ac:dyDescent="0.3">
      <c r="O5717" s="14"/>
      <c r="P5717" s="14"/>
      <c r="Q5717" s="14"/>
      <c r="R5717" s="14"/>
    </row>
    <row r="5718" spans="15:18" x14ac:dyDescent="0.3">
      <c r="O5718" s="14"/>
      <c r="P5718" s="14"/>
      <c r="Q5718" s="14"/>
      <c r="R5718" s="14"/>
    </row>
    <row r="5719" spans="15:18" x14ac:dyDescent="0.3">
      <c r="O5719" s="14"/>
      <c r="P5719" s="14"/>
      <c r="Q5719" s="14"/>
      <c r="R5719" s="14"/>
    </row>
    <row r="5720" spans="15:18" x14ac:dyDescent="0.3">
      <c r="O5720" s="14"/>
      <c r="P5720" s="14"/>
      <c r="Q5720" s="14"/>
      <c r="R5720" s="14"/>
    </row>
    <row r="5721" spans="15:18" x14ac:dyDescent="0.3">
      <c r="O5721" s="14"/>
      <c r="P5721" s="14"/>
      <c r="Q5721" s="14"/>
      <c r="R5721" s="14"/>
    </row>
    <row r="5722" spans="15:18" x14ac:dyDescent="0.3">
      <c r="O5722" s="14"/>
      <c r="P5722" s="14"/>
      <c r="Q5722" s="14"/>
      <c r="R5722" s="14"/>
    </row>
    <row r="5723" spans="15:18" x14ac:dyDescent="0.3">
      <c r="O5723" s="14"/>
      <c r="P5723" s="14"/>
      <c r="Q5723" s="14"/>
      <c r="R5723" s="14"/>
    </row>
    <row r="5724" spans="15:18" x14ac:dyDescent="0.3">
      <c r="O5724" s="14"/>
      <c r="P5724" s="14"/>
      <c r="Q5724" s="14"/>
      <c r="R5724" s="14"/>
    </row>
    <row r="5725" spans="15:18" x14ac:dyDescent="0.3">
      <c r="O5725" s="14"/>
      <c r="P5725" s="14"/>
      <c r="Q5725" s="14"/>
      <c r="R5725" s="14"/>
    </row>
    <row r="5726" spans="15:18" x14ac:dyDescent="0.3">
      <c r="O5726" s="14"/>
      <c r="P5726" s="14"/>
      <c r="Q5726" s="14"/>
      <c r="R5726" s="14"/>
    </row>
    <row r="5727" spans="15:18" x14ac:dyDescent="0.3">
      <c r="O5727" s="14"/>
      <c r="P5727" s="14"/>
      <c r="Q5727" s="14"/>
      <c r="R5727" s="14"/>
    </row>
    <row r="5728" spans="15:18" x14ac:dyDescent="0.3">
      <c r="O5728" s="14"/>
      <c r="P5728" s="14"/>
      <c r="Q5728" s="14"/>
      <c r="R5728" s="14"/>
    </row>
    <row r="5729" spans="15:18" x14ac:dyDescent="0.3">
      <c r="O5729" s="14"/>
      <c r="P5729" s="14"/>
      <c r="Q5729" s="14"/>
      <c r="R5729" s="14"/>
    </row>
    <row r="5730" spans="15:18" x14ac:dyDescent="0.3">
      <c r="O5730" s="14"/>
      <c r="P5730" s="14"/>
      <c r="Q5730" s="14"/>
      <c r="R5730" s="14"/>
    </row>
    <row r="5731" spans="15:18" x14ac:dyDescent="0.3">
      <c r="O5731" s="14"/>
      <c r="P5731" s="14"/>
      <c r="Q5731" s="14"/>
      <c r="R5731" s="14"/>
    </row>
    <row r="5732" spans="15:18" x14ac:dyDescent="0.3">
      <c r="O5732" s="14"/>
      <c r="P5732" s="14"/>
      <c r="Q5732" s="14"/>
      <c r="R5732" s="14"/>
    </row>
    <row r="5733" spans="15:18" x14ac:dyDescent="0.3">
      <c r="O5733" s="14"/>
      <c r="P5733" s="14"/>
      <c r="Q5733" s="14"/>
      <c r="R5733" s="14"/>
    </row>
    <row r="5734" spans="15:18" x14ac:dyDescent="0.3">
      <c r="O5734" s="14"/>
      <c r="P5734" s="14"/>
      <c r="Q5734" s="14"/>
      <c r="R5734" s="14"/>
    </row>
    <row r="5735" spans="15:18" x14ac:dyDescent="0.3">
      <c r="O5735" s="14"/>
      <c r="P5735" s="14"/>
      <c r="Q5735" s="14"/>
      <c r="R5735" s="14"/>
    </row>
    <row r="5736" spans="15:18" x14ac:dyDescent="0.3">
      <c r="O5736" s="14"/>
      <c r="P5736" s="14"/>
      <c r="Q5736" s="14"/>
      <c r="R5736" s="14"/>
    </row>
    <row r="5737" spans="15:18" x14ac:dyDescent="0.3">
      <c r="O5737" s="14"/>
      <c r="P5737" s="14"/>
      <c r="Q5737" s="14"/>
      <c r="R5737" s="14"/>
    </row>
    <row r="5738" spans="15:18" x14ac:dyDescent="0.3">
      <c r="O5738" s="14"/>
      <c r="P5738" s="14"/>
      <c r="Q5738" s="14"/>
      <c r="R5738" s="14"/>
    </row>
    <row r="5739" spans="15:18" x14ac:dyDescent="0.3">
      <c r="O5739" s="14"/>
      <c r="P5739" s="14"/>
      <c r="Q5739" s="14"/>
      <c r="R5739" s="14"/>
    </row>
    <row r="5740" spans="15:18" x14ac:dyDescent="0.3">
      <c r="O5740" s="14"/>
      <c r="P5740" s="14"/>
      <c r="Q5740" s="14"/>
      <c r="R5740" s="14"/>
    </row>
    <row r="5741" spans="15:18" x14ac:dyDescent="0.3">
      <c r="O5741" s="14"/>
      <c r="P5741" s="14"/>
      <c r="Q5741" s="14"/>
      <c r="R5741" s="14"/>
    </row>
    <row r="5742" spans="15:18" x14ac:dyDescent="0.3">
      <c r="O5742" s="14"/>
      <c r="P5742" s="14"/>
      <c r="Q5742" s="14"/>
      <c r="R5742" s="14"/>
    </row>
    <row r="5743" spans="15:18" x14ac:dyDescent="0.3">
      <c r="O5743" s="14"/>
      <c r="P5743" s="14"/>
      <c r="Q5743" s="14"/>
      <c r="R5743" s="14"/>
    </row>
    <row r="5744" spans="15:18" x14ac:dyDescent="0.3">
      <c r="O5744" s="14"/>
      <c r="P5744" s="14"/>
      <c r="Q5744" s="14"/>
      <c r="R5744" s="14"/>
    </row>
    <row r="5745" spans="15:18" x14ac:dyDescent="0.3">
      <c r="O5745" s="14"/>
      <c r="P5745" s="14"/>
      <c r="Q5745" s="14"/>
      <c r="R5745" s="14"/>
    </row>
    <row r="5746" spans="15:18" x14ac:dyDescent="0.3">
      <c r="O5746" s="14"/>
      <c r="P5746" s="14"/>
      <c r="Q5746" s="14"/>
      <c r="R5746" s="14"/>
    </row>
    <row r="5747" spans="15:18" x14ac:dyDescent="0.3">
      <c r="O5747" s="14"/>
      <c r="P5747" s="14"/>
      <c r="Q5747" s="14"/>
      <c r="R5747" s="14"/>
    </row>
    <row r="5748" spans="15:18" x14ac:dyDescent="0.3">
      <c r="O5748" s="14"/>
      <c r="P5748" s="14"/>
      <c r="Q5748" s="14"/>
      <c r="R5748" s="14"/>
    </row>
    <row r="5749" spans="15:18" x14ac:dyDescent="0.3">
      <c r="O5749" s="14"/>
      <c r="P5749" s="14"/>
      <c r="Q5749" s="14"/>
      <c r="R5749" s="14"/>
    </row>
    <row r="5750" spans="15:18" x14ac:dyDescent="0.3">
      <c r="O5750" s="14"/>
      <c r="P5750" s="14"/>
      <c r="Q5750" s="14"/>
      <c r="R5750" s="14"/>
    </row>
    <row r="5751" spans="15:18" x14ac:dyDescent="0.3">
      <c r="O5751" s="14"/>
      <c r="P5751" s="14"/>
      <c r="Q5751" s="14"/>
      <c r="R5751" s="14"/>
    </row>
    <row r="5752" spans="15:18" x14ac:dyDescent="0.3">
      <c r="O5752" s="14"/>
      <c r="P5752" s="14"/>
      <c r="Q5752" s="14"/>
      <c r="R5752" s="14"/>
    </row>
    <row r="5753" spans="15:18" x14ac:dyDescent="0.3">
      <c r="O5753" s="14"/>
      <c r="P5753" s="14"/>
      <c r="Q5753" s="14"/>
      <c r="R5753" s="14"/>
    </row>
    <row r="5754" spans="15:18" x14ac:dyDescent="0.3">
      <c r="O5754" s="14"/>
      <c r="P5754" s="14"/>
      <c r="Q5754" s="14"/>
      <c r="R5754" s="14"/>
    </row>
    <row r="5755" spans="15:18" x14ac:dyDescent="0.3">
      <c r="O5755" s="14"/>
      <c r="P5755" s="14"/>
      <c r="Q5755" s="14"/>
      <c r="R5755" s="14"/>
    </row>
    <row r="5756" spans="15:18" x14ac:dyDescent="0.3">
      <c r="O5756" s="14"/>
      <c r="P5756" s="14"/>
      <c r="Q5756" s="14"/>
      <c r="R5756" s="14"/>
    </row>
    <row r="5757" spans="15:18" x14ac:dyDescent="0.3">
      <c r="O5757" s="14"/>
      <c r="P5757" s="14"/>
      <c r="Q5757" s="14"/>
      <c r="R5757" s="14"/>
    </row>
    <row r="5758" spans="15:18" x14ac:dyDescent="0.3">
      <c r="O5758" s="14"/>
      <c r="P5758" s="14"/>
      <c r="Q5758" s="14"/>
      <c r="R5758" s="14"/>
    </row>
    <row r="5759" spans="15:18" x14ac:dyDescent="0.3">
      <c r="O5759" s="14"/>
      <c r="P5759" s="14"/>
      <c r="Q5759" s="14"/>
      <c r="R5759" s="14"/>
    </row>
    <row r="5760" spans="15:18" x14ac:dyDescent="0.3">
      <c r="O5760" s="14"/>
      <c r="P5760" s="14"/>
      <c r="Q5760" s="14"/>
      <c r="R5760" s="14"/>
    </row>
    <row r="5761" spans="15:18" x14ac:dyDescent="0.3">
      <c r="O5761" s="14"/>
      <c r="P5761" s="14"/>
      <c r="Q5761" s="14"/>
      <c r="R5761" s="14"/>
    </row>
    <row r="5762" spans="15:18" x14ac:dyDescent="0.3">
      <c r="O5762" s="14"/>
      <c r="P5762" s="14"/>
      <c r="Q5762" s="14"/>
      <c r="R5762" s="14"/>
    </row>
    <row r="5763" spans="15:18" x14ac:dyDescent="0.3">
      <c r="O5763" s="14"/>
      <c r="P5763" s="14"/>
      <c r="Q5763" s="14"/>
      <c r="R5763" s="14"/>
    </row>
    <row r="5764" spans="15:18" x14ac:dyDescent="0.3">
      <c r="O5764" s="14"/>
      <c r="P5764" s="14"/>
      <c r="Q5764" s="14"/>
      <c r="R5764" s="14"/>
    </row>
    <row r="5765" spans="15:18" x14ac:dyDescent="0.3">
      <c r="O5765" s="14"/>
      <c r="P5765" s="14"/>
      <c r="Q5765" s="14"/>
      <c r="R5765" s="14"/>
    </row>
    <row r="5766" spans="15:18" x14ac:dyDescent="0.3">
      <c r="O5766" s="14"/>
      <c r="P5766" s="14"/>
      <c r="Q5766" s="14"/>
      <c r="R5766" s="14"/>
    </row>
    <row r="5767" spans="15:18" x14ac:dyDescent="0.3">
      <c r="O5767" s="14"/>
      <c r="P5767" s="14"/>
      <c r="Q5767" s="14"/>
      <c r="R5767" s="14"/>
    </row>
    <row r="5768" spans="15:18" x14ac:dyDescent="0.3">
      <c r="O5768" s="14"/>
      <c r="P5768" s="14"/>
      <c r="Q5768" s="14"/>
      <c r="R5768" s="14"/>
    </row>
    <row r="5769" spans="15:18" x14ac:dyDescent="0.3">
      <c r="O5769" s="14"/>
      <c r="P5769" s="14"/>
      <c r="Q5769" s="14"/>
      <c r="R5769" s="14"/>
    </row>
    <row r="5770" spans="15:18" x14ac:dyDescent="0.3">
      <c r="O5770" s="14"/>
      <c r="P5770" s="14"/>
      <c r="Q5770" s="14"/>
      <c r="R5770" s="14"/>
    </row>
    <row r="5771" spans="15:18" x14ac:dyDescent="0.3">
      <c r="O5771" s="14"/>
      <c r="P5771" s="14"/>
      <c r="Q5771" s="14"/>
      <c r="R5771" s="14"/>
    </row>
    <row r="5772" spans="15:18" x14ac:dyDescent="0.3">
      <c r="O5772" s="14"/>
      <c r="P5772" s="14"/>
      <c r="Q5772" s="14"/>
      <c r="R5772" s="14"/>
    </row>
    <row r="5773" spans="15:18" x14ac:dyDescent="0.3">
      <c r="O5773" s="14"/>
      <c r="P5773" s="14"/>
      <c r="Q5773" s="14"/>
      <c r="R5773" s="14"/>
    </row>
    <row r="5774" spans="15:18" x14ac:dyDescent="0.3">
      <c r="O5774" s="14"/>
      <c r="P5774" s="14"/>
      <c r="Q5774" s="14"/>
      <c r="R5774" s="14"/>
    </row>
    <row r="5775" spans="15:18" x14ac:dyDescent="0.3">
      <c r="O5775" s="14"/>
      <c r="P5775" s="14"/>
      <c r="Q5775" s="14"/>
      <c r="R5775" s="14"/>
    </row>
    <row r="5776" spans="15:18" x14ac:dyDescent="0.3">
      <c r="O5776" s="14"/>
      <c r="P5776" s="14"/>
      <c r="Q5776" s="14"/>
      <c r="R5776" s="14"/>
    </row>
    <row r="5777" spans="15:18" x14ac:dyDescent="0.3">
      <c r="O5777" s="14"/>
      <c r="P5777" s="14"/>
      <c r="Q5777" s="14"/>
      <c r="R5777" s="14"/>
    </row>
    <row r="5778" spans="15:18" x14ac:dyDescent="0.3">
      <c r="O5778" s="14"/>
      <c r="P5778" s="14"/>
      <c r="Q5778" s="14"/>
      <c r="R5778" s="14"/>
    </row>
    <row r="5779" spans="15:18" x14ac:dyDescent="0.3">
      <c r="O5779" s="14"/>
      <c r="P5779" s="14"/>
      <c r="Q5779" s="14"/>
      <c r="R5779" s="14"/>
    </row>
    <row r="5780" spans="15:18" x14ac:dyDescent="0.3">
      <c r="O5780" s="14"/>
      <c r="P5780" s="14"/>
      <c r="Q5780" s="14"/>
      <c r="R5780" s="14"/>
    </row>
    <row r="5781" spans="15:18" x14ac:dyDescent="0.3">
      <c r="O5781" s="14"/>
      <c r="P5781" s="14"/>
      <c r="Q5781" s="14"/>
      <c r="R5781" s="14"/>
    </row>
    <row r="5782" spans="15:18" x14ac:dyDescent="0.3">
      <c r="O5782" s="14"/>
      <c r="P5782" s="14"/>
      <c r="Q5782" s="14"/>
      <c r="R5782" s="14"/>
    </row>
    <row r="5783" spans="15:18" x14ac:dyDescent="0.3">
      <c r="O5783" s="14"/>
      <c r="P5783" s="14"/>
      <c r="Q5783" s="14"/>
      <c r="R5783" s="14"/>
    </row>
    <row r="5784" spans="15:18" x14ac:dyDescent="0.3">
      <c r="O5784" s="14"/>
      <c r="P5784" s="14"/>
      <c r="Q5784" s="14"/>
      <c r="R5784" s="14"/>
    </row>
    <row r="5785" spans="15:18" x14ac:dyDescent="0.3">
      <c r="O5785" s="14"/>
      <c r="P5785" s="14"/>
      <c r="Q5785" s="14"/>
      <c r="R5785" s="14"/>
    </row>
    <row r="5786" spans="15:18" x14ac:dyDescent="0.3">
      <c r="O5786" s="14"/>
      <c r="P5786" s="14"/>
      <c r="Q5786" s="14"/>
      <c r="R5786" s="14"/>
    </row>
    <row r="5787" spans="15:18" x14ac:dyDescent="0.3">
      <c r="O5787" s="14"/>
      <c r="P5787" s="14"/>
      <c r="Q5787" s="14"/>
      <c r="R5787" s="14"/>
    </row>
    <row r="5788" spans="15:18" x14ac:dyDescent="0.3">
      <c r="O5788" s="14"/>
      <c r="P5788" s="14"/>
      <c r="Q5788" s="14"/>
      <c r="R5788" s="14"/>
    </row>
    <row r="5789" spans="15:18" x14ac:dyDescent="0.3">
      <c r="O5789" s="14"/>
      <c r="P5789" s="14"/>
      <c r="Q5789" s="14"/>
      <c r="R5789" s="14"/>
    </row>
    <row r="5790" spans="15:18" x14ac:dyDescent="0.3">
      <c r="O5790" s="14"/>
      <c r="P5790" s="14"/>
      <c r="Q5790" s="14"/>
      <c r="R5790" s="14"/>
    </row>
    <row r="5791" spans="15:18" x14ac:dyDescent="0.3">
      <c r="O5791" s="14"/>
      <c r="P5791" s="14"/>
      <c r="Q5791" s="14"/>
      <c r="R5791" s="14"/>
    </row>
    <row r="5792" spans="15:18" x14ac:dyDescent="0.3">
      <c r="O5792" s="14"/>
      <c r="P5792" s="14"/>
      <c r="Q5792" s="14"/>
      <c r="R5792" s="14"/>
    </row>
    <row r="5793" spans="15:18" x14ac:dyDescent="0.3">
      <c r="O5793" s="14"/>
      <c r="P5793" s="14"/>
      <c r="Q5793" s="14"/>
      <c r="R5793" s="14"/>
    </row>
    <row r="5794" spans="15:18" x14ac:dyDescent="0.3">
      <c r="O5794" s="14"/>
      <c r="P5794" s="14"/>
      <c r="Q5794" s="14"/>
      <c r="R5794" s="14"/>
    </row>
    <row r="5795" spans="15:18" x14ac:dyDescent="0.3">
      <c r="O5795" s="14"/>
      <c r="P5795" s="14"/>
      <c r="Q5795" s="14"/>
      <c r="R5795" s="14"/>
    </row>
    <row r="5796" spans="15:18" x14ac:dyDescent="0.3">
      <c r="O5796" s="14"/>
      <c r="P5796" s="14"/>
      <c r="Q5796" s="14"/>
      <c r="R5796" s="14"/>
    </row>
    <row r="5797" spans="15:18" x14ac:dyDescent="0.3">
      <c r="O5797" s="14"/>
      <c r="P5797" s="14"/>
      <c r="Q5797" s="14"/>
      <c r="R5797" s="14"/>
    </row>
    <row r="5798" spans="15:18" x14ac:dyDescent="0.3">
      <c r="O5798" s="14"/>
      <c r="P5798" s="14"/>
      <c r="Q5798" s="14"/>
      <c r="R5798" s="14"/>
    </row>
    <row r="5799" spans="15:18" x14ac:dyDescent="0.3">
      <c r="O5799" s="14"/>
      <c r="P5799" s="14"/>
      <c r="Q5799" s="14"/>
      <c r="R5799" s="14"/>
    </row>
    <row r="5800" spans="15:18" x14ac:dyDescent="0.3">
      <c r="O5800" s="14"/>
      <c r="P5800" s="14"/>
      <c r="Q5800" s="14"/>
      <c r="R5800" s="14"/>
    </row>
    <row r="5801" spans="15:18" x14ac:dyDescent="0.3">
      <c r="O5801" s="14"/>
      <c r="P5801" s="14"/>
      <c r="Q5801" s="14"/>
      <c r="R5801" s="14"/>
    </row>
    <row r="5802" spans="15:18" x14ac:dyDescent="0.3">
      <c r="O5802" s="14"/>
      <c r="P5802" s="14"/>
      <c r="Q5802" s="14"/>
      <c r="R5802" s="14"/>
    </row>
    <row r="5803" spans="15:18" x14ac:dyDescent="0.3">
      <c r="O5803" s="14"/>
      <c r="P5803" s="14"/>
      <c r="Q5803" s="14"/>
      <c r="R5803" s="14"/>
    </row>
    <row r="5804" spans="15:18" x14ac:dyDescent="0.3">
      <c r="O5804" s="14"/>
      <c r="P5804" s="14"/>
      <c r="Q5804" s="14"/>
      <c r="R5804" s="14"/>
    </row>
    <row r="5805" spans="15:18" x14ac:dyDescent="0.3">
      <c r="O5805" s="14"/>
      <c r="P5805" s="14"/>
      <c r="Q5805" s="14"/>
      <c r="R5805" s="14"/>
    </row>
    <row r="5806" spans="15:18" x14ac:dyDescent="0.3">
      <c r="O5806" s="14"/>
      <c r="P5806" s="14"/>
      <c r="Q5806" s="14"/>
      <c r="R5806" s="14"/>
    </row>
    <row r="5807" spans="15:18" x14ac:dyDescent="0.3">
      <c r="O5807" s="14"/>
      <c r="P5807" s="14"/>
      <c r="Q5807" s="14"/>
      <c r="R5807" s="14"/>
    </row>
    <row r="5808" spans="15:18" x14ac:dyDescent="0.3">
      <c r="O5808" s="14"/>
      <c r="P5808" s="14"/>
      <c r="Q5808" s="14"/>
      <c r="R5808" s="14"/>
    </row>
    <row r="5809" spans="15:18" x14ac:dyDescent="0.3">
      <c r="O5809" s="14"/>
      <c r="P5809" s="14"/>
      <c r="Q5809" s="14"/>
      <c r="R5809" s="14"/>
    </row>
    <row r="5810" spans="15:18" x14ac:dyDescent="0.3">
      <c r="O5810" s="14"/>
      <c r="P5810" s="14"/>
      <c r="Q5810" s="14"/>
      <c r="R5810" s="14"/>
    </row>
    <row r="5811" spans="15:18" x14ac:dyDescent="0.3">
      <c r="O5811" s="14"/>
      <c r="P5811" s="14"/>
      <c r="Q5811" s="14"/>
      <c r="R5811" s="14"/>
    </row>
    <row r="5812" spans="15:18" x14ac:dyDescent="0.3">
      <c r="O5812" s="14"/>
      <c r="P5812" s="14"/>
      <c r="Q5812" s="14"/>
      <c r="R5812" s="14"/>
    </row>
    <row r="5813" spans="15:18" x14ac:dyDescent="0.3">
      <c r="O5813" s="14"/>
      <c r="P5813" s="14"/>
      <c r="Q5813" s="14"/>
      <c r="R5813" s="14"/>
    </row>
    <row r="5814" spans="15:18" x14ac:dyDescent="0.3">
      <c r="O5814" s="14"/>
      <c r="P5814" s="14"/>
      <c r="Q5814" s="14"/>
      <c r="R5814" s="14"/>
    </row>
    <row r="5815" spans="15:18" x14ac:dyDescent="0.3">
      <c r="O5815" s="14"/>
      <c r="P5815" s="14"/>
      <c r="Q5815" s="14"/>
      <c r="R5815" s="14"/>
    </row>
    <row r="5816" spans="15:18" x14ac:dyDescent="0.3">
      <c r="O5816" s="14"/>
      <c r="P5816" s="14"/>
      <c r="Q5816" s="14"/>
      <c r="R5816" s="14"/>
    </row>
    <row r="5817" spans="15:18" x14ac:dyDescent="0.3">
      <c r="O5817" s="14"/>
      <c r="P5817" s="14"/>
      <c r="Q5817" s="14"/>
      <c r="R5817" s="14"/>
    </row>
    <row r="5818" spans="15:18" x14ac:dyDescent="0.3">
      <c r="O5818" s="14"/>
      <c r="P5818" s="14"/>
      <c r="Q5818" s="14"/>
      <c r="R5818" s="14"/>
    </row>
    <row r="5819" spans="15:18" x14ac:dyDescent="0.3">
      <c r="O5819" s="14"/>
      <c r="P5819" s="14"/>
      <c r="Q5819" s="14"/>
      <c r="R5819" s="14"/>
    </row>
    <row r="5820" spans="15:18" x14ac:dyDescent="0.3">
      <c r="O5820" s="14"/>
      <c r="P5820" s="14"/>
      <c r="Q5820" s="14"/>
      <c r="R5820" s="14"/>
    </row>
    <row r="5821" spans="15:18" x14ac:dyDescent="0.3">
      <c r="O5821" s="14"/>
      <c r="P5821" s="14"/>
      <c r="Q5821" s="14"/>
      <c r="R5821" s="14"/>
    </row>
    <row r="5822" spans="15:18" x14ac:dyDescent="0.3">
      <c r="O5822" s="14"/>
      <c r="P5822" s="14"/>
      <c r="Q5822" s="14"/>
      <c r="R5822" s="14"/>
    </row>
    <row r="5823" spans="15:18" x14ac:dyDescent="0.3">
      <c r="O5823" s="14"/>
      <c r="P5823" s="14"/>
      <c r="Q5823" s="14"/>
      <c r="R5823" s="14"/>
    </row>
    <row r="5824" spans="15:18" x14ac:dyDescent="0.3">
      <c r="O5824" s="14"/>
      <c r="P5824" s="14"/>
      <c r="Q5824" s="14"/>
      <c r="R5824" s="14"/>
    </row>
    <row r="5825" spans="15:18" x14ac:dyDescent="0.3">
      <c r="O5825" s="14"/>
      <c r="P5825" s="14"/>
      <c r="Q5825" s="14"/>
      <c r="R5825" s="14"/>
    </row>
    <row r="5826" spans="15:18" x14ac:dyDescent="0.3">
      <c r="O5826" s="14"/>
      <c r="P5826" s="14"/>
      <c r="Q5826" s="14"/>
      <c r="R5826" s="14"/>
    </row>
    <row r="5827" spans="15:18" x14ac:dyDescent="0.3">
      <c r="O5827" s="14"/>
      <c r="P5827" s="14"/>
      <c r="Q5827" s="14"/>
      <c r="R5827" s="14"/>
    </row>
    <row r="5828" spans="15:18" x14ac:dyDescent="0.3">
      <c r="O5828" s="14"/>
      <c r="P5828" s="14"/>
      <c r="Q5828" s="14"/>
      <c r="R5828" s="14"/>
    </row>
    <row r="5829" spans="15:18" x14ac:dyDescent="0.3">
      <c r="O5829" s="14"/>
      <c r="P5829" s="14"/>
      <c r="Q5829" s="14"/>
      <c r="R5829" s="14"/>
    </row>
    <row r="5830" spans="15:18" x14ac:dyDescent="0.3">
      <c r="O5830" s="14"/>
      <c r="P5830" s="14"/>
      <c r="Q5830" s="14"/>
      <c r="R5830" s="14"/>
    </row>
    <row r="5831" spans="15:18" x14ac:dyDescent="0.3">
      <c r="O5831" s="14"/>
      <c r="P5831" s="14"/>
      <c r="Q5831" s="14"/>
      <c r="R5831" s="14"/>
    </row>
    <row r="5832" spans="15:18" x14ac:dyDescent="0.3">
      <c r="O5832" s="14"/>
      <c r="P5832" s="14"/>
      <c r="Q5832" s="14"/>
      <c r="R5832" s="14"/>
    </row>
    <row r="5833" spans="15:18" x14ac:dyDescent="0.3">
      <c r="O5833" s="14"/>
      <c r="P5833" s="14"/>
      <c r="Q5833" s="14"/>
      <c r="R5833" s="14"/>
    </row>
    <row r="5834" spans="15:18" x14ac:dyDescent="0.3">
      <c r="O5834" s="14"/>
      <c r="P5834" s="14"/>
      <c r="Q5834" s="14"/>
      <c r="R5834" s="14"/>
    </row>
    <row r="5835" spans="15:18" x14ac:dyDescent="0.3">
      <c r="O5835" s="14"/>
      <c r="P5835" s="14"/>
      <c r="Q5835" s="14"/>
      <c r="R5835" s="14"/>
    </row>
    <row r="5836" spans="15:18" x14ac:dyDescent="0.3">
      <c r="O5836" s="14"/>
      <c r="P5836" s="14"/>
      <c r="Q5836" s="14"/>
      <c r="R5836" s="14"/>
    </row>
    <row r="5837" spans="15:18" x14ac:dyDescent="0.3">
      <c r="O5837" s="14"/>
      <c r="P5837" s="14"/>
      <c r="Q5837" s="14"/>
      <c r="R5837" s="14"/>
    </row>
    <row r="5838" spans="15:18" x14ac:dyDescent="0.3">
      <c r="O5838" s="14"/>
      <c r="P5838" s="14"/>
      <c r="Q5838" s="14"/>
      <c r="R5838" s="14"/>
    </row>
    <row r="5839" spans="15:18" x14ac:dyDescent="0.3">
      <c r="O5839" s="14"/>
      <c r="P5839" s="14"/>
      <c r="Q5839" s="14"/>
      <c r="R5839" s="14"/>
    </row>
    <row r="5840" spans="15:18" x14ac:dyDescent="0.3">
      <c r="O5840" s="14"/>
      <c r="P5840" s="14"/>
      <c r="Q5840" s="14"/>
      <c r="R5840" s="14"/>
    </row>
    <row r="5841" spans="15:18" x14ac:dyDescent="0.3">
      <c r="O5841" s="14"/>
      <c r="P5841" s="14"/>
      <c r="Q5841" s="14"/>
      <c r="R5841" s="14"/>
    </row>
    <row r="5842" spans="15:18" x14ac:dyDescent="0.3">
      <c r="O5842" s="14"/>
      <c r="P5842" s="14"/>
      <c r="Q5842" s="14"/>
      <c r="R5842" s="14"/>
    </row>
    <row r="5843" spans="15:18" x14ac:dyDescent="0.3">
      <c r="O5843" s="14"/>
      <c r="P5843" s="14"/>
      <c r="Q5843" s="14"/>
      <c r="R5843" s="14"/>
    </row>
    <row r="5844" spans="15:18" x14ac:dyDescent="0.3">
      <c r="O5844" s="14"/>
      <c r="P5844" s="14"/>
      <c r="Q5844" s="14"/>
      <c r="R5844" s="14"/>
    </row>
    <row r="5845" spans="15:18" x14ac:dyDescent="0.3">
      <c r="O5845" s="14"/>
      <c r="P5845" s="14"/>
      <c r="Q5845" s="14"/>
      <c r="R5845" s="14"/>
    </row>
    <row r="5846" spans="15:18" x14ac:dyDescent="0.3">
      <c r="O5846" s="14"/>
      <c r="P5846" s="14"/>
      <c r="Q5846" s="14"/>
      <c r="R5846" s="14"/>
    </row>
    <row r="5847" spans="15:18" x14ac:dyDescent="0.3">
      <c r="O5847" s="14"/>
      <c r="P5847" s="14"/>
      <c r="Q5847" s="14"/>
      <c r="R5847" s="14"/>
    </row>
    <row r="5848" spans="15:18" x14ac:dyDescent="0.3">
      <c r="O5848" s="14"/>
      <c r="P5848" s="14"/>
      <c r="Q5848" s="14"/>
      <c r="R5848" s="14"/>
    </row>
    <row r="5849" spans="15:18" x14ac:dyDescent="0.3">
      <c r="O5849" s="14"/>
      <c r="P5849" s="14"/>
      <c r="Q5849" s="14"/>
      <c r="R5849" s="14"/>
    </row>
    <row r="5850" spans="15:18" x14ac:dyDescent="0.3">
      <c r="O5850" s="14"/>
      <c r="P5850" s="14"/>
      <c r="Q5850" s="14"/>
      <c r="R5850" s="14"/>
    </row>
    <row r="5851" spans="15:18" x14ac:dyDescent="0.3">
      <c r="O5851" s="14"/>
      <c r="P5851" s="14"/>
      <c r="Q5851" s="14"/>
      <c r="R5851" s="14"/>
    </row>
    <row r="5852" spans="15:18" x14ac:dyDescent="0.3">
      <c r="O5852" s="14"/>
      <c r="P5852" s="14"/>
      <c r="Q5852" s="14"/>
      <c r="R5852" s="14"/>
    </row>
    <row r="5853" spans="15:18" x14ac:dyDescent="0.3">
      <c r="O5853" s="14"/>
      <c r="P5853" s="14"/>
      <c r="Q5853" s="14"/>
      <c r="R5853" s="14"/>
    </row>
    <row r="5854" spans="15:18" x14ac:dyDescent="0.3">
      <c r="O5854" s="14"/>
      <c r="P5854" s="14"/>
      <c r="Q5854" s="14"/>
      <c r="R5854" s="14"/>
    </row>
    <row r="5855" spans="15:18" x14ac:dyDescent="0.3">
      <c r="O5855" s="14"/>
      <c r="P5855" s="14"/>
      <c r="Q5855" s="14"/>
      <c r="R5855" s="14"/>
    </row>
    <row r="5856" spans="15:18" x14ac:dyDescent="0.3">
      <c r="O5856" s="14"/>
      <c r="P5856" s="14"/>
      <c r="Q5856" s="14"/>
      <c r="R5856" s="14"/>
    </row>
    <row r="5857" spans="15:18" x14ac:dyDescent="0.3">
      <c r="O5857" s="14"/>
      <c r="P5857" s="14"/>
      <c r="Q5857" s="14"/>
      <c r="R5857" s="14"/>
    </row>
    <row r="5858" spans="15:18" x14ac:dyDescent="0.3">
      <c r="O5858" s="14"/>
      <c r="P5858" s="14"/>
      <c r="Q5858" s="14"/>
      <c r="R5858" s="14"/>
    </row>
    <row r="5859" spans="15:18" x14ac:dyDescent="0.3">
      <c r="O5859" s="14"/>
      <c r="P5859" s="14"/>
      <c r="Q5859" s="14"/>
      <c r="R5859" s="14"/>
    </row>
    <row r="5860" spans="15:18" x14ac:dyDescent="0.3">
      <c r="O5860" s="14"/>
      <c r="P5860" s="14"/>
      <c r="Q5860" s="14"/>
      <c r="R5860" s="14"/>
    </row>
    <row r="5861" spans="15:18" x14ac:dyDescent="0.3">
      <c r="O5861" s="14"/>
      <c r="P5861" s="14"/>
      <c r="Q5861" s="14"/>
      <c r="R5861" s="14"/>
    </row>
    <row r="5862" spans="15:18" x14ac:dyDescent="0.3">
      <c r="O5862" s="14"/>
      <c r="P5862" s="14"/>
      <c r="Q5862" s="14"/>
      <c r="R5862" s="14"/>
    </row>
    <row r="5863" spans="15:18" x14ac:dyDescent="0.3">
      <c r="O5863" s="14"/>
      <c r="P5863" s="14"/>
      <c r="Q5863" s="14"/>
      <c r="R5863" s="14"/>
    </row>
    <row r="5864" spans="15:18" x14ac:dyDescent="0.3">
      <c r="O5864" s="14"/>
      <c r="P5864" s="14"/>
      <c r="Q5864" s="14"/>
      <c r="R5864" s="14"/>
    </row>
    <row r="5865" spans="15:18" x14ac:dyDescent="0.3">
      <c r="O5865" s="14"/>
      <c r="P5865" s="14"/>
      <c r="Q5865" s="14"/>
      <c r="R5865" s="14"/>
    </row>
    <row r="5866" spans="15:18" x14ac:dyDescent="0.3">
      <c r="O5866" s="14"/>
      <c r="P5866" s="14"/>
      <c r="Q5866" s="14"/>
      <c r="R5866" s="14"/>
    </row>
    <row r="5867" spans="15:18" x14ac:dyDescent="0.3">
      <c r="O5867" s="14"/>
      <c r="P5867" s="14"/>
      <c r="Q5867" s="14"/>
      <c r="R5867" s="14"/>
    </row>
    <row r="5868" spans="15:18" x14ac:dyDescent="0.3">
      <c r="O5868" s="14"/>
      <c r="P5868" s="14"/>
      <c r="Q5868" s="14"/>
      <c r="R5868" s="14"/>
    </row>
    <row r="5869" spans="15:18" x14ac:dyDescent="0.3">
      <c r="O5869" s="14"/>
      <c r="P5869" s="14"/>
      <c r="Q5869" s="14"/>
      <c r="R5869" s="14"/>
    </row>
    <row r="5870" spans="15:18" x14ac:dyDescent="0.3">
      <c r="O5870" s="14"/>
      <c r="P5870" s="14"/>
      <c r="Q5870" s="14"/>
      <c r="R5870" s="14"/>
    </row>
    <row r="5871" spans="15:18" x14ac:dyDescent="0.3">
      <c r="O5871" s="14"/>
      <c r="P5871" s="14"/>
      <c r="Q5871" s="14"/>
      <c r="R5871" s="14"/>
    </row>
    <row r="5872" spans="15:18" x14ac:dyDescent="0.3">
      <c r="O5872" s="14"/>
      <c r="P5872" s="14"/>
      <c r="Q5872" s="14"/>
      <c r="R5872" s="14"/>
    </row>
    <row r="5873" spans="15:18" x14ac:dyDescent="0.3">
      <c r="O5873" s="14"/>
      <c r="P5873" s="14"/>
      <c r="Q5873" s="14"/>
      <c r="R5873" s="14"/>
    </row>
    <row r="5874" spans="15:18" x14ac:dyDescent="0.3">
      <c r="O5874" s="14"/>
      <c r="P5874" s="14"/>
      <c r="Q5874" s="14"/>
      <c r="R5874" s="14"/>
    </row>
    <row r="5875" spans="15:18" x14ac:dyDescent="0.3">
      <c r="O5875" s="14"/>
      <c r="P5875" s="14"/>
      <c r="Q5875" s="14"/>
      <c r="R5875" s="14"/>
    </row>
    <row r="5876" spans="15:18" x14ac:dyDescent="0.3">
      <c r="O5876" s="14"/>
      <c r="P5876" s="14"/>
      <c r="Q5876" s="14"/>
      <c r="R5876" s="14"/>
    </row>
    <row r="5877" spans="15:18" x14ac:dyDescent="0.3">
      <c r="O5877" s="14"/>
      <c r="P5877" s="14"/>
      <c r="Q5877" s="14"/>
      <c r="R5877" s="14"/>
    </row>
    <row r="5878" spans="15:18" x14ac:dyDescent="0.3">
      <c r="O5878" s="14"/>
      <c r="P5878" s="14"/>
      <c r="Q5878" s="14"/>
      <c r="R5878" s="14"/>
    </row>
    <row r="5879" spans="15:18" x14ac:dyDescent="0.3">
      <c r="O5879" s="14"/>
      <c r="P5879" s="14"/>
      <c r="Q5879" s="14"/>
      <c r="R5879" s="14"/>
    </row>
    <row r="5880" spans="15:18" x14ac:dyDescent="0.3">
      <c r="O5880" s="14"/>
      <c r="P5880" s="14"/>
      <c r="Q5880" s="14"/>
      <c r="R5880" s="14"/>
    </row>
    <row r="5881" spans="15:18" x14ac:dyDescent="0.3">
      <c r="O5881" s="14"/>
      <c r="P5881" s="14"/>
      <c r="Q5881" s="14"/>
      <c r="R5881" s="14"/>
    </row>
    <row r="5882" spans="15:18" x14ac:dyDescent="0.3">
      <c r="O5882" s="14"/>
      <c r="P5882" s="14"/>
      <c r="Q5882" s="14"/>
      <c r="R5882" s="14"/>
    </row>
    <row r="5883" spans="15:18" x14ac:dyDescent="0.3">
      <c r="O5883" s="14"/>
      <c r="P5883" s="14"/>
      <c r="Q5883" s="14"/>
      <c r="R5883" s="14"/>
    </row>
    <row r="5884" spans="15:18" x14ac:dyDescent="0.3">
      <c r="O5884" s="14"/>
      <c r="P5884" s="14"/>
      <c r="Q5884" s="14"/>
      <c r="R5884" s="14"/>
    </row>
    <row r="5885" spans="15:18" x14ac:dyDescent="0.3">
      <c r="O5885" s="14"/>
      <c r="P5885" s="14"/>
      <c r="Q5885" s="14"/>
      <c r="R5885" s="14"/>
    </row>
    <row r="5886" spans="15:18" x14ac:dyDescent="0.3">
      <c r="O5886" s="14"/>
      <c r="P5886" s="14"/>
      <c r="Q5886" s="14"/>
      <c r="R5886" s="14"/>
    </row>
    <row r="5887" spans="15:18" x14ac:dyDescent="0.3">
      <c r="O5887" s="14"/>
      <c r="P5887" s="14"/>
      <c r="Q5887" s="14"/>
      <c r="R5887" s="14"/>
    </row>
    <row r="5888" spans="15:18" x14ac:dyDescent="0.3">
      <c r="O5888" s="14"/>
      <c r="P5888" s="14"/>
      <c r="Q5888" s="14"/>
      <c r="R5888" s="14"/>
    </row>
    <row r="5889" spans="15:18" x14ac:dyDescent="0.3">
      <c r="O5889" s="14"/>
      <c r="P5889" s="14"/>
      <c r="Q5889" s="14"/>
      <c r="R5889" s="14"/>
    </row>
    <row r="5890" spans="15:18" x14ac:dyDescent="0.3">
      <c r="O5890" s="14"/>
      <c r="P5890" s="14"/>
      <c r="Q5890" s="14"/>
      <c r="R5890" s="14"/>
    </row>
    <row r="5891" spans="15:18" x14ac:dyDescent="0.3">
      <c r="O5891" s="14"/>
      <c r="P5891" s="14"/>
      <c r="Q5891" s="14"/>
      <c r="R5891" s="14"/>
    </row>
    <row r="5892" spans="15:18" x14ac:dyDescent="0.3">
      <c r="O5892" s="14"/>
      <c r="P5892" s="14"/>
      <c r="Q5892" s="14"/>
      <c r="R5892" s="14"/>
    </row>
    <row r="5893" spans="15:18" x14ac:dyDescent="0.3">
      <c r="O5893" s="14"/>
      <c r="P5893" s="14"/>
      <c r="Q5893" s="14"/>
      <c r="R5893" s="14"/>
    </row>
    <row r="5894" spans="15:18" x14ac:dyDescent="0.3">
      <c r="O5894" s="14"/>
      <c r="P5894" s="14"/>
      <c r="Q5894" s="14"/>
      <c r="R5894" s="14"/>
    </row>
    <row r="5895" spans="15:18" x14ac:dyDescent="0.3">
      <c r="O5895" s="14"/>
      <c r="P5895" s="14"/>
      <c r="Q5895" s="14"/>
      <c r="R5895" s="14"/>
    </row>
    <row r="5896" spans="15:18" x14ac:dyDescent="0.3">
      <c r="O5896" s="14"/>
      <c r="P5896" s="14"/>
      <c r="Q5896" s="14"/>
      <c r="R5896" s="14"/>
    </row>
    <row r="5897" spans="15:18" x14ac:dyDescent="0.3">
      <c r="O5897" s="14"/>
      <c r="P5897" s="14"/>
      <c r="Q5897" s="14"/>
      <c r="R5897" s="14"/>
    </row>
    <row r="5898" spans="15:18" x14ac:dyDescent="0.3">
      <c r="O5898" s="14"/>
      <c r="P5898" s="14"/>
      <c r="Q5898" s="14"/>
      <c r="R5898" s="14"/>
    </row>
    <row r="5899" spans="15:18" x14ac:dyDescent="0.3">
      <c r="O5899" s="14"/>
      <c r="P5899" s="14"/>
      <c r="Q5899" s="14"/>
      <c r="R5899" s="14"/>
    </row>
    <row r="5900" spans="15:18" x14ac:dyDescent="0.3">
      <c r="O5900" s="14"/>
      <c r="P5900" s="14"/>
      <c r="Q5900" s="14"/>
      <c r="R5900" s="14"/>
    </row>
    <row r="5901" spans="15:18" x14ac:dyDescent="0.3">
      <c r="O5901" s="14"/>
      <c r="P5901" s="14"/>
      <c r="Q5901" s="14"/>
      <c r="R5901" s="14"/>
    </row>
    <row r="5902" spans="15:18" x14ac:dyDescent="0.3">
      <c r="O5902" s="14"/>
      <c r="P5902" s="14"/>
      <c r="Q5902" s="14"/>
      <c r="R5902" s="14"/>
    </row>
    <row r="5903" spans="15:18" x14ac:dyDescent="0.3">
      <c r="O5903" s="14"/>
      <c r="P5903" s="14"/>
      <c r="Q5903" s="14"/>
      <c r="R5903" s="14"/>
    </row>
    <row r="5904" spans="15:18" x14ac:dyDescent="0.3">
      <c r="O5904" s="14"/>
      <c r="P5904" s="14"/>
      <c r="Q5904" s="14"/>
      <c r="R5904" s="14"/>
    </row>
    <row r="5905" spans="15:18" x14ac:dyDescent="0.3">
      <c r="O5905" s="14"/>
      <c r="P5905" s="14"/>
      <c r="Q5905" s="14"/>
      <c r="R5905" s="14"/>
    </row>
    <row r="5906" spans="15:18" x14ac:dyDescent="0.3">
      <c r="O5906" s="14"/>
      <c r="P5906" s="14"/>
      <c r="Q5906" s="14"/>
      <c r="R5906" s="14"/>
    </row>
    <row r="5907" spans="15:18" x14ac:dyDescent="0.3">
      <c r="O5907" s="14"/>
      <c r="P5907" s="14"/>
      <c r="Q5907" s="14"/>
      <c r="R5907" s="14"/>
    </row>
    <row r="5908" spans="15:18" x14ac:dyDescent="0.3">
      <c r="O5908" s="14"/>
      <c r="P5908" s="14"/>
      <c r="Q5908" s="14"/>
      <c r="R5908" s="14"/>
    </row>
    <row r="5909" spans="15:18" x14ac:dyDescent="0.3">
      <c r="O5909" s="14"/>
      <c r="P5909" s="14"/>
      <c r="Q5909" s="14"/>
      <c r="R5909" s="14"/>
    </row>
    <row r="5910" spans="15:18" x14ac:dyDescent="0.3">
      <c r="O5910" s="14"/>
      <c r="P5910" s="14"/>
      <c r="Q5910" s="14"/>
      <c r="R5910" s="14"/>
    </row>
    <row r="5911" spans="15:18" x14ac:dyDescent="0.3">
      <c r="O5911" s="14"/>
      <c r="P5911" s="14"/>
      <c r="Q5911" s="14"/>
      <c r="R5911" s="14"/>
    </row>
    <row r="5912" spans="15:18" x14ac:dyDescent="0.3">
      <c r="O5912" s="14"/>
      <c r="P5912" s="14"/>
      <c r="Q5912" s="14"/>
      <c r="R5912" s="14"/>
    </row>
    <row r="5913" spans="15:18" x14ac:dyDescent="0.3">
      <c r="O5913" s="14"/>
      <c r="P5913" s="14"/>
      <c r="Q5913" s="14"/>
      <c r="R5913" s="14"/>
    </row>
    <row r="5914" spans="15:18" x14ac:dyDescent="0.3">
      <c r="O5914" s="14"/>
      <c r="P5914" s="14"/>
      <c r="Q5914" s="14"/>
      <c r="R5914" s="14"/>
    </row>
    <row r="5915" spans="15:18" x14ac:dyDescent="0.3">
      <c r="O5915" s="14"/>
      <c r="P5915" s="14"/>
      <c r="Q5915" s="14"/>
      <c r="R5915" s="14"/>
    </row>
    <row r="5916" spans="15:18" x14ac:dyDescent="0.3">
      <c r="O5916" s="14"/>
      <c r="P5916" s="14"/>
      <c r="Q5916" s="14"/>
      <c r="R5916" s="14"/>
    </row>
    <row r="5917" spans="15:18" x14ac:dyDescent="0.3">
      <c r="O5917" s="14"/>
      <c r="P5917" s="14"/>
      <c r="Q5917" s="14"/>
      <c r="R5917" s="14"/>
    </row>
    <row r="5918" spans="15:18" x14ac:dyDescent="0.3">
      <c r="O5918" s="14"/>
      <c r="P5918" s="14"/>
      <c r="Q5918" s="14"/>
      <c r="R5918" s="14"/>
    </row>
    <row r="5919" spans="15:18" x14ac:dyDescent="0.3">
      <c r="O5919" s="14"/>
      <c r="P5919" s="14"/>
      <c r="Q5919" s="14"/>
      <c r="R5919" s="14"/>
    </row>
    <row r="5920" spans="15:18" x14ac:dyDescent="0.3">
      <c r="O5920" s="14"/>
      <c r="P5920" s="14"/>
      <c r="Q5920" s="14"/>
      <c r="R5920" s="14"/>
    </row>
    <row r="5921" spans="15:18" x14ac:dyDescent="0.3">
      <c r="O5921" s="14"/>
      <c r="P5921" s="14"/>
      <c r="Q5921" s="14"/>
      <c r="R5921" s="14"/>
    </row>
    <row r="5922" spans="15:18" x14ac:dyDescent="0.3">
      <c r="O5922" s="14"/>
      <c r="P5922" s="14"/>
      <c r="Q5922" s="14"/>
      <c r="R5922" s="14"/>
    </row>
    <row r="5923" spans="15:18" x14ac:dyDescent="0.3">
      <c r="O5923" s="14"/>
      <c r="P5923" s="14"/>
      <c r="Q5923" s="14"/>
      <c r="R5923" s="14"/>
    </row>
    <row r="5924" spans="15:18" x14ac:dyDescent="0.3">
      <c r="O5924" s="14"/>
      <c r="P5924" s="14"/>
      <c r="Q5924" s="14"/>
      <c r="R5924" s="14"/>
    </row>
    <row r="5925" spans="15:18" x14ac:dyDescent="0.3">
      <c r="O5925" s="14"/>
      <c r="P5925" s="14"/>
      <c r="Q5925" s="14"/>
      <c r="R5925" s="14"/>
    </row>
    <row r="5926" spans="15:18" x14ac:dyDescent="0.3">
      <c r="O5926" s="14"/>
      <c r="P5926" s="14"/>
      <c r="Q5926" s="14"/>
      <c r="R5926" s="14"/>
    </row>
    <row r="5927" spans="15:18" x14ac:dyDescent="0.3">
      <c r="O5927" s="14"/>
      <c r="P5927" s="14"/>
      <c r="Q5927" s="14"/>
      <c r="R5927" s="14"/>
    </row>
    <row r="5928" spans="15:18" x14ac:dyDescent="0.3">
      <c r="O5928" s="14"/>
      <c r="P5928" s="14"/>
      <c r="Q5928" s="14"/>
      <c r="R5928" s="14"/>
    </row>
    <row r="5929" spans="15:18" x14ac:dyDescent="0.3">
      <c r="O5929" s="14"/>
      <c r="P5929" s="14"/>
      <c r="Q5929" s="14"/>
      <c r="R5929" s="14"/>
    </row>
    <row r="5930" spans="15:18" x14ac:dyDescent="0.3">
      <c r="O5930" s="14"/>
      <c r="P5930" s="14"/>
      <c r="Q5930" s="14"/>
      <c r="R5930" s="14"/>
    </row>
    <row r="5931" spans="15:18" x14ac:dyDescent="0.3">
      <c r="O5931" s="14"/>
      <c r="P5931" s="14"/>
      <c r="Q5931" s="14"/>
      <c r="R5931" s="14"/>
    </row>
    <row r="5932" spans="15:18" x14ac:dyDescent="0.3">
      <c r="O5932" s="14"/>
      <c r="P5932" s="14"/>
      <c r="Q5932" s="14"/>
      <c r="R5932" s="14"/>
    </row>
    <row r="5933" spans="15:18" x14ac:dyDescent="0.3">
      <c r="O5933" s="14"/>
      <c r="P5933" s="14"/>
      <c r="Q5933" s="14"/>
      <c r="R5933" s="14"/>
    </row>
    <row r="5934" spans="15:18" x14ac:dyDescent="0.3">
      <c r="O5934" s="14"/>
      <c r="P5934" s="14"/>
      <c r="Q5934" s="14"/>
      <c r="R5934" s="14"/>
    </row>
    <row r="5935" spans="15:18" x14ac:dyDescent="0.3">
      <c r="O5935" s="14"/>
      <c r="P5935" s="14"/>
      <c r="Q5935" s="14"/>
      <c r="R5935" s="14"/>
    </row>
    <row r="5936" spans="15:18" x14ac:dyDescent="0.3">
      <c r="O5936" s="14"/>
      <c r="P5936" s="14"/>
      <c r="Q5936" s="14"/>
      <c r="R5936" s="14"/>
    </row>
    <row r="5937" spans="15:18" x14ac:dyDescent="0.3">
      <c r="O5937" s="14"/>
      <c r="P5937" s="14"/>
      <c r="Q5937" s="14"/>
      <c r="R5937" s="14"/>
    </row>
    <row r="5938" spans="15:18" x14ac:dyDescent="0.3">
      <c r="O5938" s="14"/>
      <c r="P5938" s="14"/>
      <c r="Q5938" s="14"/>
      <c r="R5938" s="14"/>
    </row>
    <row r="5939" spans="15:18" x14ac:dyDescent="0.3">
      <c r="O5939" s="14"/>
      <c r="P5939" s="14"/>
      <c r="Q5939" s="14"/>
      <c r="R5939" s="14"/>
    </row>
    <row r="5940" spans="15:18" x14ac:dyDescent="0.3">
      <c r="O5940" s="14"/>
      <c r="P5940" s="14"/>
      <c r="Q5940" s="14"/>
      <c r="R5940" s="14"/>
    </row>
    <row r="5941" spans="15:18" x14ac:dyDescent="0.3">
      <c r="O5941" s="14"/>
      <c r="P5941" s="14"/>
      <c r="Q5941" s="14"/>
      <c r="R5941" s="14"/>
    </row>
    <row r="5942" spans="15:18" x14ac:dyDescent="0.3">
      <c r="O5942" s="14"/>
      <c r="P5942" s="14"/>
      <c r="Q5942" s="14"/>
      <c r="R5942" s="14"/>
    </row>
    <row r="5943" spans="15:18" x14ac:dyDescent="0.3">
      <c r="O5943" s="14"/>
      <c r="P5943" s="14"/>
      <c r="Q5943" s="14"/>
      <c r="R5943" s="14"/>
    </row>
    <row r="5944" spans="15:18" x14ac:dyDescent="0.3">
      <c r="O5944" s="14"/>
      <c r="P5944" s="14"/>
      <c r="Q5944" s="14"/>
      <c r="R5944" s="14"/>
    </row>
    <row r="5945" spans="15:18" x14ac:dyDescent="0.3">
      <c r="O5945" s="14"/>
      <c r="P5945" s="14"/>
      <c r="Q5945" s="14"/>
      <c r="R5945" s="14"/>
    </row>
    <row r="5946" spans="15:18" x14ac:dyDescent="0.3">
      <c r="O5946" s="14"/>
      <c r="P5946" s="14"/>
      <c r="Q5946" s="14"/>
      <c r="R5946" s="14"/>
    </row>
    <row r="5947" spans="15:18" x14ac:dyDescent="0.3">
      <c r="O5947" s="14"/>
      <c r="P5947" s="14"/>
      <c r="Q5947" s="14"/>
      <c r="R5947" s="14"/>
    </row>
    <row r="5948" spans="15:18" x14ac:dyDescent="0.3">
      <c r="O5948" s="14"/>
      <c r="P5948" s="14"/>
      <c r="Q5948" s="14"/>
      <c r="R5948" s="14"/>
    </row>
    <row r="5949" spans="15:18" x14ac:dyDescent="0.3">
      <c r="O5949" s="14"/>
      <c r="P5949" s="14"/>
      <c r="Q5949" s="14"/>
      <c r="R5949" s="14"/>
    </row>
    <row r="5950" spans="15:18" x14ac:dyDescent="0.3">
      <c r="O5950" s="14"/>
      <c r="P5950" s="14"/>
      <c r="Q5950" s="14"/>
      <c r="R5950" s="14"/>
    </row>
    <row r="5951" spans="15:18" x14ac:dyDescent="0.3">
      <c r="O5951" s="14"/>
      <c r="P5951" s="14"/>
      <c r="Q5951" s="14"/>
      <c r="R5951" s="14"/>
    </row>
    <row r="5952" spans="15:18" x14ac:dyDescent="0.3">
      <c r="O5952" s="14"/>
      <c r="P5952" s="14"/>
      <c r="Q5952" s="14"/>
      <c r="R5952" s="14"/>
    </row>
    <row r="5953" spans="15:18" x14ac:dyDescent="0.3">
      <c r="O5953" s="14"/>
      <c r="P5953" s="14"/>
      <c r="Q5953" s="14"/>
      <c r="R5953" s="14"/>
    </row>
    <row r="5954" spans="15:18" x14ac:dyDescent="0.3">
      <c r="O5954" s="14"/>
      <c r="P5954" s="14"/>
      <c r="Q5954" s="14"/>
      <c r="R5954" s="14"/>
    </row>
    <row r="5955" spans="15:18" x14ac:dyDescent="0.3">
      <c r="O5955" s="14"/>
      <c r="P5955" s="14"/>
      <c r="Q5955" s="14"/>
      <c r="R5955" s="14"/>
    </row>
    <row r="5956" spans="15:18" x14ac:dyDescent="0.3">
      <c r="O5956" s="14"/>
      <c r="P5956" s="14"/>
      <c r="Q5956" s="14"/>
      <c r="R5956" s="14"/>
    </row>
    <row r="5957" spans="15:18" x14ac:dyDescent="0.3">
      <c r="O5957" s="14"/>
      <c r="P5957" s="14"/>
      <c r="Q5957" s="14"/>
      <c r="R5957" s="14"/>
    </row>
    <row r="5958" spans="15:18" x14ac:dyDescent="0.3">
      <c r="O5958" s="14"/>
      <c r="P5958" s="14"/>
      <c r="Q5958" s="14"/>
      <c r="R5958" s="14"/>
    </row>
    <row r="5959" spans="15:18" x14ac:dyDescent="0.3">
      <c r="O5959" s="14"/>
      <c r="P5959" s="14"/>
      <c r="Q5959" s="14"/>
      <c r="R5959" s="14"/>
    </row>
    <row r="5960" spans="15:18" x14ac:dyDescent="0.3">
      <c r="O5960" s="14"/>
      <c r="P5960" s="14"/>
      <c r="Q5960" s="14"/>
      <c r="R5960" s="14"/>
    </row>
    <row r="5961" spans="15:18" x14ac:dyDescent="0.3">
      <c r="O5961" s="14"/>
      <c r="P5961" s="14"/>
      <c r="Q5961" s="14"/>
      <c r="R5961" s="14"/>
    </row>
    <row r="5962" spans="15:18" x14ac:dyDescent="0.3">
      <c r="O5962" s="14"/>
      <c r="P5962" s="14"/>
      <c r="Q5962" s="14"/>
      <c r="R5962" s="14"/>
    </row>
    <row r="5963" spans="15:18" x14ac:dyDescent="0.3">
      <c r="O5963" s="14"/>
      <c r="P5963" s="14"/>
      <c r="Q5963" s="14"/>
      <c r="R5963" s="14"/>
    </row>
    <row r="5964" spans="15:18" x14ac:dyDescent="0.3">
      <c r="O5964" s="14"/>
      <c r="P5964" s="14"/>
      <c r="Q5964" s="14"/>
      <c r="R5964" s="14"/>
    </row>
    <row r="5965" spans="15:18" x14ac:dyDescent="0.3">
      <c r="O5965" s="14"/>
      <c r="P5965" s="14"/>
      <c r="Q5965" s="14"/>
      <c r="R5965" s="14"/>
    </row>
    <row r="5966" spans="15:18" x14ac:dyDescent="0.3">
      <c r="O5966" s="14"/>
      <c r="P5966" s="14"/>
      <c r="Q5966" s="14"/>
      <c r="R5966" s="14"/>
    </row>
    <row r="5967" spans="15:18" x14ac:dyDescent="0.3">
      <c r="O5967" s="14"/>
      <c r="P5967" s="14"/>
      <c r="Q5967" s="14"/>
      <c r="R5967" s="14"/>
    </row>
    <row r="5968" spans="15:18" x14ac:dyDescent="0.3">
      <c r="O5968" s="14"/>
      <c r="P5968" s="14"/>
      <c r="Q5968" s="14"/>
      <c r="R5968" s="14"/>
    </row>
    <row r="5969" spans="15:18" x14ac:dyDescent="0.3">
      <c r="O5969" s="14"/>
      <c r="P5969" s="14"/>
      <c r="Q5969" s="14"/>
      <c r="R5969" s="14"/>
    </row>
    <row r="5970" spans="15:18" x14ac:dyDescent="0.3">
      <c r="O5970" s="14"/>
      <c r="P5970" s="14"/>
      <c r="Q5970" s="14"/>
      <c r="R5970" s="14"/>
    </row>
    <row r="5971" spans="15:18" x14ac:dyDescent="0.3">
      <c r="O5971" s="14"/>
      <c r="P5971" s="14"/>
      <c r="Q5971" s="14"/>
      <c r="R5971" s="14"/>
    </row>
    <row r="5972" spans="15:18" x14ac:dyDescent="0.3">
      <c r="O5972" s="14"/>
      <c r="P5972" s="14"/>
      <c r="Q5972" s="14"/>
      <c r="R5972" s="14"/>
    </row>
    <row r="5973" spans="15:18" x14ac:dyDescent="0.3">
      <c r="O5973" s="14"/>
      <c r="P5973" s="14"/>
      <c r="Q5973" s="14"/>
      <c r="R5973" s="14"/>
    </row>
    <row r="5974" spans="15:18" x14ac:dyDescent="0.3">
      <c r="O5974" s="14"/>
      <c r="P5974" s="14"/>
      <c r="Q5974" s="14"/>
      <c r="R5974" s="14"/>
    </row>
    <row r="5975" spans="15:18" x14ac:dyDescent="0.3">
      <c r="O5975" s="14"/>
      <c r="P5975" s="14"/>
      <c r="Q5975" s="14"/>
      <c r="R5975" s="14"/>
    </row>
    <row r="5976" spans="15:18" x14ac:dyDescent="0.3">
      <c r="O5976" s="14"/>
      <c r="P5976" s="14"/>
      <c r="Q5976" s="14"/>
      <c r="R5976" s="14"/>
    </row>
    <row r="5977" spans="15:18" x14ac:dyDescent="0.3">
      <c r="O5977" s="14"/>
      <c r="P5977" s="14"/>
      <c r="Q5977" s="14"/>
      <c r="R5977" s="14"/>
    </row>
    <row r="5978" spans="15:18" x14ac:dyDescent="0.3">
      <c r="O5978" s="14"/>
      <c r="P5978" s="14"/>
      <c r="Q5978" s="14"/>
      <c r="R5978" s="14"/>
    </row>
    <row r="5979" spans="15:18" x14ac:dyDescent="0.3">
      <c r="O5979" s="14"/>
      <c r="P5979" s="14"/>
      <c r="Q5979" s="14"/>
      <c r="R5979" s="14"/>
    </row>
    <row r="5980" spans="15:18" x14ac:dyDescent="0.3">
      <c r="O5980" s="14"/>
      <c r="P5980" s="14"/>
      <c r="Q5980" s="14"/>
      <c r="R5980" s="14"/>
    </row>
    <row r="5981" spans="15:18" x14ac:dyDescent="0.3">
      <c r="O5981" s="14"/>
      <c r="P5981" s="14"/>
      <c r="Q5981" s="14"/>
      <c r="R5981" s="14"/>
    </row>
    <row r="5982" spans="15:18" x14ac:dyDescent="0.3">
      <c r="O5982" s="14"/>
      <c r="P5982" s="14"/>
      <c r="Q5982" s="14"/>
      <c r="R5982" s="14"/>
    </row>
    <row r="5983" spans="15:18" x14ac:dyDescent="0.3">
      <c r="O5983" s="14"/>
      <c r="P5983" s="14"/>
      <c r="Q5983" s="14"/>
      <c r="R5983" s="14"/>
    </row>
    <row r="5984" spans="15:18" x14ac:dyDescent="0.3">
      <c r="O5984" s="14"/>
      <c r="P5984" s="14"/>
      <c r="Q5984" s="14"/>
      <c r="R5984" s="14"/>
    </row>
    <row r="5985" spans="15:18" x14ac:dyDescent="0.3">
      <c r="O5985" s="14"/>
      <c r="P5985" s="14"/>
      <c r="Q5985" s="14"/>
      <c r="R5985" s="14"/>
    </row>
    <row r="5986" spans="15:18" x14ac:dyDescent="0.3">
      <c r="O5986" s="14"/>
      <c r="P5986" s="14"/>
      <c r="Q5986" s="14"/>
      <c r="R5986" s="14"/>
    </row>
    <row r="5987" spans="15:18" x14ac:dyDescent="0.3">
      <c r="O5987" s="14"/>
      <c r="P5987" s="14"/>
      <c r="Q5987" s="14"/>
      <c r="R5987" s="14"/>
    </row>
    <row r="5988" spans="15:18" x14ac:dyDescent="0.3">
      <c r="O5988" s="14"/>
      <c r="P5988" s="14"/>
      <c r="Q5988" s="14"/>
      <c r="R5988" s="14"/>
    </row>
    <row r="5989" spans="15:18" x14ac:dyDescent="0.3">
      <c r="O5989" s="14"/>
      <c r="P5989" s="14"/>
      <c r="Q5989" s="14"/>
      <c r="R5989" s="14"/>
    </row>
    <row r="5990" spans="15:18" x14ac:dyDescent="0.3">
      <c r="O5990" s="14"/>
      <c r="P5990" s="14"/>
      <c r="Q5990" s="14"/>
      <c r="R5990" s="14"/>
    </row>
    <row r="5991" spans="15:18" x14ac:dyDescent="0.3">
      <c r="O5991" s="14"/>
      <c r="P5991" s="14"/>
      <c r="Q5991" s="14"/>
      <c r="R5991" s="14"/>
    </row>
    <row r="5992" spans="15:18" x14ac:dyDescent="0.3">
      <c r="O5992" s="14"/>
      <c r="P5992" s="14"/>
      <c r="Q5992" s="14"/>
      <c r="R5992" s="14"/>
    </row>
    <row r="5993" spans="15:18" x14ac:dyDescent="0.3">
      <c r="O5993" s="14"/>
      <c r="P5993" s="14"/>
      <c r="Q5993" s="14"/>
      <c r="R5993" s="14"/>
    </row>
    <row r="5994" spans="15:18" x14ac:dyDescent="0.3">
      <c r="O5994" s="14"/>
      <c r="P5994" s="14"/>
      <c r="Q5994" s="14"/>
      <c r="R5994" s="14"/>
    </row>
    <row r="5995" spans="15:18" x14ac:dyDescent="0.3">
      <c r="O5995" s="14"/>
      <c r="P5995" s="14"/>
      <c r="Q5995" s="14"/>
      <c r="R5995" s="14"/>
    </row>
    <row r="5996" spans="15:18" x14ac:dyDescent="0.3">
      <c r="O5996" s="14"/>
      <c r="P5996" s="14"/>
      <c r="Q5996" s="14"/>
      <c r="R5996" s="14"/>
    </row>
    <row r="5997" spans="15:18" x14ac:dyDescent="0.3">
      <c r="O5997" s="14"/>
      <c r="P5997" s="14"/>
      <c r="Q5997" s="14"/>
      <c r="R5997" s="14"/>
    </row>
    <row r="5998" spans="15:18" x14ac:dyDescent="0.3">
      <c r="O5998" s="14"/>
      <c r="P5998" s="14"/>
      <c r="Q5998" s="14"/>
      <c r="R5998" s="14"/>
    </row>
    <row r="5999" spans="15:18" x14ac:dyDescent="0.3">
      <c r="O5999" s="14"/>
      <c r="P5999" s="14"/>
      <c r="Q5999" s="14"/>
      <c r="R5999" s="14"/>
    </row>
    <row r="6000" spans="15:18" x14ac:dyDescent="0.3">
      <c r="O6000" s="14"/>
      <c r="P6000" s="14"/>
      <c r="Q6000" s="14"/>
      <c r="R6000" s="14"/>
    </row>
    <row r="6001" spans="15:18" x14ac:dyDescent="0.3">
      <c r="O6001" s="14"/>
      <c r="P6001" s="14"/>
      <c r="Q6001" s="14"/>
      <c r="R6001" s="14"/>
    </row>
    <row r="6002" spans="15:18" x14ac:dyDescent="0.3">
      <c r="O6002" s="14"/>
      <c r="P6002" s="14"/>
      <c r="Q6002" s="14"/>
      <c r="R6002" s="14"/>
    </row>
    <row r="6003" spans="15:18" x14ac:dyDescent="0.3">
      <c r="O6003" s="14"/>
      <c r="P6003" s="14"/>
      <c r="Q6003" s="14"/>
      <c r="R6003" s="14"/>
    </row>
    <row r="6004" spans="15:18" x14ac:dyDescent="0.3">
      <c r="O6004" s="14"/>
      <c r="P6004" s="14"/>
      <c r="Q6004" s="14"/>
      <c r="R6004" s="14"/>
    </row>
    <row r="6005" spans="15:18" x14ac:dyDescent="0.3">
      <c r="O6005" s="14"/>
      <c r="P6005" s="14"/>
      <c r="Q6005" s="14"/>
      <c r="R6005" s="14"/>
    </row>
    <row r="6006" spans="15:18" x14ac:dyDescent="0.3">
      <c r="O6006" s="14"/>
      <c r="P6006" s="14"/>
      <c r="Q6006" s="14"/>
      <c r="R6006" s="14"/>
    </row>
    <row r="6007" spans="15:18" x14ac:dyDescent="0.3">
      <c r="O6007" s="14"/>
      <c r="P6007" s="14"/>
      <c r="Q6007" s="14"/>
      <c r="R6007" s="14"/>
    </row>
    <row r="6008" spans="15:18" x14ac:dyDescent="0.3">
      <c r="O6008" s="14"/>
      <c r="P6008" s="14"/>
      <c r="Q6008" s="14"/>
      <c r="R6008" s="14"/>
    </row>
    <row r="6009" spans="15:18" x14ac:dyDescent="0.3">
      <c r="O6009" s="14"/>
      <c r="P6009" s="14"/>
      <c r="Q6009" s="14"/>
      <c r="R6009" s="14"/>
    </row>
    <row r="6010" spans="15:18" x14ac:dyDescent="0.3">
      <c r="O6010" s="14"/>
      <c r="P6010" s="14"/>
      <c r="Q6010" s="14"/>
      <c r="R6010" s="14"/>
    </row>
    <row r="6011" spans="15:18" x14ac:dyDescent="0.3">
      <c r="O6011" s="14"/>
      <c r="P6011" s="14"/>
      <c r="Q6011" s="14"/>
      <c r="R6011" s="14"/>
    </row>
    <row r="6012" spans="15:18" x14ac:dyDescent="0.3">
      <c r="O6012" s="14"/>
      <c r="P6012" s="14"/>
      <c r="Q6012" s="14"/>
      <c r="R6012" s="14"/>
    </row>
    <row r="6013" spans="15:18" x14ac:dyDescent="0.3">
      <c r="O6013" s="14"/>
      <c r="P6013" s="14"/>
      <c r="Q6013" s="14"/>
      <c r="R6013" s="14"/>
    </row>
    <row r="6014" spans="15:18" x14ac:dyDescent="0.3">
      <c r="O6014" s="14"/>
      <c r="P6014" s="14"/>
      <c r="Q6014" s="14"/>
      <c r="R6014" s="14"/>
    </row>
    <row r="6015" spans="15:18" x14ac:dyDescent="0.3">
      <c r="O6015" s="14"/>
      <c r="P6015" s="14"/>
      <c r="Q6015" s="14"/>
      <c r="R6015" s="14"/>
    </row>
    <row r="6016" spans="15:18" x14ac:dyDescent="0.3">
      <c r="O6016" s="14"/>
      <c r="P6016" s="14"/>
      <c r="Q6016" s="14"/>
      <c r="R6016" s="14"/>
    </row>
    <row r="6017" spans="15:18" x14ac:dyDescent="0.3">
      <c r="O6017" s="14"/>
      <c r="P6017" s="14"/>
      <c r="Q6017" s="14"/>
      <c r="R6017" s="14"/>
    </row>
    <row r="6018" spans="15:18" x14ac:dyDescent="0.3">
      <c r="O6018" s="14"/>
      <c r="P6018" s="14"/>
      <c r="Q6018" s="14"/>
      <c r="R6018" s="14"/>
    </row>
    <row r="6019" spans="15:18" x14ac:dyDescent="0.3">
      <c r="O6019" s="14"/>
      <c r="P6019" s="14"/>
      <c r="Q6019" s="14"/>
      <c r="R6019" s="14"/>
    </row>
    <row r="6020" spans="15:18" x14ac:dyDescent="0.3">
      <c r="O6020" s="14"/>
      <c r="P6020" s="14"/>
      <c r="Q6020" s="14"/>
      <c r="R6020" s="14"/>
    </row>
    <row r="6021" spans="15:18" x14ac:dyDescent="0.3">
      <c r="O6021" s="14"/>
      <c r="P6021" s="14"/>
      <c r="Q6021" s="14"/>
      <c r="R6021" s="14"/>
    </row>
    <row r="6022" spans="15:18" x14ac:dyDescent="0.3">
      <c r="O6022" s="14"/>
      <c r="P6022" s="14"/>
      <c r="Q6022" s="14"/>
      <c r="R6022" s="14"/>
    </row>
    <row r="6023" spans="15:18" x14ac:dyDescent="0.3">
      <c r="O6023" s="14"/>
      <c r="P6023" s="14"/>
      <c r="Q6023" s="14"/>
      <c r="R6023" s="14"/>
    </row>
    <row r="6024" spans="15:18" x14ac:dyDescent="0.3">
      <c r="O6024" s="14"/>
      <c r="P6024" s="14"/>
      <c r="Q6024" s="14"/>
      <c r="R6024" s="14"/>
    </row>
    <row r="6025" spans="15:18" x14ac:dyDescent="0.3">
      <c r="O6025" s="14"/>
      <c r="P6025" s="14"/>
      <c r="Q6025" s="14"/>
      <c r="R6025" s="14"/>
    </row>
    <row r="6026" spans="15:18" x14ac:dyDescent="0.3">
      <c r="O6026" s="14"/>
      <c r="P6026" s="14"/>
      <c r="Q6026" s="14"/>
      <c r="R6026" s="14"/>
    </row>
    <row r="6027" spans="15:18" x14ac:dyDescent="0.3">
      <c r="O6027" s="14"/>
      <c r="P6027" s="14"/>
      <c r="Q6027" s="14"/>
      <c r="R6027" s="14"/>
    </row>
    <row r="6028" spans="15:18" x14ac:dyDescent="0.3">
      <c r="O6028" s="14"/>
      <c r="P6028" s="14"/>
      <c r="Q6028" s="14"/>
      <c r="R6028" s="14"/>
    </row>
    <row r="6029" spans="15:18" x14ac:dyDescent="0.3">
      <c r="O6029" s="14"/>
      <c r="P6029" s="14"/>
      <c r="Q6029" s="14"/>
      <c r="R6029" s="14"/>
    </row>
    <row r="6030" spans="15:18" x14ac:dyDescent="0.3">
      <c r="O6030" s="14"/>
      <c r="P6030" s="14"/>
      <c r="Q6030" s="14"/>
      <c r="R6030" s="14"/>
    </row>
    <row r="6031" spans="15:18" x14ac:dyDescent="0.3">
      <c r="O6031" s="14"/>
      <c r="P6031" s="14"/>
      <c r="Q6031" s="14"/>
      <c r="R6031" s="14"/>
    </row>
    <row r="6032" spans="15:18" x14ac:dyDescent="0.3">
      <c r="O6032" s="14"/>
      <c r="P6032" s="14"/>
      <c r="Q6032" s="14"/>
      <c r="R6032" s="14"/>
    </row>
    <row r="6033" spans="15:18" x14ac:dyDescent="0.3">
      <c r="O6033" s="14"/>
      <c r="P6033" s="14"/>
      <c r="Q6033" s="14"/>
      <c r="R6033" s="14"/>
    </row>
    <row r="6034" spans="15:18" x14ac:dyDescent="0.3">
      <c r="O6034" s="14"/>
      <c r="P6034" s="14"/>
      <c r="Q6034" s="14"/>
      <c r="R6034" s="14"/>
    </row>
    <row r="6035" spans="15:18" x14ac:dyDescent="0.3">
      <c r="O6035" s="14"/>
      <c r="P6035" s="14"/>
      <c r="Q6035" s="14"/>
      <c r="R6035" s="14"/>
    </row>
    <row r="6036" spans="15:18" x14ac:dyDescent="0.3">
      <c r="O6036" s="14"/>
      <c r="P6036" s="14"/>
      <c r="Q6036" s="14"/>
      <c r="R6036" s="14"/>
    </row>
    <row r="6037" spans="15:18" x14ac:dyDescent="0.3">
      <c r="O6037" s="14"/>
      <c r="P6037" s="14"/>
      <c r="Q6037" s="14"/>
      <c r="R6037" s="14"/>
    </row>
    <row r="6038" spans="15:18" x14ac:dyDescent="0.3">
      <c r="O6038" s="14"/>
      <c r="P6038" s="14"/>
      <c r="Q6038" s="14"/>
      <c r="R6038" s="14"/>
    </row>
    <row r="6039" spans="15:18" x14ac:dyDescent="0.3">
      <c r="O6039" s="14"/>
      <c r="P6039" s="14"/>
      <c r="Q6039" s="14"/>
      <c r="R6039" s="14"/>
    </row>
    <row r="6040" spans="15:18" x14ac:dyDescent="0.3">
      <c r="O6040" s="14"/>
      <c r="P6040" s="14"/>
      <c r="Q6040" s="14"/>
      <c r="R6040" s="14"/>
    </row>
    <row r="6041" spans="15:18" x14ac:dyDescent="0.3">
      <c r="O6041" s="14"/>
      <c r="P6041" s="14"/>
      <c r="Q6041" s="14"/>
      <c r="R6041" s="14"/>
    </row>
    <row r="6042" spans="15:18" x14ac:dyDescent="0.3">
      <c r="O6042" s="14"/>
      <c r="P6042" s="14"/>
      <c r="Q6042" s="14"/>
      <c r="R6042" s="14"/>
    </row>
    <row r="6043" spans="15:18" x14ac:dyDescent="0.3">
      <c r="O6043" s="14"/>
      <c r="P6043" s="14"/>
      <c r="Q6043" s="14"/>
      <c r="R6043" s="14"/>
    </row>
    <row r="6044" spans="15:18" x14ac:dyDescent="0.3">
      <c r="O6044" s="14"/>
      <c r="P6044" s="14"/>
      <c r="Q6044" s="14"/>
      <c r="R6044" s="14"/>
    </row>
    <row r="6045" spans="15:18" x14ac:dyDescent="0.3">
      <c r="O6045" s="14"/>
      <c r="P6045" s="14"/>
      <c r="Q6045" s="14"/>
      <c r="R6045" s="14"/>
    </row>
    <row r="6046" spans="15:18" x14ac:dyDescent="0.3">
      <c r="O6046" s="14"/>
      <c r="P6046" s="14"/>
      <c r="Q6046" s="14"/>
      <c r="R6046" s="14"/>
    </row>
    <row r="6047" spans="15:18" x14ac:dyDescent="0.3">
      <c r="O6047" s="14"/>
      <c r="P6047" s="14"/>
      <c r="Q6047" s="14"/>
      <c r="R6047" s="14"/>
    </row>
    <row r="6048" spans="15:18" x14ac:dyDescent="0.3">
      <c r="O6048" s="14"/>
      <c r="P6048" s="14"/>
      <c r="Q6048" s="14"/>
      <c r="R6048" s="14"/>
    </row>
    <row r="6049" spans="15:18" x14ac:dyDescent="0.3">
      <c r="O6049" s="14"/>
      <c r="P6049" s="14"/>
      <c r="Q6049" s="14"/>
      <c r="R6049" s="14"/>
    </row>
    <row r="6050" spans="15:18" x14ac:dyDescent="0.3">
      <c r="O6050" s="14"/>
      <c r="P6050" s="14"/>
      <c r="Q6050" s="14"/>
      <c r="R6050" s="14"/>
    </row>
    <row r="6051" spans="15:18" x14ac:dyDescent="0.3">
      <c r="O6051" s="14"/>
      <c r="P6051" s="14"/>
      <c r="Q6051" s="14"/>
      <c r="R6051" s="14"/>
    </row>
    <row r="6052" spans="15:18" x14ac:dyDescent="0.3">
      <c r="O6052" s="14"/>
      <c r="P6052" s="14"/>
      <c r="Q6052" s="14"/>
      <c r="R6052" s="14"/>
    </row>
    <row r="6053" spans="15:18" x14ac:dyDescent="0.3">
      <c r="O6053" s="14"/>
      <c r="P6053" s="14"/>
      <c r="Q6053" s="14"/>
      <c r="R6053" s="14"/>
    </row>
    <row r="6054" spans="15:18" x14ac:dyDescent="0.3">
      <c r="O6054" s="14"/>
      <c r="P6054" s="14"/>
      <c r="Q6054" s="14"/>
      <c r="R6054" s="14"/>
    </row>
    <row r="6055" spans="15:18" x14ac:dyDescent="0.3">
      <c r="O6055" s="14"/>
      <c r="P6055" s="14"/>
      <c r="Q6055" s="14"/>
      <c r="R6055" s="14"/>
    </row>
    <row r="6056" spans="15:18" x14ac:dyDescent="0.3">
      <c r="O6056" s="14"/>
      <c r="P6056" s="14"/>
      <c r="Q6056" s="14"/>
      <c r="R6056" s="14"/>
    </row>
    <row r="6057" spans="15:18" x14ac:dyDescent="0.3">
      <c r="O6057" s="14"/>
      <c r="P6057" s="14"/>
      <c r="Q6057" s="14"/>
      <c r="R6057" s="14"/>
    </row>
    <row r="6058" spans="15:18" x14ac:dyDescent="0.3">
      <c r="O6058" s="14"/>
      <c r="P6058" s="14"/>
      <c r="Q6058" s="14"/>
      <c r="R6058" s="14"/>
    </row>
    <row r="6059" spans="15:18" x14ac:dyDescent="0.3">
      <c r="O6059" s="14"/>
      <c r="P6059" s="14"/>
      <c r="Q6059" s="14"/>
      <c r="R6059" s="14"/>
    </row>
    <row r="6060" spans="15:18" x14ac:dyDescent="0.3">
      <c r="O6060" s="14"/>
      <c r="P6060" s="14"/>
      <c r="Q6060" s="14"/>
      <c r="R6060" s="14"/>
    </row>
    <row r="6061" spans="15:18" x14ac:dyDescent="0.3">
      <c r="O6061" s="14"/>
      <c r="P6061" s="14"/>
      <c r="Q6061" s="14"/>
      <c r="R6061" s="14"/>
    </row>
    <row r="6062" spans="15:18" x14ac:dyDescent="0.3">
      <c r="O6062" s="14"/>
      <c r="P6062" s="14"/>
      <c r="Q6062" s="14"/>
      <c r="R6062" s="14"/>
    </row>
    <row r="6063" spans="15:18" x14ac:dyDescent="0.3">
      <c r="O6063" s="14"/>
      <c r="P6063" s="14"/>
      <c r="Q6063" s="14"/>
      <c r="R6063" s="14"/>
    </row>
    <row r="6064" spans="15:18" x14ac:dyDescent="0.3">
      <c r="O6064" s="14"/>
      <c r="P6064" s="14"/>
      <c r="Q6064" s="14"/>
      <c r="R6064" s="14"/>
    </row>
    <row r="6065" spans="15:18" x14ac:dyDescent="0.3">
      <c r="O6065" s="14"/>
      <c r="P6065" s="14"/>
      <c r="Q6065" s="14"/>
      <c r="R6065" s="14"/>
    </row>
    <row r="6066" spans="15:18" x14ac:dyDescent="0.3">
      <c r="O6066" s="14"/>
      <c r="P6066" s="14"/>
      <c r="Q6066" s="14"/>
      <c r="R6066" s="14"/>
    </row>
    <row r="6067" spans="15:18" x14ac:dyDescent="0.3">
      <c r="O6067" s="14"/>
      <c r="P6067" s="14"/>
      <c r="Q6067" s="14"/>
      <c r="R6067" s="14"/>
    </row>
    <row r="6068" spans="15:18" x14ac:dyDescent="0.3">
      <c r="O6068" s="14"/>
      <c r="P6068" s="14"/>
      <c r="Q6068" s="14"/>
      <c r="R6068" s="14"/>
    </row>
    <row r="6069" spans="15:18" x14ac:dyDescent="0.3">
      <c r="O6069" s="14"/>
      <c r="P6069" s="14"/>
      <c r="Q6069" s="14"/>
      <c r="R6069" s="14"/>
    </row>
    <row r="6070" spans="15:18" x14ac:dyDescent="0.3">
      <c r="O6070" s="14"/>
      <c r="P6070" s="14"/>
      <c r="Q6070" s="14"/>
      <c r="R6070" s="14"/>
    </row>
    <row r="6071" spans="15:18" x14ac:dyDescent="0.3">
      <c r="O6071" s="14"/>
      <c r="P6071" s="14"/>
      <c r="Q6071" s="14"/>
      <c r="R6071" s="14"/>
    </row>
    <row r="6072" spans="15:18" x14ac:dyDescent="0.3">
      <c r="O6072" s="14"/>
      <c r="P6072" s="14"/>
      <c r="Q6072" s="14"/>
      <c r="R6072" s="14"/>
    </row>
    <row r="6073" spans="15:18" x14ac:dyDescent="0.3">
      <c r="O6073" s="14"/>
      <c r="P6073" s="14"/>
      <c r="Q6073" s="14"/>
      <c r="R6073" s="14"/>
    </row>
    <row r="6074" spans="15:18" x14ac:dyDescent="0.3">
      <c r="O6074" s="14"/>
      <c r="P6074" s="14"/>
      <c r="Q6074" s="14"/>
      <c r="R6074" s="14"/>
    </row>
    <row r="6075" spans="15:18" x14ac:dyDescent="0.3">
      <c r="O6075" s="14"/>
      <c r="P6075" s="14"/>
      <c r="Q6075" s="14"/>
      <c r="R6075" s="14"/>
    </row>
    <row r="6076" spans="15:18" x14ac:dyDescent="0.3">
      <c r="O6076" s="14"/>
      <c r="P6076" s="14"/>
      <c r="Q6076" s="14"/>
      <c r="R6076" s="14"/>
    </row>
    <row r="6077" spans="15:18" x14ac:dyDescent="0.3">
      <c r="O6077" s="14"/>
      <c r="P6077" s="14"/>
      <c r="Q6077" s="14"/>
      <c r="R6077" s="14"/>
    </row>
    <row r="6078" spans="15:18" x14ac:dyDescent="0.3">
      <c r="O6078" s="14"/>
      <c r="P6078" s="14"/>
      <c r="Q6078" s="14"/>
      <c r="R6078" s="14"/>
    </row>
    <row r="6079" spans="15:18" x14ac:dyDescent="0.3">
      <c r="O6079" s="14"/>
      <c r="P6079" s="14"/>
      <c r="Q6079" s="14"/>
      <c r="R6079" s="14"/>
    </row>
    <row r="6080" spans="15:18" x14ac:dyDescent="0.3">
      <c r="O6080" s="14"/>
      <c r="P6080" s="14"/>
      <c r="Q6080" s="14"/>
      <c r="R6080" s="14"/>
    </row>
    <row r="6081" spans="15:18" x14ac:dyDescent="0.3">
      <c r="O6081" s="14"/>
      <c r="P6081" s="14"/>
      <c r="Q6081" s="14"/>
      <c r="R6081" s="14"/>
    </row>
    <row r="6082" spans="15:18" x14ac:dyDescent="0.3">
      <c r="O6082" s="14"/>
      <c r="P6082" s="14"/>
      <c r="Q6082" s="14"/>
      <c r="R6082" s="14"/>
    </row>
    <row r="6083" spans="15:18" x14ac:dyDescent="0.3">
      <c r="O6083" s="14"/>
      <c r="P6083" s="14"/>
      <c r="Q6083" s="14"/>
      <c r="R6083" s="14"/>
    </row>
    <row r="6084" spans="15:18" x14ac:dyDescent="0.3">
      <c r="O6084" s="14"/>
      <c r="P6084" s="14"/>
      <c r="Q6084" s="14"/>
      <c r="R6084" s="14"/>
    </row>
    <row r="6085" spans="15:18" x14ac:dyDescent="0.3">
      <c r="O6085" s="14"/>
      <c r="P6085" s="14"/>
      <c r="Q6085" s="14"/>
      <c r="R6085" s="14"/>
    </row>
    <row r="6086" spans="15:18" x14ac:dyDescent="0.3">
      <c r="O6086" s="14"/>
      <c r="P6086" s="14"/>
      <c r="Q6086" s="14"/>
      <c r="R6086" s="14"/>
    </row>
    <row r="6087" spans="15:18" x14ac:dyDescent="0.3">
      <c r="O6087" s="14"/>
      <c r="P6087" s="14"/>
      <c r="Q6087" s="14"/>
      <c r="R6087" s="14"/>
    </row>
    <row r="6088" spans="15:18" x14ac:dyDescent="0.3">
      <c r="O6088" s="14"/>
      <c r="P6088" s="14"/>
      <c r="Q6088" s="14"/>
      <c r="R6088" s="14"/>
    </row>
    <row r="6089" spans="15:18" x14ac:dyDescent="0.3">
      <c r="O6089" s="14"/>
      <c r="P6089" s="14"/>
      <c r="Q6089" s="14"/>
      <c r="R6089" s="14"/>
    </row>
    <row r="6090" spans="15:18" x14ac:dyDescent="0.3">
      <c r="O6090" s="14"/>
      <c r="P6090" s="14"/>
      <c r="Q6090" s="14"/>
      <c r="R6090" s="14"/>
    </row>
    <row r="6091" spans="15:18" x14ac:dyDescent="0.3">
      <c r="O6091" s="14"/>
      <c r="P6091" s="14"/>
      <c r="Q6091" s="14"/>
      <c r="R6091" s="14"/>
    </row>
    <row r="6092" spans="15:18" x14ac:dyDescent="0.3">
      <c r="O6092" s="14"/>
      <c r="P6092" s="14"/>
      <c r="Q6092" s="14"/>
      <c r="R6092" s="14"/>
    </row>
    <row r="6093" spans="15:18" x14ac:dyDescent="0.3">
      <c r="O6093" s="14"/>
      <c r="P6093" s="14"/>
      <c r="Q6093" s="14"/>
      <c r="R6093" s="14"/>
    </row>
    <row r="6094" spans="15:18" x14ac:dyDescent="0.3">
      <c r="O6094" s="14"/>
      <c r="P6094" s="14"/>
      <c r="Q6094" s="14"/>
      <c r="R6094" s="14"/>
    </row>
    <row r="6095" spans="15:18" x14ac:dyDescent="0.3">
      <c r="O6095" s="14"/>
      <c r="P6095" s="14"/>
      <c r="Q6095" s="14"/>
      <c r="R6095" s="14"/>
    </row>
    <row r="6096" spans="15:18" x14ac:dyDescent="0.3">
      <c r="O6096" s="14"/>
      <c r="P6096" s="14"/>
      <c r="Q6096" s="14"/>
      <c r="R6096" s="14"/>
    </row>
    <row r="6097" spans="15:18" x14ac:dyDescent="0.3">
      <c r="O6097" s="14"/>
      <c r="P6097" s="14"/>
      <c r="Q6097" s="14"/>
      <c r="R6097" s="14"/>
    </row>
    <row r="6098" spans="15:18" x14ac:dyDescent="0.3">
      <c r="O6098" s="14"/>
      <c r="P6098" s="14"/>
      <c r="Q6098" s="14"/>
      <c r="R6098" s="14"/>
    </row>
    <row r="6099" spans="15:18" x14ac:dyDescent="0.3">
      <c r="O6099" s="14"/>
      <c r="P6099" s="14"/>
      <c r="Q6099" s="14"/>
      <c r="R6099" s="14"/>
    </row>
    <row r="6100" spans="15:18" x14ac:dyDescent="0.3">
      <c r="O6100" s="14"/>
      <c r="P6100" s="14"/>
      <c r="Q6100" s="14"/>
      <c r="R6100" s="14"/>
    </row>
    <row r="6101" spans="15:18" x14ac:dyDescent="0.3">
      <c r="O6101" s="14"/>
      <c r="P6101" s="14"/>
      <c r="Q6101" s="14"/>
      <c r="R6101" s="14"/>
    </row>
    <row r="6102" spans="15:18" x14ac:dyDescent="0.3">
      <c r="O6102" s="14"/>
      <c r="P6102" s="14"/>
      <c r="Q6102" s="14"/>
      <c r="R6102" s="14"/>
    </row>
    <row r="6103" spans="15:18" x14ac:dyDescent="0.3">
      <c r="O6103" s="14"/>
      <c r="P6103" s="14"/>
      <c r="Q6103" s="14"/>
      <c r="R6103" s="14"/>
    </row>
    <row r="6104" spans="15:18" x14ac:dyDescent="0.3">
      <c r="O6104" s="14"/>
      <c r="P6104" s="14"/>
      <c r="Q6104" s="14"/>
      <c r="R6104" s="14"/>
    </row>
    <row r="6105" spans="15:18" x14ac:dyDescent="0.3">
      <c r="O6105" s="14"/>
      <c r="P6105" s="14"/>
      <c r="Q6105" s="14"/>
      <c r="R6105" s="14"/>
    </row>
    <row r="6106" spans="15:18" x14ac:dyDescent="0.3">
      <c r="O6106" s="14"/>
      <c r="P6106" s="14"/>
      <c r="Q6106" s="14"/>
      <c r="R6106" s="14"/>
    </row>
    <row r="6107" spans="15:18" x14ac:dyDescent="0.3">
      <c r="O6107" s="14"/>
      <c r="P6107" s="14"/>
      <c r="Q6107" s="14"/>
      <c r="R6107" s="14"/>
    </row>
    <row r="6108" spans="15:18" x14ac:dyDescent="0.3">
      <c r="O6108" s="14"/>
      <c r="P6108" s="14"/>
      <c r="Q6108" s="14"/>
      <c r="R6108" s="14"/>
    </row>
    <row r="6109" spans="15:18" x14ac:dyDescent="0.3">
      <c r="O6109" s="14"/>
      <c r="P6109" s="14"/>
      <c r="Q6109" s="14"/>
      <c r="R6109" s="14"/>
    </row>
    <row r="6110" spans="15:18" x14ac:dyDescent="0.3">
      <c r="O6110" s="14"/>
      <c r="P6110" s="14"/>
      <c r="Q6110" s="14"/>
      <c r="R6110" s="14"/>
    </row>
    <row r="6111" spans="15:18" x14ac:dyDescent="0.3">
      <c r="O6111" s="14"/>
      <c r="P6111" s="14"/>
      <c r="Q6111" s="14"/>
      <c r="R6111" s="14"/>
    </row>
    <row r="6112" spans="15:18" x14ac:dyDescent="0.3">
      <c r="O6112" s="14"/>
      <c r="P6112" s="14"/>
      <c r="Q6112" s="14"/>
      <c r="R6112" s="14"/>
    </row>
    <row r="6113" spans="15:18" x14ac:dyDescent="0.3">
      <c r="O6113" s="14"/>
      <c r="P6113" s="14"/>
      <c r="Q6113" s="14"/>
      <c r="R6113" s="14"/>
    </row>
    <row r="6114" spans="15:18" x14ac:dyDescent="0.3">
      <c r="O6114" s="14"/>
      <c r="P6114" s="14"/>
      <c r="Q6114" s="14"/>
      <c r="R6114" s="14"/>
    </row>
    <row r="6115" spans="15:18" x14ac:dyDescent="0.3">
      <c r="O6115" s="14"/>
      <c r="P6115" s="14"/>
      <c r="Q6115" s="14"/>
      <c r="R6115" s="14"/>
    </row>
    <row r="6116" spans="15:18" x14ac:dyDescent="0.3">
      <c r="O6116" s="14"/>
      <c r="P6116" s="14"/>
      <c r="Q6116" s="14"/>
      <c r="R6116" s="14"/>
    </row>
    <row r="6117" spans="15:18" x14ac:dyDescent="0.3">
      <c r="O6117" s="14"/>
      <c r="P6117" s="14"/>
      <c r="Q6117" s="14"/>
      <c r="R6117" s="14"/>
    </row>
    <row r="6118" spans="15:18" x14ac:dyDescent="0.3">
      <c r="O6118" s="14"/>
      <c r="P6118" s="14"/>
      <c r="Q6118" s="14"/>
      <c r="R6118" s="14"/>
    </row>
    <row r="6119" spans="15:18" x14ac:dyDescent="0.3">
      <c r="O6119" s="14"/>
      <c r="P6119" s="14"/>
      <c r="Q6119" s="14"/>
      <c r="R6119" s="14"/>
    </row>
    <row r="6120" spans="15:18" x14ac:dyDescent="0.3">
      <c r="O6120" s="14"/>
      <c r="P6120" s="14"/>
      <c r="Q6120" s="14"/>
      <c r="R6120" s="14"/>
    </row>
    <row r="6121" spans="15:18" x14ac:dyDescent="0.3">
      <c r="O6121" s="14"/>
      <c r="P6121" s="14"/>
      <c r="Q6121" s="14"/>
      <c r="R6121" s="14"/>
    </row>
    <row r="6122" spans="15:18" x14ac:dyDescent="0.3">
      <c r="O6122" s="14"/>
      <c r="P6122" s="14"/>
      <c r="Q6122" s="14"/>
      <c r="R6122" s="14"/>
    </row>
    <row r="6123" spans="15:18" x14ac:dyDescent="0.3">
      <c r="O6123" s="14"/>
      <c r="P6123" s="14"/>
      <c r="Q6123" s="14"/>
      <c r="R6123" s="14"/>
    </row>
    <row r="6124" spans="15:18" x14ac:dyDescent="0.3">
      <c r="O6124" s="14"/>
      <c r="P6124" s="14"/>
      <c r="Q6124" s="14"/>
      <c r="R6124" s="14"/>
    </row>
    <row r="6125" spans="15:18" x14ac:dyDescent="0.3">
      <c r="O6125" s="14"/>
      <c r="P6125" s="14"/>
      <c r="Q6125" s="14"/>
      <c r="R6125" s="14"/>
    </row>
    <row r="6126" spans="15:18" x14ac:dyDescent="0.3">
      <c r="O6126" s="14"/>
      <c r="P6126" s="14"/>
      <c r="Q6126" s="14"/>
      <c r="R6126" s="14"/>
    </row>
    <row r="6127" spans="15:18" x14ac:dyDescent="0.3">
      <c r="O6127" s="14"/>
      <c r="P6127" s="14"/>
      <c r="Q6127" s="14"/>
      <c r="R6127" s="14"/>
    </row>
    <row r="6128" spans="15:18" x14ac:dyDescent="0.3">
      <c r="O6128" s="14"/>
      <c r="P6128" s="14"/>
      <c r="Q6128" s="14"/>
      <c r="R6128" s="14"/>
    </row>
    <row r="6129" spans="15:18" x14ac:dyDescent="0.3">
      <c r="O6129" s="14"/>
      <c r="P6129" s="14"/>
      <c r="Q6129" s="14"/>
      <c r="R6129" s="14"/>
    </row>
    <row r="6130" spans="15:18" x14ac:dyDescent="0.3">
      <c r="O6130" s="14"/>
      <c r="P6130" s="14"/>
      <c r="Q6130" s="14"/>
      <c r="R6130" s="14"/>
    </row>
    <row r="6131" spans="15:18" x14ac:dyDescent="0.3">
      <c r="O6131" s="14"/>
      <c r="P6131" s="14"/>
      <c r="Q6131" s="14"/>
      <c r="R6131" s="14"/>
    </row>
    <row r="6132" spans="15:18" x14ac:dyDescent="0.3">
      <c r="O6132" s="14"/>
      <c r="P6132" s="14"/>
      <c r="Q6132" s="14"/>
      <c r="R6132" s="14"/>
    </row>
    <row r="6133" spans="15:18" x14ac:dyDescent="0.3">
      <c r="O6133" s="14"/>
      <c r="P6133" s="14"/>
      <c r="Q6133" s="14"/>
      <c r="R6133" s="14"/>
    </row>
    <row r="6134" spans="15:18" x14ac:dyDescent="0.3">
      <c r="O6134" s="14"/>
      <c r="P6134" s="14"/>
      <c r="Q6134" s="14"/>
      <c r="R6134" s="14"/>
    </row>
    <row r="6135" spans="15:18" x14ac:dyDescent="0.3">
      <c r="O6135" s="14"/>
      <c r="P6135" s="14"/>
      <c r="Q6135" s="14"/>
      <c r="R6135" s="14"/>
    </row>
    <row r="6136" spans="15:18" x14ac:dyDescent="0.3">
      <c r="O6136" s="14"/>
      <c r="P6136" s="14"/>
      <c r="Q6136" s="14"/>
      <c r="R6136" s="14"/>
    </row>
    <row r="6137" spans="15:18" x14ac:dyDescent="0.3">
      <c r="O6137" s="14"/>
      <c r="P6137" s="14"/>
      <c r="Q6137" s="14"/>
      <c r="R6137" s="14"/>
    </row>
    <row r="6138" spans="15:18" x14ac:dyDescent="0.3">
      <c r="O6138" s="14"/>
      <c r="P6138" s="14"/>
      <c r="Q6138" s="14"/>
      <c r="R6138" s="14"/>
    </row>
    <row r="6139" spans="15:18" x14ac:dyDescent="0.3">
      <c r="O6139" s="14"/>
      <c r="P6139" s="14"/>
      <c r="Q6139" s="14"/>
      <c r="R6139" s="14"/>
    </row>
    <row r="6140" spans="15:18" x14ac:dyDescent="0.3">
      <c r="O6140" s="14"/>
      <c r="P6140" s="14"/>
      <c r="Q6140" s="14"/>
      <c r="R6140" s="14"/>
    </row>
    <row r="6141" spans="15:18" x14ac:dyDescent="0.3">
      <c r="O6141" s="14"/>
      <c r="P6141" s="14"/>
      <c r="Q6141" s="14"/>
      <c r="R6141" s="14"/>
    </row>
    <row r="6142" spans="15:18" x14ac:dyDescent="0.3">
      <c r="O6142" s="14"/>
      <c r="P6142" s="14"/>
      <c r="Q6142" s="14"/>
      <c r="R6142" s="14"/>
    </row>
    <row r="6143" spans="15:18" x14ac:dyDescent="0.3">
      <c r="O6143" s="14"/>
      <c r="P6143" s="14"/>
      <c r="Q6143" s="14"/>
      <c r="R6143" s="14"/>
    </row>
    <row r="6144" spans="15:18" x14ac:dyDescent="0.3">
      <c r="O6144" s="14"/>
      <c r="P6144" s="14"/>
      <c r="Q6144" s="14"/>
      <c r="R6144" s="14"/>
    </row>
    <row r="6145" spans="15:18" x14ac:dyDescent="0.3">
      <c r="O6145" s="14"/>
      <c r="P6145" s="14"/>
      <c r="Q6145" s="14"/>
      <c r="R6145" s="14"/>
    </row>
    <row r="6146" spans="15:18" x14ac:dyDescent="0.3">
      <c r="O6146" s="14"/>
      <c r="P6146" s="14"/>
      <c r="Q6146" s="14"/>
      <c r="R6146" s="14"/>
    </row>
    <row r="6147" spans="15:18" x14ac:dyDescent="0.3">
      <c r="O6147" s="14"/>
      <c r="P6147" s="14"/>
      <c r="Q6147" s="14"/>
      <c r="R6147" s="14"/>
    </row>
    <row r="6148" spans="15:18" x14ac:dyDescent="0.3">
      <c r="O6148" s="14"/>
      <c r="P6148" s="14"/>
      <c r="Q6148" s="14"/>
      <c r="R6148" s="14"/>
    </row>
    <row r="6149" spans="15:18" x14ac:dyDescent="0.3">
      <c r="O6149" s="14"/>
      <c r="P6149" s="14"/>
      <c r="Q6149" s="14"/>
      <c r="R6149" s="14"/>
    </row>
    <row r="6150" spans="15:18" x14ac:dyDescent="0.3">
      <c r="O6150" s="14"/>
      <c r="P6150" s="14"/>
      <c r="Q6150" s="14"/>
      <c r="R6150" s="14"/>
    </row>
    <row r="6151" spans="15:18" x14ac:dyDescent="0.3">
      <c r="O6151" s="14"/>
      <c r="P6151" s="14"/>
      <c r="Q6151" s="14"/>
      <c r="R6151" s="14"/>
    </row>
    <row r="6152" spans="15:18" x14ac:dyDescent="0.3">
      <c r="O6152" s="14"/>
      <c r="P6152" s="14"/>
      <c r="Q6152" s="14"/>
      <c r="R6152" s="14"/>
    </row>
    <row r="6153" spans="15:18" x14ac:dyDescent="0.3">
      <c r="O6153" s="14"/>
      <c r="P6153" s="14"/>
      <c r="Q6153" s="14"/>
      <c r="R6153" s="14"/>
    </row>
    <row r="6154" spans="15:18" x14ac:dyDescent="0.3">
      <c r="O6154" s="14"/>
      <c r="P6154" s="14"/>
      <c r="Q6154" s="14"/>
      <c r="R6154" s="14"/>
    </row>
    <row r="6155" spans="15:18" x14ac:dyDescent="0.3">
      <c r="O6155" s="14"/>
      <c r="P6155" s="14"/>
      <c r="Q6155" s="14"/>
      <c r="R6155" s="14"/>
    </row>
    <row r="6156" spans="15:18" x14ac:dyDescent="0.3">
      <c r="O6156" s="14"/>
      <c r="P6156" s="14"/>
      <c r="Q6156" s="14"/>
      <c r="R6156" s="14"/>
    </row>
    <row r="6157" spans="15:18" x14ac:dyDescent="0.3">
      <c r="O6157" s="14"/>
      <c r="P6157" s="14"/>
      <c r="Q6157" s="14"/>
      <c r="R6157" s="14"/>
    </row>
    <row r="6158" spans="15:18" x14ac:dyDescent="0.3">
      <c r="O6158" s="14"/>
      <c r="P6158" s="14"/>
      <c r="Q6158" s="14"/>
      <c r="R6158" s="14"/>
    </row>
    <row r="6159" spans="15:18" x14ac:dyDescent="0.3">
      <c r="O6159" s="14"/>
      <c r="P6159" s="14"/>
      <c r="Q6159" s="14"/>
      <c r="R6159" s="14"/>
    </row>
    <row r="6160" spans="15:18" x14ac:dyDescent="0.3">
      <c r="O6160" s="14"/>
      <c r="P6160" s="14"/>
      <c r="Q6160" s="14"/>
      <c r="R6160" s="14"/>
    </row>
    <row r="6161" spans="15:18" x14ac:dyDescent="0.3">
      <c r="O6161" s="14"/>
      <c r="P6161" s="14"/>
      <c r="Q6161" s="14"/>
      <c r="R6161" s="14"/>
    </row>
    <row r="6162" spans="15:18" x14ac:dyDescent="0.3">
      <c r="O6162" s="14"/>
      <c r="P6162" s="14"/>
      <c r="Q6162" s="14"/>
      <c r="R6162" s="14"/>
    </row>
    <row r="6163" spans="15:18" x14ac:dyDescent="0.3">
      <c r="O6163" s="14"/>
      <c r="P6163" s="14"/>
      <c r="Q6163" s="14"/>
      <c r="R6163" s="14"/>
    </row>
    <row r="6164" spans="15:18" x14ac:dyDescent="0.3">
      <c r="O6164" s="14"/>
      <c r="P6164" s="14"/>
      <c r="Q6164" s="14"/>
      <c r="R6164" s="14"/>
    </row>
    <row r="6165" spans="15:18" x14ac:dyDescent="0.3">
      <c r="O6165" s="14"/>
      <c r="P6165" s="14"/>
      <c r="Q6165" s="14"/>
      <c r="R6165" s="14"/>
    </row>
    <row r="6166" spans="15:18" x14ac:dyDescent="0.3">
      <c r="O6166" s="14"/>
      <c r="P6166" s="14"/>
      <c r="Q6166" s="14"/>
      <c r="R6166" s="14"/>
    </row>
    <row r="6167" spans="15:18" x14ac:dyDescent="0.3">
      <c r="O6167" s="14"/>
      <c r="P6167" s="14"/>
      <c r="Q6167" s="14"/>
      <c r="R6167" s="14"/>
    </row>
    <row r="6168" spans="15:18" x14ac:dyDescent="0.3">
      <c r="O6168" s="14"/>
      <c r="P6168" s="14"/>
      <c r="Q6168" s="14"/>
      <c r="R6168" s="14"/>
    </row>
    <row r="6169" spans="15:18" x14ac:dyDescent="0.3">
      <c r="O6169" s="14"/>
      <c r="P6169" s="14"/>
      <c r="Q6169" s="14"/>
      <c r="R6169" s="14"/>
    </row>
    <row r="6170" spans="15:18" x14ac:dyDescent="0.3">
      <c r="O6170" s="14"/>
      <c r="P6170" s="14"/>
      <c r="Q6170" s="14"/>
      <c r="R6170" s="14"/>
    </row>
    <row r="6171" spans="15:18" x14ac:dyDescent="0.3">
      <c r="O6171" s="14"/>
      <c r="P6171" s="14"/>
      <c r="Q6171" s="14"/>
      <c r="R6171" s="14"/>
    </row>
    <row r="6172" spans="15:18" x14ac:dyDescent="0.3">
      <c r="O6172" s="14"/>
      <c r="P6172" s="14"/>
      <c r="Q6172" s="14"/>
      <c r="R6172" s="14"/>
    </row>
    <row r="6173" spans="15:18" x14ac:dyDescent="0.3">
      <c r="O6173" s="14"/>
      <c r="P6173" s="14"/>
      <c r="Q6173" s="14"/>
      <c r="R6173" s="14"/>
    </row>
    <row r="6174" spans="15:18" x14ac:dyDescent="0.3">
      <c r="O6174" s="14"/>
      <c r="P6174" s="14"/>
      <c r="Q6174" s="14"/>
      <c r="R6174" s="14"/>
    </row>
    <row r="6175" spans="15:18" x14ac:dyDescent="0.3">
      <c r="O6175" s="14"/>
      <c r="P6175" s="14"/>
      <c r="Q6175" s="14"/>
      <c r="R6175" s="14"/>
    </row>
    <row r="6176" spans="15:18" x14ac:dyDescent="0.3">
      <c r="O6176" s="14"/>
      <c r="P6176" s="14"/>
      <c r="Q6176" s="14"/>
      <c r="R6176" s="14"/>
    </row>
    <row r="6177" spans="15:18" x14ac:dyDescent="0.3">
      <c r="O6177" s="14"/>
      <c r="P6177" s="14"/>
      <c r="Q6177" s="14"/>
      <c r="R6177" s="14"/>
    </row>
    <row r="6178" spans="15:18" x14ac:dyDescent="0.3">
      <c r="O6178" s="14"/>
      <c r="P6178" s="14"/>
      <c r="Q6178" s="14"/>
      <c r="R6178" s="14"/>
    </row>
    <row r="6179" spans="15:18" x14ac:dyDescent="0.3">
      <c r="O6179" s="14"/>
      <c r="P6179" s="14"/>
      <c r="Q6179" s="14"/>
      <c r="R6179" s="14"/>
    </row>
    <row r="6180" spans="15:18" x14ac:dyDescent="0.3">
      <c r="O6180" s="14"/>
      <c r="P6180" s="14"/>
      <c r="Q6180" s="14"/>
      <c r="R6180" s="14"/>
    </row>
    <row r="6181" spans="15:18" x14ac:dyDescent="0.3">
      <c r="O6181" s="14"/>
      <c r="P6181" s="14"/>
      <c r="Q6181" s="14"/>
      <c r="R6181" s="14"/>
    </row>
    <row r="6182" spans="15:18" x14ac:dyDescent="0.3">
      <c r="O6182" s="14"/>
      <c r="P6182" s="14"/>
      <c r="Q6182" s="14"/>
      <c r="R6182" s="14"/>
    </row>
    <row r="6183" spans="15:18" x14ac:dyDescent="0.3">
      <c r="O6183" s="14"/>
      <c r="P6183" s="14"/>
      <c r="Q6183" s="14"/>
      <c r="R6183" s="14"/>
    </row>
    <row r="6184" spans="15:18" x14ac:dyDescent="0.3">
      <c r="O6184" s="14"/>
      <c r="P6184" s="14"/>
      <c r="Q6184" s="14"/>
      <c r="R6184" s="14"/>
    </row>
    <row r="6185" spans="15:18" x14ac:dyDescent="0.3">
      <c r="O6185" s="14"/>
      <c r="P6185" s="14"/>
      <c r="Q6185" s="14"/>
      <c r="R6185" s="14"/>
    </row>
    <row r="6186" spans="15:18" x14ac:dyDescent="0.3">
      <c r="O6186" s="14"/>
      <c r="P6186" s="14"/>
      <c r="Q6186" s="14"/>
      <c r="R6186" s="14"/>
    </row>
    <row r="6187" spans="15:18" x14ac:dyDescent="0.3">
      <c r="O6187" s="14"/>
      <c r="P6187" s="14"/>
      <c r="Q6187" s="14"/>
      <c r="R6187" s="14"/>
    </row>
    <row r="6188" spans="15:18" x14ac:dyDescent="0.3">
      <c r="O6188" s="14"/>
      <c r="P6188" s="14"/>
      <c r="Q6188" s="14"/>
      <c r="R6188" s="14"/>
    </row>
    <row r="6189" spans="15:18" x14ac:dyDescent="0.3">
      <c r="O6189" s="14"/>
      <c r="P6189" s="14"/>
      <c r="Q6189" s="14"/>
      <c r="R6189" s="14"/>
    </row>
    <row r="6190" spans="15:18" x14ac:dyDescent="0.3">
      <c r="O6190" s="14"/>
      <c r="P6190" s="14"/>
      <c r="Q6190" s="14"/>
      <c r="R6190" s="14"/>
    </row>
    <row r="6191" spans="15:18" x14ac:dyDescent="0.3">
      <c r="O6191" s="14"/>
      <c r="P6191" s="14"/>
      <c r="Q6191" s="14"/>
      <c r="R6191" s="14"/>
    </row>
    <row r="6192" spans="15:18" x14ac:dyDescent="0.3">
      <c r="O6192" s="14"/>
      <c r="P6192" s="14"/>
      <c r="Q6192" s="14"/>
      <c r="R6192" s="14"/>
    </row>
    <row r="6193" spans="15:18" x14ac:dyDescent="0.3">
      <c r="O6193" s="14"/>
      <c r="P6193" s="14"/>
      <c r="Q6193" s="14"/>
      <c r="R6193" s="14"/>
    </row>
    <row r="6194" spans="15:18" x14ac:dyDescent="0.3">
      <c r="O6194" s="14"/>
      <c r="P6194" s="14"/>
      <c r="Q6194" s="14"/>
      <c r="R6194" s="14"/>
    </row>
    <row r="6195" spans="15:18" x14ac:dyDescent="0.3">
      <c r="O6195" s="14"/>
      <c r="P6195" s="14"/>
      <c r="Q6195" s="14"/>
      <c r="R6195" s="14"/>
    </row>
    <row r="6196" spans="15:18" x14ac:dyDescent="0.3">
      <c r="O6196" s="14"/>
      <c r="P6196" s="14"/>
      <c r="Q6196" s="14"/>
      <c r="R6196" s="14"/>
    </row>
    <row r="6197" spans="15:18" x14ac:dyDescent="0.3">
      <c r="O6197" s="14"/>
      <c r="P6197" s="14"/>
      <c r="Q6197" s="14"/>
      <c r="R6197" s="14"/>
    </row>
    <row r="6198" spans="15:18" x14ac:dyDescent="0.3">
      <c r="O6198" s="14"/>
      <c r="P6198" s="14"/>
      <c r="Q6198" s="14"/>
      <c r="R6198" s="14"/>
    </row>
    <row r="6199" spans="15:18" x14ac:dyDescent="0.3">
      <c r="O6199" s="14"/>
      <c r="P6199" s="14"/>
      <c r="Q6199" s="14"/>
      <c r="R6199" s="14"/>
    </row>
    <row r="6200" spans="15:18" x14ac:dyDescent="0.3">
      <c r="O6200" s="14"/>
      <c r="P6200" s="14"/>
      <c r="Q6200" s="14"/>
      <c r="R6200" s="14"/>
    </row>
    <row r="6201" spans="15:18" x14ac:dyDescent="0.3">
      <c r="O6201" s="14"/>
      <c r="P6201" s="14"/>
      <c r="Q6201" s="14"/>
      <c r="R6201" s="14"/>
    </row>
    <row r="6202" spans="15:18" x14ac:dyDescent="0.3">
      <c r="O6202" s="14"/>
      <c r="P6202" s="14"/>
      <c r="Q6202" s="14"/>
      <c r="R6202" s="14"/>
    </row>
    <row r="6203" spans="15:18" x14ac:dyDescent="0.3">
      <c r="O6203" s="14"/>
      <c r="P6203" s="14"/>
      <c r="Q6203" s="14"/>
      <c r="R6203" s="14"/>
    </row>
    <row r="6204" spans="15:18" x14ac:dyDescent="0.3">
      <c r="O6204" s="14"/>
      <c r="P6204" s="14"/>
      <c r="Q6204" s="14"/>
      <c r="R6204" s="14"/>
    </row>
    <row r="6205" spans="15:18" x14ac:dyDescent="0.3">
      <c r="O6205" s="14"/>
      <c r="P6205" s="14"/>
      <c r="Q6205" s="14"/>
      <c r="R6205" s="14"/>
    </row>
    <row r="6206" spans="15:18" x14ac:dyDescent="0.3">
      <c r="O6206" s="14"/>
      <c r="P6206" s="14"/>
      <c r="Q6206" s="14"/>
      <c r="R6206" s="14"/>
    </row>
    <row r="6207" spans="15:18" x14ac:dyDescent="0.3">
      <c r="O6207" s="14"/>
      <c r="P6207" s="14"/>
      <c r="Q6207" s="14"/>
      <c r="R6207" s="14"/>
    </row>
    <row r="6208" spans="15:18" x14ac:dyDescent="0.3">
      <c r="O6208" s="14"/>
      <c r="P6208" s="14"/>
      <c r="Q6208" s="14"/>
      <c r="R6208" s="14"/>
    </row>
    <row r="6209" spans="15:18" x14ac:dyDescent="0.3">
      <c r="O6209" s="14"/>
      <c r="P6209" s="14"/>
      <c r="Q6209" s="14"/>
      <c r="R6209" s="14"/>
    </row>
    <row r="6210" spans="15:18" x14ac:dyDescent="0.3">
      <c r="O6210" s="14"/>
      <c r="P6210" s="14"/>
      <c r="Q6210" s="14"/>
      <c r="R6210" s="14"/>
    </row>
    <row r="6211" spans="15:18" x14ac:dyDescent="0.3">
      <c r="O6211" s="14"/>
      <c r="P6211" s="14"/>
      <c r="Q6211" s="14"/>
      <c r="R6211" s="14"/>
    </row>
    <row r="6212" spans="15:18" x14ac:dyDescent="0.3">
      <c r="O6212" s="14"/>
      <c r="P6212" s="14"/>
      <c r="Q6212" s="14"/>
      <c r="R6212" s="14"/>
    </row>
    <row r="6213" spans="15:18" x14ac:dyDescent="0.3">
      <c r="O6213" s="14"/>
      <c r="P6213" s="14"/>
      <c r="Q6213" s="14"/>
      <c r="R6213" s="14"/>
    </row>
    <row r="6214" spans="15:18" x14ac:dyDescent="0.3">
      <c r="O6214" s="14"/>
      <c r="P6214" s="14"/>
      <c r="Q6214" s="14"/>
      <c r="R6214" s="14"/>
    </row>
    <row r="6215" spans="15:18" x14ac:dyDescent="0.3">
      <c r="O6215" s="14"/>
      <c r="P6215" s="14"/>
      <c r="Q6215" s="14"/>
      <c r="R6215" s="14"/>
    </row>
    <row r="6216" spans="15:18" x14ac:dyDescent="0.3">
      <c r="O6216" s="14"/>
      <c r="P6216" s="14"/>
      <c r="Q6216" s="14"/>
      <c r="R6216" s="14"/>
    </row>
    <row r="6217" spans="15:18" x14ac:dyDescent="0.3">
      <c r="O6217" s="14"/>
      <c r="P6217" s="14"/>
      <c r="Q6217" s="14"/>
      <c r="R6217" s="14"/>
    </row>
    <row r="6218" spans="15:18" x14ac:dyDescent="0.3">
      <c r="O6218" s="14"/>
      <c r="P6218" s="14"/>
      <c r="Q6218" s="14"/>
      <c r="R6218" s="14"/>
    </row>
    <row r="6219" spans="15:18" x14ac:dyDescent="0.3">
      <c r="O6219" s="14"/>
      <c r="P6219" s="14"/>
      <c r="Q6219" s="14"/>
      <c r="R6219" s="14"/>
    </row>
    <row r="6220" spans="15:18" x14ac:dyDescent="0.3">
      <c r="O6220" s="14"/>
      <c r="P6220" s="14"/>
      <c r="Q6220" s="14"/>
      <c r="R6220" s="14"/>
    </row>
    <row r="6221" spans="15:18" x14ac:dyDescent="0.3">
      <c r="O6221" s="14"/>
      <c r="P6221" s="14"/>
      <c r="Q6221" s="14"/>
      <c r="R6221" s="14"/>
    </row>
    <row r="6222" spans="15:18" x14ac:dyDescent="0.3">
      <c r="O6222" s="14"/>
      <c r="P6222" s="14"/>
      <c r="Q6222" s="14"/>
      <c r="R6222" s="14"/>
    </row>
    <row r="6223" spans="15:18" x14ac:dyDescent="0.3">
      <c r="O6223" s="14"/>
      <c r="P6223" s="14"/>
      <c r="Q6223" s="14"/>
      <c r="R6223" s="14"/>
    </row>
    <row r="6224" spans="15:18" x14ac:dyDescent="0.3">
      <c r="O6224" s="14"/>
      <c r="P6224" s="14"/>
      <c r="Q6224" s="14"/>
      <c r="R6224" s="14"/>
    </row>
    <row r="6225" spans="15:18" x14ac:dyDescent="0.3">
      <c r="O6225" s="14"/>
      <c r="P6225" s="14"/>
      <c r="Q6225" s="14"/>
      <c r="R6225" s="14"/>
    </row>
    <row r="6226" spans="15:18" x14ac:dyDescent="0.3">
      <c r="O6226" s="14"/>
      <c r="P6226" s="14"/>
      <c r="Q6226" s="14"/>
      <c r="R6226" s="14"/>
    </row>
    <row r="6227" spans="15:18" x14ac:dyDescent="0.3">
      <c r="O6227" s="14"/>
      <c r="P6227" s="14"/>
      <c r="Q6227" s="14"/>
      <c r="R6227" s="14"/>
    </row>
    <row r="6228" spans="15:18" x14ac:dyDescent="0.3">
      <c r="O6228" s="14"/>
      <c r="P6228" s="14"/>
      <c r="Q6228" s="14"/>
      <c r="R6228" s="14"/>
    </row>
    <row r="6229" spans="15:18" x14ac:dyDescent="0.3">
      <c r="O6229" s="14"/>
      <c r="P6229" s="14"/>
      <c r="Q6229" s="14"/>
      <c r="R6229" s="14"/>
    </row>
    <row r="6230" spans="15:18" x14ac:dyDescent="0.3">
      <c r="O6230" s="14"/>
      <c r="P6230" s="14"/>
      <c r="Q6230" s="14"/>
      <c r="R6230" s="14"/>
    </row>
    <row r="6231" spans="15:18" x14ac:dyDescent="0.3">
      <c r="O6231" s="14"/>
      <c r="P6231" s="14"/>
      <c r="Q6231" s="14"/>
      <c r="R6231" s="14"/>
    </row>
    <row r="6232" spans="15:18" x14ac:dyDescent="0.3">
      <c r="O6232" s="14"/>
      <c r="P6232" s="14"/>
      <c r="Q6232" s="14"/>
      <c r="R6232" s="14"/>
    </row>
    <row r="6233" spans="15:18" x14ac:dyDescent="0.3">
      <c r="O6233" s="14"/>
      <c r="P6233" s="14"/>
      <c r="Q6233" s="14"/>
      <c r="R6233" s="14"/>
    </row>
    <row r="6234" spans="15:18" x14ac:dyDescent="0.3">
      <c r="O6234" s="14"/>
      <c r="P6234" s="14"/>
      <c r="Q6234" s="14"/>
      <c r="R6234" s="14"/>
    </row>
    <row r="6235" spans="15:18" x14ac:dyDescent="0.3">
      <c r="O6235" s="14"/>
      <c r="P6235" s="14"/>
      <c r="Q6235" s="14"/>
      <c r="R6235" s="14"/>
    </row>
    <row r="6236" spans="15:18" x14ac:dyDescent="0.3">
      <c r="O6236" s="14"/>
      <c r="P6236" s="14"/>
      <c r="Q6236" s="14"/>
      <c r="R6236" s="14"/>
    </row>
    <row r="6237" spans="15:18" x14ac:dyDescent="0.3">
      <c r="O6237" s="14"/>
      <c r="P6237" s="14"/>
      <c r="Q6237" s="14"/>
      <c r="R6237" s="14"/>
    </row>
    <row r="6238" spans="15:18" x14ac:dyDescent="0.3">
      <c r="O6238" s="14"/>
      <c r="P6238" s="14"/>
      <c r="Q6238" s="14"/>
      <c r="R6238" s="14"/>
    </row>
    <row r="6239" spans="15:18" x14ac:dyDescent="0.3">
      <c r="O6239" s="14"/>
      <c r="P6239" s="14"/>
      <c r="Q6239" s="14"/>
      <c r="R6239" s="14"/>
    </row>
    <row r="6240" spans="15:18" x14ac:dyDescent="0.3">
      <c r="O6240" s="14"/>
      <c r="P6240" s="14"/>
      <c r="Q6240" s="14"/>
      <c r="R6240" s="14"/>
    </row>
    <row r="6241" spans="15:18" x14ac:dyDescent="0.3">
      <c r="O6241" s="14"/>
      <c r="P6241" s="14"/>
      <c r="Q6241" s="14"/>
      <c r="R6241" s="14"/>
    </row>
    <row r="6242" spans="15:18" x14ac:dyDescent="0.3">
      <c r="O6242" s="14"/>
      <c r="P6242" s="14"/>
      <c r="Q6242" s="14"/>
      <c r="R6242" s="14"/>
    </row>
    <row r="6243" spans="15:18" x14ac:dyDescent="0.3">
      <c r="O6243" s="14"/>
      <c r="P6243" s="14"/>
      <c r="Q6243" s="14"/>
      <c r="R6243" s="14"/>
    </row>
    <row r="6244" spans="15:18" x14ac:dyDescent="0.3">
      <c r="O6244" s="14"/>
      <c r="P6244" s="14"/>
      <c r="Q6244" s="14"/>
      <c r="R6244" s="14"/>
    </row>
    <row r="6245" spans="15:18" x14ac:dyDescent="0.3">
      <c r="O6245" s="14"/>
      <c r="P6245" s="14"/>
      <c r="Q6245" s="14"/>
      <c r="R6245" s="14"/>
    </row>
    <row r="6246" spans="15:18" x14ac:dyDescent="0.3">
      <c r="O6246" s="14"/>
      <c r="P6246" s="14"/>
      <c r="Q6246" s="14"/>
      <c r="R6246" s="14"/>
    </row>
    <row r="6247" spans="15:18" x14ac:dyDescent="0.3">
      <c r="O6247" s="14"/>
      <c r="P6247" s="14"/>
      <c r="Q6247" s="14"/>
      <c r="R6247" s="14"/>
    </row>
    <row r="6248" spans="15:18" x14ac:dyDescent="0.3">
      <c r="O6248" s="14"/>
      <c r="P6248" s="14"/>
      <c r="Q6248" s="14"/>
      <c r="R6248" s="14"/>
    </row>
    <row r="6249" spans="15:18" x14ac:dyDescent="0.3">
      <c r="O6249" s="14"/>
      <c r="P6249" s="14"/>
      <c r="Q6249" s="14"/>
      <c r="R6249" s="14"/>
    </row>
    <row r="6250" spans="15:18" x14ac:dyDescent="0.3">
      <c r="O6250" s="14"/>
      <c r="P6250" s="14"/>
      <c r="Q6250" s="14"/>
      <c r="R6250" s="14"/>
    </row>
    <row r="6251" spans="15:18" x14ac:dyDescent="0.3">
      <c r="O6251" s="14"/>
      <c r="P6251" s="14"/>
      <c r="Q6251" s="14"/>
      <c r="R6251" s="14"/>
    </row>
    <row r="6252" spans="15:18" x14ac:dyDescent="0.3">
      <c r="O6252" s="14"/>
      <c r="P6252" s="14"/>
      <c r="Q6252" s="14"/>
      <c r="R6252" s="14"/>
    </row>
    <row r="6253" spans="15:18" x14ac:dyDescent="0.3">
      <c r="O6253" s="14"/>
      <c r="P6253" s="14"/>
      <c r="Q6253" s="14"/>
      <c r="R6253" s="14"/>
    </row>
    <row r="6254" spans="15:18" x14ac:dyDescent="0.3">
      <c r="O6254" s="14"/>
      <c r="P6254" s="14"/>
      <c r="Q6254" s="14"/>
      <c r="R6254" s="14"/>
    </row>
    <row r="6255" spans="15:18" x14ac:dyDescent="0.3">
      <c r="O6255" s="14"/>
      <c r="P6255" s="14"/>
      <c r="Q6255" s="14"/>
      <c r="R6255" s="14"/>
    </row>
    <row r="6256" spans="15:18" x14ac:dyDescent="0.3">
      <c r="O6256" s="14"/>
      <c r="P6256" s="14"/>
      <c r="Q6256" s="14"/>
      <c r="R6256" s="14"/>
    </row>
    <row r="6257" spans="15:18" x14ac:dyDescent="0.3">
      <c r="O6257" s="14"/>
      <c r="P6257" s="14"/>
      <c r="Q6257" s="14"/>
      <c r="R6257" s="14"/>
    </row>
    <row r="6258" spans="15:18" x14ac:dyDescent="0.3">
      <c r="O6258" s="14"/>
      <c r="P6258" s="14"/>
      <c r="Q6258" s="14"/>
      <c r="R6258" s="14"/>
    </row>
    <row r="6259" spans="15:18" x14ac:dyDescent="0.3">
      <c r="O6259" s="14"/>
      <c r="P6259" s="14"/>
      <c r="Q6259" s="14"/>
      <c r="R6259" s="14"/>
    </row>
    <row r="6260" spans="15:18" x14ac:dyDescent="0.3">
      <c r="O6260" s="14"/>
      <c r="P6260" s="14"/>
      <c r="Q6260" s="14"/>
      <c r="R6260" s="14"/>
    </row>
    <row r="6261" spans="15:18" x14ac:dyDescent="0.3">
      <c r="O6261" s="14"/>
      <c r="P6261" s="14"/>
      <c r="Q6261" s="14"/>
      <c r="R6261" s="14"/>
    </row>
    <row r="6262" spans="15:18" x14ac:dyDescent="0.3">
      <c r="O6262" s="14"/>
      <c r="P6262" s="14"/>
      <c r="Q6262" s="14"/>
      <c r="R6262" s="14"/>
    </row>
    <row r="6263" spans="15:18" x14ac:dyDescent="0.3">
      <c r="O6263" s="14"/>
      <c r="P6263" s="14"/>
      <c r="Q6263" s="14"/>
      <c r="R6263" s="14"/>
    </row>
    <row r="6264" spans="15:18" x14ac:dyDescent="0.3">
      <c r="O6264" s="14"/>
      <c r="P6264" s="14"/>
      <c r="Q6264" s="14"/>
      <c r="R6264" s="14"/>
    </row>
    <row r="6265" spans="15:18" x14ac:dyDescent="0.3">
      <c r="O6265" s="14"/>
      <c r="P6265" s="14"/>
      <c r="Q6265" s="14"/>
      <c r="R6265" s="14"/>
    </row>
    <row r="6266" spans="15:18" x14ac:dyDescent="0.3">
      <c r="O6266" s="14"/>
      <c r="P6266" s="14"/>
      <c r="Q6266" s="14"/>
      <c r="R6266" s="14"/>
    </row>
    <row r="6267" spans="15:18" x14ac:dyDescent="0.3">
      <c r="O6267" s="14"/>
      <c r="P6267" s="14"/>
      <c r="Q6267" s="14"/>
      <c r="R6267" s="14"/>
    </row>
    <row r="6268" spans="15:18" x14ac:dyDescent="0.3">
      <c r="O6268" s="14"/>
      <c r="P6268" s="14"/>
      <c r="Q6268" s="14"/>
      <c r="R6268" s="14"/>
    </row>
    <row r="6269" spans="15:18" x14ac:dyDescent="0.3">
      <c r="O6269" s="14"/>
      <c r="P6269" s="14"/>
      <c r="Q6269" s="14"/>
      <c r="R6269" s="14"/>
    </row>
    <row r="6270" spans="15:18" x14ac:dyDescent="0.3">
      <c r="O6270" s="14"/>
      <c r="P6270" s="14"/>
      <c r="Q6270" s="14"/>
      <c r="R6270" s="14"/>
    </row>
    <row r="6271" spans="15:18" x14ac:dyDescent="0.3">
      <c r="O6271" s="14"/>
      <c r="P6271" s="14"/>
      <c r="Q6271" s="14"/>
      <c r="R6271" s="14"/>
    </row>
    <row r="6272" spans="15:18" x14ac:dyDescent="0.3">
      <c r="O6272" s="14"/>
      <c r="P6272" s="14"/>
      <c r="Q6272" s="14"/>
      <c r="R6272" s="14"/>
    </row>
    <row r="6273" spans="15:18" x14ac:dyDescent="0.3">
      <c r="O6273" s="14"/>
      <c r="P6273" s="14"/>
      <c r="Q6273" s="14"/>
      <c r="R6273" s="14"/>
    </row>
    <row r="6274" spans="15:18" x14ac:dyDescent="0.3">
      <c r="O6274" s="14"/>
      <c r="P6274" s="14"/>
      <c r="Q6274" s="14"/>
      <c r="R6274" s="14"/>
    </row>
    <row r="6275" spans="15:18" x14ac:dyDescent="0.3">
      <c r="O6275" s="14"/>
      <c r="P6275" s="14"/>
      <c r="Q6275" s="14"/>
      <c r="R6275" s="14"/>
    </row>
    <row r="6276" spans="15:18" x14ac:dyDescent="0.3">
      <c r="O6276" s="14"/>
      <c r="P6276" s="14"/>
      <c r="Q6276" s="14"/>
      <c r="R6276" s="14"/>
    </row>
    <row r="6277" spans="15:18" x14ac:dyDescent="0.3">
      <c r="O6277" s="14"/>
      <c r="P6277" s="14"/>
      <c r="Q6277" s="14"/>
      <c r="R6277" s="14"/>
    </row>
    <row r="6278" spans="15:18" x14ac:dyDescent="0.3">
      <c r="O6278" s="14"/>
      <c r="P6278" s="14"/>
      <c r="Q6278" s="14"/>
      <c r="R6278" s="14"/>
    </row>
    <row r="6279" spans="15:18" x14ac:dyDescent="0.3">
      <c r="O6279" s="14"/>
      <c r="P6279" s="14"/>
      <c r="Q6279" s="14"/>
      <c r="R6279" s="14"/>
    </row>
    <row r="6280" spans="15:18" x14ac:dyDescent="0.3">
      <c r="O6280" s="14"/>
      <c r="P6280" s="14"/>
      <c r="Q6280" s="14"/>
      <c r="R6280" s="14"/>
    </row>
    <row r="6281" spans="15:18" x14ac:dyDescent="0.3">
      <c r="O6281" s="14"/>
      <c r="P6281" s="14"/>
      <c r="Q6281" s="14"/>
      <c r="R6281" s="14"/>
    </row>
    <row r="6282" spans="15:18" x14ac:dyDescent="0.3">
      <c r="O6282" s="14"/>
      <c r="P6282" s="14"/>
      <c r="Q6282" s="14"/>
      <c r="R6282" s="14"/>
    </row>
    <row r="6283" spans="15:18" x14ac:dyDescent="0.3">
      <c r="O6283" s="14"/>
      <c r="P6283" s="14"/>
      <c r="Q6283" s="14"/>
      <c r="R6283" s="14"/>
    </row>
    <row r="6284" spans="15:18" x14ac:dyDescent="0.3">
      <c r="O6284" s="14"/>
      <c r="P6284" s="14"/>
      <c r="Q6284" s="14"/>
      <c r="R6284" s="14"/>
    </row>
    <row r="6285" spans="15:18" x14ac:dyDescent="0.3">
      <c r="O6285" s="14"/>
      <c r="P6285" s="14"/>
      <c r="Q6285" s="14"/>
      <c r="R6285" s="14"/>
    </row>
    <row r="6286" spans="15:18" x14ac:dyDescent="0.3">
      <c r="O6286" s="14"/>
      <c r="P6286" s="14"/>
      <c r="Q6286" s="14"/>
      <c r="R6286" s="14"/>
    </row>
    <row r="6287" spans="15:18" x14ac:dyDescent="0.3">
      <c r="O6287" s="14"/>
      <c r="P6287" s="14"/>
      <c r="Q6287" s="14"/>
      <c r="R6287" s="14"/>
    </row>
    <row r="6288" spans="15:18" x14ac:dyDescent="0.3">
      <c r="O6288" s="14"/>
      <c r="P6288" s="14"/>
      <c r="Q6288" s="14"/>
      <c r="R6288" s="14"/>
    </row>
    <row r="6289" spans="15:18" x14ac:dyDescent="0.3">
      <c r="O6289" s="14"/>
      <c r="P6289" s="14"/>
      <c r="Q6289" s="14"/>
      <c r="R6289" s="14"/>
    </row>
    <row r="6290" spans="15:18" x14ac:dyDescent="0.3">
      <c r="O6290" s="14"/>
      <c r="P6290" s="14"/>
      <c r="Q6290" s="14"/>
      <c r="R6290" s="14"/>
    </row>
    <row r="6291" spans="15:18" x14ac:dyDescent="0.3">
      <c r="O6291" s="14"/>
      <c r="P6291" s="14"/>
      <c r="Q6291" s="14"/>
      <c r="R6291" s="14"/>
    </row>
    <row r="6292" spans="15:18" x14ac:dyDescent="0.3">
      <c r="O6292" s="14"/>
      <c r="P6292" s="14"/>
      <c r="Q6292" s="14"/>
      <c r="R6292" s="14"/>
    </row>
    <row r="6293" spans="15:18" x14ac:dyDescent="0.3">
      <c r="O6293" s="14"/>
      <c r="P6293" s="14"/>
      <c r="Q6293" s="14"/>
      <c r="R6293" s="14"/>
    </row>
    <row r="6294" spans="15:18" x14ac:dyDescent="0.3">
      <c r="O6294" s="14"/>
      <c r="P6294" s="14"/>
      <c r="Q6294" s="14"/>
      <c r="R6294" s="14"/>
    </row>
    <row r="6295" spans="15:18" x14ac:dyDescent="0.3">
      <c r="O6295" s="14"/>
      <c r="P6295" s="14"/>
      <c r="Q6295" s="14"/>
      <c r="R6295" s="14"/>
    </row>
    <row r="6296" spans="15:18" x14ac:dyDescent="0.3">
      <c r="O6296" s="14"/>
      <c r="P6296" s="14"/>
      <c r="Q6296" s="14"/>
      <c r="R6296" s="14"/>
    </row>
    <row r="6297" spans="15:18" x14ac:dyDescent="0.3">
      <c r="O6297" s="14"/>
      <c r="P6297" s="14"/>
      <c r="Q6297" s="14"/>
      <c r="R6297" s="14"/>
    </row>
    <row r="6298" spans="15:18" x14ac:dyDescent="0.3">
      <c r="O6298" s="14"/>
      <c r="P6298" s="14"/>
      <c r="Q6298" s="14"/>
      <c r="R6298" s="14"/>
    </row>
    <row r="6299" spans="15:18" x14ac:dyDescent="0.3">
      <c r="O6299" s="14"/>
      <c r="P6299" s="14"/>
      <c r="Q6299" s="14"/>
      <c r="R6299" s="14"/>
    </row>
    <row r="6300" spans="15:18" x14ac:dyDescent="0.3">
      <c r="O6300" s="14"/>
      <c r="P6300" s="14"/>
      <c r="Q6300" s="14"/>
      <c r="R6300" s="14"/>
    </row>
    <row r="6301" spans="15:18" x14ac:dyDescent="0.3">
      <c r="O6301" s="14"/>
      <c r="P6301" s="14"/>
      <c r="Q6301" s="14"/>
      <c r="R6301" s="14"/>
    </row>
    <row r="6302" spans="15:18" x14ac:dyDescent="0.3">
      <c r="O6302" s="14"/>
      <c r="P6302" s="14"/>
      <c r="Q6302" s="14"/>
      <c r="R6302" s="14"/>
    </row>
    <row r="6303" spans="15:18" x14ac:dyDescent="0.3">
      <c r="O6303" s="14"/>
      <c r="P6303" s="14"/>
      <c r="Q6303" s="14"/>
      <c r="R6303" s="14"/>
    </row>
    <row r="6304" spans="15:18" x14ac:dyDescent="0.3">
      <c r="O6304" s="14"/>
      <c r="P6304" s="14"/>
      <c r="Q6304" s="14"/>
      <c r="R6304" s="14"/>
    </row>
    <row r="6305" spans="15:18" x14ac:dyDescent="0.3">
      <c r="O6305" s="14"/>
      <c r="P6305" s="14"/>
      <c r="Q6305" s="14"/>
      <c r="R6305" s="14"/>
    </row>
    <row r="6306" spans="15:18" x14ac:dyDescent="0.3">
      <c r="O6306" s="14"/>
      <c r="P6306" s="14"/>
      <c r="Q6306" s="14"/>
      <c r="R6306" s="14"/>
    </row>
    <row r="6307" spans="15:18" x14ac:dyDescent="0.3">
      <c r="O6307" s="14"/>
      <c r="P6307" s="14"/>
      <c r="Q6307" s="14"/>
      <c r="R6307" s="14"/>
    </row>
    <row r="6308" spans="15:18" x14ac:dyDescent="0.3">
      <c r="O6308" s="14"/>
      <c r="P6308" s="14"/>
      <c r="Q6308" s="14"/>
      <c r="R6308" s="14"/>
    </row>
    <row r="6309" spans="15:18" x14ac:dyDescent="0.3">
      <c r="O6309" s="14"/>
      <c r="P6309" s="14"/>
      <c r="Q6309" s="14"/>
      <c r="R6309" s="14"/>
    </row>
    <row r="6310" spans="15:18" x14ac:dyDescent="0.3">
      <c r="O6310" s="14"/>
      <c r="P6310" s="14"/>
      <c r="Q6310" s="14"/>
      <c r="R6310" s="14"/>
    </row>
    <row r="6311" spans="15:18" x14ac:dyDescent="0.3">
      <c r="O6311" s="14"/>
      <c r="P6311" s="14"/>
      <c r="Q6311" s="14"/>
      <c r="R6311" s="14"/>
    </row>
    <row r="6312" spans="15:18" x14ac:dyDescent="0.3">
      <c r="O6312" s="14"/>
      <c r="P6312" s="14"/>
      <c r="Q6312" s="14"/>
      <c r="R6312" s="14"/>
    </row>
    <row r="6313" spans="15:18" x14ac:dyDescent="0.3">
      <c r="O6313" s="14"/>
      <c r="P6313" s="14"/>
      <c r="Q6313" s="14"/>
      <c r="R6313" s="14"/>
    </row>
    <row r="6314" spans="15:18" x14ac:dyDescent="0.3">
      <c r="O6314" s="14"/>
      <c r="P6314" s="14"/>
      <c r="Q6314" s="14"/>
      <c r="R6314" s="14"/>
    </row>
    <row r="6315" spans="15:18" x14ac:dyDescent="0.3">
      <c r="O6315" s="14"/>
      <c r="P6315" s="14"/>
      <c r="Q6315" s="14"/>
      <c r="R6315" s="14"/>
    </row>
    <row r="6316" spans="15:18" x14ac:dyDescent="0.3">
      <c r="O6316" s="14"/>
      <c r="P6316" s="14"/>
      <c r="Q6316" s="14"/>
      <c r="R6316" s="14"/>
    </row>
    <row r="6317" spans="15:18" x14ac:dyDescent="0.3">
      <c r="O6317" s="14"/>
      <c r="P6317" s="14"/>
      <c r="Q6317" s="14"/>
      <c r="R6317" s="14"/>
    </row>
    <row r="6318" spans="15:18" x14ac:dyDescent="0.3">
      <c r="O6318" s="14"/>
      <c r="P6318" s="14"/>
      <c r="Q6318" s="14"/>
      <c r="R6318" s="14"/>
    </row>
    <row r="6319" spans="15:18" x14ac:dyDescent="0.3">
      <c r="O6319" s="14"/>
      <c r="P6319" s="14"/>
      <c r="Q6319" s="14"/>
      <c r="R6319" s="14"/>
    </row>
    <row r="6320" spans="15:18" x14ac:dyDescent="0.3">
      <c r="O6320" s="14"/>
      <c r="P6320" s="14"/>
      <c r="Q6320" s="14"/>
      <c r="R6320" s="14"/>
    </row>
    <row r="6321" spans="15:18" x14ac:dyDescent="0.3">
      <c r="O6321" s="14"/>
      <c r="P6321" s="14"/>
      <c r="Q6321" s="14"/>
      <c r="R6321" s="14"/>
    </row>
    <row r="6322" spans="15:18" x14ac:dyDescent="0.3">
      <c r="O6322" s="14"/>
      <c r="P6322" s="14"/>
      <c r="Q6322" s="14"/>
      <c r="R6322" s="14"/>
    </row>
    <row r="6323" spans="15:18" x14ac:dyDescent="0.3">
      <c r="O6323" s="14"/>
      <c r="P6323" s="14"/>
      <c r="Q6323" s="14"/>
      <c r="R6323" s="14"/>
    </row>
    <row r="6324" spans="15:18" x14ac:dyDescent="0.3">
      <c r="O6324" s="14"/>
      <c r="P6324" s="14"/>
      <c r="Q6324" s="14"/>
      <c r="R6324" s="14"/>
    </row>
    <row r="6325" spans="15:18" x14ac:dyDescent="0.3">
      <c r="O6325" s="14"/>
      <c r="P6325" s="14"/>
      <c r="Q6325" s="14"/>
      <c r="R6325" s="14"/>
    </row>
    <row r="6326" spans="15:18" x14ac:dyDescent="0.3">
      <c r="O6326" s="14"/>
      <c r="P6326" s="14"/>
      <c r="Q6326" s="14"/>
      <c r="R6326" s="14"/>
    </row>
    <row r="6327" spans="15:18" x14ac:dyDescent="0.3">
      <c r="O6327" s="14"/>
      <c r="P6327" s="14"/>
      <c r="Q6327" s="14"/>
      <c r="R6327" s="14"/>
    </row>
    <row r="6328" spans="15:18" x14ac:dyDescent="0.3">
      <c r="O6328" s="14"/>
      <c r="P6328" s="14"/>
      <c r="Q6328" s="14"/>
      <c r="R6328" s="14"/>
    </row>
    <row r="6329" spans="15:18" x14ac:dyDescent="0.3">
      <c r="O6329" s="14"/>
      <c r="P6329" s="14"/>
      <c r="Q6329" s="14"/>
      <c r="R6329" s="14"/>
    </row>
    <row r="6330" spans="15:18" x14ac:dyDescent="0.3">
      <c r="O6330" s="14"/>
      <c r="P6330" s="14"/>
      <c r="Q6330" s="14"/>
      <c r="R6330" s="14"/>
    </row>
    <row r="6331" spans="15:18" x14ac:dyDescent="0.3">
      <c r="O6331" s="14"/>
      <c r="P6331" s="14"/>
      <c r="Q6331" s="14"/>
      <c r="R6331" s="14"/>
    </row>
    <row r="6332" spans="15:18" x14ac:dyDescent="0.3">
      <c r="O6332" s="14"/>
      <c r="P6332" s="14"/>
      <c r="Q6332" s="14"/>
      <c r="R6332" s="14"/>
    </row>
    <row r="6333" spans="15:18" x14ac:dyDescent="0.3">
      <c r="O6333" s="14"/>
      <c r="P6333" s="14"/>
      <c r="Q6333" s="14"/>
      <c r="R6333" s="14"/>
    </row>
    <row r="6334" spans="15:18" x14ac:dyDescent="0.3">
      <c r="O6334" s="14"/>
      <c r="P6334" s="14"/>
      <c r="Q6334" s="14"/>
      <c r="R6334" s="14"/>
    </row>
    <row r="6335" spans="15:18" x14ac:dyDescent="0.3">
      <c r="O6335" s="14"/>
      <c r="P6335" s="14"/>
      <c r="Q6335" s="14"/>
      <c r="R6335" s="14"/>
    </row>
    <row r="6336" spans="15:18" x14ac:dyDescent="0.3">
      <c r="O6336" s="14"/>
      <c r="P6336" s="14"/>
      <c r="Q6336" s="14"/>
      <c r="R6336" s="14"/>
    </row>
    <row r="6337" spans="15:18" x14ac:dyDescent="0.3">
      <c r="O6337" s="14"/>
      <c r="P6337" s="14"/>
      <c r="Q6337" s="14"/>
      <c r="R6337" s="14"/>
    </row>
    <row r="6338" spans="15:18" x14ac:dyDescent="0.3">
      <c r="O6338" s="14"/>
      <c r="P6338" s="14"/>
      <c r="Q6338" s="14"/>
      <c r="R6338" s="14"/>
    </row>
    <row r="6339" spans="15:18" x14ac:dyDescent="0.3">
      <c r="O6339" s="14"/>
      <c r="P6339" s="14"/>
      <c r="Q6339" s="14"/>
      <c r="R6339" s="14"/>
    </row>
    <row r="6340" spans="15:18" x14ac:dyDescent="0.3">
      <c r="O6340" s="14"/>
      <c r="P6340" s="14"/>
      <c r="Q6340" s="14"/>
      <c r="R6340" s="14"/>
    </row>
    <row r="6341" spans="15:18" x14ac:dyDescent="0.3">
      <c r="O6341" s="14"/>
      <c r="P6341" s="14"/>
      <c r="Q6341" s="14"/>
      <c r="R6341" s="14"/>
    </row>
    <row r="6342" spans="15:18" x14ac:dyDescent="0.3">
      <c r="O6342" s="14"/>
      <c r="P6342" s="14"/>
      <c r="Q6342" s="14"/>
      <c r="R6342" s="14"/>
    </row>
    <row r="6343" spans="15:18" x14ac:dyDescent="0.3">
      <c r="O6343" s="14"/>
      <c r="P6343" s="14"/>
      <c r="Q6343" s="14"/>
      <c r="R6343" s="14"/>
    </row>
    <row r="6344" spans="15:18" x14ac:dyDescent="0.3">
      <c r="O6344" s="14"/>
      <c r="P6344" s="14"/>
      <c r="Q6344" s="14"/>
      <c r="R6344" s="14"/>
    </row>
    <row r="6345" spans="15:18" x14ac:dyDescent="0.3">
      <c r="O6345" s="14"/>
      <c r="P6345" s="14"/>
      <c r="Q6345" s="14"/>
      <c r="R6345" s="14"/>
    </row>
    <row r="6346" spans="15:18" x14ac:dyDescent="0.3">
      <c r="O6346" s="14"/>
      <c r="P6346" s="14"/>
      <c r="Q6346" s="14"/>
      <c r="R6346" s="14"/>
    </row>
    <row r="6347" spans="15:18" x14ac:dyDescent="0.3">
      <c r="O6347" s="14"/>
      <c r="P6347" s="14"/>
      <c r="Q6347" s="14"/>
      <c r="R6347" s="14"/>
    </row>
    <row r="6348" spans="15:18" x14ac:dyDescent="0.3">
      <c r="O6348" s="14"/>
      <c r="P6348" s="14"/>
      <c r="Q6348" s="14"/>
      <c r="R6348" s="14"/>
    </row>
    <row r="6349" spans="15:18" x14ac:dyDescent="0.3">
      <c r="O6349" s="14"/>
      <c r="P6349" s="14"/>
      <c r="Q6349" s="14"/>
      <c r="R6349" s="14"/>
    </row>
    <row r="6350" spans="15:18" x14ac:dyDescent="0.3">
      <c r="O6350" s="14"/>
      <c r="P6350" s="14"/>
      <c r="Q6350" s="14"/>
      <c r="R6350" s="14"/>
    </row>
    <row r="6351" spans="15:18" x14ac:dyDescent="0.3">
      <c r="O6351" s="14"/>
      <c r="P6351" s="14"/>
      <c r="Q6351" s="14"/>
      <c r="R6351" s="14"/>
    </row>
    <row r="6352" spans="15:18" x14ac:dyDescent="0.3">
      <c r="O6352" s="14"/>
      <c r="P6352" s="14"/>
      <c r="Q6352" s="14"/>
      <c r="R6352" s="14"/>
    </row>
    <row r="6353" spans="15:18" x14ac:dyDescent="0.3">
      <c r="O6353" s="14"/>
      <c r="P6353" s="14"/>
      <c r="Q6353" s="14"/>
      <c r="R6353" s="14"/>
    </row>
    <row r="6354" spans="15:18" x14ac:dyDescent="0.3">
      <c r="O6354" s="14"/>
      <c r="P6354" s="14"/>
      <c r="Q6354" s="14"/>
      <c r="R6354" s="14"/>
    </row>
    <row r="6355" spans="15:18" x14ac:dyDescent="0.3">
      <c r="O6355" s="14"/>
      <c r="P6355" s="14"/>
      <c r="Q6355" s="14"/>
      <c r="R6355" s="14"/>
    </row>
    <row r="6356" spans="15:18" x14ac:dyDescent="0.3">
      <c r="O6356" s="14"/>
      <c r="P6356" s="14"/>
      <c r="Q6356" s="14"/>
      <c r="R6356" s="14"/>
    </row>
    <row r="6357" spans="15:18" x14ac:dyDescent="0.3">
      <c r="O6357" s="14"/>
      <c r="P6357" s="14"/>
      <c r="Q6357" s="14"/>
      <c r="R6357" s="14"/>
    </row>
    <row r="6358" spans="15:18" x14ac:dyDescent="0.3">
      <c r="O6358" s="14"/>
      <c r="P6358" s="14"/>
      <c r="Q6358" s="14"/>
      <c r="R6358" s="14"/>
    </row>
    <row r="6359" spans="15:18" x14ac:dyDescent="0.3">
      <c r="O6359" s="14"/>
      <c r="P6359" s="14"/>
      <c r="Q6359" s="14"/>
      <c r="R6359" s="14"/>
    </row>
    <row r="6360" spans="15:18" x14ac:dyDescent="0.3">
      <c r="O6360" s="14"/>
      <c r="P6360" s="14"/>
      <c r="Q6360" s="14"/>
      <c r="R6360" s="14"/>
    </row>
    <row r="6361" spans="15:18" x14ac:dyDescent="0.3">
      <c r="O6361" s="14"/>
      <c r="P6361" s="14"/>
      <c r="Q6361" s="14"/>
      <c r="R6361" s="14"/>
    </row>
    <row r="6362" spans="15:18" x14ac:dyDescent="0.3">
      <c r="O6362" s="14"/>
      <c r="P6362" s="14"/>
      <c r="Q6362" s="14"/>
      <c r="R6362" s="14"/>
    </row>
    <row r="6363" spans="15:18" x14ac:dyDescent="0.3">
      <c r="O6363" s="14"/>
      <c r="P6363" s="14"/>
      <c r="Q6363" s="14"/>
      <c r="R6363" s="14"/>
    </row>
    <row r="6364" spans="15:18" x14ac:dyDescent="0.3">
      <c r="O6364" s="14"/>
      <c r="P6364" s="14"/>
      <c r="Q6364" s="14"/>
      <c r="R6364" s="14"/>
    </row>
    <row r="6365" spans="15:18" x14ac:dyDescent="0.3">
      <c r="O6365" s="14"/>
      <c r="P6365" s="14"/>
      <c r="Q6365" s="14"/>
      <c r="R6365" s="14"/>
    </row>
    <row r="6366" spans="15:18" x14ac:dyDescent="0.3">
      <c r="O6366" s="14"/>
      <c r="P6366" s="14"/>
      <c r="Q6366" s="14"/>
      <c r="R6366" s="14"/>
    </row>
    <row r="6367" spans="15:18" x14ac:dyDescent="0.3">
      <c r="O6367" s="14"/>
      <c r="P6367" s="14"/>
      <c r="Q6367" s="14"/>
      <c r="R6367" s="14"/>
    </row>
    <row r="6368" spans="15:18" x14ac:dyDescent="0.3">
      <c r="O6368" s="14"/>
      <c r="P6368" s="14"/>
      <c r="Q6368" s="14"/>
      <c r="R6368" s="14"/>
    </row>
    <row r="6369" spans="15:18" x14ac:dyDescent="0.3">
      <c r="O6369" s="14"/>
      <c r="P6369" s="14"/>
      <c r="Q6369" s="14"/>
      <c r="R6369" s="14"/>
    </row>
    <row r="6370" spans="15:18" x14ac:dyDescent="0.3">
      <c r="O6370" s="14"/>
      <c r="P6370" s="14"/>
      <c r="Q6370" s="14"/>
      <c r="R6370" s="14"/>
    </row>
    <row r="6371" spans="15:18" x14ac:dyDescent="0.3">
      <c r="O6371" s="14"/>
      <c r="P6371" s="14"/>
      <c r="Q6371" s="14"/>
      <c r="R6371" s="14"/>
    </row>
    <row r="6372" spans="15:18" x14ac:dyDescent="0.3">
      <c r="O6372" s="14"/>
      <c r="P6372" s="14"/>
      <c r="Q6372" s="14"/>
      <c r="R6372" s="14"/>
    </row>
    <row r="6373" spans="15:18" x14ac:dyDescent="0.3">
      <c r="O6373" s="14"/>
      <c r="P6373" s="14"/>
      <c r="Q6373" s="14"/>
      <c r="R6373" s="14"/>
    </row>
    <row r="6374" spans="15:18" x14ac:dyDescent="0.3">
      <c r="O6374" s="14"/>
      <c r="P6374" s="14"/>
      <c r="Q6374" s="14"/>
      <c r="R6374" s="14"/>
    </row>
    <row r="6375" spans="15:18" x14ac:dyDescent="0.3">
      <c r="O6375" s="14"/>
      <c r="P6375" s="14"/>
      <c r="Q6375" s="14"/>
      <c r="R6375" s="14"/>
    </row>
    <row r="6376" spans="15:18" x14ac:dyDescent="0.3">
      <c r="O6376" s="14"/>
      <c r="P6376" s="14"/>
      <c r="Q6376" s="14"/>
      <c r="R6376" s="14"/>
    </row>
    <row r="6377" spans="15:18" x14ac:dyDescent="0.3">
      <c r="O6377" s="14"/>
      <c r="P6377" s="14"/>
      <c r="Q6377" s="14"/>
      <c r="R6377" s="14"/>
    </row>
    <row r="6378" spans="15:18" x14ac:dyDescent="0.3">
      <c r="O6378" s="14"/>
      <c r="P6378" s="14"/>
      <c r="Q6378" s="14"/>
      <c r="R6378" s="14"/>
    </row>
    <row r="6379" spans="15:18" x14ac:dyDescent="0.3">
      <c r="O6379" s="14"/>
      <c r="P6379" s="14"/>
      <c r="Q6379" s="14"/>
      <c r="R6379" s="14"/>
    </row>
    <row r="6380" spans="15:18" x14ac:dyDescent="0.3">
      <c r="O6380" s="14"/>
      <c r="P6380" s="14"/>
      <c r="Q6380" s="14"/>
      <c r="R6380" s="14"/>
    </row>
    <row r="6381" spans="15:18" x14ac:dyDescent="0.3">
      <c r="O6381" s="14"/>
      <c r="P6381" s="14"/>
      <c r="Q6381" s="14"/>
      <c r="R6381" s="14"/>
    </row>
    <row r="6382" spans="15:18" x14ac:dyDescent="0.3">
      <c r="O6382" s="14"/>
      <c r="P6382" s="14"/>
      <c r="Q6382" s="14"/>
      <c r="R6382" s="14"/>
    </row>
    <row r="6383" spans="15:18" x14ac:dyDescent="0.3">
      <c r="O6383" s="14"/>
      <c r="P6383" s="14"/>
      <c r="Q6383" s="14"/>
      <c r="R6383" s="14"/>
    </row>
    <row r="6384" spans="15:18" x14ac:dyDescent="0.3">
      <c r="O6384" s="14"/>
      <c r="P6384" s="14"/>
      <c r="Q6384" s="14"/>
      <c r="R6384" s="14"/>
    </row>
    <row r="6385" spans="15:18" x14ac:dyDescent="0.3">
      <c r="O6385" s="14"/>
      <c r="P6385" s="14"/>
      <c r="Q6385" s="14"/>
      <c r="R6385" s="14"/>
    </row>
    <row r="6386" spans="15:18" x14ac:dyDescent="0.3">
      <c r="O6386" s="14"/>
      <c r="P6386" s="14"/>
      <c r="Q6386" s="14"/>
      <c r="R6386" s="14"/>
    </row>
    <row r="6387" spans="15:18" x14ac:dyDescent="0.3">
      <c r="O6387" s="14"/>
      <c r="P6387" s="14"/>
      <c r="Q6387" s="14"/>
      <c r="R6387" s="14"/>
    </row>
    <row r="6388" spans="15:18" x14ac:dyDescent="0.3">
      <c r="O6388" s="14"/>
      <c r="P6388" s="14"/>
      <c r="Q6388" s="14"/>
      <c r="R6388" s="14"/>
    </row>
    <row r="6389" spans="15:18" x14ac:dyDescent="0.3">
      <c r="O6389" s="14"/>
      <c r="P6389" s="14"/>
      <c r="Q6389" s="14"/>
      <c r="R6389" s="14"/>
    </row>
    <row r="6390" spans="15:18" x14ac:dyDescent="0.3">
      <c r="O6390" s="14"/>
      <c r="P6390" s="14"/>
      <c r="Q6390" s="14"/>
      <c r="R6390" s="14"/>
    </row>
    <row r="6391" spans="15:18" x14ac:dyDescent="0.3">
      <c r="O6391" s="14"/>
      <c r="P6391" s="14"/>
      <c r="Q6391" s="14"/>
      <c r="R6391" s="14"/>
    </row>
    <row r="6392" spans="15:18" x14ac:dyDescent="0.3">
      <c r="O6392" s="14"/>
      <c r="P6392" s="14"/>
      <c r="Q6392" s="14"/>
      <c r="R6392" s="14"/>
    </row>
    <row r="6393" spans="15:18" x14ac:dyDescent="0.3">
      <c r="O6393" s="14"/>
      <c r="P6393" s="14"/>
      <c r="Q6393" s="14"/>
      <c r="R6393" s="14"/>
    </row>
    <row r="6394" spans="15:18" x14ac:dyDescent="0.3">
      <c r="O6394" s="14"/>
      <c r="P6394" s="14"/>
      <c r="Q6394" s="14"/>
      <c r="R6394" s="14"/>
    </row>
    <row r="6395" spans="15:18" x14ac:dyDescent="0.3">
      <c r="O6395" s="14"/>
      <c r="P6395" s="14"/>
      <c r="Q6395" s="14"/>
      <c r="R6395" s="14"/>
    </row>
    <row r="6396" spans="15:18" x14ac:dyDescent="0.3">
      <c r="O6396" s="14"/>
      <c r="P6396" s="14"/>
      <c r="Q6396" s="14"/>
      <c r="R6396" s="14"/>
    </row>
    <row r="6397" spans="15:18" x14ac:dyDescent="0.3">
      <c r="O6397" s="14"/>
      <c r="P6397" s="14"/>
      <c r="Q6397" s="14"/>
      <c r="R6397" s="14"/>
    </row>
    <row r="6398" spans="15:18" x14ac:dyDescent="0.3">
      <c r="O6398" s="14"/>
      <c r="P6398" s="14"/>
      <c r="Q6398" s="14"/>
      <c r="R6398" s="14"/>
    </row>
    <row r="6399" spans="15:18" x14ac:dyDescent="0.3">
      <c r="O6399" s="14"/>
      <c r="P6399" s="14"/>
      <c r="Q6399" s="14"/>
      <c r="R6399" s="14"/>
    </row>
    <row r="6400" spans="15:18" x14ac:dyDescent="0.3">
      <c r="O6400" s="14"/>
      <c r="P6400" s="14"/>
      <c r="Q6400" s="14"/>
      <c r="R6400" s="14"/>
    </row>
    <row r="6401" spans="15:18" x14ac:dyDescent="0.3">
      <c r="O6401" s="14"/>
      <c r="P6401" s="14"/>
      <c r="Q6401" s="14"/>
      <c r="R6401" s="14"/>
    </row>
    <row r="6402" spans="15:18" x14ac:dyDescent="0.3">
      <c r="O6402" s="14"/>
      <c r="P6402" s="14"/>
      <c r="Q6402" s="14"/>
      <c r="R6402" s="14"/>
    </row>
    <row r="6403" spans="15:18" x14ac:dyDescent="0.3">
      <c r="O6403" s="14"/>
      <c r="P6403" s="14"/>
      <c r="Q6403" s="14"/>
      <c r="R6403" s="14"/>
    </row>
    <row r="6404" spans="15:18" x14ac:dyDescent="0.3">
      <c r="O6404" s="14"/>
      <c r="P6404" s="14"/>
      <c r="Q6404" s="14"/>
      <c r="R6404" s="14"/>
    </row>
    <row r="6405" spans="15:18" x14ac:dyDescent="0.3">
      <c r="O6405" s="14"/>
      <c r="P6405" s="14"/>
      <c r="Q6405" s="14"/>
      <c r="R6405" s="14"/>
    </row>
    <row r="6406" spans="15:18" x14ac:dyDescent="0.3">
      <c r="O6406" s="14"/>
      <c r="P6406" s="14"/>
      <c r="Q6406" s="14"/>
      <c r="R6406" s="14"/>
    </row>
    <row r="6407" spans="15:18" x14ac:dyDescent="0.3">
      <c r="O6407" s="14"/>
      <c r="P6407" s="14"/>
      <c r="Q6407" s="14"/>
      <c r="R6407" s="14"/>
    </row>
    <row r="6408" spans="15:18" x14ac:dyDescent="0.3">
      <c r="O6408" s="14"/>
      <c r="P6408" s="14"/>
      <c r="Q6408" s="14"/>
      <c r="R6408" s="14"/>
    </row>
    <row r="6409" spans="15:18" x14ac:dyDescent="0.3">
      <c r="O6409" s="14"/>
      <c r="P6409" s="14"/>
      <c r="Q6409" s="14"/>
      <c r="R6409" s="14"/>
    </row>
    <row r="6410" spans="15:18" x14ac:dyDescent="0.3">
      <c r="O6410" s="14"/>
      <c r="P6410" s="14"/>
      <c r="Q6410" s="14"/>
      <c r="R6410" s="14"/>
    </row>
    <row r="6411" spans="15:18" x14ac:dyDescent="0.3">
      <c r="O6411" s="14"/>
      <c r="P6411" s="14"/>
      <c r="Q6411" s="14"/>
      <c r="R6411" s="14"/>
    </row>
    <row r="6412" spans="15:18" x14ac:dyDescent="0.3">
      <c r="O6412" s="14"/>
      <c r="P6412" s="14"/>
      <c r="Q6412" s="14"/>
      <c r="R6412" s="14"/>
    </row>
    <row r="6413" spans="15:18" x14ac:dyDescent="0.3">
      <c r="O6413" s="14"/>
      <c r="P6413" s="14"/>
      <c r="Q6413" s="14"/>
      <c r="R6413" s="14"/>
    </row>
    <row r="6414" spans="15:18" x14ac:dyDescent="0.3">
      <c r="O6414" s="14"/>
      <c r="P6414" s="14"/>
      <c r="Q6414" s="14"/>
      <c r="R6414" s="14"/>
    </row>
    <row r="6415" spans="15:18" x14ac:dyDescent="0.3">
      <c r="O6415" s="14"/>
      <c r="P6415" s="14"/>
      <c r="Q6415" s="14"/>
      <c r="R6415" s="14"/>
    </row>
    <row r="6416" spans="15:18" x14ac:dyDescent="0.3">
      <c r="O6416" s="14"/>
      <c r="P6416" s="14"/>
      <c r="Q6416" s="14"/>
      <c r="R6416" s="14"/>
    </row>
    <row r="6417" spans="15:18" x14ac:dyDescent="0.3">
      <c r="O6417" s="14"/>
      <c r="P6417" s="14"/>
      <c r="Q6417" s="14"/>
      <c r="R6417" s="14"/>
    </row>
    <row r="6418" spans="15:18" x14ac:dyDescent="0.3">
      <c r="O6418" s="14"/>
      <c r="P6418" s="14"/>
      <c r="Q6418" s="14"/>
      <c r="R6418" s="14"/>
    </row>
    <row r="6419" spans="15:18" x14ac:dyDescent="0.3">
      <c r="O6419" s="14"/>
      <c r="P6419" s="14"/>
      <c r="Q6419" s="14"/>
      <c r="R6419" s="14"/>
    </row>
    <row r="6420" spans="15:18" x14ac:dyDescent="0.3">
      <c r="O6420" s="14"/>
      <c r="P6420" s="14"/>
      <c r="Q6420" s="14"/>
      <c r="R6420" s="14"/>
    </row>
    <row r="6421" spans="15:18" x14ac:dyDescent="0.3">
      <c r="O6421" s="14"/>
      <c r="P6421" s="14"/>
      <c r="Q6421" s="14"/>
      <c r="R6421" s="14"/>
    </row>
    <row r="6422" spans="15:18" x14ac:dyDescent="0.3">
      <c r="O6422" s="14"/>
      <c r="P6422" s="14"/>
      <c r="Q6422" s="14"/>
      <c r="R6422" s="14"/>
    </row>
    <row r="6423" spans="15:18" x14ac:dyDescent="0.3">
      <c r="O6423" s="14"/>
      <c r="P6423" s="14"/>
      <c r="Q6423" s="14"/>
      <c r="R6423" s="14"/>
    </row>
    <row r="6424" spans="15:18" x14ac:dyDescent="0.3">
      <c r="O6424" s="14"/>
      <c r="P6424" s="14"/>
      <c r="Q6424" s="14"/>
      <c r="R6424" s="14"/>
    </row>
    <row r="6425" spans="15:18" x14ac:dyDescent="0.3">
      <c r="O6425" s="14"/>
      <c r="P6425" s="14"/>
      <c r="Q6425" s="14"/>
      <c r="R6425" s="14"/>
    </row>
    <row r="6426" spans="15:18" x14ac:dyDescent="0.3">
      <c r="O6426" s="14"/>
      <c r="P6426" s="14"/>
      <c r="Q6426" s="14"/>
      <c r="R6426" s="14"/>
    </row>
    <row r="6427" spans="15:18" x14ac:dyDescent="0.3">
      <c r="O6427" s="14"/>
      <c r="P6427" s="14"/>
      <c r="Q6427" s="14"/>
      <c r="R6427" s="14"/>
    </row>
    <row r="6428" spans="15:18" x14ac:dyDescent="0.3">
      <c r="O6428" s="14"/>
      <c r="P6428" s="14"/>
      <c r="Q6428" s="14"/>
      <c r="R6428" s="14"/>
    </row>
    <row r="6429" spans="15:18" x14ac:dyDescent="0.3">
      <c r="O6429" s="14"/>
      <c r="P6429" s="14"/>
      <c r="Q6429" s="14"/>
      <c r="R6429" s="14"/>
    </row>
    <row r="6430" spans="15:18" x14ac:dyDescent="0.3">
      <c r="O6430" s="14"/>
      <c r="P6430" s="14"/>
      <c r="Q6430" s="14"/>
      <c r="R6430" s="14"/>
    </row>
    <row r="6431" spans="15:18" x14ac:dyDescent="0.3">
      <c r="O6431" s="14"/>
      <c r="P6431" s="14"/>
      <c r="Q6431" s="14"/>
      <c r="R6431" s="14"/>
    </row>
    <row r="6432" spans="15:18" x14ac:dyDescent="0.3">
      <c r="O6432" s="14"/>
      <c r="P6432" s="14"/>
      <c r="Q6432" s="14"/>
      <c r="R6432" s="14"/>
    </row>
    <row r="6433" spans="15:18" x14ac:dyDescent="0.3">
      <c r="O6433" s="14"/>
      <c r="P6433" s="14"/>
      <c r="Q6433" s="14"/>
      <c r="R6433" s="14"/>
    </row>
    <row r="6434" spans="15:18" x14ac:dyDescent="0.3">
      <c r="O6434" s="14"/>
      <c r="P6434" s="14"/>
      <c r="Q6434" s="14"/>
      <c r="R6434" s="14"/>
    </row>
    <row r="6435" spans="15:18" x14ac:dyDescent="0.3">
      <c r="O6435" s="14"/>
      <c r="P6435" s="14"/>
      <c r="Q6435" s="14"/>
      <c r="R6435" s="14"/>
    </row>
    <row r="6436" spans="15:18" x14ac:dyDescent="0.3">
      <c r="O6436" s="14"/>
      <c r="P6436" s="14"/>
      <c r="Q6436" s="14"/>
      <c r="R6436" s="14"/>
    </row>
    <row r="6437" spans="15:18" x14ac:dyDescent="0.3">
      <c r="O6437" s="14"/>
      <c r="P6437" s="14"/>
      <c r="Q6437" s="14"/>
      <c r="R6437" s="14"/>
    </row>
    <row r="6438" spans="15:18" x14ac:dyDescent="0.3">
      <c r="O6438" s="14"/>
      <c r="P6438" s="14"/>
      <c r="Q6438" s="14"/>
      <c r="R6438" s="14"/>
    </row>
    <row r="6439" spans="15:18" x14ac:dyDescent="0.3">
      <c r="O6439" s="14"/>
      <c r="P6439" s="14"/>
      <c r="Q6439" s="14"/>
      <c r="R6439" s="14"/>
    </row>
    <row r="6440" spans="15:18" x14ac:dyDescent="0.3">
      <c r="O6440" s="14"/>
      <c r="P6440" s="14"/>
      <c r="Q6440" s="14"/>
      <c r="R6440" s="14"/>
    </row>
    <row r="6441" spans="15:18" x14ac:dyDescent="0.3">
      <c r="O6441" s="14"/>
      <c r="P6441" s="14"/>
      <c r="Q6441" s="14"/>
      <c r="R6441" s="14"/>
    </row>
    <row r="6442" spans="15:18" x14ac:dyDescent="0.3">
      <c r="O6442" s="14"/>
      <c r="P6442" s="14"/>
      <c r="Q6442" s="14"/>
      <c r="R6442" s="14"/>
    </row>
    <row r="6443" spans="15:18" x14ac:dyDescent="0.3">
      <c r="O6443" s="14"/>
      <c r="P6443" s="14"/>
      <c r="Q6443" s="14"/>
      <c r="R6443" s="14"/>
    </row>
    <row r="6444" spans="15:18" x14ac:dyDescent="0.3">
      <c r="O6444" s="14"/>
      <c r="P6444" s="14"/>
      <c r="Q6444" s="14"/>
      <c r="R6444" s="14"/>
    </row>
    <row r="6445" spans="15:18" x14ac:dyDescent="0.3">
      <c r="O6445" s="14"/>
      <c r="P6445" s="14"/>
      <c r="Q6445" s="14"/>
      <c r="R6445" s="14"/>
    </row>
    <row r="6446" spans="15:18" x14ac:dyDescent="0.3">
      <c r="O6446" s="14"/>
      <c r="P6446" s="14"/>
      <c r="Q6446" s="14"/>
      <c r="R6446" s="14"/>
    </row>
    <row r="6447" spans="15:18" x14ac:dyDescent="0.3">
      <c r="O6447" s="14"/>
      <c r="P6447" s="14"/>
      <c r="Q6447" s="14"/>
      <c r="R6447" s="14"/>
    </row>
    <row r="6448" spans="15:18" x14ac:dyDescent="0.3">
      <c r="O6448" s="14"/>
      <c r="P6448" s="14"/>
      <c r="Q6448" s="14"/>
      <c r="R6448" s="14"/>
    </row>
    <row r="6449" spans="15:18" x14ac:dyDescent="0.3">
      <c r="O6449" s="14"/>
      <c r="P6449" s="14"/>
      <c r="Q6449" s="14"/>
      <c r="R6449" s="14"/>
    </row>
    <row r="6450" spans="15:18" x14ac:dyDescent="0.3">
      <c r="O6450" s="14"/>
      <c r="P6450" s="14"/>
      <c r="Q6450" s="14"/>
      <c r="R6450" s="14"/>
    </row>
    <row r="6451" spans="15:18" x14ac:dyDescent="0.3">
      <c r="O6451" s="14"/>
      <c r="P6451" s="14"/>
      <c r="Q6451" s="14"/>
      <c r="R6451" s="14"/>
    </row>
    <row r="6452" spans="15:18" x14ac:dyDescent="0.3">
      <c r="O6452" s="14"/>
      <c r="P6452" s="14"/>
      <c r="Q6452" s="14"/>
      <c r="R6452" s="14"/>
    </row>
    <row r="6453" spans="15:18" x14ac:dyDescent="0.3">
      <c r="O6453" s="14"/>
      <c r="P6453" s="14"/>
      <c r="Q6453" s="14"/>
      <c r="R6453" s="14"/>
    </row>
    <row r="6454" spans="15:18" x14ac:dyDescent="0.3">
      <c r="O6454" s="14"/>
      <c r="P6454" s="14"/>
      <c r="Q6454" s="14"/>
      <c r="R6454" s="14"/>
    </row>
    <row r="6455" spans="15:18" x14ac:dyDescent="0.3">
      <c r="O6455" s="14"/>
      <c r="P6455" s="14"/>
      <c r="Q6455" s="14"/>
      <c r="R6455" s="14"/>
    </row>
    <row r="6456" spans="15:18" x14ac:dyDescent="0.3">
      <c r="O6456" s="14"/>
      <c r="P6456" s="14"/>
      <c r="Q6456" s="14"/>
      <c r="R6456" s="14"/>
    </row>
    <row r="6457" spans="15:18" x14ac:dyDescent="0.3">
      <c r="O6457" s="14"/>
      <c r="P6457" s="14"/>
      <c r="Q6457" s="14"/>
      <c r="R6457" s="14"/>
    </row>
    <row r="6458" spans="15:18" x14ac:dyDescent="0.3">
      <c r="O6458" s="14"/>
      <c r="P6458" s="14"/>
      <c r="Q6458" s="14"/>
      <c r="R6458" s="14"/>
    </row>
    <row r="6459" spans="15:18" x14ac:dyDescent="0.3">
      <c r="O6459" s="14"/>
      <c r="P6459" s="14"/>
      <c r="Q6459" s="14"/>
      <c r="R6459" s="14"/>
    </row>
    <row r="6460" spans="15:18" x14ac:dyDescent="0.3">
      <c r="O6460" s="14"/>
      <c r="P6460" s="14"/>
      <c r="Q6460" s="14"/>
      <c r="R6460" s="14"/>
    </row>
    <row r="6461" spans="15:18" x14ac:dyDescent="0.3">
      <c r="O6461" s="14"/>
      <c r="P6461" s="14"/>
      <c r="Q6461" s="14"/>
      <c r="R6461" s="14"/>
    </row>
    <row r="6462" spans="15:18" x14ac:dyDescent="0.3">
      <c r="O6462" s="14"/>
      <c r="P6462" s="14"/>
      <c r="Q6462" s="14"/>
      <c r="R6462" s="14"/>
    </row>
    <row r="6463" spans="15:18" x14ac:dyDescent="0.3">
      <c r="O6463" s="14"/>
      <c r="P6463" s="14"/>
      <c r="Q6463" s="14"/>
      <c r="R6463" s="14"/>
    </row>
    <row r="6464" spans="15:18" x14ac:dyDescent="0.3">
      <c r="O6464" s="14"/>
      <c r="P6464" s="14"/>
      <c r="Q6464" s="14"/>
      <c r="R6464" s="14"/>
    </row>
    <row r="6465" spans="15:18" x14ac:dyDescent="0.3">
      <c r="O6465" s="14"/>
      <c r="P6465" s="14"/>
      <c r="Q6465" s="14"/>
      <c r="R6465" s="14"/>
    </row>
    <row r="6466" spans="15:18" x14ac:dyDescent="0.3">
      <c r="O6466" s="14"/>
      <c r="P6466" s="14"/>
      <c r="Q6466" s="14"/>
      <c r="R6466" s="14"/>
    </row>
    <row r="6467" spans="15:18" x14ac:dyDescent="0.3">
      <c r="O6467" s="14"/>
      <c r="P6467" s="14"/>
      <c r="Q6467" s="14"/>
      <c r="R6467" s="14"/>
    </row>
    <row r="6468" spans="15:18" x14ac:dyDescent="0.3">
      <c r="O6468" s="14"/>
      <c r="P6468" s="14"/>
      <c r="Q6468" s="14"/>
      <c r="R6468" s="14"/>
    </row>
    <row r="6469" spans="15:18" x14ac:dyDescent="0.3">
      <c r="O6469" s="14"/>
      <c r="P6469" s="14"/>
      <c r="Q6469" s="14"/>
      <c r="R6469" s="14"/>
    </row>
    <row r="6470" spans="15:18" x14ac:dyDescent="0.3">
      <c r="O6470" s="14"/>
      <c r="P6470" s="14"/>
      <c r="Q6470" s="14"/>
      <c r="R6470" s="14"/>
    </row>
    <row r="6471" spans="15:18" x14ac:dyDescent="0.3">
      <c r="O6471" s="14"/>
      <c r="P6471" s="14"/>
      <c r="Q6471" s="14"/>
      <c r="R6471" s="14"/>
    </row>
    <row r="6472" spans="15:18" x14ac:dyDescent="0.3">
      <c r="O6472" s="14"/>
      <c r="P6472" s="14"/>
      <c r="Q6472" s="14"/>
      <c r="R6472" s="14"/>
    </row>
    <row r="6473" spans="15:18" x14ac:dyDescent="0.3">
      <c r="O6473" s="14"/>
      <c r="P6473" s="14"/>
      <c r="Q6473" s="14"/>
      <c r="R6473" s="14"/>
    </row>
    <row r="6474" spans="15:18" x14ac:dyDescent="0.3">
      <c r="O6474" s="14"/>
      <c r="P6474" s="14"/>
      <c r="Q6474" s="14"/>
      <c r="R6474" s="14"/>
    </row>
    <row r="6475" spans="15:18" x14ac:dyDescent="0.3">
      <c r="O6475" s="14"/>
      <c r="P6475" s="14"/>
      <c r="Q6475" s="14"/>
      <c r="R6475" s="14"/>
    </row>
    <row r="6476" spans="15:18" x14ac:dyDescent="0.3">
      <c r="O6476" s="14"/>
      <c r="P6476" s="14"/>
      <c r="Q6476" s="14"/>
      <c r="R6476" s="14"/>
    </row>
    <row r="6477" spans="15:18" x14ac:dyDescent="0.3">
      <c r="O6477" s="14"/>
      <c r="P6477" s="14"/>
      <c r="Q6477" s="14"/>
      <c r="R6477" s="14"/>
    </row>
    <row r="6478" spans="15:18" x14ac:dyDescent="0.3">
      <c r="O6478" s="14"/>
      <c r="P6478" s="14"/>
      <c r="Q6478" s="14"/>
      <c r="R6478" s="14"/>
    </row>
    <row r="6479" spans="15:18" x14ac:dyDescent="0.3">
      <c r="O6479" s="14"/>
      <c r="P6479" s="14"/>
      <c r="Q6479" s="14"/>
      <c r="R6479" s="14"/>
    </row>
    <row r="6480" spans="15:18" x14ac:dyDescent="0.3">
      <c r="O6480" s="14"/>
      <c r="P6480" s="14"/>
      <c r="Q6480" s="14"/>
      <c r="R6480" s="14"/>
    </row>
    <row r="6481" spans="15:18" x14ac:dyDescent="0.3">
      <c r="O6481" s="14"/>
      <c r="P6481" s="14"/>
      <c r="Q6481" s="14"/>
      <c r="R6481" s="14"/>
    </row>
    <row r="6482" spans="15:18" x14ac:dyDescent="0.3">
      <c r="O6482" s="14"/>
      <c r="P6482" s="14"/>
      <c r="Q6482" s="14"/>
      <c r="R6482" s="14"/>
    </row>
    <row r="6483" spans="15:18" x14ac:dyDescent="0.3">
      <c r="O6483" s="14"/>
      <c r="P6483" s="14"/>
      <c r="Q6483" s="14"/>
      <c r="R6483" s="14"/>
    </row>
    <row r="6484" spans="15:18" x14ac:dyDescent="0.3">
      <c r="O6484" s="14"/>
      <c r="P6484" s="14"/>
      <c r="Q6484" s="14"/>
      <c r="R6484" s="14"/>
    </row>
    <row r="6485" spans="15:18" x14ac:dyDescent="0.3">
      <c r="O6485" s="14"/>
      <c r="P6485" s="14"/>
      <c r="Q6485" s="14"/>
      <c r="R6485" s="14"/>
    </row>
    <row r="6486" spans="15:18" x14ac:dyDescent="0.3">
      <c r="O6486" s="14"/>
      <c r="P6486" s="14"/>
      <c r="Q6486" s="14"/>
      <c r="R6486" s="14"/>
    </row>
    <row r="6487" spans="15:18" x14ac:dyDescent="0.3">
      <c r="O6487" s="14"/>
      <c r="P6487" s="14"/>
      <c r="Q6487" s="14"/>
      <c r="R6487" s="14"/>
    </row>
    <row r="6488" spans="15:18" x14ac:dyDescent="0.3">
      <c r="O6488" s="14"/>
      <c r="P6488" s="14"/>
      <c r="Q6488" s="14"/>
      <c r="R6488" s="14"/>
    </row>
    <row r="6489" spans="15:18" x14ac:dyDescent="0.3">
      <c r="O6489" s="14"/>
      <c r="P6489" s="14"/>
      <c r="Q6489" s="14"/>
      <c r="R6489" s="14"/>
    </row>
    <row r="6490" spans="15:18" x14ac:dyDescent="0.3">
      <c r="O6490" s="14"/>
      <c r="P6490" s="14"/>
      <c r="Q6490" s="14"/>
      <c r="R6490" s="14"/>
    </row>
    <row r="6491" spans="15:18" x14ac:dyDescent="0.3">
      <c r="O6491" s="14"/>
      <c r="P6491" s="14"/>
      <c r="Q6491" s="14"/>
      <c r="R6491" s="14"/>
    </row>
    <row r="6492" spans="15:18" x14ac:dyDescent="0.3">
      <c r="O6492" s="14"/>
      <c r="P6492" s="14"/>
      <c r="Q6492" s="14"/>
      <c r="R6492" s="14"/>
    </row>
    <row r="6493" spans="15:18" x14ac:dyDescent="0.3">
      <c r="O6493" s="14"/>
      <c r="P6493" s="14"/>
      <c r="Q6493" s="14"/>
      <c r="R6493" s="14"/>
    </row>
    <row r="6494" spans="15:18" x14ac:dyDescent="0.3">
      <c r="O6494" s="14"/>
      <c r="P6494" s="14"/>
      <c r="Q6494" s="14"/>
      <c r="R6494" s="14"/>
    </row>
    <row r="6495" spans="15:18" x14ac:dyDescent="0.3">
      <c r="O6495" s="14"/>
      <c r="P6495" s="14"/>
      <c r="Q6495" s="14"/>
      <c r="R6495" s="14"/>
    </row>
    <row r="6496" spans="15:18" x14ac:dyDescent="0.3">
      <c r="O6496" s="14"/>
      <c r="P6496" s="14"/>
      <c r="Q6496" s="14"/>
      <c r="R6496" s="14"/>
    </row>
    <row r="6497" spans="15:18" x14ac:dyDescent="0.3">
      <c r="O6497" s="14"/>
      <c r="P6497" s="14"/>
      <c r="Q6497" s="14"/>
      <c r="R6497" s="14"/>
    </row>
    <row r="6498" spans="15:18" x14ac:dyDescent="0.3">
      <c r="O6498" s="14"/>
      <c r="P6498" s="14"/>
      <c r="Q6498" s="14"/>
      <c r="R6498" s="14"/>
    </row>
    <row r="6499" spans="15:18" x14ac:dyDescent="0.3">
      <c r="O6499" s="14"/>
      <c r="P6499" s="14"/>
      <c r="Q6499" s="14"/>
      <c r="R6499" s="14"/>
    </row>
    <row r="6500" spans="15:18" x14ac:dyDescent="0.3">
      <c r="O6500" s="14"/>
      <c r="P6500" s="14"/>
      <c r="Q6500" s="14"/>
      <c r="R6500" s="14"/>
    </row>
    <row r="6501" spans="15:18" x14ac:dyDescent="0.3">
      <c r="O6501" s="14"/>
      <c r="P6501" s="14"/>
      <c r="Q6501" s="14"/>
      <c r="R6501" s="14"/>
    </row>
    <row r="6502" spans="15:18" x14ac:dyDescent="0.3">
      <c r="O6502" s="14"/>
      <c r="P6502" s="14"/>
      <c r="Q6502" s="14"/>
      <c r="R6502" s="14"/>
    </row>
    <row r="6503" spans="15:18" x14ac:dyDescent="0.3">
      <c r="O6503" s="14"/>
      <c r="P6503" s="14"/>
      <c r="Q6503" s="14"/>
      <c r="R6503" s="14"/>
    </row>
    <row r="6504" spans="15:18" x14ac:dyDescent="0.3">
      <c r="O6504" s="14"/>
      <c r="P6504" s="14"/>
      <c r="Q6504" s="14"/>
      <c r="R6504" s="14"/>
    </row>
    <row r="6505" spans="15:18" x14ac:dyDescent="0.3">
      <c r="O6505" s="14"/>
      <c r="P6505" s="14"/>
      <c r="Q6505" s="14"/>
      <c r="R6505" s="14"/>
    </row>
    <row r="6506" spans="15:18" x14ac:dyDescent="0.3">
      <c r="O6506" s="14"/>
      <c r="P6506" s="14"/>
      <c r="Q6506" s="14"/>
      <c r="R6506" s="14"/>
    </row>
    <row r="6507" spans="15:18" x14ac:dyDescent="0.3">
      <c r="O6507" s="14"/>
      <c r="P6507" s="14"/>
      <c r="Q6507" s="14"/>
      <c r="R6507" s="14"/>
    </row>
    <row r="6508" spans="15:18" x14ac:dyDescent="0.3">
      <c r="O6508" s="14"/>
      <c r="P6508" s="14"/>
      <c r="Q6508" s="14"/>
      <c r="R6508" s="14"/>
    </row>
    <row r="6509" spans="15:18" x14ac:dyDescent="0.3">
      <c r="O6509" s="14"/>
      <c r="P6509" s="14"/>
      <c r="Q6509" s="14"/>
      <c r="R6509" s="14"/>
    </row>
    <row r="6510" spans="15:18" x14ac:dyDescent="0.3">
      <c r="O6510" s="14"/>
      <c r="P6510" s="14"/>
      <c r="Q6510" s="14"/>
      <c r="R6510" s="14"/>
    </row>
    <row r="6511" spans="15:18" x14ac:dyDescent="0.3">
      <c r="O6511" s="14"/>
      <c r="P6511" s="14"/>
      <c r="Q6511" s="14"/>
      <c r="R6511" s="14"/>
    </row>
    <row r="6512" spans="15:18" x14ac:dyDescent="0.3">
      <c r="O6512" s="14"/>
      <c r="P6512" s="14"/>
      <c r="Q6512" s="14"/>
      <c r="R6512" s="14"/>
    </row>
    <row r="6513" spans="15:18" x14ac:dyDescent="0.3">
      <c r="O6513" s="14"/>
      <c r="P6513" s="14"/>
      <c r="Q6513" s="14"/>
      <c r="R6513" s="14"/>
    </row>
    <row r="6514" spans="15:18" x14ac:dyDescent="0.3">
      <c r="O6514" s="14"/>
      <c r="P6514" s="14"/>
      <c r="Q6514" s="14"/>
      <c r="R6514" s="14"/>
    </row>
    <row r="6515" spans="15:18" x14ac:dyDescent="0.3">
      <c r="O6515" s="14"/>
      <c r="P6515" s="14"/>
      <c r="Q6515" s="14"/>
      <c r="R6515" s="14"/>
    </row>
    <row r="6516" spans="15:18" x14ac:dyDescent="0.3">
      <c r="O6516" s="14"/>
      <c r="P6516" s="14"/>
      <c r="Q6516" s="14"/>
      <c r="R6516" s="14"/>
    </row>
    <row r="6517" spans="15:18" x14ac:dyDescent="0.3">
      <c r="O6517" s="14"/>
      <c r="P6517" s="14"/>
      <c r="Q6517" s="14"/>
      <c r="R6517" s="14"/>
    </row>
    <row r="6518" spans="15:18" x14ac:dyDescent="0.3">
      <c r="O6518" s="14"/>
      <c r="P6518" s="14"/>
      <c r="Q6518" s="14"/>
      <c r="R6518" s="14"/>
    </row>
    <row r="6519" spans="15:18" x14ac:dyDescent="0.3">
      <c r="O6519" s="14"/>
      <c r="P6519" s="14"/>
      <c r="Q6519" s="14"/>
      <c r="R6519" s="14"/>
    </row>
    <row r="6520" spans="15:18" x14ac:dyDescent="0.3">
      <c r="O6520" s="14"/>
      <c r="P6520" s="14"/>
      <c r="Q6520" s="14"/>
      <c r="R6520" s="14"/>
    </row>
    <row r="6521" spans="15:18" x14ac:dyDescent="0.3">
      <c r="O6521" s="14"/>
      <c r="P6521" s="14"/>
      <c r="Q6521" s="14"/>
      <c r="R6521" s="14"/>
    </row>
    <row r="6522" spans="15:18" x14ac:dyDescent="0.3">
      <c r="O6522" s="14"/>
      <c r="P6522" s="14"/>
      <c r="Q6522" s="14"/>
      <c r="R6522" s="14"/>
    </row>
    <row r="6523" spans="15:18" x14ac:dyDescent="0.3">
      <c r="O6523" s="14"/>
      <c r="P6523" s="14"/>
      <c r="Q6523" s="14"/>
      <c r="R6523" s="14"/>
    </row>
    <row r="6524" spans="15:18" x14ac:dyDescent="0.3">
      <c r="O6524" s="14"/>
      <c r="P6524" s="14"/>
      <c r="Q6524" s="14"/>
      <c r="R6524" s="14"/>
    </row>
    <row r="6525" spans="15:18" x14ac:dyDescent="0.3">
      <c r="O6525" s="14"/>
      <c r="P6525" s="14"/>
      <c r="Q6525" s="14"/>
      <c r="R6525" s="14"/>
    </row>
    <row r="6526" spans="15:18" x14ac:dyDescent="0.3">
      <c r="O6526" s="14"/>
      <c r="P6526" s="14"/>
      <c r="Q6526" s="14"/>
      <c r="R6526" s="14"/>
    </row>
    <row r="6527" spans="15:18" x14ac:dyDescent="0.3">
      <c r="O6527" s="14"/>
      <c r="P6527" s="14"/>
      <c r="Q6527" s="14"/>
      <c r="R6527" s="14"/>
    </row>
    <row r="6528" spans="15:18" x14ac:dyDescent="0.3">
      <c r="O6528" s="14"/>
      <c r="P6528" s="14"/>
      <c r="Q6528" s="14"/>
      <c r="R6528" s="14"/>
    </row>
    <row r="6529" spans="15:18" x14ac:dyDescent="0.3">
      <c r="O6529" s="14"/>
      <c r="P6529" s="14"/>
      <c r="Q6529" s="14"/>
      <c r="R6529" s="14"/>
    </row>
    <row r="6530" spans="15:18" x14ac:dyDescent="0.3">
      <c r="O6530" s="14"/>
      <c r="P6530" s="14"/>
      <c r="Q6530" s="14"/>
      <c r="R6530" s="14"/>
    </row>
    <row r="6531" spans="15:18" x14ac:dyDescent="0.3">
      <c r="O6531" s="14"/>
      <c r="P6531" s="14"/>
      <c r="Q6531" s="14"/>
      <c r="R6531" s="14"/>
    </row>
    <row r="6532" spans="15:18" x14ac:dyDescent="0.3">
      <c r="O6532" s="14"/>
      <c r="P6532" s="14"/>
      <c r="Q6532" s="14"/>
      <c r="R6532" s="14"/>
    </row>
    <row r="6533" spans="15:18" x14ac:dyDescent="0.3">
      <c r="O6533" s="14"/>
      <c r="P6533" s="14"/>
      <c r="Q6533" s="14"/>
      <c r="R6533" s="14"/>
    </row>
    <row r="6534" spans="15:18" x14ac:dyDescent="0.3">
      <c r="O6534" s="14"/>
      <c r="P6534" s="14"/>
      <c r="Q6534" s="14"/>
      <c r="R6534" s="14"/>
    </row>
    <row r="6535" spans="15:18" x14ac:dyDescent="0.3">
      <c r="O6535" s="14"/>
      <c r="P6535" s="14"/>
      <c r="Q6535" s="14"/>
      <c r="R6535" s="14"/>
    </row>
    <row r="6536" spans="15:18" x14ac:dyDescent="0.3">
      <c r="O6536" s="14"/>
      <c r="P6536" s="14"/>
      <c r="Q6536" s="14"/>
      <c r="R6536" s="14"/>
    </row>
    <row r="6537" spans="15:18" x14ac:dyDescent="0.3">
      <c r="O6537" s="14"/>
      <c r="P6537" s="14"/>
      <c r="Q6537" s="14"/>
      <c r="R6537" s="14"/>
    </row>
    <row r="6538" spans="15:18" x14ac:dyDescent="0.3">
      <c r="O6538" s="14"/>
      <c r="P6538" s="14"/>
      <c r="Q6538" s="14"/>
      <c r="R6538" s="14"/>
    </row>
    <row r="6539" spans="15:18" x14ac:dyDescent="0.3">
      <c r="O6539" s="14"/>
      <c r="P6539" s="14"/>
      <c r="Q6539" s="14"/>
      <c r="R6539" s="14"/>
    </row>
    <row r="6540" spans="15:18" x14ac:dyDescent="0.3">
      <c r="O6540" s="14"/>
      <c r="P6540" s="14"/>
      <c r="Q6540" s="14"/>
      <c r="R6540" s="14"/>
    </row>
    <row r="6541" spans="15:18" x14ac:dyDescent="0.3">
      <c r="O6541" s="14"/>
      <c r="P6541" s="14"/>
      <c r="Q6541" s="14"/>
      <c r="R6541" s="14"/>
    </row>
    <row r="6542" spans="15:18" x14ac:dyDescent="0.3">
      <c r="O6542" s="14"/>
      <c r="P6542" s="14"/>
      <c r="Q6542" s="14"/>
      <c r="R6542" s="14"/>
    </row>
    <row r="6543" spans="15:18" x14ac:dyDescent="0.3">
      <c r="O6543" s="14"/>
      <c r="P6543" s="14"/>
      <c r="Q6543" s="14"/>
      <c r="R6543" s="14"/>
    </row>
    <row r="6544" spans="15:18" x14ac:dyDescent="0.3">
      <c r="O6544" s="14"/>
      <c r="P6544" s="14"/>
      <c r="Q6544" s="14"/>
      <c r="R6544" s="14"/>
    </row>
    <row r="6545" spans="15:18" x14ac:dyDescent="0.3">
      <c r="O6545" s="14"/>
      <c r="P6545" s="14"/>
      <c r="Q6545" s="14"/>
      <c r="R6545" s="14"/>
    </row>
    <row r="6546" spans="15:18" x14ac:dyDescent="0.3">
      <c r="O6546" s="14"/>
      <c r="P6546" s="14"/>
      <c r="Q6546" s="14"/>
      <c r="R6546" s="14"/>
    </row>
    <row r="6547" spans="15:18" x14ac:dyDescent="0.3">
      <c r="O6547" s="14"/>
      <c r="P6547" s="14"/>
      <c r="Q6547" s="14"/>
      <c r="R6547" s="14"/>
    </row>
    <row r="6548" spans="15:18" x14ac:dyDescent="0.3">
      <c r="O6548" s="14"/>
      <c r="P6548" s="14"/>
      <c r="Q6548" s="14"/>
      <c r="R6548" s="14"/>
    </row>
    <row r="6549" spans="15:18" x14ac:dyDescent="0.3">
      <c r="O6549" s="14"/>
      <c r="P6549" s="14"/>
      <c r="Q6549" s="14"/>
      <c r="R6549" s="14"/>
    </row>
    <row r="6550" spans="15:18" x14ac:dyDescent="0.3">
      <c r="O6550" s="14"/>
      <c r="P6550" s="14"/>
      <c r="Q6550" s="14"/>
      <c r="R6550" s="14"/>
    </row>
    <row r="6551" spans="15:18" x14ac:dyDescent="0.3">
      <c r="O6551" s="14"/>
      <c r="P6551" s="14"/>
      <c r="Q6551" s="14"/>
      <c r="R6551" s="14"/>
    </row>
    <row r="6552" spans="15:18" x14ac:dyDescent="0.3">
      <c r="O6552" s="14"/>
      <c r="P6552" s="14"/>
      <c r="Q6552" s="14"/>
      <c r="R6552" s="14"/>
    </row>
    <row r="6553" spans="15:18" x14ac:dyDescent="0.3">
      <c r="O6553" s="14"/>
      <c r="P6553" s="14"/>
      <c r="Q6553" s="14"/>
      <c r="R6553" s="14"/>
    </row>
    <row r="6554" spans="15:18" x14ac:dyDescent="0.3">
      <c r="O6554" s="14"/>
      <c r="P6554" s="14"/>
      <c r="Q6554" s="14"/>
      <c r="R6554" s="14"/>
    </row>
    <row r="6555" spans="15:18" x14ac:dyDescent="0.3">
      <c r="O6555" s="14"/>
      <c r="P6555" s="14"/>
      <c r="Q6555" s="14"/>
      <c r="R6555" s="14"/>
    </row>
    <row r="6556" spans="15:18" x14ac:dyDescent="0.3">
      <c r="O6556" s="14"/>
      <c r="P6556" s="14"/>
      <c r="Q6556" s="14"/>
      <c r="R6556" s="14"/>
    </row>
    <row r="6557" spans="15:18" x14ac:dyDescent="0.3">
      <c r="O6557" s="14"/>
      <c r="P6557" s="14"/>
      <c r="Q6557" s="14"/>
      <c r="R6557" s="14"/>
    </row>
    <row r="6558" spans="15:18" x14ac:dyDescent="0.3">
      <c r="O6558" s="14"/>
      <c r="P6558" s="14"/>
      <c r="Q6558" s="14"/>
      <c r="R6558" s="14"/>
    </row>
    <row r="6559" spans="15:18" x14ac:dyDescent="0.3">
      <c r="O6559" s="14"/>
      <c r="P6559" s="14"/>
      <c r="Q6559" s="14"/>
      <c r="R6559" s="14"/>
    </row>
    <row r="6560" spans="15:18" x14ac:dyDescent="0.3">
      <c r="O6560" s="14"/>
      <c r="P6560" s="14"/>
      <c r="Q6560" s="14"/>
      <c r="R6560" s="14"/>
    </row>
    <row r="6561" spans="15:18" x14ac:dyDescent="0.3">
      <c r="O6561" s="14"/>
      <c r="P6561" s="14"/>
      <c r="Q6561" s="14"/>
      <c r="R6561" s="14"/>
    </row>
    <row r="6562" spans="15:18" x14ac:dyDescent="0.3">
      <c r="O6562" s="14"/>
      <c r="P6562" s="14"/>
      <c r="Q6562" s="14"/>
      <c r="R6562" s="14"/>
    </row>
    <row r="6563" spans="15:18" x14ac:dyDescent="0.3">
      <c r="O6563" s="14"/>
      <c r="P6563" s="14"/>
      <c r="Q6563" s="14"/>
      <c r="R6563" s="14"/>
    </row>
    <row r="6564" spans="15:18" x14ac:dyDescent="0.3">
      <c r="O6564" s="14"/>
      <c r="P6564" s="14"/>
      <c r="Q6564" s="14"/>
      <c r="R6564" s="14"/>
    </row>
    <row r="6565" spans="15:18" x14ac:dyDescent="0.3">
      <c r="O6565" s="14"/>
      <c r="P6565" s="14"/>
      <c r="Q6565" s="14"/>
      <c r="R6565" s="14"/>
    </row>
    <row r="6566" spans="15:18" x14ac:dyDescent="0.3">
      <c r="O6566" s="14"/>
      <c r="P6566" s="14"/>
      <c r="Q6566" s="14"/>
      <c r="R6566" s="14"/>
    </row>
    <row r="6567" spans="15:18" x14ac:dyDescent="0.3">
      <c r="O6567" s="14"/>
      <c r="P6567" s="14"/>
      <c r="Q6567" s="14"/>
      <c r="R6567" s="14"/>
    </row>
    <row r="6568" spans="15:18" x14ac:dyDescent="0.3">
      <c r="O6568" s="14"/>
      <c r="P6568" s="14"/>
      <c r="Q6568" s="14"/>
      <c r="R6568" s="14"/>
    </row>
    <row r="6569" spans="15:18" x14ac:dyDescent="0.3">
      <c r="O6569" s="14"/>
      <c r="P6569" s="14"/>
      <c r="Q6569" s="14"/>
      <c r="R6569" s="14"/>
    </row>
    <row r="6570" spans="15:18" x14ac:dyDescent="0.3">
      <c r="O6570" s="14"/>
      <c r="P6570" s="14"/>
      <c r="Q6570" s="14"/>
      <c r="R6570" s="14"/>
    </row>
    <row r="6571" spans="15:18" x14ac:dyDescent="0.3">
      <c r="O6571" s="14"/>
      <c r="P6571" s="14"/>
      <c r="Q6571" s="14"/>
      <c r="R6571" s="14"/>
    </row>
    <row r="6572" spans="15:18" x14ac:dyDescent="0.3">
      <c r="O6572" s="14"/>
      <c r="P6572" s="14"/>
      <c r="Q6572" s="14"/>
      <c r="R6572" s="14"/>
    </row>
    <row r="6573" spans="15:18" x14ac:dyDescent="0.3">
      <c r="O6573" s="14"/>
      <c r="P6573" s="14"/>
      <c r="Q6573" s="14"/>
      <c r="R6573" s="14"/>
    </row>
    <row r="6574" spans="15:18" x14ac:dyDescent="0.3">
      <c r="O6574" s="14"/>
      <c r="P6574" s="14"/>
      <c r="Q6574" s="14"/>
      <c r="R6574" s="14"/>
    </row>
    <row r="6575" spans="15:18" x14ac:dyDescent="0.3">
      <c r="O6575" s="14"/>
      <c r="P6575" s="14"/>
      <c r="Q6575" s="14"/>
      <c r="R6575" s="14"/>
    </row>
    <row r="6576" spans="15:18" x14ac:dyDescent="0.3">
      <c r="O6576" s="14"/>
      <c r="P6576" s="14"/>
      <c r="Q6576" s="14"/>
      <c r="R6576" s="14"/>
    </row>
    <row r="6577" spans="15:18" x14ac:dyDescent="0.3">
      <c r="O6577" s="14"/>
      <c r="P6577" s="14"/>
      <c r="Q6577" s="14"/>
      <c r="R6577" s="14"/>
    </row>
    <row r="6578" spans="15:18" x14ac:dyDescent="0.3">
      <c r="O6578" s="14"/>
      <c r="P6578" s="14"/>
      <c r="Q6578" s="14"/>
      <c r="R6578" s="14"/>
    </row>
    <row r="6579" spans="15:18" x14ac:dyDescent="0.3">
      <c r="O6579" s="14"/>
      <c r="P6579" s="14"/>
      <c r="Q6579" s="14"/>
      <c r="R6579" s="14"/>
    </row>
    <row r="6580" spans="15:18" x14ac:dyDescent="0.3">
      <c r="O6580" s="14"/>
      <c r="P6580" s="14"/>
      <c r="Q6580" s="14"/>
      <c r="R6580" s="14"/>
    </row>
    <row r="6581" spans="15:18" x14ac:dyDescent="0.3">
      <c r="O6581" s="14"/>
      <c r="P6581" s="14"/>
      <c r="Q6581" s="14"/>
      <c r="R6581" s="14"/>
    </row>
    <row r="6582" spans="15:18" x14ac:dyDescent="0.3">
      <c r="O6582" s="14"/>
      <c r="P6582" s="14"/>
      <c r="Q6582" s="14"/>
      <c r="R6582" s="14"/>
    </row>
    <row r="6583" spans="15:18" x14ac:dyDescent="0.3">
      <c r="O6583" s="14"/>
      <c r="P6583" s="14"/>
      <c r="Q6583" s="14"/>
      <c r="R6583" s="14"/>
    </row>
    <row r="6584" spans="15:18" x14ac:dyDescent="0.3">
      <c r="O6584" s="14"/>
      <c r="P6584" s="14"/>
      <c r="Q6584" s="14"/>
      <c r="R6584" s="14"/>
    </row>
    <row r="6585" spans="15:18" x14ac:dyDescent="0.3">
      <c r="O6585" s="14"/>
      <c r="P6585" s="14"/>
      <c r="Q6585" s="14"/>
      <c r="R6585" s="14"/>
    </row>
    <row r="6586" spans="15:18" x14ac:dyDescent="0.3">
      <c r="O6586" s="14"/>
      <c r="P6586" s="14"/>
      <c r="Q6586" s="14"/>
      <c r="R6586" s="14"/>
    </row>
    <row r="6587" spans="15:18" x14ac:dyDescent="0.3">
      <c r="O6587" s="14"/>
      <c r="P6587" s="14"/>
      <c r="Q6587" s="14"/>
      <c r="R6587" s="14"/>
    </row>
    <row r="6588" spans="15:18" x14ac:dyDescent="0.3">
      <c r="O6588" s="14"/>
      <c r="P6588" s="14"/>
      <c r="Q6588" s="14"/>
      <c r="R6588" s="14"/>
    </row>
    <row r="6589" spans="15:18" x14ac:dyDescent="0.3">
      <c r="O6589" s="14"/>
      <c r="P6589" s="14"/>
      <c r="Q6589" s="14"/>
      <c r="R6589" s="14"/>
    </row>
    <row r="6590" spans="15:18" x14ac:dyDescent="0.3">
      <c r="O6590" s="14"/>
      <c r="P6590" s="14"/>
      <c r="Q6590" s="14"/>
      <c r="R6590" s="14"/>
    </row>
    <row r="6591" spans="15:18" x14ac:dyDescent="0.3">
      <c r="O6591" s="14"/>
      <c r="P6591" s="14"/>
      <c r="Q6591" s="14"/>
      <c r="R6591" s="14"/>
    </row>
    <row r="6592" spans="15:18" x14ac:dyDescent="0.3">
      <c r="O6592" s="14"/>
      <c r="P6592" s="14"/>
      <c r="Q6592" s="14"/>
      <c r="R6592" s="14"/>
    </row>
    <row r="6593" spans="15:18" x14ac:dyDescent="0.3">
      <c r="O6593" s="14"/>
      <c r="P6593" s="14"/>
      <c r="Q6593" s="14"/>
      <c r="R6593" s="14"/>
    </row>
    <row r="6594" spans="15:18" x14ac:dyDescent="0.3">
      <c r="O6594" s="14"/>
      <c r="P6594" s="14"/>
      <c r="Q6594" s="14"/>
      <c r="R6594" s="14"/>
    </row>
    <row r="6595" spans="15:18" x14ac:dyDescent="0.3">
      <c r="O6595" s="14"/>
      <c r="P6595" s="14"/>
      <c r="Q6595" s="14"/>
      <c r="R6595" s="14"/>
    </row>
    <row r="6596" spans="15:18" x14ac:dyDescent="0.3">
      <c r="O6596" s="14"/>
      <c r="P6596" s="14"/>
      <c r="Q6596" s="14"/>
      <c r="R6596" s="14"/>
    </row>
    <row r="6597" spans="15:18" x14ac:dyDescent="0.3">
      <c r="O6597" s="14"/>
      <c r="P6597" s="14"/>
      <c r="Q6597" s="14"/>
      <c r="R6597" s="14"/>
    </row>
    <row r="6598" spans="15:18" x14ac:dyDescent="0.3">
      <c r="O6598" s="14"/>
      <c r="P6598" s="14"/>
      <c r="Q6598" s="14"/>
      <c r="R6598" s="14"/>
    </row>
    <row r="6599" spans="15:18" x14ac:dyDescent="0.3">
      <c r="O6599" s="14"/>
      <c r="P6599" s="14"/>
      <c r="Q6599" s="14"/>
      <c r="R6599" s="14"/>
    </row>
    <row r="6600" spans="15:18" x14ac:dyDescent="0.3">
      <c r="O6600" s="14"/>
      <c r="P6600" s="14"/>
      <c r="Q6600" s="14"/>
      <c r="R6600" s="14"/>
    </row>
    <row r="6601" spans="15:18" x14ac:dyDescent="0.3">
      <c r="O6601" s="14"/>
      <c r="P6601" s="14"/>
      <c r="Q6601" s="14"/>
      <c r="R6601" s="14"/>
    </row>
    <row r="6602" spans="15:18" x14ac:dyDescent="0.3">
      <c r="O6602" s="14"/>
      <c r="P6602" s="14"/>
      <c r="Q6602" s="14"/>
      <c r="R6602" s="14"/>
    </row>
    <row r="6603" spans="15:18" x14ac:dyDescent="0.3">
      <c r="O6603" s="14"/>
      <c r="P6603" s="14"/>
      <c r="Q6603" s="14"/>
      <c r="R6603" s="14"/>
    </row>
    <row r="6604" spans="15:18" x14ac:dyDescent="0.3">
      <c r="O6604" s="14"/>
      <c r="P6604" s="14"/>
      <c r="Q6604" s="14"/>
      <c r="R6604" s="14"/>
    </row>
    <row r="6605" spans="15:18" x14ac:dyDescent="0.3">
      <c r="O6605" s="14"/>
      <c r="P6605" s="14"/>
      <c r="Q6605" s="14"/>
      <c r="R6605" s="14"/>
    </row>
    <row r="6606" spans="15:18" x14ac:dyDescent="0.3">
      <c r="O6606" s="14"/>
      <c r="P6606" s="14"/>
      <c r="Q6606" s="14"/>
      <c r="R6606" s="14"/>
    </row>
    <row r="6607" spans="15:18" x14ac:dyDescent="0.3">
      <c r="O6607" s="14"/>
      <c r="P6607" s="14"/>
      <c r="Q6607" s="14"/>
      <c r="R6607" s="14"/>
    </row>
    <row r="6608" spans="15:18" x14ac:dyDescent="0.3">
      <c r="O6608" s="14"/>
      <c r="P6608" s="14"/>
      <c r="Q6608" s="14"/>
      <c r="R6608" s="14"/>
    </row>
    <row r="6609" spans="15:18" x14ac:dyDescent="0.3">
      <c r="O6609" s="14"/>
      <c r="P6609" s="14"/>
      <c r="Q6609" s="14"/>
      <c r="R6609" s="14"/>
    </row>
    <row r="6610" spans="15:18" x14ac:dyDescent="0.3">
      <c r="O6610" s="14"/>
      <c r="P6610" s="14"/>
      <c r="Q6610" s="14"/>
      <c r="R6610" s="14"/>
    </row>
    <row r="6611" spans="15:18" x14ac:dyDescent="0.3">
      <c r="O6611" s="14"/>
      <c r="P6611" s="14"/>
      <c r="Q6611" s="14"/>
      <c r="R6611" s="14"/>
    </row>
    <row r="6612" spans="15:18" x14ac:dyDescent="0.3">
      <c r="O6612" s="14"/>
      <c r="P6612" s="14"/>
      <c r="Q6612" s="14"/>
      <c r="R6612" s="14"/>
    </row>
    <row r="6613" spans="15:18" x14ac:dyDescent="0.3">
      <c r="O6613" s="14"/>
      <c r="P6613" s="14"/>
      <c r="Q6613" s="14"/>
      <c r="R6613" s="14"/>
    </row>
    <row r="6614" spans="15:18" x14ac:dyDescent="0.3">
      <c r="O6614" s="14"/>
      <c r="P6614" s="14"/>
      <c r="Q6614" s="14"/>
      <c r="R6614" s="14"/>
    </row>
    <row r="6615" spans="15:18" x14ac:dyDescent="0.3">
      <c r="O6615" s="14"/>
      <c r="P6615" s="14"/>
      <c r="Q6615" s="14"/>
      <c r="R6615" s="14"/>
    </row>
    <row r="6616" spans="15:18" x14ac:dyDescent="0.3">
      <c r="O6616" s="14"/>
      <c r="P6616" s="14"/>
      <c r="Q6616" s="14"/>
      <c r="R6616" s="14"/>
    </row>
    <row r="6617" spans="15:18" x14ac:dyDescent="0.3">
      <c r="O6617" s="14"/>
      <c r="P6617" s="14"/>
      <c r="Q6617" s="14"/>
      <c r="R6617" s="14"/>
    </row>
    <row r="6618" spans="15:18" x14ac:dyDescent="0.3">
      <c r="O6618" s="14"/>
      <c r="P6618" s="14"/>
      <c r="Q6618" s="14"/>
      <c r="R6618" s="14"/>
    </row>
    <row r="6619" spans="15:18" x14ac:dyDescent="0.3">
      <c r="O6619" s="14"/>
      <c r="P6619" s="14"/>
      <c r="Q6619" s="14"/>
      <c r="R6619" s="14"/>
    </row>
    <row r="6620" spans="15:18" x14ac:dyDescent="0.3">
      <c r="O6620" s="14"/>
      <c r="P6620" s="14"/>
      <c r="Q6620" s="14"/>
      <c r="R6620" s="14"/>
    </row>
    <row r="6621" spans="15:18" x14ac:dyDescent="0.3">
      <c r="O6621" s="14"/>
      <c r="P6621" s="14"/>
      <c r="Q6621" s="14"/>
      <c r="R6621" s="14"/>
    </row>
    <row r="6622" spans="15:18" x14ac:dyDescent="0.3">
      <c r="O6622" s="14"/>
      <c r="P6622" s="14"/>
      <c r="Q6622" s="14"/>
      <c r="R6622" s="14"/>
    </row>
    <row r="6623" spans="15:18" x14ac:dyDescent="0.3">
      <c r="O6623" s="14"/>
      <c r="P6623" s="14"/>
      <c r="Q6623" s="14"/>
      <c r="R6623" s="14"/>
    </row>
    <row r="6624" spans="15:18" x14ac:dyDescent="0.3">
      <c r="O6624" s="14"/>
      <c r="P6624" s="14"/>
      <c r="Q6624" s="14"/>
      <c r="R6624" s="14"/>
    </row>
    <row r="6625" spans="15:18" x14ac:dyDescent="0.3">
      <c r="O6625" s="14"/>
      <c r="P6625" s="14"/>
      <c r="Q6625" s="14"/>
      <c r="R6625" s="14"/>
    </row>
    <row r="6626" spans="15:18" x14ac:dyDescent="0.3">
      <c r="O6626" s="14"/>
      <c r="P6626" s="14"/>
      <c r="Q6626" s="14"/>
      <c r="R6626" s="14"/>
    </row>
    <row r="6627" spans="15:18" x14ac:dyDescent="0.3">
      <c r="O6627" s="14"/>
      <c r="P6627" s="14"/>
      <c r="Q6627" s="14"/>
      <c r="R6627" s="14"/>
    </row>
    <row r="6628" spans="15:18" x14ac:dyDescent="0.3">
      <c r="O6628" s="14"/>
      <c r="P6628" s="14"/>
      <c r="Q6628" s="14"/>
      <c r="R6628" s="14"/>
    </row>
    <row r="6629" spans="15:18" x14ac:dyDescent="0.3">
      <c r="O6629" s="14"/>
      <c r="P6629" s="14"/>
      <c r="Q6629" s="14"/>
      <c r="R6629" s="14"/>
    </row>
    <row r="6630" spans="15:18" x14ac:dyDescent="0.3">
      <c r="O6630" s="14"/>
      <c r="P6630" s="14"/>
      <c r="Q6630" s="14"/>
      <c r="R6630" s="14"/>
    </row>
    <row r="6631" spans="15:18" x14ac:dyDescent="0.3">
      <c r="O6631" s="14"/>
      <c r="P6631" s="14"/>
      <c r="Q6631" s="14"/>
      <c r="R6631" s="14"/>
    </row>
    <row r="6632" spans="15:18" x14ac:dyDescent="0.3">
      <c r="O6632" s="14"/>
      <c r="P6632" s="14"/>
      <c r="Q6632" s="14"/>
      <c r="R6632" s="14"/>
    </row>
    <row r="6633" spans="15:18" x14ac:dyDescent="0.3">
      <c r="O6633" s="14"/>
      <c r="P6633" s="14"/>
      <c r="Q6633" s="14"/>
      <c r="R6633" s="14"/>
    </row>
    <row r="6634" spans="15:18" x14ac:dyDescent="0.3">
      <c r="O6634" s="14"/>
      <c r="P6634" s="14"/>
      <c r="Q6634" s="14"/>
      <c r="R6634" s="14"/>
    </row>
    <row r="6635" spans="15:18" x14ac:dyDescent="0.3">
      <c r="O6635" s="14"/>
      <c r="P6635" s="14"/>
      <c r="Q6635" s="14"/>
      <c r="R6635" s="14"/>
    </row>
    <row r="6636" spans="15:18" x14ac:dyDescent="0.3">
      <c r="O6636" s="14"/>
      <c r="P6636" s="14"/>
      <c r="Q6636" s="14"/>
      <c r="R6636" s="14"/>
    </row>
    <row r="6637" spans="15:18" x14ac:dyDescent="0.3">
      <c r="O6637" s="14"/>
      <c r="P6637" s="14"/>
      <c r="Q6637" s="14"/>
      <c r="R6637" s="14"/>
    </row>
    <row r="6638" spans="15:18" x14ac:dyDescent="0.3">
      <c r="O6638" s="14"/>
      <c r="P6638" s="14"/>
      <c r="Q6638" s="14"/>
      <c r="R6638" s="14"/>
    </row>
    <row r="6639" spans="15:18" x14ac:dyDescent="0.3">
      <c r="O6639" s="14"/>
      <c r="P6639" s="14"/>
      <c r="Q6639" s="14"/>
      <c r="R6639" s="14"/>
    </row>
    <row r="6640" spans="15:18" x14ac:dyDescent="0.3">
      <c r="O6640" s="14"/>
      <c r="P6640" s="14"/>
      <c r="Q6640" s="14"/>
      <c r="R6640" s="14"/>
    </row>
    <row r="6641" spans="15:18" x14ac:dyDescent="0.3">
      <c r="O6641" s="14"/>
      <c r="P6641" s="14"/>
      <c r="Q6641" s="14"/>
      <c r="R6641" s="14"/>
    </row>
    <row r="6642" spans="15:18" x14ac:dyDescent="0.3">
      <c r="O6642" s="14"/>
      <c r="P6642" s="14"/>
      <c r="Q6642" s="14"/>
      <c r="R6642" s="14"/>
    </row>
    <row r="6643" spans="15:18" x14ac:dyDescent="0.3">
      <c r="O6643" s="14"/>
      <c r="P6643" s="14"/>
      <c r="Q6643" s="14"/>
      <c r="R6643" s="14"/>
    </row>
    <row r="6644" spans="15:18" x14ac:dyDescent="0.3">
      <c r="O6644" s="14"/>
      <c r="P6644" s="14"/>
      <c r="Q6644" s="14"/>
      <c r="R6644" s="14"/>
    </row>
    <row r="6645" spans="15:18" x14ac:dyDescent="0.3">
      <c r="O6645" s="14"/>
      <c r="P6645" s="14"/>
      <c r="Q6645" s="14"/>
      <c r="R6645" s="14"/>
    </row>
    <row r="6646" spans="15:18" x14ac:dyDescent="0.3">
      <c r="O6646" s="14"/>
      <c r="P6646" s="14"/>
      <c r="Q6646" s="14"/>
      <c r="R6646" s="14"/>
    </row>
    <row r="6647" spans="15:18" x14ac:dyDescent="0.3">
      <c r="O6647" s="14"/>
      <c r="P6647" s="14"/>
      <c r="Q6647" s="14"/>
      <c r="R6647" s="14"/>
    </row>
    <row r="6648" spans="15:18" x14ac:dyDescent="0.3">
      <c r="O6648" s="14"/>
      <c r="P6648" s="14"/>
      <c r="Q6648" s="14"/>
      <c r="R6648" s="14"/>
    </row>
    <row r="6649" spans="15:18" x14ac:dyDescent="0.3">
      <c r="O6649" s="14"/>
      <c r="P6649" s="14"/>
      <c r="Q6649" s="14"/>
      <c r="R6649" s="14"/>
    </row>
    <row r="6650" spans="15:18" x14ac:dyDescent="0.3">
      <c r="O6650" s="14"/>
      <c r="P6650" s="14"/>
      <c r="Q6650" s="14"/>
      <c r="R6650" s="14"/>
    </row>
    <row r="6651" spans="15:18" x14ac:dyDescent="0.3">
      <c r="O6651" s="14"/>
      <c r="P6651" s="14"/>
      <c r="Q6651" s="14"/>
      <c r="R6651" s="14"/>
    </row>
    <row r="6652" spans="15:18" x14ac:dyDescent="0.3">
      <c r="O6652" s="14"/>
      <c r="P6652" s="14"/>
      <c r="Q6652" s="14"/>
      <c r="R6652" s="14"/>
    </row>
    <row r="6653" spans="15:18" x14ac:dyDescent="0.3">
      <c r="O6653" s="14"/>
      <c r="P6653" s="14"/>
      <c r="Q6653" s="14"/>
      <c r="R6653" s="14"/>
    </row>
    <row r="6654" spans="15:18" x14ac:dyDescent="0.3">
      <c r="O6654" s="14"/>
      <c r="P6654" s="14"/>
      <c r="Q6654" s="14"/>
      <c r="R6654" s="14"/>
    </row>
    <row r="6655" spans="15:18" x14ac:dyDescent="0.3">
      <c r="O6655" s="14"/>
      <c r="P6655" s="14"/>
      <c r="Q6655" s="14"/>
      <c r="R6655" s="14"/>
    </row>
    <row r="6656" spans="15:18" x14ac:dyDescent="0.3">
      <c r="O6656" s="14"/>
      <c r="P6656" s="14"/>
      <c r="Q6656" s="14"/>
      <c r="R6656" s="14"/>
    </row>
    <row r="6657" spans="15:18" x14ac:dyDescent="0.3">
      <c r="O6657" s="14"/>
      <c r="P6657" s="14"/>
      <c r="Q6657" s="14"/>
      <c r="R6657" s="14"/>
    </row>
    <row r="6658" spans="15:18" x14ac:dyDescent="0.3">
      <c r="O6658" s="14"/>
      <c r="P6658" s="14"/>
      <c r="Q6658" s="14"/>
      <c r="R6658" s="14"/>
    </row>
    <row r="6659" spans="15:18" x14ac:dyDescent="0.3">
      <c r="O6659" s="14"/>
      <c r="P6659" s="14"/>
      <c r="Q6659" s="14"/>
      <c r="R6659" s="14"/>
    </row>
    <row r="6660" spans="15:18" x14ac:dyDescent="0.3">
      <c r="O6660" s="14"/>
      <c r="P6660" s="14"/>
      <c r="Q6660" s="14"/>
      <c r="R6660" s="14"/>
    </row>
    <row r="6661" spans="15:18" x14ac:dyDescent="0.3">
      <c r="O6661" s="14"/>
      <c r="P6661" s="14"/>
      <c r="Q6661" s="14"/>
      <c r="R6661" s="14"/>
    </row>
    <row r="6662" spans="15:18" x14ac:dyDescent="0.3">
      <c r="O6662" s="14"/>
      <c r="P6662" s="14"/>
      <c r="Q6662" s="14"/>
      <c r="R6662" s="14"/>
    </row>
    <row r="6663" spans="15:18" x14ac:dyDescent="0.3">
      <c r="O6663" s="14"/>
      <c r="P6663" s="14"/>
      <c r="Q6663" s="14"/>
      <c r="R6663" s="14"/>
    </row>
    <row r="6664" spans="15:18" x14ac:dyDescent="0.3">
      <c r="O6664" s="14"/>
      <c r="P6664" s="14"/>
      <c r="Q6664" s="14"/>
      <c r="R6664" s="14"/>
    </row>
    <row r="6665" spans="15:18" x14ac:dyDescent="0.3">
      <c r="O6665" s="14"/>
      <c r="P6665" s="14"/>
      <c r="Q6665" s="14"/>
      <c r="R6665" s="14"/>
    </row>
    <row r="6666" spans="15:18" x14ac:dyDescent="0.3">
      <c r="O6666" s="14"/>
      <c r="P6666" s="14"/>
      <c r="Q6666" s="14"/>
      <c r="R6666" s="14"/>
    </row>
    <row r="6667" spans="15:18" x14ac:dyDescent="0.3">
      <c r="O6667" s="14"/>
      <c r="P6667" s="14"/>
      <c r="Q6667" s="14"/>
      <c r="R6667" s="14"/>
    </row>
    <row r="6668" spans="15:18" x14ac:dyDescent="0.3">
      <c r="O6668" s="14"/>
      <c r="P6668" s="14"/>
      <c r="Q6668" s="14"/>
      <c r="R6668" s="14"/>
    </row>
    <row r="6669" spans="15:18" x14ac:dyDescent="0.3">
      <c r="O6669" s="14"/>
      <c r="P6669" s="14"/>
      <c r="Q6669" s="14"/>
      <c r="R6669" s="14"/>
    </row>
    <row r="6670" spans="15:18" x14ac:dyDescent="0.3">
      <c r="O6670" s="14"/>
      <c r="P6670" s="14"/>
      <c r="Q6670" s="14"/>
      <c r="R6670" s="14"/>
    </row>
    <row r="6671" spans="15:18" x14ac:dyDescent="0.3">
      <c r="O6671" s="14"/>
      <c r="P6671" s="14"/>
      <c r="Q6671" s="14"/>
      <c r="R6671" s="14"/>
    </row>
    <row r="6672" spans="15:18" x14ac:dyDescent="0.3">
      <c r="O6672" s="14"/>
      <c r="P6672" s="14"/>
      <c r="Q6672" s="14"/>
      <c r="R6672" s="14"/>
    </row>
    <row r="6673" spans="15:18" x14ac:dyDescent="0.3">
      <c r="O6673" s="14"/>
      <c r="P6673" s="14"/>
      <c r="Q6673" s="14"/>
      <c r="R6673" s="14"/>
    </row>
    <row r="6674" spans="15:18" x14ac:dyDescent="0.3">
      <c r="O6674" s="14"/>
      <c r="P6674" s="14"/>
      <c r="Q6674" s="14"/>
      <c r="R6674" s="14"/>
    </row>
    <row r="6675" spans="15:18" x14ac:dyDescent="0.3">
      <c r="O6675" s="14"/>
      <c r="P6675" s="14"/>
      <c r="Q6675" s="14"/>
      <c r="R6675" s="14"/>
    </row>
    <row r="6676" spans="15:18" x14ac:dyDescent="0.3">
      <c r="O6676" s="14"/>
      <c r="P6676" s="14"/>
      <c r="Q6676" s="14"/>
      <c r="R6676" s="14"/>
    </row>
    <row r="6677" spans="15:18" x14ac:dyDescent="0.3">
      <c r="O6677" s="14"/>
      <c r="P6677" s="14"/>
      <c r="Q6677" s="14"/>
      <c r="R6677" s="14"/>
    </row>
    <row r="6678" spans="15:18" x14ac:dyDescent="0.3">
      <c r="O6678" s="14"/>
      <c r="P6678" s="14"/>
      <c r="Q6678" s="14"/>
      <c r="R6678" s="14"/>
    </row>
    <row r="6679" spans="15:18" x14ac:dyDescent="0.3">
      <c r="O6679" s="14"/>
      <c r="P6679" s="14"/>
      <c r="Q6679" s="14"/>
      <c r="R6679" s="14"/>
    </row>
    <row r="6680" spans="15:18" x14ac:dyDescent="0.3">
      <c r="O6680" s="14"/>
      <c r="P6680" s="14"/>
      <c r="Q6680" s="14"/>
      <c r="R6680" s="14"/>
    </row>
    <row r="6681" spans="15:18" x14ac:dyDescent="0.3">
      <c r="O6681" s="14"/>
      <c r="P6681" s="14"/>
      <c r="Q6681" s="14"/>
      <c r="R6681" s="14"/>
    </row>
    <row r="6682" spans="15:18" x14ac:dyDescent="0.3">
      <c r="O6682" s="14"/>
      <c r="P6682" s="14"/>
      <c r="Q6682" s="14"/>
      <c r="R6682" s="14"/>
    </row>
    <row r="6683" spans="15:18" x14ac:dyDescent="0.3">
      <c r="O6683" s="14"/>
      <c r="P6683" s="14"/>
      <c r="Q6683" s="14"/>
      <c r="R6683" s="14"/>
    </row>
    <row r="6684" spans="15:18" x14ac:dyDescent="0.3">
      <c r="O6684" s="14"/>
      <c r="P6684" s="14"/>
      <c r="Q6684" s="14"/>
      <c r="R6684" s="14"/>
    </row>
    <row r="6685" spans="15:18" x14ac:dyDescent="0.3">
      <c r="O6685" s="14"/>
      <c r="P6685" s="14"/>
      <c r="Q6685" s="14"/>
      <c r="R6685" s="14"/>
    </row>
    <row r="6686" spans="15:18" x14ac:dyDescent="0.3">
      <c r="O6686" s="14"/>
      <c r="P6686" s="14"/>
      <c r="Q6686" s="14"/>
      <c r="R6686" s="14"/>
    </row>
    <row r="6687" spans="15:18" x14ac:dyDescent="0.3">
      <c r="O6687" s="14"/>
      <c r="P6687" s="14"/>
      <c r="Q6687" s="14"/>
      <c r="R6687" s="14"/>
    </row>
    <row r="6688" spans="15:18" x14ac:dyDescent="0.3">
      <c r="O6688" s="14"/>
      <c r="P6688" s="14"/>
      <c r="Q6688" s="14"/>
      <c r="R6688" s="14"/>
    </row>
    <row r="6689" spans="15:18" x14ac:dyDescent="0.3">
      <c r="O6689" s="14"/>
      <c r="P6689" s="14"/>
      <c r="Q6689" s="14"/>
      <c r="R6689" s="14"/>
    </row>
    <row r="6690" spans="15:18" x14ac:dyDescent="0.3">
      <c r="O6690" s="14"/>
      <c r="P6690" s="14"/>
      <c r="Q6690" s="14"/>
      <c r="R6690" s="14"/>
    </row>
    <row r="6691" spans="15:18" x14ac:dyDescent="0.3">
      <c r="O6691" s="14"/>
      <c r="P6691" s="14"/>
      <c r="Q6691" s="14"/>
      <c r="R6691" s="14"/>
    </row>
    <row r="6692" spans="15:18" x14ac:dyDescent="0.3">
      <c r="O6692" s="14"/>
      <c r="P6692" s="14"/>
      <c r="Q6692" s="14"/>
      <c r="R6692" s="14"/>
    </row>
    <row r="6693" spans="15:18" x14ac:dyDescent="0.3">
      <c r="O6693" s="14"/>
      <c r="P6693" s="14"/>
      <c r="Q6693" s="14"/>
      <c r="R6693" s="14"/>
    </row>
    <row r="6694" spans="15:18" x14ac:dyDescent="0.3">
      <c r="O6694" s="14"/>
      <c r="P6694" s="14"/>
      <c r="Q6694" s="14"/>
      <c r="R6694" s="14"/>
    </row>
    <row r="6695" spans="15:18" x14ac:dyDescent="0.3">
      <c r="O6695" s="14"/>
      <c r="P6695" s="14"/>
      <c r="Q6695" s="14"/>
      <c r="R6695" s="14"/>
    </row>
    <row r="6696" spans="15:18" x14ac:dyDescent="0.3">
      <c r="O6696" s="14"/>
      <c r="P6696" s="14"/>
      <c r="Q6696" s="14"/>
      <c r="R6696" s="14"/>
    </row>
    <row r="6697" spans="15:18" x14ac:dyDescent="0.3">
      <c r="O6697" s="14"/>
      <c r="P6697" s="14"/>
      <c r="Q6697" s="14"/>
      <c r="R6697" s="14"/>
    </row>
    <row r="6698" spans="15:18" x14ac:dyDescent="0.3">
      <c r="O6698" s="14"/>
      <c r="P6698" s="14"/>
      <c r="Q6698" s="14"/>
      <c r="R6698" s="14"/>
    </row>
    <row r="6699" spans="15:18" x14ac:dyDescent="0.3">
      <c r="O6699" s="14"/>
      <c r="P6699" s="14"/>
      <c r="Q6699" s="14"/>
      <c r="R6699" s="14"/>
    </row>
    <row r="6700" spans="15:18" x14ac:dyDescent="0.3">
      <c r="O6700" s="14"/>
      <c r="P6700" s="14"/>
      <c r="Q6700" s="14"/>
      <c r="R6700" s="14"/>
    </row>
    <row r="6701" spans="15:18" x14ac:dyDescent="0.3">
      <c r="O6701" s="14"/>
      <c r="P6701" s="14"/>
      <c r="Q6701" s="14"/>
      <c r="R6701" s="14"/>
    </row>
    <row r="6702" spans="15:18" x14ac:dyDescent="0.3">
      <c r="O6702" s="14"/>
      <c r="P6702" s="14"/>
      <c r="Q6702" s="14"/>
      <c r="R6702" s="14"/>
    </row>
    <row r="6703" spans="15:18" x14ac:dyDescent="0.3">
      <c r="O6703" s="14"/>
      <c r="P6703" s="14"/>
      <c r="Q6703" s="14"/>
      <c r="R6703" s="14"/>
    </row>
    <row r="6704" spans="15:18" x14ac:dyDescent="0.3">
      <c r="O6704" s="14"/>
      <c r="P6704" s="14"/>
      <c r="Q6704" s="14"/>
      <c r="R6704" s="14"/>
    </row>
    <row r="6705" spans="15:18" x14ac:dyDescent="0.3">
      <c r="O6705" s="14"/>
      <c r="P6705" s="14"/>
      <c r="Q6705" s="14"/>
      <c r="R6705" s="14"/>
    </row>
    <row r="6706" spans="15:18" x14ac:dyDescent="0.3">
      <c r="O6706" s="14"/>
      <c r="P6706" s="14"/>
      <c r="Q6706" s="14"/>
      <c r="R6706" s="14"/>
    </row>
    <row r="6707" spans="15:18" x14ac:dyDescent="0.3">
      <c r="O6707" s="14"/>
      <c r="P6707" s="14"/>
      <c r="Q6707" s="14"/>
      <c r="R6707" s="14"/>
    </row>
    <row r="6708" spans="15:18" x14ac:dyDescent="0.3">
      <c r="O6708" s="14"/>
      <c r="P6708" s="14"/>
      <c r="Q6708" s="14"/>
      <c r="R6708" s="14"/>
    </row>
    <row r="6709" spans="15:18" x14ac:dyDescent="0.3">
      <c r="O6709" s="14"/>
      <c r="P6709" s="14"/>
      <c r="Q6709" s="14"/>
      <c r="R6709" s="14"/>
    </row>
    <row r="6710" spans="15:18" x14ac:dyDescent="0.3">
      <c r="O6710" s="14"/>
      <c r="P6710" s="14"/>
      <c r="Q6710" s="14"/>
      <c r="R6710" s="14"/>
    </row>
    <row r="6711" spans="15:18" x14ac:dyDescent="0.3">
      <c r="O6711" s="14"/>
      <c r="P6711" s="14"/>
      <c r="Q6711" s="14"/>
      <c r="R6711" s="14"/>
    </row>
    <row r="6712" spans="15:18" x14ac:dyDescent="0.3">
      <c r="O6712" s="14"/>
      <c r="P6712" s="14"/>
      <c r="Q6712" s="14"/>
      <c r="R6712" s="14"/>
    </row>
    <row r="6713" spans="15:18" x14ac:dyDescent="0.3">
      <c r="O6713" s="14"/>
      <c r="P6713" s="14"/>
      <c r="Q6713" s="14"/>
      <c r="R6713" s="14"/>
    </row>
    <row r="6714" spans="15:18" x14ac:dyDescent="0.3">
      <c r="O6714" s="14"/>
      <c r="P6714" s="14"/>
      <c r="Q6714" s="14"/>
      <c r="R6714" s="14"/>
    </row>
    <row r="6715" spans="15:18" x14ac:dyDescent="0.3">
      <c r="O6715" s="14"/>
      <c r="P6715" s="14"/>
      <c r="Q6715" s="14"/>
      <c r="R6715" s="14"/>
    </row>
    <row r="6716" spans="15:18" x14ac:dyDescent="0.3">
      <c r="O6716" s="14"/>
      <c r="P6716" s="14"/>
      <c r="Q6716" s="14"/>
      <c r="R6716" s="14"/>
    </row>
    <row r="6717" spans="15:18" x14ac:dyDescent="0.3">
      <c r="O6717" s="14"/>
      <c r="P6717" s="14"/>
      <c r="Q6717" s="14"/>
      <c r="R6717" s="14"/>
    </row>
    <row r="6718" spans="15:18" x14ac:dyDescent="0.3">
      <c r="O6718" s="14"/>
      <c r="P6718" s="14"/>
      <c r="Q6718" s="14"/>
      <c r="R6718" s="14"/>
    </row>
    <row r="6719" spans="15:18" x14ac:dyDescent="0.3">
      <c r="O6719" s="14"/>
      <c r="P6719" s="14"/>
      <c r="Q6719" s="14"/>
      <c r="R6719" s="14"/>
    </row>
    <row r="6720" spans="15:18" x14ac:dyDescent="0.3">
      <c r="O6720" s="14"/>
      <c r="P6720" s="14"/>
      <c r="Q6720" s="14"/>
      <c r="R6720" s="14"/>
    </row>
    <row r="6721" spans="15:18" x14ac:dyDescent="0.3">
      <c r="O6721" s="14"/>
      <c r="P6721" s="14"/>
      <c r="Q6721" s="14"/>
      <c r="R6721" s="14"/>
    </row>
    <row r="6722" spans="15:18" x14ac:dyDescent="0.3">
      <c r="O6722" s="14"/>
      <c r="P6722" s="14"/>
      <c r="Q6722" s="14"/>
      <c r="R6722" s="14"/>
    </row>
    <row r="6723" spans="15:18" x14ac:dyDescent="0.3">
      <c r="O6723" s="14"/>
      <c r="P6723" s="14"/>
      <c r="Q6723" s="14"/>
      <c r="R6723" s="14"/>
    </row>
    <row r="6724" spans="15:18" x14ac:dyDescent="0.3">
      <c r="O6724" s="14"/>
      <c r="P6724" s="14"/>
      <c r="Q6724" s="14"/>
      <c r="R6724" s="14"/>
    </row>
    <row r="6725" spans="15:18" x14ac:dyDescent="0.3">
      <c r="O6725" s="14"/>
      <c r="P6725" s="14"/>
      <c r="Q6725" s="14"/>
      <c r="R6725" s="14"/>
    </row>
    <row r="6726" spans="15:18" x14ac:dyDescent="0.3">
      <c r="O6726" s="14"/>
      <c r="P6726" s="14"/>
      <c r="Q6726" s="14"/>
      <c r="R6726" s="14"/>
    </row>
    <row r="6727" spans="15:18" x14ac:dyDescent="0.3">
      <c r="O6727" s="14"/>
      <c r="P6727" s="14"/>
      <c r="Q6727" s="14"/>
      <c r="R6727" s="14"/>
    </row>
    <row r="6728" spans="15:18" x14ac:dyDescent="0.3">
      <c r="O6728" s="14"/>
      <c r="P6728" s="14"/>
      <c r="Q6728" s="14"/>
      <c r="R6728" s="14"/>
    </row>
    <row r="6729" spans="15:18" x14ac:dyDescent="0.3">
      <c r="O6729" s="14"/>
      <c r="P6729" s="14"/>
      <c r="Q6729" s="14"/>
      <c r="R6729" s="14"/>
    </row>
    <row r="6730" spans="15:18" x14ac:dyDescent="0.3">
      <c r="O6730" s="14"/>
      <c r="P6730" s="14"/>
      <c r="Q6730" s="14"/>
      <c r="R6730" s="14"/>
    </row>
    <row r="6731" spans="15:18" x14ac:dyDescent="0.3">
      <c r="O6731" s="14"/>
      <c r="P6731" s="14"/>
      <c r="Q6731" s="14"/>
      <c r="R6731" s="14"/>
    </row>
    <row r="6732" spans="15:18" x14ac:dyDescent="0.3">
      <c r="O6732" s="14"/>
      <c r="P6732" s="14"/>
      <c r="Q6732" s="14"/>
      <c r="R6732" s="14"/>
    </row>
    <row r="6733" spans="15:18" x14ac:dyDescent="0.3">
      <c r="O6733" s="14"/>
      <c r="P6733" s="14"/>
      <c r="Q6733" s="14"/>
      <c r="R6733" s="14"/>
    </row>
    <row r="6734" spans="15:18" x14ac:dyDescent="0.3">
      <c r="O6734" s="14"/>
      <c r="P6734" s="14"/>
      <c r="Q6734" s="14"/>
      <c r="R6734" s="14"/>
    </row>
    <row r="6735" spans="15:18" x14ac:dyDescent="0.3">
      <c r="O6735" s="14"/>
      <c r="P6735" s="14"/>
      <c r="Q6735" s="14"/>
      <c r="R6735" s="14"/>
    </row>
    <row r="6736" spans="15:18" x14ac:dyDescent="0.3">
      <c r="O6736" s="14"/>
      <c r="P6736" s="14"/>
      <c r="Q6736" s="14"/>
      <c r="R6736" s="14"/>
    </row>
    <row r="6737" spans="15:18" x14ac:dyDescent="0.3">
      <c r="O6737" s="14"/>
      <c r="P6737" s="14"/>
      <c r="Q6737" s="14"/>
      <c r="R6737" s="14"/>
    </row>
    <row r="6738" spans="15:18" x14ac:dyDescent="0.3">
      <c r="O6738" s="14"/>
      <c r="P6738" s="14"/>
      <c r="Q6738" s="14"/>
      <c r="R6738" s="14"/>
    </row>
    <row r="6739" spans="15:18" x14ac:dyDescent="0.3">
      <c r="O6739" s="14"/>
      <c r="P6739" s="14"/>
      <c r="Q6739" s="14"/>
      <c r="R6739" s="14"/>
    </row>
    <row r="6740" spans="15:18" x14ac:dyDescent="0.3">
      <c r="O6740" s="14"/>
      <c r="P6740" s="14"/>
      <c r="Q6740" s="14"/>
      <c r="R6740" s="14"/>
    </row>
    <row r="6741" spans="15:18" x14ac:dyDescent="0.3">
      <c r="O6741" s="14"/>
      <c r="P6741" s="14"/>
      <c r="Q6741" s="14"/>
      <c r="R6741" s="14"/>
    </row>
    <row r="6742" spans="15:18" x14ac:dyDescent="0.3">
      <c r="O6742" s="14"/>
      <c r="P6742" s="14"/>
      <c r="Q6742" s="14"/>
      <c r="R6742" s="14"/>
    </row>
    <row r="6743" spans="15:18" x14ac:dyDescent="0.3">
      <c r="O6743" s="14"/>
      <c r="P6743" s="14"/>
      <c r="Q6743" s="14"/>
      <c r="R6743" s="14"/>
    </row>
    <row r="6744" spans="15:18" x14ac:dyDescent="0.3">
      <c r="O6744" s="14"/>
      <c r="P6744" s="14"/>
      <c r="Q6744" s="14"/>
      <c r="R6744" s="14"/>
    </row>
    <row r="6745" spans="15:18" x14ac:dyDescent="0.3">
      <c r="O6745" s="14"/>
      <c r="P6745" s="14"/>
      <c r="Q6745" s="14"/>
      <c r="R6745" s="14"/>
    </row>
    <row r="6746" spans="15:18" x14ac:dyDescent="0.3">
      <c r="O6746" s="14"/>
      <c r="P6746" s="14"/>
      <c r="Q6746" s="14"/>
      <c r="R6746" s="14"/>
    </row>
    <row r="6747" spans="15:18" x14ac:dyDescent="0.3">
      <c r="O6747" s="14"/>
      <c r="P6747" s="14"/>
      <c r="Q6747" s="14"/>
      <c r="R6747" s="14"/>
    </row>
    <row r="6748" spans="15:18" x14ac:dyDescent="0.3">
      <c r="O6748" s="14"/>
      <c r="P6748" s="14"/>
      <c r="Q6748" s="14"/>
      <c r="R6748" s="14"/>
    </row>
    <row r="6749" spans="15:18" x14ac:dyDescent="0.3">
      <c r="O6749" s="14"/>
      <c r="P6749" s="14"/>
      <c r="Q6749" s="14"/>
      <c r="R6749" s="14"/>
    </row>
    <row r="6750" spans="15:18" x14ac:dyDescent="0.3">
      <c r="O6750" s="14"/>
      <c r="P6750" s="14"/>
      <c r="Q6750" s="14"/>
      <c r="R6750" s="14"/>
    </row>
    <row r="6751" spans="15:18" x14ac:dyDescent="0.3">
      <c r="O6751" s="14"/>
      <c r="P6751" s="14"/>
      <c r="Q6751" s="14"/>
      <c r="R6751" s="14"/>
    </row>
    <row r="6752" spans="15:18" x14ac:dyDescent="0.3">
      <c r="O6752" s="14"/>
      <c r="P6752" s="14"/>
      <c r="Q6752" s="14"/>
      <c r="R6752" s="14"/>
    </row>
    <row r="6753" spans="15:18" x14ac:dyDescent="0.3">
      <c r="O6753" s="14"/>
      <c r="P6753" s="14"/>
      <c r="Q6753" s="14"/>
      <c r="R6753" s="14"/>
    </row>
    <row r="6754" spans="15:18" x14ac:dyDescent="0.3">
      <c r="O6754" s="14"/>
      <c r="P6754" s="14"/>
      <c r="Q6754" s="14"/>
      <c r="R6754" s="14"/>
    </row>
    <row r="6755" spans="15:18" x14ac:dyDescent="0.3">
      <c r="O6755" s="14"/>
      <c r="P6755" s="14"/>
      <c r="Q6755" s="14"/>
      <c r="R6755" s="14"/>
    </row>
    <row r="6756" spans="15:18" x14ac:dyDescent="0.3">
      <c r="O6756" s="14"/>
      <c r="P6756" s="14"/>
      <c r="Q6756" s="14"/>
      <c r="R6756" s="14"/>
    </row>
    <row r="6757" spans="15:18" x14ac:dyDescent="0.3">
      <c r="O6757" s="14"/>
      <c r="P6757" s="14"/>
      <c r="Q6757" s="14"/>
      <c r="R6757" s="14"/>
    </row>
    <row r="6758" spans="15:18" x14ac:dyDescent="0.3">
      <c r="O6758" s="14"/>
      <c r="P6758" s="14"/>
      <c r="Q6758" s="14"/>
      <c r="R6758" s="14"/>
    </row>
    <row r="6759" spans="15:18" x14ac:dyDescent="0.3">
      <c r="O6759" s="14"/>
      <c r="P6759" s="14"/>
      <c r="Q6759" s="14"/>
      <c r="R6759" s="14"/>
    </row>
    <row r="6760" spans="15:18" x14ac:dyDescent="0.3">
      <c r="O6760" s="14"/>
      <c r="P6760" s="14"/>
      <c r="Q6760" s="14"/>
      <c r="R6760" s="14"/>
    </row>
    <row r="6761" spans="15:18" x14ac:dyDescent="0.3">
      <c r="O6761" s="14"/>
      <c r="P6761" s="14"/>
      <c r="Q6761" s="14"/>
      <c r="R6761" s="14"/>
    </row>
    <row r="6762" spans="15:18" x14ac:dyDescent="0.3">
      <c r="O6762" s="14"/>
      <c r="P6762" s="14"/>
      <c r="Q6762" s="14"/>
      <c r="R6762" s="14"/>
    </row>
    <row r="6763" spans="15:18" x14ac:dyDescent="0.3">
      <c r="O6763" s="14"/>
      <c r="P6763" s="14"/>
      <c r="Q6763" s="14"/>
      <c r="R6763" s="14"/>
    </row>
    <row r="6764" spans="15:18" x14ac:dyDescent="0.3">
      <c r="O6764" s="14"/>
      <c r="P6764" s="14"/>
      <c r="Q6764" s="14"/>
      <c r="R6764" s="14"/>
    </row>
    <row r="6765" spans="15:18" x14ac:dyDescent="0.3">
      <c r="O6765" s="14"/>
      <c r="P6765" s="14"/>
      <c r="Q6765" s="14"/>
      <c r="R6765" s="14"/>
    </row>
    <row r="6766" spans="15:18" x14ac:dyDescent="0.3">
      <c r="O6766" s="14"/>
      <c r="P6766" s="14"/>
      <c r="Q6766" s="14"/>
      <c r="R6766" s="14"/>
    </row>
    <row r="6767" spans="15:18" x14ac:dyDescent="0.3">
      <c r="O6767" s="14"/>
      <c r="P6767" s="14"/>
      <c r="Q6767" s="14"/>
      <c r="R6767" s="14"/>
    </row>
    <row r="6768" spans="15:18" x14ac:dyDescent="0.3">
      <c r="O6768" s="14"/>
      <c r="P6768" s="14"/>
      <c r="Q6768" s="14"/>
      <c r="R6768" s="14"/>
    </row>
    <row r="6769" spans="15:18" x14ac:dyDescent="0.3">
      <c r="O6769" s="14"/>
      <c r="P6769" s="14"/>
      <c r="Q6769" s="14"/>
      <c r="R6769" s="14"/>
    </row>
    <row r="6770" spans="15:18" x14ac:dyDescent="0.3">
      <c r="O6770" s="14"/>
      <c r="P6770" s="14"/>
      <c r="Q6770" s="14"/>
      <c r="R6770" s="14"/>
    </row>
    <row r="6771" spans="15:18" x14ac:dyDescent="0.3">
      <c r="O6771" s="14"/>
      <c r="P6771" s="14"/>
      <c r="Q6771" s="14"/>
      <c r="R6771" s="14"/>
    </row>
    <row r="6772" spans="15:18" x14ac:dyDescent="0.3">
      <c r="O6772" s="14"/>
      <c r="P6772" s="14"/>
      <c r="Q6772" s="14"/>
      <c r="R6772" s="14"/>
    </row>
    <row r="6773" spans="15:18" x14ac:dyDescent="0.3">
      <c r="O6773" s="14"/>
      <c r="P6773" s="14"/>
      <c r="Q6773" s="14"/>
      <c r="R6773" s="14"/>
    </row>
    <row r="6774" spans="15:18" x14ac:dyDescent="0.3">
      <c r="O6774" s="14"/>
      <c r="P6774" s="14"/>
      <c r="Q6774" s="14"/>
      <c r="R6774" s="14"/>
    </row>
    <row r="6775" spans="15:18" x14ac:dyDescent="0.3">
      <c r="O6775" s="14"/>
      <c r="P6775" s="14"/>
      <c r="Q6775" s="14"/>
      <c r="R6775" s="14"/>
    </row>
    <row r="6776" spans="15:18" x14ac:dyDescent="0.3">
      <c r="O6776" s="14"/>
      <c r="P6776" s="14"/>
      <c r="Q6776" s="14"/>
      <c r="R6776" s="14"/>
    </row>
    <row r="6777" spans="15:18" x14ac:dyDescent="0.3">
      <c r="O6777" s="14"/>
      <c r="P6777" s="14"/>
      <c r="Q6777" s="14"/>
      <c r="R6777" s="14"/>
    </row>
    <row r="6778" spans="15:18" x14ac:dyDescent="0.3">
      <c r="O6778" s="14"/>
      <c r="P6778" s="14"/>
      <c r="Q6778" s="14"/>
      <c r="R6778" s="14"/>
    </row>
    <row r="6779" spans="15:18" x14ac:dyDescent="0.3">
      <c r="O6779" s="14"/>
      <c r="P6779" s="14"/>
      <c r="Q6779" s="14"/>
      <c r="R6779" s="14"/>
    </row>
    <row r="6780" spans="15:18" x14ac:dyDescent="0.3">
      <c r="O6780" s="14"/>
      <c r="P6780" s="14"/>
      <c r="Q6780" s="14"/>
      <c r="R6780" s="14"/>
    </row>
    <row r="6781" spans="15:18" x14ac:dyDescent="0.3">
      <c r="O6781" s="14"/>
      <c r="P6781" s="14"/>
      <c r="Q6781" s="14"/>
      <c r="R6781" s="14"/>
    </row>
    <row r="6782" spans="15:18" x14ac:dyDescent="0.3">
      <c r="O6782" s="14"/>
      <c r="P6782" s="14"/>
      <c r="Q6782" s="14"/>
      <c r="R6782" s="14"/>
    </row>
    <row r="6783" spans="15:18" x14ac:dyDescent="0.3">
      <c r="O6783" s="14"/>
      <c r="P6783" s="14"/>
      <c r="Q6783" s="14"/>
      <c r="R6783" s="14"/>
    </row>
    <row r="6784" spans="15:18" x14ac:dyDescent="0.3">
      <c r="O6784" s="14"/>
      <c r="P6784" s="14"/>
      <c r="Q6784" s="14"/>
      <c r="R6784" s="14"/>
    </row>
    <row r="6785" spans="15:18" x14ac:dyDescent="0.3">
      <c r="O6785" s="14"/>
      <c r="P6785" s="14"/>
      <c r="Q6785" s="14"/>
      <c r="R6785" s="14"/>
    </row>
    <row r="6786" spans="15:18" x14ac:dyDescent="0.3">
      <c r="O6786" s="14"/>
      <c r="P6786" s="14"/>
      <c r="Q6786" s="14"/>
      <c r="R6786" s="14"/>
    </row>
    <row r="6787" spans="15:18" x14ac:dyDescent="0.3">
      <c r="O6787" s="14"/>
      <c r="P6787" s="14"/>
      <c r="Q6787" s="14"/>
      <c r="R6787" s="14"/>
    </row>
    <row r="6788" spans="15:18" x14ac:dyDescent="0.3">
      <c r="O6788" s="14"/>
      <c r="P6788" s="14"/>
      <c r="Q6788" s="14"/>
      <c r="R6788" s="14"/>
    </row>
    <row r="6789" spans="15:18" x14ac:dyDescent="0.3">
      <c r="O6789" s="14"/>
      <c r="P6789" s="14"/>
      <c r="Q6789" s="14"/>
      <c r="R6789" s="14"/>
    </row>
    <row r="6790" spans="15:18" x14ac:dyDescent="0.3">
      <c r="O6790" s="14"/>
      <c r="P6790" s="14"/>
      <c r="Q6790" s="14"/>
      <c r="R6790" s="14"/>
    </row>
    <row r="6791" spans="15:18" x14ac:dyDescent="0.3">
      <c r="O6791" s="14"/>
      <c r="P6791" s="14"/>
      <c r="Q6791" s="14"/>
      <c r="R6791" s="14"/>
    </row>
    <row r="6792" spans="15:18" x14ac:dyDescent="0.3">
      <c r="O6792" s="14"/>
      <c r="P6792" s="14"/>
      <c r="Q6792" s="14"/>
      <c r="R6792" s="14"/>
    </row>
    <row r="6793" spans="15:18" x14ac:dyDescent="0.3">
      <c r="O6793" s="14"/>
      <c r="P6793" s="14"/>
      <c r="Q6793" s="14"/>
      <c r="R6793" s="14"/>
    </row>
    <row r="6794" spans="15:18" x14ac:dyDescent="0.3">
      <c r="O6794" s="14"/>
      <c r="P6794" s="14"/>
      <c r="Q6794" s="14"/>
      <c r="R6794" s="14"/>
    </row>
    <row r="6795" spans="15:18" x14ac:dyDescent="0.3">
      <c r="O6795" s="14"/>
      <c r="P6795" s="14"/>
      <c r="Q6795" s="14"/>
      <c r="R6795" s="14"/>
    </row>
    <row r="6796" spans="15:18" x14ac:dyDescent="0.3">
      <c r="O6796" s="14"/>
      <c r="P6796" s="14"/>
      <c r="Q6796" s="14"/>
      <c r="R6796" s="14"/>
    </row>
    <row r="6797" spans="15:18" x14ac:dyDescent="0.3">
      <c r="O6797" s="14"/>
      <c r="P6797" s="14"/>
      <c r="Q6797" s="14"/>
      <c r="R6797" s="14"/>
    </row>
    <row r="6798" spans="15:18" x14ac:dyDescent="0.3">
      <c r="O6798" s="14"/>
      <c r="P6798" s="14"/>
      <c r="Q6798" s="14"/>
      <c r="R6798" s="14"/>
    </row>
    <row r="6799" spans="15:18" x14ac:dyDescent="0.3">
      <c r="O6799" s="14"/>
      <c r="P6799" s="14"/>
      <c r="Q6799" s="14"/>
      <c r="R6799" s="14"/>
    </row>
    <row r="6800" spans="15:18" x14ac:dyDescent="0.3">
      <c r="O6800" s="14"/>
      <c r="P6800" s="14"/>
      <c r="Q6800" s="14"/>
      <c r="R6800" s="14"/>
    </row>
    <row r="6801" spans="15:18" x14ac:dyDescent="0.3">
      <c r="O6801" s="14"/>
      <c r="P6801" s="14"/>
      <c r="Q6801" s="14"/>
      <c r="R6801" s="14"/>
    </row>
    <row r="6802" spans="15:18" x14ac:dyDescent="0.3">
      <c r="O6802" s="14"/>
      <c r="P6802" s="14"/>
      <c r="Q6802" s="14"/>
      <c r="R6802" s="14"/>
    </row>
    <row r="6803" spans="15:18" x14ac:dyDescent="0.3">
      <c r="O6803" s="14"/>
      <c r="P6803" s="14"/>
      <c r="Q6803" s="14"/>
      <c r="R6803" s="14"/>
    </row>
    <row r="6804" spans="15:18" x14ac:dyDescent="0.3">
      <c r="O6804" s="14"/>
      <c r="P6804" s="14"/>
      <c r="Q6804" s="14"/>
      <c r="R6804" s="14"/>
    </row>
    <row r="6805" spans="15:18" x14ac:dyDescent="0.3">
      <c r="O6805" s="14"/>
      <c r="P6805" s="14"/>
      <c r="Q6805" s="14"/>
      <c r="R6805" s="14"/>
    </row>
    <row r="6806" spans="15:18" x14ac:dyDescent="0.3">
      <c r="O6806" s="14"/>
      <c r="P6806" s="14"/>
      <c r="Q6806" s="14"/>
      <c r="R6806" s="14"/>
    </row>
    <row r="6807" spans="15:18" x14ac:dyDescent="0.3">
      <c r="O6807" s="14"/>
      <c r="P6807" s="14"/>
      <c r="Q6807" s="14"/>
      <c r="R6807" s="14"/>
    </row>
    <row r="6808" spans="15:18" x14ac:dyDescent="0.3">
      <c r="O6808" s="14"/>
      <c r="P6808" s="14"/>
      <c r="Q6808" s="14"/>
      <c r="R6808" s="14"/>
    </row>
    <row r="6809" spans="15:18" x14ac:dyDescent="0.3">
      <c r="O6809" s="14"/>
      <c r="P6809" s="14"/>
      <c r="Q6809" s="14"/>
      <c r="R6809" s="14"/>
    </row>
    <row r="6810" spans="15:18" x14ac:dyDescent="0.3">
      <c r="O6810" s="14"/>
      <c r="P6810" s="14"/>
      <c r="Q6810" s="14"/>
      <c r="R6810" s="14"/>
    </row>
    <row r="6811" spans="15:18" x14ac:dyDescent="0.3">
      <c r="O6811" s="14"/>
      <c r="P6811" s="14"/>
      <c r="Q6811" s="14"/>
      <c r="R6811" s="14"/>
    </row>
    <row r="6812" spans="15:18" x14ac:dyDescent="0.3">
      <c r="O6812" s="14"/>
      <c r="P6812" s="14"/>
      <c r="Q6812" s="14"/>
      <c r="R6812" s="14"/>
    </row>
    <row r="6813" spans="15:18" x14ac:dyDescent="0.3">
      <c r="O6813" s="14"/>
      <c r="P6813" s="14"/>
      <c r="Q6813" s="14"/>
      <c r="R6813" s="14"/>
    </row>
    <row r="6814" spans="15:18" x14ac:dyDescent="0.3">
      <c r="O6814" s="14"/>
      <c r="P6814" s="14"/>
      <c r="Q6814" s="14"/>
      <c r="R6814" s="14"/>
    </row>
    <row r="6815" spans="15:18" x14ac:dyDescent="0.3">
      <c r="O6815" s="14"/>
      <c r="P6815" s="14"/>
      <c r="Q6815" s="14"/>
      <c r="R6815" s="14"/>
    </row>
    <row r="6816" spans="15:18" x14ac:dyDescent="0.3">
      <c r="O6816" s="14"/>
      <c r="P6816" s="14"/>
      <c r="Q6816" s="14"/>
      <c r="R6816" s="14"/>
    </row>
    <row r="6817" spans="15:18" x14ac:dyDescent="0.3">
      <c r="O6817" s="14"/>
      <c r="P6817" s="14"/>
      <c r="Q6817" s="14"/>
      <c r="R6817" s="14"/>
    </row>
    <row r="6818" spans="15:18" x14ac:dyDescent="0.3">
      <c r="O6818" s="14"/>
      <c r="P6818" s="14"/>
      <c r="Q6818" s="14"/>
      <c r="R6818" s="14"/>
    </row>
    <row r="6819" spans="15:18" x14ac:dyDescent="0.3">
      <c r="O6819" s="14"/>
      <c r="P6819" s="14"/>
      <c r="Q6819" s="14"/>
      <c r="R6819" s="14"/>
    </row>
    <row r="6820" spans="15:18" x14ac:dyDescent="0.3">
      <c r="O6820" s="14"/>
      <c r="P6820" s="14"/>
      <c r="Q6820" s="14"/>
      <c r="R6820" s="14"/>
    </row>
    <row r="6821" spans="15:18" x14ac:dyDescent="0.3">
      <c r="O6821" s="14"/>
      <c r="P6821" s="14"/>
      <c r="Q6821" s="14"/>
      <c r="R6821" s="14"/>
    </row>
    <row r="6822" spans="15:18" x14ac:dyDescent="0.3">
      <c r="O6822" s="14"/>
      <c r="P6822" s="14"/>
      <c r="Q6822" s="14"/>
      <c r="R6822" s="14"/>
    </row>
    <row r="6823" spans="15:18" x14ac:dyDescent="0.3">
      <c r="O6823" s="14"/>
      <c r="P6823" s="14"/>
      <c r="Q6823" s="14"/>
      <c r="R6823" s="14"/>
    </row>
    <row r="6824" spans="15:18" x14ac:dyDescent="0.3">
      <c r="O6824" s="14"/>
      <c r="P6824" s="14"/>
      <c r="Q6824" s="14"/>
      <c r="R6824" s="14"/>
    </row>
    <row r="6825" spans="15:18" x14ac:dyDescent="0.3">
      <c r="O6825" s="14"/>
      <c r="P6825" s="14"/>
      <c r="Q6825" s="14"/>
      <c r="R6825" s="14"/>
    </row>
    <row r="6826" spans="15:18" x14ac:dyDescent="0.3">
      <c r="O6826" s="14"/>
      <c r="P6826" s="14"/>
      <c r="Q6826" s="14"/>
      <c r="R6826" s="14"/>
    </row>
    <row r="6827" spans="15:18" x14ac:dyDescent="0.3">
      <c r="O6827" s="14"/>
      <c r="P6827" s="14"/>
      <c r="Q6827" s="14"/>
      <c r="R6827" s="14"/>
    </row>
    <row r="6828" spans="15:18" x14ac:dyDescent="0.3">
      <c r="O6828" s="14"/>
      <c r="P6828" s="14"/>
      <c r="Q6828" s="14"/>
      <c r="R6828" s="14"/>
    </row>
    <row r="6829" spans="15:18" x14ac:dyDescent="0.3">
      <c r="O6829" s="14"/>
      <c r="P6829" s="14"/>
      <c r="Q6829" s="14"/>
      <c r="R6829" s="14"/>
    </row>
    <row r="6830" spans="15:18" x14ac:dyDescent="0.3">
      <c r="O6830" s="14"/>
      <c r="P6830" s="14"/>
      <c r="Q6830" s="14"/>
      <c r="R6830" s="14"/>
    </row>
    <row r="6831" spans="15:18" x14ac:dyDescent="0.3">
      <c r="O6831" s="14"/>
      <c r="P6831" s="14"/>
      <c r="Q6831" s="14"/>
      <c r="R6831" s="14"/>
    </row>
    <row r="6832" spans="15:18" x14ac:dyDescent="0.3">
      <c r="O6832" s="14"/>
      <c r="P6832" s="14"/>
      <c r="Q6832" s="14"/>
      <c r="R6832" s="14"/>
    </row>
    <row r="6833" spans="15:18" x14ac:dyDescent="0.3">
      <c r="O6833" s="14"/>
      <c r="P6833" s="14"/>
      <c r="Q6833" s="14"/>
      <c r="R6833" s="14"/>
    </row>
    <row r="6834" spans="15:18" x14ac:dyDescent="0.3">
      <c r="O6834" s="14"/>
      <c r="P6834" s="14"/>
      <c r="Q6834" s="14"/>
      <c r="R6834" s="14"/>
    </row>
    <row r="6835" spans="15:18" x14ac:dyDescent="0.3">
      <c r="O6835" s="14"/>
      <c r="P6835" s="14"/>
      <c r="Q6835" s="14"/>
      <c r="R6835" s="14"/>
    </row>
    <row r="6836" spans="15:18" x14ac:dyDescent="0.3">
      <c r="O6836" s="14"/>
      <c r="P6836" s="14"/>
      <c r="Q6836" s="14"/>
      <c r="R6836" s="14"/>
    </row>
    <row r="6837" spans="15:18" x14ac:dyDescent="0.3">
      <c r="O6837" s="14"/>
      <c r="P6837" s="14"/>
      <c r="Q6837" s="14"/>
      <c r="R6837" s="14"/>
    </row>
    <row r="6838" spans="15:18" x14ac:dyDescent="0.3">
      <c r="O6838" s="14"/>
      <c r="P6838" s="14"/>
      <c r="Q6838" s="14"/>
      <c r="R6838" s="14"/>
    </row>
    <row r="6839" spans="15:18" x14ac:dyDescent="0.3">
      <c r="O6839" s="14"/>
      <c r="P6839" s="14"/>
      <c r="Q6839" s="14"/>
      <c r="R6839" s="14"/>
    </row>
    <row r="6840" spans="15:18" x14ac:dyDescent="0.3">
      <c r="O6840" s="14"/>
      <c r="P6840" s="14"/>
      <c r="Q6840" s="14"/>
      <c r="R6840" s="14"/>
    </row>
    <row r="6841" spans="15:18" x14ac:dyDescent="0.3">
      <c r="O6841" s="14"/>
      <c r="P6841" s="14"/>
      <c r="Q6841" s="14"/>
      <c r="R6841" s="14"/>
    </row>
    <row r="6842" spans="15:18" x14ac:dyDescent="0.3">
      <c r="O6842" s="14"/>
      <c r="P6842" s="14"/>
      <c r="Q6842" s="14"/>
      <c r="R6842" s="14"/>
    </row>
    <row r="6843" spans="15:18" x14ac:dyDescent="0.3">
      <c r="O6843" s="14"/>
      <c r="P6843" s="14"/>
      <c r="Q6843" s="14"/>
      <c r="R6843" s="14"/>
    </row>
    <row r="6844" spans="15:18" x14ac:dyDescent="0.3">
      <c r="O6844" s="14"/>
      <c r="P6844" s="14"/>
      <c r="Q6844" s="14"/>
      <c r="R6844" s="14"/>
    </row>
    <row r="6845" spans="15:18" x14ac:dyDescent="0.3">
      <c r="O6845" s="14"/>
      <c r="P6845" s="14"/>
      <c r="Q6845" s="14"/>
      <c r="R6845" s="14"/>
    </row>
    <row r="6846" spans="15:18" x14ac:dyDescent="0.3">
      <c r="O6846" s="14"/>
      <c r="P6846" s="14"/>
      <c r="Q6846" s="14"/>
      <c r="R6846" s="14"/>
    </row>
    <row r="6847" spans="15:18" x14ac:dyDescent="0.3">
      <c r="O6847" s="14"/>
      <c r="P6847" s="14"/>
      <c r="Q6847" s="14"/>
      <c r="R6847" s="14"/>
    </row>
    <row r="6848" spans="15:18" x14ac:dyDescent="0.3">
      <c r="O6848" s="14"/>
      <c r="P6848" s="14"/>
      <c r="Q6848" s="14"/>
      <c r="R6848" s="14"/>
    </row>
    <row r="6849" spans="15:18" x14ac:dyDescent="0.3">
      <c r="O6849" s="14"/>
      <c r="P6849" s="14"/>
      <c r="Q6849" s="14"/>
      <c r="R6849" s="14"/>
    </row>
    <row r="6850" spans="15:18" x14ac:dyDescent="0.3">
      <c r="O6850" s="14"/>
      <c r="P6850" s="14"/>
      <c r="Q6850" s="14"/>
      <c r="R6850" s="14"/>
    </row>
    <row r="6851" spans="15:18" x14ac:dyDescent="0.3">
      <c r="O6851" s="14"/>
      <c r="P6851" s="14"/>
      <c r="Q6851" s="14"/>
      <c r="R6851" s="14"/>
    </row>
    <row r="6852" spans="15:18" x14ac:dyDescent="0.3">
      <c r="O6852" s="14"/>
      <c r="P6852" s="14"/>
      <c r="Q6852" s="14"/>
      <c r="R6852" s="14"/>
    </row>
    <row r="6853" spans="15:18" x14ac:dyDescent="0.3">
      <c r="O6853" s="14"/>
      <c r="P6853" s="14"/>
      <c r="Q6853" s="14"/>
      <c r="R6853" s="14"/>
    </row>
    <row r="6854" spans="15:18" x14ac:dyDescent="0.3">
      <c r="O6854" s="14"/>
      <c r="P6854" s="14"/>
      <c r="Q6854" s="14"/>
      <c r="R6854" s="14"/>
    </row>
    <row r="6855" spans="15:18" x14ac:dyDescent="0.3">
      <c r="O6855" s="14"/>
      <c r="P6855" s="14"/>
      <c r="Q6855" s="14"/>
      <c r="R6855" s="14"/>
    </row>
    <row r="6856" spans="15:18" x14ac:dyDescent="0.3">
      <c r="O6856" s="14"/>
      <c r="P6856" s="14"/>
      <c r="Q6856" s="14"/>
      <c r="R6856" s="14"/>
    </row>
    <row r="6857" spans="15:18" x14ac:dyDescent="0.3">
      <c r="O6857" s="14"/>
      <c r="P6857" s="14"/>
      <c r="Q6857" s="14"/>
      <c r="R6857" s="14"/>
    </row>
    <row r="6858" spans="15:18" x14ac:dyDescent="0.3">
      <c r="O6858" s="14"/>
      <c r="P6858" s="14"/>
      <c r="Q6858" s="14"/>
      <c r="R6858" s="14"/>
    </row>
    <row r="6859" spans="15:18" x14ac:dyDescent="0.3">
      <c r="O6859" s="14"/>
      <c r="P6859" s="14"/>
      <c r="Q6859" s="14"/>
      <c r="R6859" s="14"/>
    </row>
    <row r="6860" spans="15:18" x14ac:dyDescent="0.3">
      <c r="O6860" s="14"/>
      <c r="P6860" s="14"/>
      <c r="Q6860" s="14"/>
      <c r="R6860" s="14"/>
    </row>
    <row r="6861" spans="15:18" x14ac:dyDescent="0.3">
      <c r="O6861" s="14"/>
      <c r="P6861" s="14"/>
      <c r="Q6861" s="14"/>
      <c r="R6861" s="14"/>
    </row>
    <row r="6862" spans="15:18" x14ac:dyDescent="0.3">
      <c r="O6862" s="14"/>
      <c r="P6862" s="14"/>
      <c r="Q6862" s="14"/>
      <c r="R6862" s="14"/>
    </row>
    <row r="6863" spans="15:18" x14ac:dyDescent="0.3">
      <c r="O6863" s="14"/>
      <c r="P6863" s="14"/>
      <c r="Q6863" s="14"/>
      <c r="R6863" s="14"/>
    </row>
    <row r="6864" spans="15:18" x14ac:dyDescent="0.3">
      <c r="O6864" s="14"/>
      <c r="P6864" s="14"/>
      <c r="Q6864" s="14"/>
      <c r="R6864" s="14"/>
    </row>
    <row r="6865" spans="15:18" x14ac:dyDescent="0.3">
      <c r="O6865" s="14"/>
      <c r="P6865" s="14"/>
      <c r="Q6865" s="14"/>
      <c r="R6865" s="14"/>
    </row>
    <row r="6866" spans="15:18" x14ac:dyDescent="0.3">
      <c r="O6866" s="14"/>
      <c r="P6866" s="14"/>
      <c r="Q6866" s="14"/>
      <c r="R6866" s="14"/>
    </row>
    <row r="6867" spans="15:18" x14ac:dyDescent="0.3">
      <c r="O6867" s="14"/>
      <c r="P6867" s="14"/>
      <c r="Q6867" s="14"/>
      <c r="R6867" s="14"/>
    </row>
    <row r="6868" spans="15:18" x14ac:dyDescent="0.3">
      <c r="O6868" s="14"/>
      <c r="P6868" s="14"/>
      <c r="Q6868" s="14"/>
      <c r="R6868" s="14"/>
    </row>
    <row r="6869" spans="15:18" x14ac:dyDescent="0.3">
      <c r="O6869" s="14"/>
      <c r="P6869" s="14"/>
      <c r="Q6869" s="14"/>
      <c r="R6869" s="14"/>
    </row>
    <row r="6870" spans="15:18" x14ac:dyDescent="0.3">
      <c r="O6870" s="14"/>
      <c r="P6870" s="14"/>
      <c r="Q6870" s="14"/>
      <c r="R6870" s="14"/>
    </row>
    <row r="6871" spans="15:18" x14ac:dyDescent="0.3">
      <c r="O6871" s="14"/>
      <c r="P6871" s="14"/>
      <c r="Q6871" s="14"/>
      <c r="R6871" s="14"/>
    </row>
    <row r="6872" spans="15:18" x14ac:dyDescent="0.3">
      <c r="O6872" s="14"/>
      <c r="P6872" s="14"/>
      <c r="Q6872" s="14"/>
      <c r="R6872" s="14"/>
    </row>
    <row r="6873" spans="15:18" x14ac:dyDescent="0.3">
      <c r="O6873" s="14"/>
      <c r="P6873" s="14"/>
      <c r="Q6873" s="14"/>
      <c r="R6873" s="14"/>
    </row>
    <row r="6874" spans="15:18" x14ac:dyDescent="0.3">
      <c r="O6874" s="14"/>
      <c r="P6874" s="14"/>
      <c r="Q6874" s="14"/>
      <c r="R6874" s="14"/>
    </row>
    <row r="6875" spans="15:18" x14ac:dyDescent="0.3">
      <c r="O6875" s="14"/>
      <c r="P6875" s="14"/>
      <c r="Q6875" s="14"/>
      <c r="R6875" s="14"/>
    </row>
    <row r="6876" spans="15:18" x14ac:dyDescent="0.3">
      <c r="O6876" s="14"/>
      <c r="P6876" s="14"/>
      <c r="Q6876" s="14"/>
      <c r="R6876" s="14"/>
    </row>
    <row r="6877" spans="15:18" x14ac:dyDescent="0.3">
      <c r="O6877" s="14"/>
      <c r="P6877" s="14"/>
      <c r="Q6877" s="14"/>
      <c r="R6877" s="14"/>
    </row>
    <row r="6878" spans="15:18" x14ac:dyDescent="0.3">
      <c r="O6878" s="14"/>
      <c r="P6878" s="14"/>
      <c r="Q6878" s="14"/>
      <c r="R6878" s="14"/>
    </row>
    <row r="6879" spans="15:18" x14ac:dyDescent="0.3">
      <c r="O6879" s="14"/>
      <c r="P6879" s="14"/>
      <c r="Q6879" s="14"/>
      <c r="R6879" s="14"/>
    </row>
    <row r="6880" spans="15:18" x14ac:dyDescent="0.3">
      <c r="O6880" s="14"/>
      <c r="P6880" s="14"/>
      <c r="Q6880" s="14"/>
      <c r="R6880" s="14"/>
    </row>
    <row r="6881" spans="15:18" x14ac:dyDescent="0.3">
      <c r="O6881" s="14"/>
      <c r="P6881" s="14"/>
      <c r="Q6881" s="14"/>
      <c r="R6881" s="14"/>
    </row>
    <row r="6882" spans="15:18" x14ac:dyDescent="0.3">
      <c r="O6882" s="14"/>
      <c r="P6882" s="14"/>
      <c r="Q6882" s="14"/>
      <c r="R6882" s="14"/>
    </row>
    <row r="6883" spans="15:18" x14ac:dyDescent="0.3">
      <c r="O6883" s="14"/>
      <c r="P6883" s="14"/>
      <c r="Q6883" s="14"/>
      <c r="R6883" s="14"/>
    </row>
    <row r="6884" spans="15:18" x14ac:dyDescent="0.3">
      <c r="O6884" s="14"/>
      <c r="P6884" s="14"/>
      <c r="Q6884" s="14"/>
      <c r="R6884" s="14"/>
    </row>
    <row r="6885" spans="15:18" x14ac:dyDescent="0.3">
      <c r="O6885" s="14"/>
      <c r="P6885" s="14"/>
      <c r="Q6885" s="14"/>
      <c r="R6885" s="14"/>
    </row>
    <row r="6886" spans="15:18" x14ac:dyDescent="0.3">
      <c r="O6886" s="14"/>
      <c r="P6886" s="14"/>
      <c r="Q6886" s="14"/>
      <c r="R6886" s="14"/>
    </row>
    <row r="6887" spans="15:18" x14ac:dyDescent="0.3">
      <c r="O6887" s="14"/>
      <c r="P6887" s="14"/>
      <c r="Q6887" s="14"/>
      <c r="R6887" s="14"/>
    </row>
    <row r="6888" spans="15:18" x14ac:dyDescent="0.3">
      <c r="O6888" s="14"/>
      <c r="P6888" s="14"/>
      <c r="Q6888" s="14"/>
      <c r="R6888" s="14"/>
    </row>
    <row r="6889" spans="15:18" x14ac:dyDescent="0.3">
      <c r="O6889" s="14"/>
      <c r="P6889" s="14"/>
      <c r="Q6889" s="14"/>
      <c r="R6889" s="14"/>
    </row>
    <row r="6890" spans="15:18" x14ac:dyDescent="0.3">
      <c r="O6890" s="14"/>
      <c r="P6890" s="14"/>
      <c r="Q6890" s="14"/>
      <c r="R6890" s="14"/>
    </row>
    <row r="6891" spans="15:18" x14ac:dyDescent="0.3">
      <c r="O6891" s="14"/>
      <c r="P6891" s="14"/>
      <c r="Q6891" s="14"/>
      <c r="R6891" s="14"/>
    </row>
    <row r="6892" spans="15:18" x14ac:dyDescent="0.3">
      <c r="O6892" s="14"/>
      <c r="P6892" s="14"/>
      <c r="Q6892" s="14"/>
      <c r="R6892" s="14"/>
    </row>
    <row r="6893" spans="15:18" x14ac:dyDescent="0.3">
      <c r="O6893" s="14"/>
      <c r="P6893" s="14"/>
      <c r="Q6893" s="14"/>
      <c r="R6893" s="14"/>
    </row>
    <row r="6894" spans="15:18" x14ac:dyDescent="0.3">
      <c r="O6894" s="14"/>
      <c r="P6894" s="14"/>
      <c r="Q6894" s="14"/>
      <c r="R6894" s="14"/>
    </row>
    <row r="6895" spans="15:18" x14ac:dyDescent="0.3">
      <c r="O6895" s="14"/>
      <c r="P6895" s="14"/>
      <c r="Q6895" s="14"/>
      <c r="R6895" s="14"/>
    </row>
    <row r="6896" spans="15:18" x14ac:dyDescent="0.3">
      <c r="O6896" s="14"/>
      <c r="P6896" s="14"/>
      <c r="Q6896" s="14"/>
      <c r="R6896" s="14"/>
    </row>
    <row r="6897" spans="15:18" x14ac:dyDescent="0.3">
      <c r="O6897" s="14"/>
      <c r="P6897" s="14"/>
      <c r="Q6897" s="14"/>
      <c r="R6897" s="14"/>
    </row>
    <row r="6898" spans="15:18" x14ac:dyDescent="0.3">
      <c r="O6898" s="14"/>
      <c r="P6898" s="14"/>
      <c r="Q6898" s="14"/>
      <c r="R6898" s="14"/>
    </row>
    <row r="6899" spans="15:18" x14ac:dyDescent="0.3">
      <c r="O6899" s="14"/>
      <c r="P6899" s="14"/>
      <c r="Q6899" s="14"/>
      <c r="R6899" s="14"/>
    </row>
    <row r="6900" spans="15:18" x14ac:dyDescent="0.3">
      <c r="O6900" s="14"/>
      <c r="P6900" s="14"/>
      <c r="Q6900" s="14"/>
      <c r="R6900" s="14"/>
    </row>
    <row r="6901" spans="15:18" x14ac:dyDescent="0.3">
      <c r="O6901" s="14"/>
      <c r="P6901" s="14"/>
      <c r="Q6901" s="14"/>
      <c r="R6901" s="14"/>
    </row>
    <row r="6902" spans="15:18" x14ac:dyDescent="0.3">
      <c r="O6902" s="14"/>
      <c r="P6902" s="14"/>
      <c r="Q6902" s="14"/>
      <c r="R6902" s="14"/>
    </row>
    <row r="6903" spans="15:18" x14ac:dyDescent="0.3">
      <c r="O6903" s="14"/>
      <c r="P6903" s="14"/>
      <c r="Q6903" s="14"/>
      <c r="R6903" s="14"/>
    </row>
    <row r="6904" spans="15:18" x14ac:dyDescent="0.3">
      <c r="O6904" s="14"/>
      <c r="P6904" s="14"/>
      <c r="Q6904" s="14"/>
      <c r="R6904" s="14"/>
    </row>
    <row r="6905" spans="15:18" x14ac:dyDescent="0.3">
      <c r="O6905" s="14"/>
      <c r="P6905" s="14"/>
      <c r="Q6905" s="14"/>
      <c r="R6905" s="14"/>
    </row>
    <row r="6906" spans="15:18" x14ac:dyDescent="0.3">
      <c r="O6906" s="14"/>
      <c r="P6906" s="14"/>
      <c r="Q6906" s="14"/>
      <c r="R6906" s="14"/>
    </row>
    <row r="6907" spans="15:18" x14ac:dyDescent="0.3">
      <c r="O6907" s="14"/>
      <c r="P6907" s="14"/>
      <c r="Q6907" s="14"/>
      <c r="R6907" s="14"/>
    </row>
    <row r="6908" spans="15:18" x14ac:dyDescent="0.3">
      <c r="O6908" s="14"/>
      <c r="P6908" s="14"/>
      <c r="Q6908" s="14"/>
      <c r="R6908" s="14"/>
    </row>
    <row r="6909" spans="15:18" x14ac:dyDescent="0.3">
      <c r="O6909" s="14"/>
      <c r="P6909" s="14"/>
      <c r="Q6909" s="14"/>
      <c r="R6909" s="14"/>
    </row>
    <row r="6910" spans="15:18" x14ac:dyDescent="0.3">
      <c r="O6910" s="14"/>
      <c r="P6910" s="14"/>
      <c r="Q6910" s="14"/>
      <c r="R6910" s="14"/>
    </row>
    <row r="6911" spans="15:18" x14ac:dyDescent="0.3">
      <c r="O6911" s="14"/>
      <c r="P6911" s="14"/>
      <c r="Q6911" s="14"/>
      <c r="R6911" s="14"/>
    </row>
    <row r="6912" spans="15:18" x14ac:dyDescent="0.3">
      <c r="O6912" s="14"/>
      <c r="P6912" s="14"/>
      <c r="Q6912" s="14"/>
      <c r="R6912" s="14"/>
    </row>
    <row r="6913" spans="15:18" x14ac:dyDescent="0.3">
      <c r="O6913" s="14"/>
      <c r="P6913" s="14"/>
      <c r="Q6913" s="14"/>
      <c r="R6913" s="14"/>
    </row>
    <row r="6914" spans="15:18" x14ac:dyDescent="0.3">
      <c r="O6914" s="14"/>
      <c r="P6914" s="14"/>
      <c r="Q6914" s="14"/>
      <c r="R6914" s="14"/>
    </row>
    <row r="6915" spans="15:18" x14ac:dyDescent="0.3">
      <c r="O6915" s="14"/>
      <c r="P6915" s="14"/>
      <c r="Q6915" s="14"/>
      <c r="R6915" s="14"/>
    </row>
    <row r="6916" spans="15:18" x14ac:dyDescent="0.3">
      <c r="O6916" s="14"/>
      <c r="P6916" s="14"/>
      <c r="Q6916" s="14"/>
      <c r="R6916" s="14"/>
    </row>
    <row r="6917" spans="15:18" x14ac:dyDescent="0.3">
      <c r="O6917" s="14"/>
      <c r="P6917" s="14"/>
      <c r="Q6917" s="14"/>
      <c r="R6917" s="14"/>
    </row>
    <row r="6918" spans="15:18" x14ac:dyDescent="0.3">
      <c r="O6918" s="14"/>
      <c r="P6918" s="14"/>
      <c r="Q6918" s="14"/>
      <c r="R6918" s="14"/>
    </row>
    <row r="6919" spans="15:18" x14ac:dyDescent="0.3">
      <c r="O6919" s="14"/>
      <c r="P6919" s="14"/>
      <c r="Q6919" s="14"/>
      <c r="R6919" s="14"/>
    </row>
    <row r="6920" spans="15:18" x14ac:dyDescent="0.3">
      <c r="O6920" s="14"/>
      <c r="P6920" s="14"/>
      <c r="Q6920" s="14"/>
      <c r="R6920" s="14"/>
    </row>
    <row r="6921" spans="15:18" x14ac:dyDescent="0.3">
      <c r="O6921" s="14"/>
      <c r="P6921" s="14"/>
      <c r="Q6921" s="14"/>
      <c r="R6921" s="14"/>
    </row>
    <row r="6922" spans="15:18" x14ac:dyDescent="0.3">
      <c r="O6922" s="14"/>
      <c r="P6922" s="14"/>
      <c r="Q6922" s="14"/>
      <c r="R6922" s="14"/>
    </row>
    <row r="6923" spans="15:18" x14ac:dyDescent="0.3">
      <c r="O6923" s="14"/>
      <c r="P6923" s="14"/>
      <c r="Q6923" s="14"/>
      <c r="R6923" s="14"/>
    </row>
    <row r="6924" spans="15:18" x14ac:dyDescent="0.3">
      <c r="O6924" s="14"/>
      <c r="P6924" s="14"/>
      <c r="Q6924" s="14"/>
      <c r="R6924" s="14"/>
    </row>
    <row r="6925" spans="15:18" x14ac:dyDescent="0.3">
      <c r="O6925" s="14"/>
      <c r="P6925" s="14"/>
      <c r="Q6925" s="14"/>
      <c r="R6925" s="14"/>
    </row>
    <row r="6926" spans="15:18" x14ac:dyDescent="0.3">
      <c r="O6926" s="14"/>
      <c r="P6926" s="14"/>
      <c r="Q6926" s="14"/>
      <c r="R6926" s="14"/>
    </row>
    <row r="6927" spans="15:18" x14ac:dyDescent="0.3">
      <c r="O6927" s="14"/>
      <c r="P6927" s="14"/>
      <c r="Q6927" s="14"/>
      <c r="R6927" s="14"/>
    </row>
    <row r="6928" spans="15:18" x14ac:dyDescent="0.3">
      <c r="O6928" s="14"/>
      <c r="P6928" s="14"/>
      <c r="Q6928" s="14"/>
      <c r="R6928" s="14"/>
    </row>
    <row r="6929" spans="15:18" x14ac:dyDescent="0.3">
      <c r="O6929" s="14"/>
      <c r="P6929" s="14"/>
      <c r="Q6929" s="14"/>
      <c r="R6929" s="14"/>
    </row>
    <row r="6930" spans="15:18" x14ac:dyDescent="0.3">
      <c r="O6930" s="14"/>
      <c r="P6930" s="14"/>
      <c r="Q6930" s="14"/>
      <c r="R6930" s="14"/>
    </row>
    <row r="6931" spans="15:18" x14ac:dyDescent="0.3">
      <c r="O6931" s="14"/>
      <c r="P6931" s="14"/>
      <c r="Q6931" s="14"/>
      <c r="R6931" s="14"/>
    </row>
    <row r="6932" spans="15:18" x14ac:dyDescent="0.3">
      <c r="O6932" s="14"/>
      <c r="P6932" s="14"/>
      <c r="Q6932" s="14"/>
      <c r="R6932" s="14"/>
    </row>
    <row r="6933" spans="15:18" x14ac:dyDescent="0.3">
      <c r="O6933" s="14"/>
      <c r="P6933" s="14"/>
      <c r="Q6933" s="14"/>
      <c r="R6933" s="14"/>
    </row>
    <row r="6934" spans="15:18" x14ac:dyDescent="0.3">
      <c r="O6934" s="14"/>
      <c r="P6934" s="14"/>
      <c r="Q6934" s="14"/>
      <c r="R6934" s="14"/>
    </row>
    <row r="6935" spans="15:18" x14ac:dyDescent="0.3">
      <c r="O6935" s="14"/>
      <c r="P6935" s="14"/>
      <c r="Q6935" s="14"/>
      <c r="R6935" s="14"/>
    </row>
    <row r="6936" spans="15:18" x14ac:dyDescent="0.3">
      <c r="O6936" s="14"/>
      <c r="P6936" s="14"/>
      <c r="Q6936" s="14"/>
      <c r="R6936" s="14"/>
    </row>
    <row r="6937" spans="15:18" x14ac:dyDescent="0.3">
      <c r="O6937" s="14"/>
      <c r="P6937" s="14"/>
      <c r="Q6937" s="14"/>
      <c r="R6937" s="14"/>
    </row>
    <row r="6938" spans="15:18" x14ac:dyDescent="0.3">
      <c r="O6938" s="14"/>
      <c r="P6938" s="14"/>
      <c r="Q6938" s="14"/>
      <c r="R6938" s="14"/>
    </row>
    <row r="6939" spans="15:18" x14ac:dyDescent="0.3">
      <c r="O6939" s="14"/>
      <c r="P6939" s="14"/>
      <c r="Q6939" s="14"/>
      <c r="R6939" s="14"/>
    </row>
    <row r="6940" spans="15:18" x14ac:dyDescent="0.3">
      <c r="O6940" s="14"/>
      <c r="P6940" s="14"/>
      <c r="Q6940" s="14"/>
      <c r="R6940" s="14"/>
    </row>
    <row r="6941" spans="15:18" x14ac:dyDescent="0.3">
      <c r="O6941" s="14"/>
      <c r="P6941" s="14"/>
      <c r="Q6941" s="14"/>
      <c r="R6941" s="14"/>
    </row>
    <row r="6942" spans="15:18" x14ac:dyDescent="0.3">
      <c r="O6942" s="14"/>
      <c r="P6942" s="14"/>
      <c r="Q6942" s="14"/>
      <c r="R6942" s="14"/>
    </row>
    <row r="6943" spans="15:18" x14ac:dyDescent="0.3">
      <c r="O6943" s="14"/>
      <c r="P6943" s="14"/>
      <c r="Q6943" s="14"/>
      <c r="R6943" s="14"/>
    </row>
    <row r="6944" spans="15:18" x14ac:dyDescent="0.3">
      <c r="O6944" s="14"/>
      <c r="P6944" s="14"/>
      <c r="Q6944" s="14"/>
      <c r="R6944" s="14"/>
    </row>
    <row r="6945" spans="15:18" x14ac:dyDescent="0.3">
      <c r="O6945" s="14"/>
      <c r="P6945" s="14"/>
      <c r="Q6945" s="14"/>
      <c r="R6945" s="14"/>
    </row>
    <row r="6946" spans="15:18" x14ac:dyDescent="0.3">
      <c r="O6946" s="14"/>
      <c r="P6946" s="14"/>
      <c r="Q6946" s="14"/>
      <c r="R6946" s="14"/>
    </row>
    <row r="6947" spans="15:18" x14ac:dyDescent="0.3">
      <c r="O6947" s="14"/>
      <c r="P6947" s="14"/>
      <c r="Q6947" s="14"/>
      <c r="R6947" s="14"/>
    </row>
    <row r="6948" spans="15:18" x14ac:dyDescent="0.3">
      <c r="O6948" s="14"/>
      <c r="P6948" s="14"/>
      <c r="Q6948" s="14"/>
      <c r="R6948" s="14"/>
    </row>
    <row r="6949" spans="15:18" x14ac:dyDescent="0.3">
      <c r="O6949" s="14"/>
      <c r="P6949" s="14"/>
      <c r="Q6949" s="14"/>
      <c r="R6949" s="14"/>
    </row>
    <row r="6950" spans="15:18" x14ac:dyDescent="0.3">
      <c r="O6950" s="14"/>
      <c r="P6950" s="14"/>
      <c r="Q6950" s="14"/>
      <c r="R6950" s="14"/>
    </row>
    <row r="6951" spans="15:18" x14ac:dyDescent="0.3">
      <c r="O6951" s="14"/>
      <c r="P6951" s="14"/>
      <c r="Q6951" s="14"/>
      <c r="R6951" s="14"/>
    </row>
    <row r="6952" spans="15:18" x14ac:dyDescent="0.3">
      <c r="O6952" s="14"/>
      <c r="P6952" s="14"/>
      <c r="Q6952" s="14"/>
      <c r="R6952" s="14"/>
    </row>
    <row r="6953" spans="15:18" x14ac:dyDescent="0.3">
      <c r="O6953" s="14"/>
      <c r="P6953" s="14"/>
      <c r="Q6953" s="14"/>
      <c r="R6953" s="14"/>
    </row>
    <row r="6954" spans="15:18" x14ac:dyDescent="0.3">
      <c r="O6954" s="14"/>
      <c r="P6954" s="14"/>
      <c r="Q6954" s="14"/>
      <c r="R6954" s="14"/>
    </row>
    <row r="6955" spans="15:18" x14ac:dyDescent="0.3">
      <c r="O6955" s="14"/>
      <c r="P6955" s="14"/>
      <c r="Q6955" s="14"/>
      <c r="R6955" s="14"/>
    </row>
    <row r="6956" spans="15:18" x14ac:dyDescent="0.3">
      <c r="O6956" s="14"/>
      <c r="P6956" s="14"/>
      <c r="Q6956" s="14"/>
      <c r="R6956" s="14"/>
    </row>
    <row r="6957" spans="15:18" x14ac:dyDescent="0.3">
      <c r="O6957" s="14"/>
      <c r="P6957" s="14"/>
      <c r="Q6957" s="14"/>
      <c r="R6957" s="14"/>
    </row>
    <row r="6958" spans="15:18" x14ac:dyDescent="0.3">
      <c r="O6958" s="14"/>
      <c r="P6958" s="14"/>
      <c r="Q6958" s="14"/>
      <c r="R6958" s="14"/>
    </row>
    <row r="6959" spans="15:18" x14ac:dyDescent="0.3">
      <c r="O6959" s="14"/>
      <c r="P6959" s="14"/>
      <c r="Q6959" s="14"/>
      <c r="R6959" s="14"/>
    </row>
    <row r="6960" spans="15:18" x14ac:dyDescent="0.3">
      <c r="O6960" s="14"/>
      <c r="P6960" s="14"/>
      <c r="Q6960" s="14"/>
      <c r="R6960" s="14"/>
    </row>
    <row r="6961" spans="15:18" x14ac:dyDescent="0.3">
      <c r="O6961" s="14"/>
      <c r="P6961" s="14"/>
      <c r="Q6961" s="14"/>
      <c r="R6961" s="14"/>
    </row>
    <row r="6962" spans="15:18" x14ac:dyDescent="0.3">
      <c r="O6962" s="14"/>
      <c r="P6962" s="14"/>
      <c r="Q6962" s="14"/>
      <c r="R6962" s="14"/>
    </row>
    <row r="6963" spans="15:18" x14ac:dyDescent="0.3">
      <c r="O6963" s="14"/>
      <c r="P6963" s="14"/>
      <c r="Q6963" s="14"/>
      <c r="R6963" s="14"/>
    </row>
    <row r="6964" spans="15:18" x14ac:dyDescent="0.3">
      <c r="O6964" s="14"/>
      <c r="P6964" s="14"/>
      <c r="Q6964" s="14"/>
      <c r="R6964" s="14"/>
    </row>
    <row r="6965" spans="15:18" x14ac:dyDescent="0.3">
      <c r="O6965" s="14"/>
      <c r="P6965" s="14"/>
      <c r="Q6965" s="14"/>
      <c r="R6965" s="14"/>
    </row>
    <row r="6966" spans="15:18" x14ac:dyDescent="0.3">
      <c r="O6966" s="14"/>
      <c r="P6966" s="14"/>
      <c r="Q6966" s="14"/>
      <c r="R6966" s="14"/>
    </row>
    <row r="6967" spans="15:18" x14ac:dyDescent="0.3">
      <c r="O6967" s="14"/>
      <c r="P6967" s="14"/>
      <c r="Q6967" s="14"/>
      <c r="R6967" s="14"/>
    </row>
    <row r="6968" spans="15:18" x14ac:dyDescent="0.3">
      <c r="O6968" s="14"/>
      <c r="P6968" s="14"/>
      <c r="Q6968" s="14"/>
      <c r="R6968" s="14"/>
    </row>
    <row r="6969" spans="15:18" x14ac:dyDescent="0.3">
      <c r="O6969" s="14"/>
      <c r="P6969" s="14"/>
      <c r="Q6969" s="14"/>
      <c r="R6969" s="14"/>
    </row>
    <row r="6970" spans="15:18" x14ac:dyDescent="0.3">
      <c r="O6970" s="14"/>
      <c r="P6970" s="14"/>
      <c r="Q6970" s="14"/>
      <c r="R6970" s="14"/>
    </row>
    <row r="6971" spans="15:18" x14ac:dyDescent="0.3">
      <c r="O6971" s="14"/>
      <c r="P6971" s="14"/>
      <c r="Q6971" s="14"/>
      <c r="R6971" s="14"/>
    </row>
    <row r="6972" spans="15:18" x14ac:dyDescent="0.3">
      <c r="O6972" s="14"/>
      <c r="P6972" s="14"/>
      <c r="Q6972" s="14"/>
      <c r="R6972" s="14"/>
    </row>
    <row r="6973" spans="15:18" x14ac:dyDescent="0.3">
      <c r="O6973" s="14"/>
      <c r="P6973" s="14"/>
      <c r="Q6973" s="14"/>
      <c r="R6973" s="14"/>
    </row>
    <row r="6974" spans="15:18" x14ac:dyDescent="0.3">
      <c r="O6974" s="14"/>
      <c r="P6974" s="14"/>
      <c r="Q6974" s="14"/>
      <c r="R6974" s="14"/>
    </row>
    <row r="6975" spans="15:18" x14ac:dyDescent="0.3">
      <c r="O6975" s="14"/>
      <c r="P6975" s="14"/>
      <c r="Q6975" s="14"/>
      <c r="R6975" s="14"/>
    </row>
    <row r="6976" spans="15:18" x14ac:dyDescent="0.3">
      <c r="O6976" s="14"/>
      <c r="P6976" s="14"/>
      <c r="Q6976" s="14"/>
      <c r="R6976" s="14"/>
    </row>
    <row r="6977" spans="15:18" x14ac:dyDescent="0.3">
      <c r="O6977" s="14"/>
      <c r="P6977" s="14"/>
      <c r="Q6977" s="14"/>
      <c r="R6977" s="14"/>
    </row>
    <row r="6978" spans="15:18" x14ac:dyDescent="0.3">
      <c r="O6978" s="14"/>
      <c r="P6978" s="14"/>
      <c r="Q6978" s="14"/>
      <c r="R6978" s="14"/>
    </row>
    <row r="6979" spans="15:18" x14ac:dyDescent="0.3">
      <c r="O6979" s="14"/>
      <c r="P6979" s="14"/>
      <c r="Q6979" s="14"/>
      <c r="R6979" s="14"/>
    </row>
    <row r="6980" spans="15:18" x14ac:dyDescent="0.3">
      <c r="O6980" s="14"/>
      <c r="P6980" s="14"/>
      <c r="Q6980" s="14"/>
      <c r="R6980" s="14"/>
    </row>
    <row r="6981" spans="15:18" x14ac:dyDescent="0.3">
      <c r="O6981" s="14"/>
      <c r="P6981" s="14"/>
      <c r="Q6981" s="14"/>
      <c r="R6981" s="14"/>
    </row>
    <row r="6982" spans="15:18" x14ac:dyDescent="0.3">
      <c r="O6982" s="14"/>
      <c r="P6982" s="14"/>
      <c r="Q6982" s="14"/>
      <c r="R6982" s="14"/>
    </row>
    <row r="6983" spans="15:18" x14ac:dyDescent="0.3">
      <c r="O6983" s="14"/>
      <c r="P6983" s="14"/>
      <c r="Q6983" s="14"/>
      <c r="R6983" s="14"/>
    </row>
    <row r="6984" spans="15:18" x14ac:dyDescent="0.3">
      <c r="O6984" s="14"/>
      <c r="P6984" s="14"/>
      <c r="Q6984" s="14"/>
      <c r="R6984" s="14"/>
    </row>
    <row r="6985" spans="15:18" x14ac:dyDescent="0.3">
      <c r="O6985" s="14"/>
      <c r="P6985" s="14"/>
      <c r="Q6985" s="14"/>
      <c r="R6985" s="14"/>
    </row>
    <row r="6986" spans="15:18" x14ac:dyDescent="0.3">
      <c r="O6986" s="14"/>
      <c r="P6986" s="14"/>
      <c r="Q6986" s="14"/>
      <c r="R6986" s="14"/>
    </row>
    <row r="6987" spans="15:18" x14ac:dyDescent="0.3">
      <c r="O6987" s="14"/>
      <c r="P6987" s="14"/>
      <c r="Q6987" s="14"/>
      <c r="R6987" s="14"/>
    </row>
    <row r="6988" spans="15:18" x14ac:dyDescent="0.3">
      <c r="O6988" s="14"/>
      <c r="P6988" s="14"/>
      <c r="Q6988" s="14"/>
      <c r="R6988" s="14"/>
    </row>
    <row r="6989" spans="15:18" x14ac:dyDescent="0.3">
      <c r="O6989" s="14"/>
      <c r="P6989" s="14"/>
      <c r="Q6989" s="14"/>
      <c r="R6989" s="14"/>
    </row>
    <row r="6990" spans="15:18" x14ac:dyDescent="0.3">
      <c r="O6990" s="14"/>
      <c r="P6990" s="14"/>
      <c r="Q6990" s="14"/>
      <c r="R6990" s="14"/>
    </row>
    <row r="6991" spans="15:18" x14ac:dyDescent="0.3">
      <c r="O6991" s="14"/>
      <c r="P6991" s="14"/>
      <c r="Q6991" s="14"/>
      <c r="R6991" s="14"/>
    </row>
    <row r="6992" spans="15:18" x14ac:dyDescent="0.3">
      <c r="O6992" s="14"/>
      <c r="P6992" s="14"/>
      <c r="Q6992" s="14"/>
      <c r="R6992" s="14"/>
    </row>
    <row r="6993" spans="15:18" x14ac:dyDescent="0.3">
      <c r="O6993" s="14"/>
      <c r="P6993" s="14"/>
      <c r="Q6993" s="14"/>
      <c r="R6993" s="14"/>
    </row>
    <row r="6994" spans="15:18" x14ac:dyDescent="0.3">
      <c r="O6994" s="14"/>
      <c r="P6994" s="14"/>
      <c r="Q6994" s="14"/>
      <c r="R6994" s="14"/>
    </row>
    <row r="6995" spans="15:18" x14ac:dyDescent="0.3">
      <c r="O6995" s="14"/>
      <c r="P6995" s="14"/>
      <c r="Q6995" s="14"/>
      <c r="R6995" s="14"/>
    </row>
    <row r="6996" spans="15:18" x14ac:dyDescent="0.3">
      <c r="O6996" s="14"/>
      <c r="P6996" s="14"/>
      <c r="Q6996" s="14"/>
      <c r="R6996" s="14"/>
    </row>
    <row r="6997" spans="15:18" x14ac:dyDescent="0.3">
      <c r="O6997" s="14"/>
      <c r="P6997" s="14"/>
      <c r="Q6997" s="14"/>
      <c r="R6997" s="14"/>
    </row>
    <row r="6998" spans="15:18" x14ac:dyDescent="0.3">
      <c r="O6998" s="14"/>
      <c r="P6998" s="14"/>
      <c r="Q6998" s="14"/>
      <c r="R6998" s="14"/>
    </row>
    <row r="6999" spans="15:18" x14ac:dyDescent="0.3">
      <c r="O6999" s="14"/>
      <c r="P6999" s="14"/>
      <c r="Q6999" s="14"/>
      <c r="R6999" s="14"/>
    </row>
    <row r="7000" spans="15:18" x14ac:dyDescent="0.3">
      <c r="O7000" s="14"/>
      <c r="P7000" s="14"/>
      <c r="Q7000" s="14"/>
      <c r="R7000" s="14"/>
    </row>
    <row r="7001" spans="15:18" x14ac:dyDescent="0.3">
      <c r="O7001" s="14"/>
      <c r="P7001" s="14"/>
      <c r="Q7001" s="14"/>
      <c r="R7001" s="14"/>
    </row>
    <row r="7002" spans="15:18" x14ac:dyDescent="0.3">
      <c r="O7002" s="14"/>
      <c r="P7002" s="14"/>
      <c r="Q7002" s="14"/>
      <c r="R7002" s="14"/>
    </row>
    <row r="7003" spans="15:18" x14ac:dyDescent="0.3">
      <c r="O7003" s="14"/>
      <c r="P7003" s="14"/>
      <c r="Q7003" s="14"/>
      <c r="R7003" s="14"/>
    </row>
    <row r="7004" spans="15:18" x14ac:dyDescent="0.3">
      <c r="O7004" s="14"/>
      <c r="P7004" s="14"/>
      <c r="Q7004" s="14"/>
      <c r="R7004" s="14"/>
    </row>
    <row r="7005" spans="15:18" x14ac:dyDescent="0.3">
      <c r="O7005" s="14"/>
      <c r="P7005" s="14"/>
      <c r="Q7005" s="14"/>
      <c r="R7005" s="14"/>
    </row>
    <row r="7006" spans="15:18" x14ac:dyDescent="0.3">
      <c r="O7006" s="14"/>
      <c r="P7006" s="14"/>
      <c r="Q7006" s="14"/>
      <c r="R7006" s="14"/>
    </row>
    <row r="7007" spans="15:18" x14ac:dyDescent="0.3">
      <c r="O7007" s="14"/>
      <c r="P7007" s="14"/>
      <c r="Q7007" s="14"/>
      <c r="R7007" s="14"/>
    </row>
    <row r="7008" spans="15:18" x14ac:dyDescent="0.3">
      <c r="O7008" s="14"/>
      <c r="P7008" s="14"/>
      <c r="Q7008" s="14"/>
      <c r="R7008" s="14"/>
    </row>
    <row r="7009" spans="15:18" x14ac:dyDescent="0.3">
      <c r="O7009" s="14"/>
      <c r="P7009" s="14"/>
      <c r="Q7009" s="14"/>
      <c r="R7009" s="14"/>
    </row>
    <row r="7010" spans="15:18" x14ac:dyDescent="0.3">
      <c r="O7010" s="14"/>
      <c r="P7010" s="14"/>
      <c r="Q7010" s="14"/>
      <c r="R7010" s="14"/>
    </row>
    <row r="7011" spans="15:18" x14ac:dyDescent="0.3">
      <c r="O7011" s="14"/>
      <c r="P7011" s="14"/>
      <c r="Q7011" s="14"/>
      <c r="R7011" s="14"/>
    </row>
    <row r="7012" spans="15:18" x14ac:dyDescent="0.3">
      <c r="O7012" s="14"/>
      <c r="P7012" s="14"/>
      <c r="Q7012" s="14"/>
      <c r="R7012" s="14"/>
    </row>
    <row r="7013" spans="15:18" x14ac:dyDescent="0.3">
      <c r="O7013" s="14"/>
      <c r="P7013" s="14"/>
      <c r="Q7013" s="14"/>
      <c r="R7013" s="14"/>
    </row>
    <row r="7014" spans="15:18" x14ac:dyDescent="0.3">
      <c r="O7014" s="14"/>
      <c r="P7014" s="14"/>
      <c r="Q7014" s="14"/>
      <c r="R7014" s="14"/>
    </row>
    <row r="7015" spans="15:18" x14ac:dyDescent="0.3">
      <c r="O7015" s="14"/>
      <c r="P7015" s="14"/>
      <c r="Q7015" s="14"/>
      <c r="R7015" s="14"/>
    </row>
    <row r="7016" spans="15:18" x14ac:dyDescent="0.3">
      <c r="O7016" s="14"/>
      <c r="P7016" s="14"/>
      <c r="Q7016" s="14"/>
      <c r="R7016" s="14"/>
    </row>
    <row r="7017" spans="15:18" x14ac:dyDescent="0.3">
      <c r="O7017" s="14"/>
      <c r="P7017" s="14"/>
      <c r="Q7017" s="14"/>
      <c r="R7017" s="14"/>
    </row>
    <row r="7018" spans="15:18" x14ac:dyDescent="0.3">
      <c r="O7018" s="14"/>
      <c r="P7018" s="14"/>
      <c r="Q7018" s="14"/>
      <c r="R7018" s="14"/>
    </row>
    <row r="7019" spans="15:18" x14ac:dyDescent="0.3">
      <c r="O7019" s="14"/>
      <c r="P7019" s="14"/>
      <c r="Q7019" s="14"/>
      <c r="R7019" s="14"/>
    </row>
    <row r="7020" spans="15:18" x14ac:dyDescent="0.3">
      <c r="O7020" s="14"/>
      <c r="P7020" s="14"/>
      <c r="Q7020" s="14"/>
      <c r="R7020" s="14"/>
    </row>
    <row r="7021" spans="15:18" x14ac:dyDescent="0.3">
      <c r="O7021" s="14"/>
      <c r="P7021" s="14"/>
      <c r="Q7021" s="14"/>
      <c r="R7021" s="14"/>
    </row>
    <row r="7022" spans="15:18" x14ac:dyDescent="0.3">
      <c r="O7022" s="14"/>
      <c r="P7022" s="14"/>
      <c r="Q7022" s="14"/>
      <c r="R7022" s="14"/>
    </row>
    <row r="7023" spans="15:18" x14ac:dyDescent="0.3">
      <c r="O7023" s="14"/>
      <c r="P7023" s="14"/>
      <c r="Q7023" s="14"/>
      <c r="R7023" s="14"/>
    </row>
    <row r="7024" spans="15:18" x14ac:dyDescent="0.3">
      <c r="O7024" s="14"/>
      <c r="P7024" s="14"/>
      <c r="Q7024" s="14"/>
      <c r="R7024" s="14"/>
    </row>
    <row r="7025" spans="15:18" x14ac:dyDescent="0.3">
      <c r="O7025" s="14"/>
      <c r="P7025" s="14"/>
      <c r="Q7025" s="14"/>
      <c r="R7025" s="14"/>
    </row>
    <row r="7026" spans="15:18" x14ac:dyDescent="0.3">
      <c r="O7026" s="14"/>
      <c r="P7026" s="14"/>
      <c r="Q7026" s="14"/>
      <c r="R7026" s="14"/>
    </row>
    <row r="7027" spans="15:18" x14ac:dyDescent="0.3">
      <c r="O7027" s="14"/>
      <c r="P7027" s="14"/>
      <c r="Q7027" s="14"/>
      <c r="R7027" s="14"/>
    </row>
    <row r="7028" spans="15:18" x14ac:dyDescent="0.3">
      <c r="O7028" s="14"/>
      <c r="P7028" s="14"/>
      <c r="Q7028" s="14"/>
      <c r="R7028" s="14"/>
    </row>
    <row r="7029" spans="15:18" x14ac:dyDescent="0.3">
      <c r="O7029" s="14"/>
      <c r="P7029" s="14"/>
      <c r="Q7029" s="14"/>
      <c r="R7029" s="14"/>
    </row>
    <row r="7030" spans="15:18" x14ac:dyDescent="0.3">
      <c r="O7030" s="14"/>
      <c r="P7030" s="14"/>
      <c r="Q7030" s="14"/>
      <c r="R7030" s="14"/>
    </row>
    <row r="7031" spans="15:18" x14ac:dyDescent="0.3">
      <c r="O7031" s="14"/>
      <c r="P7031" s="14"/>
      <c r="Q7031" s="14"/>
      <c r="R7031" s="14"/>
    </row>
    <row r="7032" spans="15:18" x14ac:dyDescent="0.3">
      <c r="O7032" s="14"/>
      <c r="P7032" s="14"/>
      <c r="Q7032" s="14"/>
      <c r="R7032" s="14"/>
    </row>
    <row r="7033" spans="15:18" x14ac:dyDescent="0.3">
      <c r="O7033" s="14"/>
      <c r="P7033" s="14"/>
      <c r="Q7033" s="14"/>
      <c r="R7033" s="14"/>
    </row>
    <row r="7034" spans="15:18" x14ac:dyDescent="0.3">
      <c r="O7034" s="14"/>
      <c r="P7034" s="14"/>
      <c r="Q7034" s="14"/>
      <c r="R7034" s="14"/>
    </row>
    <row r="7035" spans="15:18" x14ac:dyDescent="0.3">
      <c r="O7035" s="14"/>
      <c r="P7035" s="14"/>
      <c r="Q7035" s="14"/>
      <c r="R7035" s="14"/>
    </row>
    <row r="7036" spans="15:18" x14ac:dyDescent="0.3">
      <c r="O7036" s="14"/>
      <c r="P7036" s="14"/>
      <c r="Q7036" s="14"/>
      <c r="R7036" s="14"/>
    </row>
    <row r="7037" spans="15:18" x14ac:dyDescent="0.3">
      <c r="O7037" s="14"/>
      <c r="P7037" s="14"/>
      <c r="Q7037" s="14"/>
      <c r="R7037" s="14"/>
    </row>
    <row r="7038" spans="15:18" x14ac:dyDescent="0.3">
      <c r="O7038" s="14"/>
      <c r="P7038" s="14"/>
      <c r="Q7038" s="14"/>
      <c r="R7038" s="14"/>
    </row>
    <row r="7039" spans="15:18" x14ac:dyDescent="0.3">
      <c r="O7039" s="14"/>
      <c r="P7039" s="14"/>
      <c r="Q7039" s="14"/>
      <c r="R7039" s="14"/>
    </row>
    <row r="7040" spans="15:18" x14ac:dyDescent="0.3">
      <c r="O7040" s="14"/>
      <c r="P7040" s="14"/>
      <c r="Q7040" s="14"/>
      <c r="R7040" s="14"/>
    </row>
    <row r="7041" spans="15:18" x14ac:dyDescent="0.3">
      <c r="O7041" s="14"/>
      <c r="P7041" s="14"/>
      <c r="Q7041" s="14"/>
      <c r="R7041" s="14"/>
    </row>
    <row r="7042" spans="15:18" x14ac:dyDescent="0.3">
      <c r="O7042" s="14"/>
      <c r="P7042" s="14"/>
      <c r="Q7042" s="14"/>
      <c r="R7042" s="14"/>
    </row>
    <row r="7043" spans="15:18" x14ac:dyDescent="0.3">
      <c r="O7043" s="14"/>
      <c r="P7043" s="14"/>
      <c r="Q7043" s="14"/>
      <c r="R7043" s="14"/>
    </row>
    <row r="7044" spans="15:18" x14ac:dyDescent="0.3">
      <c r="O7044" s="14"/>
      <c r="P7044" s="14"/>
      <c r="Q7044" s="14"/>
      <c r="R7044" s="14"/>
    </row>
    <row r="7045" spans="15:18" x14ac:dyDescent="0.3">
      <c r="O7045" s="14"/>
      <c r="P7045" s="14"/>
      <c r="Q7045" s="14"/>
      <c r="R7045" s="14"/>
    </row>
    <row r="7046" spans="15:18" x14ac:dyDescent="0.3">
      <c r="O7046" s="14"/>
      <c r="P7046" s="14"/>
      <c r="Q7046" s="14"/>
      <c r="R7046" s="14"/>
    </row>
    <row r="7047" spans="15:18" x14ac:dyDescent="0.3">
      <c r="O7047" s="14"/>
      <c r="P7047" s="14"/>
      <c r="Q7047" s="14"/>
      <c r="R7047" s="14"/>
    </row>
    <row r="7048" spans="15:18" x14ac:dyDescent="0.3">
      <c r="O7048" s="14"/>
      <c r="P7048" s="14"/>
      <c r="Q7048" s="14"/>
      <c r="R7048" s="14"/>
    </row>
    <row r="7049" spans="15:18" x14ac:dyDescent="0.3">
      <c r="O7049" s="14"/>
      <c r="P7049" s="14"/>
      <c r="Q7049" s="14"/>
      <c r="R7049" s="14"/>
    </row>
    <row r="7050" spans="15:18" x14ac:dyDescent="0.3">
      <c r="O7050" s="14"/>
      <c r="P7050" s="14"/>
      <c r="Q7050" s="14"/>
      <c r="R7050" s="14"/>
    </row>
    <row r="7051" spans="15:18" x14ac:dyDescent="0.3">
      <c r="O7051" s="14"/>
      <c r="P7051" s="14"/>
      <c r="Q7051" s="14"/>
      <c r="R7051" s="14"/>
    </row>
    <row r="7052" spans="15:18" x14ac:dyDescent="0.3">
      <c r="O7052" s="14"/>
      <c r="P7052" s="14"/>
      <c r="Q7052" s="14"/>
      <c r="R7052" s="14"/>
    </row>
    <row r="7053" spans="15:18" x14ac:dyDescent="0.3">
      <c r="O7053" s="14"/>
      <c r="P7053" s="14"/>
      <c r="Q7053" s="14"/>
      <c r="R7053" s="14"/>
    </row>
    <row r="7054" spans="15:18" x14ac:dyDescent="0.3">
      <c r="O7054" s="14"/>
      <c r="P7054" s="14"/>
      <c r="Q7054" s="14"/>
      <c r="R7054" s="14"/>
    </row>
    <row r="7055" spans="15:18" x14ac:dyDescent="0.3">
      <c r="O7055" s="14"/>
      <c r="P7055" s="14"/>
      <c r="Q7055" s="14"/>
      <c r="R7055" s="14"/>
    </row>
    <row r="7056" spans="15:18" x14ac:dyDescent="0.3">
      <c r="O7056" s="14"/>
      <c r="P7056" s="14"/>
      <c r="Q7056" s="14"/>
      <c r="R7056" s="14"/>
    </row>
    <row r="7057" spans="15:18" x14ac:dyDescent="0.3">
      <c r="O7057" s="14"/>
      <c r="P7057" s="14"/>
      <c r="Q7057" s="14"/>
      <c r="R7057" s="14"/>
    </row>
    <row r="7058" spans="15:18" x14ac:dyDescent="0.3">
      <c r="O7058" s="14"/>
      <c r="P7058" s="14"/>
      <c r="Q7058" s="14"/>
      <c r="R7058" s="14"/>
    </row>
    <row r="7059" spans="15:18" x14ac:dyDescent="0.3">
      <c r="O7059" s="14"/>
      <c r="P7059" s="14"/>
      <c r="Q7059" s="14"/>
      <c r="R7059" s="14"/>
    </row>
    <row r="7060" spans="15:18" x14ac:dyDescent="0.3">
      <c r="O7060" s="14"/>
      <c r="P7060" s="14"/>
      <c r="Q7060" s="14"/>
      <c r="R7060" s="14"/>
    </row>
    <row r="7061" spans="15:18" x14ac:dyDescent="0.3">
      <c r="O7061" s="14"/>
      <c r="P7061" s="14"/>
      <c r="Q7061" s="14"/>
      <c r="R7061" s="14"/>
    </row>
    <row r="7062" spans="15:18" x14ac:dyDescent="0.3">
      <c r="O7062" s="14"/>
      <c r="P7062" s="14"/>
      <c r="Q7062" s="14"/>
      <c r="R7062" s="14"/>
    </row>
    <row r="7063" spans="15:18" x14ac:dyDescent="0.3">
      <c r="O7063" s="14"/>
      <c r="P7063" s="14"/>
      <c r="Q7063" s="14"/>
      <c r="R7063" s="14"/>
    </row>
    <row r="7064" spans="15:18" x14ac:dyDescent="0.3">
      <c r="O7064" s="14"/>
      <c r="P7064" s="14"/>
      <c r="Q7064" s="14"/>
      <c r="R7064" s="14"/>
    </row>
    <row r="7065" spans="15:18" x14ac:dyDescent="0.3">
      <c r="O7065" s="14"/>
      <c r="P7065" s="14"/>
      <c r="Q7065" s="14"/>
      <c r="R7065" s="14"/>
    </row>
    <row r="7066" spans="15:18" x14ac:dyDescent="0.3">
      <c r="O7066" s="14"/>
      <c r="P7066" s="14"/>
      <c r="Q7066" s="14"/>
      <c r="R7066" s="14"/>
    </row>
    <row r="7067" spans="15:18" x14ac:dyDescent="0.3">
      <c r="O7067" s="14"/>
      <c r="P7067" s="14"/>
      <c r="Q7067" s="14"/>
      <c r="R7067" s="14"/>
    </row>
    <row r="7068" spans="15:18" x14ac:dyDescent="0.3">
      <c r="O7068" s="14"/>
      <c r="P7068" s="14"/>
      <c r="Q7068" s="14"/>
      <c r="R7068" s="14"/>
    </row>
    <row r="7069" spans="15:18" x14ac:dyDescent="0.3">
      <c r="O7069" s="14"/>
      <c r="P7069" s="14"/>
      <c r="Q7069" s="14"/>
      <c r="R7069" s="14"/>
    </row>
    <row r="7070" spans="15:18" x14ac:dyDescent="0.3">
      <c r="O7070" s="14"/>
      <c r="P7070" s="14"/>
      <c r="Q7070" s="14"/>
      <c r="R7070" s="14"/>
    </row>
    <row r="7071" spans="15:18" x14ac:dyDescent="0.3">
      <c r="O7071" s="14"/>
      <c r="P7071" s="14"/>
      <c r="Q7071" s="14"/>
      <c r="R7071" s="14"/>
    </row>
    <row r="7072" spans="15:18" x14ac:dyDescent="0.3">
      <c r="O7072" s="14"/>
      <c r="P7072" s="14"/>
      <c r="Q7072" s="14"/>
      <c r="R7072" s="14"/>
    </row>
    <row r="7073" spans="15:18" x14ac:dyDescent="0.3">
      <c r="O7073" s="14"/>
      <c r="P7073" s="14"/>
      <c r="Q7073" s="14"/>
      <c r="R7073" s="14"/>
    </row>
    <row r="7074" spans="15:18" x14ac:dyDescent="0.3">
      <c r="O7074" s="14"/>
      <c r="P7074" s="14"/>
      <c r="Q7074" s="14"/>
      <c r="R7074" s="14"/>
    </row>
    <row r="7075" spans="15:18" x14ac:dyDescent="0.3">
      <c r="O7075" s="14"/>
      <c r="P7075" s="14"/>
      <c r="Q7075" s="14"/>
      <c r="R7075" s="14"/>
    </row>
    <row r="7076" spans="15:18" x14ac:dyDescent="0.3">
      <c r="O7076" s="14"/>
      <c r="P7076" s="14"/>
      <c r="Q7076" s="14"/>
      <c r="R7076" s="14"/>
    </row>
    <row r="7077" spans="15:18" x14ac:dyDescent="0.3">
      <c r="O7077" s="14"/>
      <c r="P7077" s="14"/>
      <c r="Q7077" s="14"/>
      <c r="R7077" s="14"/>
    </row>
    <row r="7078" spans="15:18" x14ac:dyDescent="0.3">
      <c r="O7078" s="14"/>
      <c r="P7078" s="14"/>
      <c r="Q7078" s="14"/>
      <c r="R7078" s="14"/>
    </row>
    <row r="7079" spans="15:18" x14ac:dyDescent="0.3">
      <c r="O7079" s="14"/>
      <c r="P7079" s="14"/>
      <c r="Q7079" s="14"/>
      <c r="R7079" s="14"/>
    </row>
    <row r="7080" spans="15:18" x14ac:dyDescent="0.3">
      <c r="O7080" s="14"/>
      <c r="P7080" s="14"/>
      <c r="Q7080" s="14"/>
      <c r="R7080" s="14"/>
    </row>
    <row r="7081" spans="15:18" x14ac:dyDescent="0.3">
      <c r="O7081" s="14"/>
      <c r="P7081" s="14"/>
      <c r="Q7081" s="14"/>
      <c r="R7081" s="14"/>
    </row>
    <row r="7082" spans="15:18" x14ac:dyDescent="0.3">
      <c r="O7082" s="14"/>
      <c r="P7082" s="14"/>
      <c r="Q7082" s="14"/>
      <c r="R7082" s="14"/>
    </row>
    <row r="7083" spans="15:18" x14ac:dyDescent="0.3">
      <c r="O7083" s="14"/>
      <c r="P7083" s="14"/>
      <c r="Q7083" s="14"/>
      <c r="R7083" s="14"/>
    </row>
    <row r="7084" spans="15:18" x14ac:dyDescent="0.3">
      <c r="O7084" s="14"/>
      <c r="P7084" s="14"/>
      <c r="Q7084" s="14"/>
      <c r="R7084" s="14"/>
    </row>
    <row r="7085" spans="15:18" x14ac:dyDescent="0.3">
      <c r="O7085" s="14"/>
      <c r="P7085" s="14"/>
      <c r="Q7085" s="14"/>
      <c r="R7085" s="14"/>
    </row>
    <row r="7086" spans="15:18" x14ac:dyDescent="0.3">
      <c r="O7086" s="14"/>
      <c r="P7086" s="14"/>
      <c r="Q7086" s="14"/>
      <c r="R7086" s="14"/>
    </row>
    <row r="7087" spans="15:18" x14ac:dyDescent="0.3">
      <c r="O7087" s="14"/>
      <c r="P7087" s="14"/>
      <c r="Q7087" s="14"/>
      <c r="R7087" s="14"/>
    </row>
    <row r="7088" spans="15:18" x14ac:dyDescent="0.3">
      <c r="O7088" s="14"/>
      <c r="P7088" s="14"/>
      <c r="Q7088" s="14"/>
      <c r="R7088" s="14"/>
    </row>
    <row r="7089" spans="15:18" x14ac:dyDescent="0.3">
      <c r="O7089" s="14"/>
      <c r="P7089" s="14"/>
      <c r="Q7089" s="14"/>
      <c r="R7089" s="14"/>
    </row>
    <row r="7090" spans="15:18" x14ac:dyDescent="0.3">
      <c r="O7090" s="14"/>
      <c r="P7090" s="14"/>
      <c r="Q7090" s="14"/>
      <c r="R7090" s="14"/>
    </row>
    <row r="7091" spans="15:18" x14ac:dyDescent="0.3">
      <c r="O7091" s="14"/>
      <c r="P7091" s="14"/>
      <c r="Q7091" s="14"/>
      <c r="R7091" s="14"/>
    </row>
    <row r="7092" spans="15:18" x14ac:dyDescent="0.3">
      <c r="O7092" s="14"/>
      <c r="P7092" s="14"/>
      <c r="Q7092" s="14"/>
      <c r="R7092" s="14"/>
    </row>
    <row r="7093" spans="15:18" x14ac:dyDescent="0.3">
      <c r="O7093" s="14"/>
      <c r="P7093" s="14"/>
      <c r="Q7093" s="14"/>
      <c r="R7093" s="14"/>
    </row>
    <row r="7094" spans="15:18" x14ac:dyDescent="0.3">
      <c r="O7094" s="14"/>
      <c r="P7094" s="14"/>
      <c r="Q7094" s="14"/>
      <c r="R7094" s="14"/>
    </row>
    <row r="7095" spans="15:18" x14ac:dyDescent="0.3">
      <c r="O7095" s="14"/>
      <c r="P7095" s="14"/>
      <c r="Q7095" s="14"/>
      <c r="R7095" s="14"/>
    </row>
    <row r="7096" spans="15:18" x14ac:dyDescent="0.3">
      <c r="O7096" s="14"/>
      <c r="P7096" s="14"/>
      <c r="Q7096" s="14"/>
      <c r="R7096" s="14"/>
    </row>
    <row r="7097" spans="15:18" x14ac:dyDescent="0.3">
      <c r="O7097" s="14"/>
      <c r="P7097" s="14"/>
      <c r="Q7097" s="14"/>
      <c r="R7097" s="14"/>
    </row>
    <row r="7098" spans="15:18" x14ac:dyDescent="0.3">
      <c r="O7098" s="14"/>
      <c r="P7098" s="14"/>
      <c r="Q7098" s="14"/>
      <c r="R7098" s="14"/>
    </row>
    <row r="7099" spans="15:18" x14ac:dyDescent="0.3">
      <c r="O7099" s="14"/>
      <c r="P7099" s="14"/>
      <c r="Q7099" s="14"/>
      <c r="R7099" s="14"/>
    </row>
    <row r="7100" spans="15:18" x14ac:dyDescent="0.3">
      <c r="O7100" s="14"/>
      <c r="P7100" s="14"/>
      <c r="Q7100" s="14"/>
      <c r="R7100" s="14"/>
    </row>
    <row r="7101" spans="15:18" x14ac:dyDescent="0.3">
      <c r="O7101" s="14"/>
      <c r="P7101" s="14"/>
      <c r="Q7101" s="14"/>
      <c r="R7101" s="14"/>
    </row>
    <row r="7102" spans="15:18" x14ac:dyDescent="0.3">
      <c r="O7102" s="14"/>
      <c r="P7102" s="14"/>
      <c r="Q7102" s="14"/>
      <c r="R7102" s="14"/>
    </row>
    <row r="7103" spans="15:18" x14ac:dyDescent="0.3">
      <c r="O7103" s="14"/>
      <c r="P7103" s="14"/>
      <c r="Q7103" s="14"/>
      <c r="R7103" s="14"/>
    </row>
    <row r="7104" spans="15:18" x14ac:dyDescent="0.3">
      <c r="O7104" s="14"/>
      <c r="P7104" s="14"/>
      <c r="Q7104" s="14"/>
      <c r="R7104" s="14"/>
    </row>
    <row r="7105" spans="15:18" x14ac:dyDescent="0.3">
      <c r="O7105" s="14"/>
      <c r="P7105" s="14"/>
      <c r="Q7105" s="14"/>
      <c r="R7105" s="14"/>
    </row>
    <row r="7106" spans="15:18" x14ac:dyDescent="0.3">
      <c r="O7106" s="14"/>
      <c r="P7106" s="14"/>
      <c r="Q7106" s="14"/>
      <c r="R7106" s="14"/>
    </row>
    <row r="7107" spans="15:18" x14ac:dyDescent="0.3">
      <c r="O7107" s="14"/>
      <c r="P7107" s="14"/>
      <c r="Q7107" s="14"/>
      <c r="R7107" s="14"/>
    </row>
    <row r="7108" spans="15:18" x14ac:dyDescent="0.3">
      <c r="O7108" s="14"/>
      <c r="P7108" s="14"/>
      <c r="Q7108" s="14"/>
      <c r="R7108" s="14"/>
    </row>
    <row r="7109" spans="15:18" x14ac:dyDescent="0.3">
      <c r="O7109" s="14"/>
      <c r="P7109" s="14"/>
      <c r="Q7109" s="14"/>
      <c r="R7109" s="14"/>
    </row>
    <row r="7110" spans="15:18" x14ac:dyDescent="0.3">
      <c r="O7110" s="14"/>
      <c r="P7110" s="14"/>
      <c r="Q7110" s="14"/>
      <c r="R7110" s="14"/>
    </row>
    <row r="7111" spans="15:18" x14ac:dyDescent="0.3">
      <c r="O7111" s="14"/>
      <c r="P7111" s="14"/>
      <c r="Q7111" s="14"/>
      <c r="R7111" s="14"/>
    </row>
    <row r="7112" spans="15:18" x14ac:dyDescent="0.3">
      <c r="O7112" s="14"/>
      <c r="P7112" s="14"/>
      <c r="Q7112" s="14"/>
      <c r="R7112" s="14"/>
    </row>
    <row r="7113" spans="15:18" x14ac:dyDescent="0.3">
      <c r="O7113" s="14"/>
      <c r="P7113" s="14"/>
      <c r="Q7113" s="14"/>
      <c r="R7113" s="14"/>
    </row>
    <row r="7114" spans="15:18" x14ac:dyDescent="0.3">
      <c r="O7114" s="14"/>
      <c r="P7114" s="14"/>
      <c r="Q7114" s="14"/>
      <c r="R7114" s="14"/>
    </row>
    <row r="7115" spans="15:18" x14ac:dyDescent="0.3">
      <c r="O7115" s="14"/>
      <c r="P7115" s="14"/>
      <c r="Q7115" s="14"/>
      <c r="R7115" s="14"/>
    </row>
    <row r="7116" spans="15:18" x14ac:dyDescent="0.3">
      <c r="O7116" s="14"/>
      <c r="P7116" s="14"/>
      <c r="Q7116" s="14"/>
      <c r="R7116" s="14"/>
    </row>
    <row r="7117" spans="15:18" x14ac:dyDescent="0.3">
      <c r="O7117" s="14"/>
      <c r="P7117" s="14"/>
      <c r="Q7117" s="14"/>
      <c r="R7117" s="14"/>
    </row>
    <row r="7118" spans="15:18" x14ac:dyDescent="0.3">
      <c r="O7118" s="14"/>
      <c r="P7118" s="14"/>
      <c r="Q7118" s="14"/>
      <c r="R7118" s="14"/>
    </row>
    <row r="7119" spans="15:18" x14ac:dyDescent="0.3">
      <c r="O7119" s="14"/>
      <c r="P7119" s="14"/>
      <c r="Q7119" s="14"/>
      <c r="R7119" s="14"/>
    </row>
    <row r="7120" spans="15:18" x14ac:dyDescent="0.3">
      <c r="O7120" s="14"/>
      <c r="P7120" s="14"/>
      <c r="Q7120" s="14"/>
      <c r="R7120" s="14"/>
    </row>
    <row r="7121" spans="15:18" x14ac:dyDescent="0.3">
      <c r="O7121" s="14"/>
      <c r="P7121" s="14"/>
      <c r="Q7121" s="14"/>
      <c r="R7121" s="14"/>
    </row>
    <row r="7122" spans="15:18" x14ac:dyDescent="0.3">
      <c r="O7122" s="14"/>
      <c r="P7122" s="14"/>
      <c r="Q7122" s="14"/>
      <c r="R7122" s="14"/>
    </row>
    <row r="7123" spans="15:18" x14ac:dyDescent="0.3">
      <c r="O7123" s="14"/>
      <c r="P7123" s="14"/>
      <c r="Q7123" s="14"/>
      <c r="R7123" s="14"/>
    </row>
    <row r="7124" spans="15:18" x14ac:dyDescent="0.3">
      <c r="O7124" s="14"/>
      <c r="P7124" s="14"/>
      <c r="Q7124" s="14"/>
      <c r="R7124" s="14"/>
    </row>
    <row r="7125" spans="15:18" x14ac:dyDescent="0.3">
      <c r="O7125" s="14"/>
      <c r="P7125" s="14"/>
      <c r="Q7125" s="14"/>
      <c r="R7125" s="14"/>
    </row>
    <row r="7126" spans="15:18" x14ac:dyDescent="0.3">
      <c r="O7126" s="14"/>
      <c r="P7126" s="14"/>
      <c r="Q7126" s="14"/>
      <c r="R7126" s="14"/>
    </row>
    <row r="7127" spans="15:18" x14ac:dyDescent="0.3">
      <c r="O7127" s="14"/>
      <c r="P7127" s="14"/>
      <c r="Q7127" s="14"/>
      <c r="R7127" s="14"/>
    </row>
    <row r="7128" spans="15:18" x14ac:dyDescent="0.3">
      <c r="O7128" s="14"/>
      <c r="P7128" s="14"/>
      <c r="Q7128" s="14"/>
      <c r="R7128" s="14"/>
    </row>
    <row r="7129" spans="15:18" x14ac:dyDescent="0.3">
      <c r="O7129" s="14"/>
      <c r="P7129" s="14"/>
      <c r="Q7129" s="14"/>
      <c r="R7129" s="14"/>
    </row>
    <row r="7130" spans="15:18" x14ac:dyDescent="0.3">
      <c r="O7130" s="14"/>
      <c r="P7130" s="14"/>
      <c r="Q7130" s="14"/>
      <c r="R7130" s="14"/>
    </row>
    <row r="7131" spans="15:18" x14ac:dyDescent="0.3">
      <c r="O7131" s="14"/>
      <c r="P7131" s="14"/>
      <c r="Q7131" s="14"/>
      <c r="R7131" s="14"/>
    </row>
    <row r="7132" spans="15:18" x14ac:dyDescent="0.3">
      <c r="O7132" s="14"/>
      <c r="P7132" s="14"/>
      <c r="Q7132" s="14"/>
      <c r="R7132" s="14"/>
    </row>
    <row r="7133" spans="15:18" x14ac:dyDescent="0.3">
      <c r="O7133" s="14"/>
      <c r="P7133" s="14"/>
      <c r="Q7133" s="14"/>
      <c r="R7133" s="14"/>
    </row>
    <row r="7134" spans="15:18" x14ac:dyDescent="0.3">
      <c r="O7134" s="14"/>
      <c r="P7134" s="14"/>
      <c r="Q7134" s="14"/>
      <c r="R7134" s="14"/>
    </row>
    <row r="7135" spans="15:18" x14ac:dyDescent="0.3">
      <c r="O7135" s="14"/>
      <c r="P7135" s="14"/>
      <c r="Q7135" s="14"/>
      <c r="R7135" s="14"/>
    </row>
    <row r="7136" spans="15:18" x14ac:dyDescent="0.3">
      <c r="O7136" s="14"/>
      <c r="P7136" s="14"/>
      <c r="Q7136" s="14"/>
      <c r="R7136" s="14"/>
    </row>
    <row r="7137" spans="15:18" x14ac:dyDescent="0.3">
      <c r="O7137" s="14"/>
      <c r="P7137" s="14"/>
      <c r="Q7137" s="14"/>
      <c r="R7137" s="14"/>
    </row>
    <row r="7138" spans="15:18" x14ac:dyDescent="0.3">
      <c r="O7138" s="14"/>
      <c r="P7138" s="14"/>
      <c r="Q7138" s="14"/>
      <c r="R7138" s="14"/>
    </row>
    <row r="7139" spans="15:18" x14ac:dyDescent="0.3">
      <c r="O7139" s="14"/>
      <c r="P7139" s="14"/>
      <c r="Q7139" s="14"/>
      <c r="R7139" s="14"/>
    </row>
    <row r="7140" spans="15:18" x14ac:dyDescent="0.3">
      <c r="O7140" s="14"/>
      <c r="P7140" s="14"/>
      <c r="Q7140" s="14"/>
      <c r="R7140" s="14"/>
    </row>
    <row r="7141" spans="15:18" x14ac:dyDescent="0.3">
      <c r="O7141" s="14"/>
      <c r="P7141" s="14"/>
      <c r="Q7141" s="14"/>
      <c r="R7141" s="14"/>
    </row>
    <row r="7142" spans="15:18" x14ac:dyDescent="0.3">
      <c r="O7142" s="14"/>
      <c r="P7142" s="14"/>
      <c r="Q7142" s="14"/>
      <c r="R7142" s="14"/>
    </row>
    <row r="7143" spans="15:18" x14ac:dyDescent="0.3">
      <c r="O7143" s="14"/>
      <c r="P7143" s="14"/>
      <c r="Q7143" s="14"/>
      <c r="R7143" s="14"/>
    </row>
    <row r="7144" spans="15:18" x14ac:dyDescent="0.3">
      <c r="O7144" s="14"/>
      <c r="P7144" s="14"/>
      <c r="Q7144" s="14"/>
      <c r="R7144" s="14"/>
    </row>
    <row r="7145" spans="15:18" x14ac:dyDescent="0.3">
      <c r="O7145" s="14"/>
      <c r="P7145" s="14"/>
      <c r="Q7145" s="14"/>
      <c r="R7145" s="14"/>
    </row>
    <row r="7146" spans="15:18" x14ac:dyDescent="0.3">
      <c r="O7146" s="14"/>
      <c r="P7146" s="14"/>
      <c r="Q7146" s="14"/>
      <c r="R7146" s="14"/>
    </row>
    <row r="7147" spans="15:18" x14ac:dyDescent="0.3">
      <c r="O7147" s="14"/>
      <c r="P7147" s="14"/>
      <c r="Q7147" s="14"/>
      <c r="R7147" s="14"/>
    </row>
    <row r="7148" spans="15:18" x14ac:dyDescent="0.3">
      <c r="O7148" s="14"/>
      <c r="P7148" s="14"/>
      <c r="Q7148" s="14"/>
      <c r="R7148" s="14"/>
    </row>
    <row r="7149" spans="15:18" x14ac:dyDescent="0.3">
      <c r="O7149" s="14"/>
      <c r="P7149" s="14"/>
      <c r="Q7149" s="14"/>
      <c r="R7149" s="14"/>
    </row>
    <row r="7150" spans="15:18" x14ac:dyDescent="0.3">
      <c r="O7150" s="14"/>
      <c r="P7150" s="14"/>
      <c r="Q7150" s="14"/>
      <c r="R7150" s="14"/>
    </row>
    <row r="7151" spans="15:18" x14ac:dyDescent="0.3">
      <c r="O7151" s="14"/>
      <c r="P7151" s="14"/>
      <c r="Q7151" s="14"/>
      <c r="R7151" s="14"/>
    </row>
    <row r="7152" spans="15:18" x14ac:dyDescent="0.3">
      <c r="O7152" s="14"/>
      <c r="P7152" s="14"/>
      <c r="Q7152" s="14"/>
      <c r="R7152" s="14"/>
    </row>
    <row r="7153" spans="15:18" x14ac:dyDescent="0.3">
      <c r="O7153" s="14"/>
      <c r="P7153" s="14"/>
      <c r="Q7153" s="14"/>
      <c r="R7153" s="14"/>
    </row>
    <row r="7154" spans="15:18" x14ac:dyDescent="0.3">
      <c r="O7154" s="14"/>
      <c r="P7154" s="14"/>
      <c r="Q7154" s="14"/>
      <c r="R7154" s="14"/>
    </row>
    <row r="7155" spans="15:18" x14ac:dyDescent="0.3">
      <c r="O7155" s="14"/>
      <c r="P7155" s="14"/>
      <c r="Q7155" s="14"/>
      <c r="R7155" s="14"/>
    </row>
    <row r="7156" spans="15:18" x14ac:dyDescent="0.3">
      <c r="O7156" s="14"/>
      <c r="P7156" s="14"/>
      <c r="Q7156" s="14"/>
      <c r="R7156" s="14"/>
    </row>
    <row r="7157" spans="15:18" x14ac:dyDescent="0.3">
      <c r="O7157" s="14"/>
      <c r="P7157" s="14"/>
      <c r="Q7157" s="14"/>
      <c r="R7157" s="14"/>
    </row>
    <row r="7158" spans="15:18" x14ac:dyDescent="0.3">
      <c r="O7158" s="14"/>
      <c r="P7158" s="14"/>
      <c r="Q7158" s="14"/>
      <c r="R7158" s="14"/>
    </row>
    <row r="7159" spans="15:18" x14ac:dyDescent="0.3">
      <c r="O7159" s="14"/>
      <c r="P7159" s="14"/>
      <c r="Q7159" s="14"/>
      <c r="R7159" s="14"/>
    </row>
    <row r="7160" spans="15:18" x14ac:dyDescent="0.3">
      <c r="O7160" s="14"/>
      <c r="P7160" s="14"/>
      <c r="Q7160" s="14"/>
      <c r="R7160" s="14"/>
    </row>
    <row r="7161" spans="15:18" x14ac:dyDescent="0.3">
      <c r="O7161" s="14"/>
      <c r="P7161" s="14"/>
      <c r="Q7161" s="14"/>
      <c r="R7161" s="14"/>
    </row>
    <row r="7162" spans="15:18" x14ac:dyDescent="0.3">
      <c r="O7162" s="14"/>
      <c r="P7162" s="14"/>
      <c r="Q7162" s="14"/>
      <c r="R7162" s="14"/>
    </row>
    <row r="7163" spans="15:18" x14ac:dyDescent="0.3">
      <c r="O7163" s="14"/>
      <c r="P7163" s="14"/>
      <c r="Q7163" s="14"/>
      <c r="R7163" s="14"/>
    </row>
    <row r="7164" spans="15:18" x14ac:dyDescent="0.3">
      <c r="O7164" s="14"/>
      <c r="P7164" s="14"/>
      <c r="Q7164" s="14"/>
      <c r="R7164" s="14"/>
    </row>
    <row r="7165" spans="15:18" x14ac:dyDescent="0.3">
      <c r="O7165" s="14"/>
      <c r="P7165" s="14"/>
      <c r="Q7165" s="14"/>
      <c r="R7165" s="14"/>
    </row>
    <row r="7166" spans="15:18" x14ac:dyDescent="0.3">
      <c r="O7166" s="14"/>
      <c r="P7166" s="14"/>
      <c r="Q7166" s="14"/>
      <c r="R7166" s="14"/>
    </row>
    <row r="7167" spans="15:18" x14ac:dyDescent="0.3">
      <c r="O7167" s="14"/>
      <c r="P7167" s="14"/>
      <c r="Q7167" s="14"/>
      <c r="R7167" s="14"/>
    </row>
    <row r="7168" spans="15:18" x14ac:dyDescent="0.3">
      <c r="O7168" s="14"/>
      <c r="P7168" s="14"/>
      <c r="Q7168" s="14"/>
      <c r="R7168" s="14"/>
    </row>
    <row r="7169" spans="15:18" x14ac:dyDescent="0.3">
      <c r="O7169" s="14"/>
      <c r="P7169" s="14"/>
      <c r="Q7169" s="14"/>
      <c r="R7169" s="14"/>
    </row>
    <row r="7170" spans="15:18" x14ac:dyDescent="0.3">
      <c r="O7170" s="14"/>
      <c r="P7170" s="14"/>
      <c r="Q7170" s="14"/>
      <c r="R7170" s="14"/>
    </row>
    <row r="7171" spans="15:18" x14ac:dyDescent="0.3">
      <c r="O7171" s="14"/>
      <c r="P7171" s="14"/>
      <c r="Q7171" s="14"/>
      <c r="R7171" s="14"/>
    </row>
    <row r="7172" spans="15:18" x14ac:dyDescent="0.3">
      <c r="O7172" s="14"/>
      <c r="P7172" s="14"/>
      <c r="Q7172" s="14"/>
      <c r="R7172" s="14"/>
    </row>
    <row r="7173" spans="15:18" x14ac:dyDescent="0.3">
      <c r="O7173" s="14"/>
      <c r="P7173" s="14"/>
      <c r="Q7173" s="14"/>
      <c r="R7173" s="14"/>
    </row>
    <row r="7174" spans="15:18" x14ac:dyDescent="0.3">
      <c r="O7174" s="14"/>
      <c r="P7174" s="14"/>
      <c r="Q7174" s="14"/>
      <c r="R7174" s="14"/>
    </row>
    <row r="7175" spans="15:18" x14ac:dyDescent="0.3">
      <c r="O7175" s="14"/>
      <c r="P7175" s="14"/>
      <c r="Q7175" s="14"/>
      <c r="R7175" s="14"/>
    </row>
    <row r="7176" spans="15:18" x14ac:dyDescent="0.3">
      <c r="O7176" s="14"/>
      <c r="P7176" s="14"/>
      <c r="Q7176" s="14"/>
      <c r="R7176" s="14"/>
    </row>
    <row r="7177" spans="15:18" x14ac:dyDescent="0.3">
      <c r="O7177" s="14"/>
      <c r="P7177" s="14"/>
      <c r="Q7177" s="14"/>
      <c r="R7177" s="14"/>
    </row>
    <row r="7178" spans="15:18" x14ac:dyDescent="0.3">
      <c r="O7178" s="14"/>
      <c r="P7178" s="14"/>
      <c r="Q7178" s="14"/>
      <c r="R7178" s="14"/>
    </row>
    <row r="7179" spans="15:18" x14ac:dyDescent="0.3">
      <c r="O7179" s="14"/>
      <c r="P7179" s="14"/>
      <c r="Q7179" s="14"/>
      <c r="R7179" s="14"/>
    </row>
    <row r="7180" spans="15:18" x14ac:dyDescent="0.3">
      <c r="O7180" s="14"/>
      <c r="P7180" s="14"/>
      <c r="Q7180" s="14"/>
      <c r="R7180" s="14"/>
    </row>
    <row r="7181" spans="15:18" x14ac:dyDescent="0.3">
      <c r="O7181" s="14"/>
      <c r="P7181" s="14"/>
      <c r="Q7181" s="14"/>
      <c r="R7181" s="14"/>
    </row>
    <row r="7182" spans="15:18" x14ac:dyDescent="0.3">
      <c r="O7182" s="14"/>
      <c r="P7182" s="14"/>
      <c r="Q7182" s="14"/>
      <c r="R7182" s="14"/>
    </row>
    <row r="7183" spans="15:18" x14ac:dyDescent="0.3">
      <c r="O7183" s="14"/>
      <c r="P7183" s="14"/>
      <c r="Q7183" s="14"/>
      <c r="R7183" s="14"/>
    </row>
    <row r="7184" spans="15:18" x14ac:dyDescent="0.3">
      <c r="O7184" s="14"/>
      <c r="P7184" s="14"/>
      <c r="Q7184" s="14"/>
      <c r="R7184" s="14"/>
    </row>
    <row r="7185" spans="15:18" x14ac:dyDescent="0.3">
      <c r="O7185" s="14"/>
      <c r="P7185" s="14"/>
      <c r="Q7185" s="14"/>
      <c r="R7185" s="14"/>
    </row>
    <row r="7186" spans="15:18" x14ac:dyDescent="0.3">
      <c r="O7186" s="14"/>
      <c r="P7186" s="14"/>
      <c r="Q7186" s="14"/>
      <c r="R7186" s="14"/>
    </row>
    <row r="7187" spans="15:18" x14ac:dyDescent="0.3">
      <c r="O7187" s="14"/>
      <c r="P7187" s="14"/>
      <c r="Q7187" s="14"/>
      <c r="R7187" s="14"/>
    </row>
    <row r="7188" spans="15:18" x14ac:dyDescent="0.3">
      <c r="O7188" s="14"/>
      <c r="P7188" s="14"/>
      <c r="Q7188" s="14"/>
      <c r="R7188" s="14"/>
    </row>
    <row r="7189" spans="15:18" x14ac:dyDescent="0.3">
      <c r="O7189" s="14"/>
      <c r="P7189" s="14"/>
      <c r="Q7189" s="14"/>
      <c r="R7189" s="14"/>
    </row>
    <row r="7190" spans="15:18" x14ac:dyDescent="0.3">
      <c r="O7190" s="14"/>
      <c r="P7190" s="14"/>
      <c r="Q7190" s="14"/>
      <c r="R7190" s="14"/>
    </row>
    <row r="7191" spans="15:18" x14ac:dyDescent="0.3">
      <c r="O7191" s="14"/>
      <c r="P7191" s="14"/>
      <c r="Q7191" s="14"/>
      <c r="R7191" s="14"/>
    </row>
    <row r="7192" spans="15:18" x14ac:dyDescent="0.3">
      <c r="O7192" s="14"/>
      <c r="P7192" s="14"/>
      <c r="Q7192" s="14"/>
      <c r="R7192" s="14"/>
    </row>
    <row r="7193" spans="15:18" x14ac:dyDescent="0.3">
      <c r="O7193" s="14"/>
      <c r="P7193" s="14"/>
      <c r="Q7193" s="14"/>
      <c r="R7193" s="14"/>
    </row>
    <row r="7194" spans="15:18" x14ac:dyDescent="0.3">
      <c r="O7194" s="14"/>
      <c r="P7194" s="14"/>
      <c r="Q7194" s="14"/>
      <c r="R7194" s="14"/>
    </row>
    <row r="7195" spans="15:18" x14ac:dyDescent="0.3">
      <c r="O7195" s="14"/>
      <c r="P7195" s="14"/>
      <c r="Q7195" s="14"/>
      <c r="R7195" s="14"/>
    </row>
    <row r="7196" spans="15:18" x14ac:dyDescent="0.3">
      <c r="O7196" s="14"/>
      <c r="P7196" s="14"/>
      <c r="Q7196" s="14"/>
      <c r="R7196" s="14"/>
    </row>
    <row r="7197" spans="15:18" x14ac:dyDescent="0.3">
      <c r="O7197" s="14"/>
      <c r="P7197" s="14"/>
      <c r="Q7197" s="14"/>
      <c r="R7197" s="14"/>
    </row>
    <row r="7198" spans="15:18" x14ac:dyDescent="0.3">
      <c r="O7198" s="14"/>
      <c r="P7198" s="14"/>
      <c r="Q7198" s="14"/>
      <c r="R7198" s="14"/>
    </row>
    <row r="7199" spans="15:18" x14ac:dyDescent="0.3">
      <c r="O7199" s="14"/>
      <c r="P7199" s="14"/>
      <c r="Q7199" s="14"/>
      <c r="R7199" s="14"/>
    </row>
    <row r="7200" spans="15:18" x14ac:dyDescent="0.3">
      <c r="O7200" s="14"/>
      <c r="P7200" s="14"/>
      <c r="Q7200" s="14"/>
      <c r="R7200" s="14"/>
    </row>
    <row r="7201" spans="15:18" x14ac:dyDescent="0.3">
      <c r="O7201" s="14"/>
      <c r="P7201" s="14"/>
      <c r="Q7201" s="14"/>
      <c r="R7201" s="14"/>
    </row>
    <row r="7202" spans="15:18" x14ac:dyDescent="0.3">
      <c r="O7202" s="14"/>
      <c r="P7202" s="14"/>
      <c r="Q7202" s="14"/>
      <c r="R7202" s="14"/>
    </row>
    <row r="7203" spans="15:18" x14ac:dyDescent="0.3">
      <c r="O7203" s="14"/>
      <c r="P7203" s="14"/>
      <c r="Q7203" s="14"/>
      <c r="R7203" s="14"/>
    </row>
    <row r="7204" spans="15:18" x14ac:dyDescent="0.3">
      <c r="O7204" s="14"/>
      <c r="P7204" s="14"/>
      <c r="Q7204" s="14"/>
      <c r="R7204" s="14"/>
    </row>
    <row r="7205" spans="15:18" x14ac:dyDescent="0.3">
      <c r="O7205" s="14"/>
      <c r="P7205" s="14"/>
      <c r="Q7205" s="14"/>
      <c r="R7205" s="14"/>
    </row>
    <row r="7206" spans="15:18" x14ac:dyDescent="0.3">
      <c r="O7206" s="14"/>
      <c r="P7206" s="14"/>
      <c r="Q7206" s="14"/>
      <c r="R7206" s="14"/>
    </row>
    <row r="7207" spans="15:18" x14ac:dyDescent="0.3">
      <c r="O7207" s="14"/>
      <c r="P7207" s="14"/>
      <c r="Q7207" s="14"/>
      <c r="R7207" s="14"/>
    </row>
    <row r="7208" spans="15:18" x14ac:dyDescent="0.3">
      <c r="O7208" s="14"/>
      <c r="P7208" s="14"/>
      <c r="Q7208" s="14"/>
      <c r="R7208" s="14"/>
    </row>
    <row r="7209" spans="15:18" x14ac:dyDescent="0.3">
      <c r="O7209" s="14"/>
      <c r="P7209" s="14"/>
      <c r="Q7209" s="14"/>
      <c r="R7209" s="14"/>
    </row>
    <row r="7210" spans="15:18" x14ac:dyDescent="0.3">
      <c r="O7210" s="14"/>
      <c r="P7210" s="14"/>
      <c r="Q7210" s="14"/>
      <c r="R7210" s="14"/>
    </row>
    <row r="7211" spans="15:18" x14ac:dyDescent="0.3">
      <c r="O7211" s="14"/>
      <c r="P7211" s="14"/>
      <c r="Q7211" s="14"/>
      <c r="R7211" s="14"/>
    </row>
    <row r="7212" spans="15:18" x14ac:dyDescent="0.3">
      <c r="O7212" s="14"/>
      <c r="P7212" s="14"/>
      <c r="Q7212" s="14"/>
      <c r="R7212" s="14"/>
    </row>
    <row r="7213" spans="15:18" x14ac:dyDescent="0.3">
      <c r="O7213" s="14"/>
      <c r="P7213" s="14"/>
      <c r="Q7213" s="14"/>
      <c r="R7213" s="14"/>
    </row>
    <row r="7214" spans="15:18" x14ac:dyDescent="0.3">
      <c r="O7214" s="14"/>
      <c r="P7214" s="14"/>
      <c r="Q7214" s="14"/>
      <c r="R7214" s="14"/>
    </row>
    <row r="7215" spans="15:18" x14ac:dyDescent="0.3">
      <c r="O7215" s="14"/>
      <c r="P7215" s="14"/>
      <c r="Q7215" s="14"/>
      <c r="R7215" s="14"/>
    </row>
    <row r="7216" spans="15:18" x14ac:dyDescent="0.3">
      <c r="O7216" s="14"/>
      <c r="P7216" s="14"/>
      <c r="Q7216" s="14"/>
      <c r="R7216" s="14"/>
    </row>
    <row r="7217" spans="15:18" x14ac:dyDescent="0.3">
      <c r="O7217" s="14"/>
      <c r="P7217" s="14"/>
      <c r="Q7217" s="14"/>
      <c r="R7217" s="14"/>
    </row>
    <row r="7218" spans="15:18" x14ac:dyDescent="0.3">
      <c r="O7218" s="14"/>
      <c r="P7218" s="14"/>
      <c r="Q7218" s="14"/>
      <c r="R7218" s="14"/>
    </row>
    <row r="7219" spans="15:18" x14ac:dyDescent="0.3">
      <c r="O7219" s="14"/>
      <c r="P7219" s="14"/>
      <c r="Q7219" s="14"/>
      <c r="R7219" s="14"/>
    </row>
    <row r="7220" spans="15:18" x14ac:dyDescent="0.3">
      <c r="O7220" s="14"/>
      <c r="P7220" s="14"/>
      <c r="Q7220" s="14"/>
      <c r="R7220" s="14"/>
    </row>
    <row r="7221" spans="15:18" x14ac:dyDescent="0.3">
      <c r="O7221" s="14"/>
      <c r="P7221" s="14"/>
      <c r="Q7221" s="14"/>
      <c r="R7221" s="14"/>
    </row>
    <row r="7222" spans="15:18" x14ac:dyDescent="0.3">
      <c r="O7222" s="14"/>
      <c r="P7222" s="14"/>
      <c r="Q7222" s="14"/>
      <c r="R7222" s="14"/>
    </row>
    <row r="7223" spans="15:18" x14ac:dyDescent="0.3">
      <c r="O7223" s="14"/>
      <c r="P7223" s="14"/>
      <c r="Q7223" s="14"/>
      <c r="R7223" s="14"/>
    </row>
    <row r="7224" spans="15:18" x14ac:dyDescent="0.3">
      <c r="O7224" s="14"/>
      <c r="P7224" s="14"/>
      <c r="Q7224" s="14"/>
      <c r="R7224" s="14"/>
    </row>
    <row r="7225" spans="15:18" x14ac:dyDescent="0.3">
      <c r="O7225" s="14"/>
      <c r="P7225" s="14"/>
      <c r="Q7225" s="14"/>
      <c r="R7225" s="14"/>
    </row>
    <row r="7226" spans="15:18" x14ac:dyDescent="0.3">
      <c r="O7226" s="14"/>
      <c r="P7226" s="14"/>
      <c r="Q7226" s="14"/>
      <c r="R7226" s="14"/>
    </row>
    <row r="7227" spans="15:18" x14ac:dyDescent="0.3">
      <c r="O7227" s="14"/>
      <c r="P7227" s="14"/>
      <c r="Q7227" s="14"/>
      <c r="R7227" s="14"/>
    </row>
    <row r="7228" spans="15:18" x14ac:dyDescent="0.3">
      <c r="O7228" s="14"/>
      <c r="P7228" s="14"/>
      <c r="Q7228" s="14"/>
      <c r="R7228" s="14"/>
    </row>
    <row r="7229" spans="15:18" x14ac:dyDescent="0.3">
      <c r="O7229" s="14"/>
      <c r="P7229" s="14"/>
      <c r="Q7229" s="14"/>
      <c r="R7229" s="14"/>
    </row>
    <row r="7230" spans="15:18" x14ac:dyDescent="0.3">
      <c r="O7230" s="14"/>
      <c r="P7230" s="14"/>
      <c r="Q7230" s="14"/>
      <c r="R7230" s="14"/>
    </row>
    <row r="7231" spans="15:18" x14ac:dyDescent="0.3">
      <c r="O7231" s="14"/>
      <c r="P7231" s="14"/>
      <c r="Q7231" s="14"/>
      <c r="R7231" s="14"/>
    </row>
    <row r="7232" spans="15:18" x14ac:dyDescent="0.3">
      <c r="O7232" s="14"/>
      <c r="P7232" s="14"/>
      <c r="Q7232" s="14"/>
      <c r="R7232" s="14"/>
    </row>
    <row r="7233" spans="15:18" x14ac:dyDescent="0.3">
      <c r="O7233" s="14"/>
      <c r="P7233" s="14"/>
      <c r="Q7233" s="14"/>
      <c r="R7233" s="14"/>
    </row>
    <row r="7234" spans="15:18" x14ac:dyDescent="0.3">
      <c r="O7234" s="14"/>
      <c r="P7234" s="14"/>
      <c r="Q7234" s="14"/>
      <c r="R7234" s="14"/>
    </row>
    <row r="7235" spans="15:18" x14ac:dyDescent="0.3">
      <c r="O7235" s="14"/>
      <c r="P7235" s="14"/>
      <c r="Q7235" s="14"/>
      <c r="R7235" s="14"/>
    </row>
    <row r="7236" spans="15:18" x14ac:dyDescent="0.3">
      <c r="O7236" s="14"/>
      <c r="P7236" s="14"/>
      <c r="Q7236" s="14"/>
      <c r="R7236" s="14"/>
    </row>
    <row r="7237" spans="15:18" x14ac:dyDescent="0.3">
      <c r="O7237" s="14"/>
      <c r="P7237" s="14"/>
      <c r="Q7237" s="14"/>
      <c r="R7237" s="14"/>
    </row>
    <row r="7238" spans="15:18" x14ac:dyDescent="0.3">
      <c r="O7238" s="14"/>
      <c r="P7238" s="14"/>
      <c r="Q7238" s="14"/>
      <c r="R7238" s="14"/>
    </row>
    <row r="7239" spans="15:18" x14ac:dyDescent="0.3">
      <c r="O7239" s="14"/>
      <c r="P7239" s="14"/>
      <c r="Q7239" s="14"/>
      <c r="R7239" s="14"/>
    </row>
    <row r="7240" spans="15:18" x14ac:dyDescent="0.3">
      <c r="O7240" s="14"/>
      <c r="P7240" s="14"/>
      <c r="Q7240" s="14"/>
      <c r="R7240" s="14"/>
    </row>
    <row r="7241" spans="15:18" x14ac:dyDescent="0.3">
      <c r="O7241" s="14"/>
      <c r="P7241" s="14"/>
      <c r="Q7241" s="14"/>
      <c r="R7241" s="14"/>
    </row>
    <row r="7242" spans="15:18" x14ac:dyDescent="0.3">
      <c r="O7242" s="14"/>
      <c r="P7242" s="14"/>
      <c r="Q7242" s="14"/>
      <c r="R7242" s="14"/>
    </row>
    <row r="7243" spans="15:18" x14ac:dyDescent="0.3">
      <c r="O7243" s="14"/>
      <c r="P7243" s="14"/>
      <c r="Q7243" s="14"/>
      <c r="R7243" s="14"/>
    </row>
    <row r="7244" spans="15:18" x14ac:dyDescent="0.3">
      <c r="O7244" s="14"/>
      <c r="P7244" s="14"/>
      <c r="Q7244" s="14"/>
      <c r="R7244" s="14"/>
    </row>
    <row r="7245" spans="15:18" x14ac:dyDescent="0.3">
      <c r="O7245" s="14"/>
      <c r="P7245" s="14"/>
      <c r="Q7245" s="14"/>
      <c r="R7245" s="14"/>
    </row>
    <row r="7246" spans="15:18" x14ac:dyDescent="0.3">
      <c r="O7246" s="14"/>
      <c r="P7246" s="14"/>
      <c r="Q7246" s="14"/>
      <c r="R7246" s="14"/>
    </row>
    <row r="7247" spans="15:18" x14ac:dyDescent="0.3">
      <c r="O7247" s="14"/>
      <c r="P7247" s="14"/>
      <c r="Q7247" s="14"/>
      <c r="R7247" s="14"/>
    </row>
    <row r="7248" spans="15:18" x14ac:dyDescent="0.3">
      <c r="O7248" s="14"/>
      <c r="P7248" s="14"/>
      <c r="Q7248" s="14"/>
      <c r="R7248" s="14"/>
    </row>
    <row r="7249" spans="15:18" x14ac:dyDescent="0.3">
      <c r="O7249" s="14"/>
      <c r="P7249" s="14"/>
      <c r="Q7249" s="14"/>
      <c r="R7249" s="14"/>
    </row>
    <row r="7250" spans="15:18" x14ac:dyDescent="0.3">
      <c r="O7250" s="14"/>
      <c r="P7250" s="14"/>
      <c r="Q7250" s="14"/>
      <c r="R7250" s="14"/>
    </row>
    <row r="7251" spans="15:18" x14ac:dyDescent="0.3">
      <c r="O7251" s="14"/>
      <c r="P7251" s="14"/>
      <c r="Q7251" s="14"/>
      <c r="R7251" s="14"/>
    </row>
    <row r="7252" spans="15:18" x14ac:dyDescent="0.3">
      <c r="O7252" s="14"/>
      <c r="P7252" s="14"/>
      <c r="Q7252" s="14"/>
      <c r="R7252" s="14"/>
    </row>
    <row r="7253" spans="15:18" x14ac:dyDescent="0.3">
      <c r="O7253" s="14"/>
      <c r="P7253" s="14"/>
      <c r="Q7253" s="14"/>
      <c r="R7253" s="14"/>
    </row>
    <row r="7254" spans="15:18" x14ac:dyDescent="0.3">
      <c r="O7254" s="14"/>
      <c r="P7254" s="14"/>
      <c r="Q7254" s="14"/>
      <c r="R7254" s="14"/>
    </row>
    <row r="7255" spans="15:18" x14ac:dyDescent="0.3">
      <c r="O7255" s="14"/>
      <c r="P7255" s="14"/>
      <c r="Q7255" s="14"/>
      <c r="R7255" s="14"/>
    </row>
    <row r="7256" spans="15:18" x14ac:dyDescent="0.3">
      <c r="O7256" s="14"/>
      <c r="P7256" s="14"/>
      <c r="Q7256" s="14"/>
      <c r="R7256" s="14"/>
    </row>
    <row r="7257" spans="15:18" x14ac:dyDescent="0.3">
      <c r="O7257" s="14"/>
      <c r="P7257" s="14"/>
      <c r="Q7257" s="14"/>
      <c r="R7257" s="14"/>
    </row>
    <row r="7258" spans="15:18" x14ac:dyDescent="0.3">
      <c r="O7258" s="14"/>
      <c r="P7258" s="14"/>
      <c r="Q7258" s="14"/>
      <c r="R7258" s="14"/>
    </row>
    <row r="7259" spans="15:18" x14ac:dyDescent="0.3">
      <c r="O7259" s="14"/>
      <c r="P7259" s="14"/>
      <c r="Q7259" s="14"/>
      <c r="R7259" s="14"/>
    </row>
    <row r="7260" spans="15:18" x14ac:dyDescent="0.3">
      <c r="O7260" s="14"/>
      <c r="P7260" s="14"/>
      <c r="Q7260" s="14"/>
      <c r="R7260" s="14"/>
    </row>
    <row r="7261" spans="15:18" x14ac:dyDescent="0.3">
      <c r="O7261" s="14"/>
      <c r="P7261" s="14"/>
      <c r="Q7261" s="14"/>
      <c r="R7261" s="14"/>
    </row>
    <row r="7262" spans="15:18" x14ac:dyDescent="0.3">
      <c r="O7262" s="14"/>
      <c r="P7262" s="14"/>
      <c r="Q7262" s="14"/>
      <c r="R7262" s="14"/>
    </row>
    <row r="7263" spans="15:18" x14ac:dyDescent="0.3">
      <c r="O7263" s="14"/>
      <c r="P7263" s="14"/>
      <c r="Q7263" s="14"/>
      <c r="R7263" s="14"/>
    </row>
    <row r="7264" spans="15:18" x14ac:dyDescent="0.3">
      <c r="O7264" s="14"/>
      <c r="P7264" s="14"/>
      <c r="Q7264" s="14"/>
      <c r="R7264" s="14"/>
    </row>
    <row r="7265" spans="15:18" x14ac:dyDescent="0.3">
      <c r="O7265" s="14"/>
      <c r="P7265" s="14"/>
      <c r="Q7265" s="14"/>
      <c r="R7265" s="14"/>
    </row>
    <row r="7266" spans="15:18" x14ac:dyDescent="0.3">
      <c r="O7266" s="14"/>
      <c r="P7266" s="14"/>
      <c r="Q7266" s="14"/>
      <c r="R7266" s="14"/>
    </row>
    <row r="7267" spans="15:18" x14ac:dyDescent="0.3">
      <c r="O7267" s="14"/>
      <c r="P7267" s="14"/>
      <c r="Q7267" s="14"/>
      <c r="R7267" s="14"/>
    </row>
    <row r="7268" spans="15:18" x14ac:dyDescent="0.3">
      <c r="O7268" s="14"/>
      <c r="P7268" s="14"/>
      <c r="Q7268" s="14"/>
      <c r="R7268" s="14"/>
    </row>
    <row r="7269" spans="15:18" x14ac:dyDescent="0.3">
      <c r="O7269" s="14"/>
      <c r="P7269" s="14"/>
      <c r="Q7269" s="14"/>
      <c r="R7269" s="14"/>
    </row>
    <row r="7270" spans="15:18" x14ac:dyDescent="0.3">
      <c r="O7270" s="14"/>
      <c r="P7270" s="14"/>
      <c r="Q7270" s="14"/>
      <c r="R7270" s="14"/>
    </row>
    <row r="7271" spans="15:18" x14ac:dyDescent="0.3">
      <c r="O7271" s="14"/>
      <c r="P7271" s="14"/>
      <c r="Q7271" s="14"/>
      <c r="R7271" s="14"/>
    </row>
    <row r="7272" spans="15:18" x14ac:dyDescent="0.3">
      <c r="O7272" s="14"/>
      <c r="P7272" s="14"/>
      <c r="Q7272" s="14"/>
      <c r="R7272" s="14"/>
    </row>
    <row r="7273" spans="15:18" x14ac:dyDescent="0.3">
      <c r="O7273" s="14"/>
      <c r="P7273" s="14"/>
      <c r="Q7273" s="14"/>
      <c r="R7273" s="14"/>
    </row>
    <row r="7274" spans="15:18" x14ac:dyDescent="0.3">
      <c r="O7274" s="14"/>
      <c r="P7274" s="14"/>
      <c r="Q7274" s="14"/>
      <c r="R7274" s="14"/>
    </row>
    <row r="7275" spans="15:18" x14ac:dyDescent="0.3">
      <c r="O7275" s="14"/>
      <c r="P7275" s="14"/>
      <c r="Q7275" s="14"/>
      <c r="R7275" s="14"/>
    </row>
    <row r="7276" spans="15:18" x14ac:dyDescent="0.3">
      <c r="O7276" s="14"/>
      <c r="P7276" s="14"/>
      <c r="Q7276" s="14"/>
      <c r="R7276" s="14"/>
    </row>
    <row r="7277" spans="15:18" x14ac:dyDescent="0.3">
      <c r="O7277" s="14"/>
      <c r="P7277" s="14"/>
      <c r="Q7277" s="14"/>
      <c r="R7277" s="14"/>
    </row>
    <row r="7278" spans="15:18" x14ac:dyDescent="0.3">
      <c r="O7278" s="14"/>
      <c r="P7278" s="14"/>
      <c r="Q7278" s="14"/>
      <c r="R7278" s="14"/>
    </row>
    <row r="7279" spans="15:18" x14ac:dyDescent="0.3">
      <c r="O7279" s="14"/>
      <c r="P7279" s="14"/>
      <c r="Q7279" s="14"/>
      <c r="R7279" s="14"/>
    </row>
    <row r="7280" spans="15:18" x14ac:dyDescent="0.3">
      <c r="O7280" s="14"/>
      <c r="P7280" s="14"/>
      <c r="Q7280" s="14"/>
      <c r="R7280" s="14"/>
    </row>
    <row r="7281" spans="15:18" x14ac:dyDescent="0.3">
      <c r="O7281" s="14"/>
      <c r="P7281" s="14"/>
      <c r="Q7281" s="14"/>
      <c r="R7281" s="14"/>
    </row>
    <row r="7282" spans="15:18" x14ac:dyDescent="0.3">
      <c r="O7282" s="14"/>
      <c r="P7282" s="14"/>
      <c r="Q7282" s="14"/>
      <c r="R7282" s="14"/>
    </row>
    <row r="7283" spans="15:18" x14ac:dyDescent="0.3">
      <c r="O7283" s="14"/>
      <c r="P7283" s="14"/>
      <c r="Q7283" s="14"/>
      <c r="R7283" s="14"/>
    </row>
    <row r="7284" spans="15:18" x14ac:dyDescent="0.3">
      <c r="O7284" s="14"/>
      <c r="P7284" s="14"/>
      <c r="Q7284" s="14"/>
      <c r="R7284" s="14"/>
    </row>
    <row r="7285" spans="15:18" x14ac:dyDescent="0.3">
      <c r="O7285" s="14"/>
      <c r="P7285" s="14"/>
      <c r="Q7285" s="14"/>
      <c r="R7285" s="14"/>
    </row>
    <row r="7286" spans="15:18" x14ac:dyDescent="0.3">
      <c r="O7286" s="14"/>
      <c r="P7286" s="14"/>
      <c r="Q7286" s="14"/>
      <c r="R7286" s="14"/>
    </row>
    <row r="7287" spans="15:18" x14ac:dyDescent="0.3">
      <c r="O7287" s="14"/>
      <c r="P7287" s="14"/>
      <c r="Q7287" s="14"/>
      <c r="R7287" s="14"/>
    </row>
    <row r="7288" spans="15:18" x14ac:dyDescent="0.3">
      <c r="O7288" s="14"/>
      <c r="P7288" s="14"/>
      <c r="Q7288" s="14"/>
      <c r="R7288" s="14"/>
    </row>
    <row r="7289" spans="15:18" x14ac:dyDescent="0.3">
      <c r="O7289" s="14"/>
      <c r="P7289" s="14"/>
      <c r="Q7289" s="14"/>
      <c r="R7289" s="14"/>
    </row>
    <row r="7290" spans="15:18" x14ac:dyDescent="0.3">
      <c r="O7290" s="14"/>
      <c r="P7290" s="14"/>
      <c r="Q7290" s="14"/>
      <c r="R7290" s="14"/>
    </row>
    <row r="7291" spans="15:18" x14ac:dyDescent="0.3">
      <c r="O7291" s="14"/>
      <c r="P7291" s="14"/>
      <c r="Q7291" s="14"/>
      <c r="R7291" s="14"/>
    </row>
    <row r="7292" spans="15:18" x14ac:dyDescent="0.3">
      <c r="O7292" s="14"/>
      <c r="P7292" s="14"/>
      <c r="Q7292" s="14"/>
      <c r="R7292" s="14"/>
    </row>
    <row r="7293" spans="15:18" x14ac:dyDescent="0.3">
      <c r="O7293" s="14"/>
      <c r="P7293" s="14"/>
      <c r="Q7293" s="14"/>
      <c r="R7293" s="14"/>
    </row>
    <row r="7294" spans="15:18" x14ac:dyDescent="0.3">
      <c r="O7294" s="14"/>
      <c r="P7294" s="14"/>
      <c r="Q7294" s="14"/>
      <c r="R7294" s="14"/>
    </row>
    <row r="7295" spans="15:18" x14ac:dyDescent="0.3">
      <c r="O7295" s="14"/>
      <c r="P7295" s="14"/>
      <c r="Q7295" s="14"/>
      <c r="R7295" s="14"/>
    </row>
    <row r="7296" spans="15:18" x14ac:dyDescent="0.3">
      <c r="O7296" s="14"/>
      <c r="P7296" s="14"/>
      <c r="Q7296" s="14"/>
      <c r="R7296" s="14"/>
    </row>
    <row r="7297" spans="15:18" x14ac:dyDescent="0.3">
      <c r="O7297" s="14"/>
      <c r="P7297" s="14"/>
      <c r="Q7297" s="14"/>
      <c r="R7297" s="14"/>
    </row>
    <row r="7298" spans="15:18" x14ac:dyDescent="0.3">
      <c r="O7298" s="14"/>
      <c r="P7298" s="14"/>
      <c r="Q7298" s="14"/>
      <c r="R7298" s="14"/>
    </row>
    <row r="7299" spans="15:18" x14ac:dyDescent="0.3">
      <c r="O7299" s="14"/>
      <c r="P7299" s="14"/>
      <c r="Q7299" s="14"/>
      <c r="R7299" s="14"/>
    </row>
    <row r="7300" spans="15:18" x14ac:dyDescent="0.3">
      <c r="O7300" s="14"/>
      <c r="P7300" s="14"/>
      <c r="Q7300" s="14"/>
      <c r="R7300" s="14"/>
    </row>
    <row r="7301" spans="15:18" x14ac:dyDescent="0.3">
      <c r="O7301" s="14"/>
      <c r="P7301" s="14"/>
      <c r="Q7301" s="14"/>
      <c r="R7301" s="14"/>
    </row>
    <row r="7302" spans="15:18" x14ac:dyDescent="0.3">
      <c r="O7302" s="14"/>
      <c r="P7302" s="14"/>
      <c r="Q7302" s="14"/>
      <c r="R7302" s="14"/>
    </row>
    <row r="7303" spans="15:18" x14ac:dyDescent="0.3">
      <c r="O7303" s="14"/>
      <c r="P7303" s="14"/>
      <c r="Q7303" s="14"/>
      <c r="R7303" s="14"/>
    </row>
    <row r="7304" spans="15:18" x14ac:dyDescent="0.3">
      <c r="O7304" s="14"/>
      <c r="P7304" s="14"/>
      <c r="Q7304" s="14"/>
      <c r="R7304" s="14"/>
    </row>
    <row r="7305" spans="15:18" x14ac:dyDescent="0.3">
      <c r="O7305" s="14"/>
      <c r="P7305" s="14"/>
      <c r="Q7305" s="14"/>
      <c r="R7305" s="14"/>
    </row>
    <row r="7306" spans="15:18" x14ac:dyDescent="0.3">
      <c r="O7306" s="14"/>
      <c r="P7306" s="14"/>
      <c r="Q7306" s="14"/>
      <c r="R7306" s="14"/>
    </row>
    <row r="7307" spans="15:18" x14ac:dyDescent="0.3">
      <c r="O7307" s="14"/>
      <c r="P7307" s="14"/>
      <c r="Q7307" s="14"/>
      <c r="R7307" s="14"/>
    </row>
    <row r="7308" spans="15:18" x14ac:dyDescent="0.3">
      <c r="O7308" s="14"/>
      <c r="P7308" s="14"/>
      <c r="Q7308" s="14"/>
      <c r="R7308" s="14"/>
    </row>
    <row r="7309" spans="15:18" x14ac:dyDescent="0.3">
      <c r="O7309" s="14"/>
      <c r="P7309" s="14"/>
      <c r="Q7309" s="14"/>
      <c r="R7309" s="14"/>
    </row>
    <row r="7310" spans="15:18" x14ac:dyDescent="0.3">
      <c r="O7310" s="14"/>
      <c r="P7310" s="14"/>
      <c r="Q7310" s="14"/>
      <c r="R7310" s="14"/>
    </row>
    <row r="7311" spans="15:18" x14ac:dyDescent="0.3">
      <c r="O7311" s="14"/>
      <c r="P7311" s="14"/>
      <c r="Q7311" s="14"/>
      <c r="R7311" s="14"/>
    </row>
    <row r="7312" spans="15:18" x14ac:dyDescent="0.3">
      <c r="O7312" s="14"/>
      <c r="P7312" s="14"/>
      <c r="Q7312" s="14"/>
      <c r="R7312" s="14"/>
    </row>
    <row r="7313" spans="15:18" x14ac:dyDescent="0.3">
      <c r="O7313" s="14"/>
      <c r="P7313" s="14"/>
      <c r="Q7313" s="14"/>
      <c r="R7313" s="14"/>
    </row>
    <row r="7314" spans="15:18" x14ac:dyDescent="0.3">
      <c r="O7314" s="14"/>
      <c r="P7314" s="14"/>
      <c r="Q7314" s="14"/>
      <c r="R7314" s="14"/>
    </row>
    <row r="7315" spans="15:18" x14ac:dyDescent="0.3">
      <c r="O7315" s="14"/>
      <c r="P7315" s="14"/>
      <c r="Q7315" s="14"/>
      <c r="R7315" s="14"/>
    </row>
    <row r="7316" spans="15:18" x14ac:dyDescent="0.3">
      <c r="O7316" s="14"/>
      <c r="P7316" s="14"/>
      <c r="Q7316" s="14"/>
      <c r="R7316" s="14"/>
    </row>
    <row r="7317" spans="15:18" x14ac:dyDescent="0.3">
      <c r="O7317" s="14"/>
      <c r="P7317" s="14"/>
      <c r="Q7317" s="14"/>
      <c r="R7317" s="14"/>
    </row>
    <row r="7318" spans="15:18" x14ac:dyDescent="0.3">
      <c r="O7318" s="14"/>
      <c r="P7318" s="14"/>
      <c r="Q7318" s="14"/>
      <c r="R7318" s="14"/>
    </row>
    <row r="7319" spans="15:18" x14ac:dyDescent="0.3">
      <c r="O7319" s="14"/>
      <c r="P7319" s="14"/>
      <c r="Q7319" s="14"/>
      <c r="R7319" s="14"/>
    </row>
    <row r="7320" spans="15:18" x14ac:dyDescent="0.3">
      <c r="O7320" s="14"/>
      <c r="P7320" s="14"/>
      <c r="Q7320" s="14"/>
      <c r="R7320" s="14"/>
    </row>
    <row r="7321" spans="15:18" x14ac:dyDescent="0.3">
      <c r="O7321" s="14"/>
      <c r="P7321" s="14"/>
      <c r="Q7321" s="14"/>
      <c r="R7321" s="14"/>
    </row>
    <row r="7322" spans="15:18" x14ac:dyDescent="0.3">
      <c r="O7322" s="14"/>
      <c r="P7322" s="14"/>
      <c r="Q7322" s="14"/>
      <c r="R7322" s="14"/>
    </row>
    <row r="7323" spans="15:18" x14ac:dyDescent="0.3">
      <c r="O7323" s="14"/>
      <c r="P7323" s="14"/>
      <c r="Q7323" s="14"/>
      <c r="R7323" s="14"/>
    </row>
    <row r="7324" spans="15:18" x14ac:dyDescent="0.3">
      <c r="O7324" s="14"/>
      <c r="P7324" s="14"/>
      <c r="Q7324" s="14"/>
      <c r="R7324" s="14"/>
    </row>
    <row r="7325" spans="15:18" x14ac:dyDescent="0.3">
      <c r="O7325" s="14"/>
      <c r="P7325" s="14"/>
      <c r="Q7325" s="14"/>
      <c r="R7325" s="14"/>
    </row>
    <row r="7326" spans="15:18" x14ac:dyDescent="0.3">
      <c r="O7326" s="14"/>
      <c r="P7326" s="14"/>
      <c r="Q7326" s="14"/>
      <c r="R7326" s="14"/>
    </row>
    <row r="7327" spans="15:18" x14ac:dyDescent="0.3">
      <c r="O7327" s="14"/>
      <c r="P7327" s="14"/>
      <c r="Q7327" s="14"/>
      <c r="R7327" s="14"/>
    </row>
    <row r="7328" spans="15:18" x14ac:dyDescent="0.3">
      <c r="O7328" s="14"/>
      <c r="P7328" s="14"/>
      <c r="Q7328" s="14"/>
      <c r="R7328" s="14"/>
    </row>
    <row r="7329" spans="15:18" x14ac:dyDescent="0.3">
      <c r="O7329" s="14"/>
      <c r="P7329" s="14"/>
      <c r="Q7329" s="14"/>
      <c r="R7329" s="14"/>
    </row>
    <row r="7330" spans="15:18" x14ac:dyDescent="0.3">
      <c r="O7330" s="14"/>
      <c r="P7330" s="14"/>
      <c r="Q7330" s="14"/>
      <c r="R7330" s="14"/>
    </row>
    <row r="7331" spans="15:18" x14ac:dyDescent="0.3">
      <c r="O7331" s="14"/>
      <c r="P7331" s="14"/>
      <c r="Q7331" s="14"/>
      <c r="R7331" s="14"/>
    </row>
    <row r="7332" spans="15:18" x14ac:dyDescent="0.3">
      <c r="O7332" s="14"/>
      <c r="P7332" s="14"/>
      <c r="Q7332" s="14"/>
      <c r="R7332" s="14"/>
    </row>
    <row r="7333" spans="15:18" x14ac:dyDescent="0.3">
      <c r="O7333" s="14"/>
      <c r="P7333" s="14"/>
      <c r="Q7333" s="14"/>
      <c r="R7333" s="14"/>
    </row>
    <row r="7334" spans="15:18" x14ac:dyDescent="0.3">
      <c r="O7334" s="14"/>
      <c r="P7334" s="14"/>
      <c r="Q7334" s="14"/>
      <c r="R7334" s="14"/>
    </row>
    <row r="7335" spans="15:18" x14ac:dyDescent="0.3">
      <c r="O7335" s="14"/>
      <c r="P7335" s="14"/>
      <c r="Q7335" s="14"/>
      <c r="R7335" s="14"/>
    </row>
    <row r="7336" spans="15:18" x14ac:dyDescent="0.3">
      <c r="O7336" s="14"/>
      <c r="P7336" s="14"/>
      <c r="Q7336" s="14"/>
      <c r="R7336" s="14"/>
    </row>
    <row r="7337" spans="15:18" x14ac:dyDescent="0.3">
      <c r="O7337" s="14"/>
      <c r="P7337" s="14"/>
      <c r="Q7337" s="14"/>
      <c r="R7337" s="14"/>
    </row>
    <row r="7338" spans="15:18" x14ac:dyDescent="0.3">
      <c r="O7338" s="14"/>
      <c r="P7338" s="14"/>
      <c r="Q7338" s="14"/>
      <c r="R7338" s="14"/>
    </row>
    <row r="7339" spans="15:18" x14ac:dyDescent="0.3">
      <c r="O7339" s="14"/>
      <c r="P7339" s="14"/>
      <c r="Q7339" s="14"/>
      <c r="R7339" s="14"/>
    </row>
    <row r="7340" spans="15:18" x14ac:dyDescent="0.3">
      <c r="O7340" s="14"/>
      <c r="P7340" s="14"/>
      <c r="Q7340" s="14"/>
      <c r="R7340" s="14"/>
    </row>
    <row r="7341" spans="15:18" x14ac:dyDescent="0.3">
      <c r="O7341" s="14"/>
      <c r="P7341" s="14"/>
      <c r="Q7341" s="14"/>
      <c r="R7341" s="14"/>
    </row>
    <row r="7342" spans="15:18" x14ac:dyDescent="0.3">
      <c r="O7342" s="14"/>
      <c r="P7342" s="14"/>
      <c r="Q7342" s="14"/>
      <c r="R7342" s="14"/>
    </row>
    <row r="7343" spans="15:18" x14ac:dyDescent="0.3">
      <c r="O7343" s="14"/>
      <c r="P7343" s="14"/>
      <c r="Q7343" s="14"/>
      <c r="R7343" s="14"/>
    </row>
    <row r="7344" spans="15:18" x14ac:dyDescent="0.3">
      <c r="O7344" s="14"/>
      <c r="P7344" s="14"/>
      <c r="Q7344" s="14"/>
      <c r="R7344" s="14"/>
    </row>
    <row r="7345" spans="15:18" x14ac:dyDescent="0.3">
      <c r="O7345" s="14"/>
      <c r="P7345" s="14"/>
      <c r="Q7345" s="14"/>
      <c r="R7345" s="14"/>
    </row>
    <row r="7346" spans="15:18" x14ac:dyDescent="0.3">
      <c r="O7346" s="14"/>
      <c r="P7346" s="14"/>
      <c r="Q7346" s="14"/>
      <c r="R7346" s="14"/>
    </row>
    <row r="7347" spans="15:18" x14ac:dyDescent="0.3">
      <c r="O7347" s="14"/>
      <c r="P7347" s="14"/>
      <c r="Q7347" s="14"/>
      <c r="R7347" s="14"/>
    </row>
    <row r="7348" spans="15:18" x14ac:dyDescent="0.3">
      <c r="O7348" s="14"/>
      <c r="P7348" s="14"/>
      <c r="Q7348" s="14"/>
      <c r="R7348" s="14"/>
    </row>
    <row r="7349" spans="15:18" x14ac:dyDescent="0.3">
      <c r="O7349" s="14"/>
      <c r="P7349" s="14"/>
      <c r="Q7349" s="14"/>
      <c r="R7349" s="14"/>
    </row>
    <row r="7350" spans="15:18" x14ac:dyDescent="0.3">
      <c r="O7350" s="14"/>
      <c r="P7350" s="14"/>
      <c r="Q7350" s="14"/>
      <c r="R7350" s="14"/>
    </row>
    <row r="7351" spans="15:18" x14ac:dyDescent="0.3">
      <c r="O7351" s="14"/>
      <c r="P7351" s="14"/>
      <c r="Q7351" s="14"/>
      <c r="R7351" s="14"/>
    </row>
    <row r="7352" spans="15:18" x14ac:dyDescent="0.3">
      <c r="O7352" s="14"/>
      <c r="P7352" s="14"/>
      <c r="Q7352" s="14"/>
      <c r="R7352" s="14"/>
    </row>
    <row r="7353" spans="15:18" x14ac:dyDescent="0.3">
      <c r="O7353" s="14"/>
      <c r="P7353" s="14"/>
      <c r="Q7353" s="14"/>
      <c r="R7353" s="14"/>
    </row>
    <row r="7354" spans="15:18" x14ac:dyDescent="0.3">
      <c r="O7354" s="14"/>
      <c r="P7354" s="14"/>
      <c r="Q7354" s="14"/>
      <c r="R7354" s="14"/>
    </row>
    <row r="7355" spans="15:18" x14ac:dyDescent="0.3">
      <c r="O7355" s="14"/>
      <c r="P7355" s="14"/>
      <c r="Q7355" s="14"/>
      <c r="R7355" s="14"/>
    </row>
    <row r="7356" spans="15:18" x14ac:dyDescent="0.3">
      <c r="O7356" s="14"/>
      <c r="P7356" s="14"/>
      <c r="Q7356" s="14"/>
      <c r="R7356" s="14"/>
    </row>
    <row r="7357" spans="15:18" x14ac:dyDescent="0.3">
      <c r="O7357" s="14"/>
      <c r="P7357" s="14"/>
      <c r="Q7357" s="14"/>
      <c r="R7357" s="14"/>
    </row>
    <row r="7358" spans="15:18" x14ac:dyDescent="0.3">
      <c r="O7358" s="14"/>
      <c r="P7358" s="14"/>
      <c r="Q7358" s="14"/>
      <c r="R7358" s="14"/>
    </row>
    <row r="7359" spans="15:18" x14ac:dyDescent="0.3">
      <c r="O7359" s="14"/>
      <c r="P7359" s="14"/>
      <c r="Q7359" s="14"/>
      <c r="R7359" s="14"/>
    </row>
    <row r="7360" spans="15:18" x14ac:dyDescent="0.3">
      <c r="O7360" s="14"/>
      <c r="P7360" s="14"/>
      <c r="Q7360" s="14"/>
      <c r="R7360" s="14"/>
    </row>
    <row r="7361" spans="15:18" x14ac:dyDescent="0.3">
      <c r="O7361" s="14"/>
      <c r="P7361" s="14"/>
      <c r="Q7361" s="14"/>
      <c r="R7361" s="14"/>
    </row>
    <row r="7362" spans="15:18" x14ac:dyDescent="0.3">
      <c r="O7362" s="14"/>
      <c r="P7362" s="14"/>
      <c r="Q7362" s="14"/>
      <c r="R7362" s="14"/>
    </row>
    <row r="7363" spans="15:18" x14ac:dyDescent="0.3">
      <c r="O7363" s="14"/>
      <c r="P7363" s="14"/>
      <c r="Q7363" s="14"/>
      <c r="R7363" s="14"/>
    </row>
    <row r="7364" spans="15:18" x14ac:dyDescent="0.3">
      <c r="O7364" s="14"/>
      <c r="P7364" s="14"/>
      <c r="Q7364" s="14"/>
      <c r="R7364" s="14"/>
    </row>
    <row r="7365" spans="15:18" x14ac:dyDescent="0.3">
      <c r="O7365" s="14"/>
      <c r="P7365" s="14"/>
      <c r="Q7365" s="14"/>
      <c r="R7365" s="14"/>
    </row>
    <row r="7366" spans="15:18" x14ac:dyDescent="0.3">
      <c r="O7366" s="14"/>
      <c r="P7366" s="14"/>
      <c r="Q7366" s="14"/>
      <c r="R7366" s="14"/>
    </row>
    <row r="7367" spans="15:18" x14ac:dyDescent="0.3">
      <c r="O7367" s="14"/>
      <c r="P7367" s="14"/>
      <c r="Q7367" s="14"/>
      <c r="R7367" s="14"/>
    </row>
    <row r="7368" spans="15:18" x14ac:dyDescent="0.3">
      <c r="O7368" s="14"/>
      <c r="P7368" s="14"/>
      <c r="Q7368" s="14"/>
      <c r="R7368" s="14"/>
    </row>
    <row r="7369" spans="15:18" x14ac:dyDescent="0.3">
      <c r="O7369" s="14"/>
      <c r="P7369" s="14"/>
      <c r="Q7369" s="14"/>
      <c r="R7369" s="14"/>
    </row>
    <row r="7370" spans="15:18" x14ac:dyDescent="0.3">
      <c r="O7370" s="14"/>
      <c r="P7370" s="14"/>
      <c r="Q7370" s="14"/>
      <c r="R7370" s="14"/>
    </row>
    <row r="7371" spans="15:18" x14ac:dyDescent="0.3">
      <c r="O7371" s="14"/>
      <c r="P7371" s="14"/>
      <c r="Q7371" s="14"/>
      <c r="R7371" s="14"/>
    </row>
    <row r="7372" spans="15:18" x14ac:dyDescent="0.3">
      <c r="O7372" s="14"/>
      <c r="P7372" s="14"/>
      <c r="Q7372" s="14"/>
      <c r="R7372" s="14"/>
    </row>
    <row r="7373" spans="15:18" x14ac:dyDescent="0.3">
      <c r="O7373" s="14"/>
      <c r="P7373" s="14"/>
      <c r="Q7373" s="14"/>
      <c r="R7373" s="14"/>
    </row>
    <row r="7374" spans="15:18" x14ac:dyDescent="0.3">
      <c r="O7374" s="14"/>
      <c r="P7374" s="14"/>
      <c r="Q7374" s="14"/>
      <c r="R7374" s="14"/>
    </row>
    <row r="7375" spans="15:18" x14ac:dyDescent="0.3">
      <c r="O7375" s="14"/>
      <c r="P7375" s="14"/>
      <c r="Q7375" s="14"/>
      <c r="R7375" s="14"/>
    </row>
    <row r="7376" spans="15:18" x14ac:dyDescent="0.3">
      <c r="O7376" s="14"/>
      <c r="P7376" s="14"/>
      <c r="Q7376" s="14"/>
      <c r="R7376" s="14"/>
    </row>
    <row r="7377" spans="15:18" x14ac:dyDescent="0.3">
      <c r="O7377" s="14"/>
      <c r="P7377" s="14"/>
      <c r="Q7377" s="14"/>
      <c r="R7377" s="14"/>
    </row>
    <row r="7378" spans="15:18" x14ac:dyDescent="0.3">
      <c r="O7378" s="14"/>
      <c r="P7378" s="14"/>
      <c r="Q7378" s="14"/>
      <c r="R7378" s="14"/>
    </row>
    <row r="7379" spans="15:18" x14ac:dyDescent="0.3">
      <c r="O7379" s="14"/>
      <c r="P7379" s="14"/>
      <c r="Q7379" s="14"/>
      <c r="R7379" s="14"/>
    </row>
    <row r="7380" spans="15:18" x14ac:dyDescent="0.3">
      <c r="O7380" s="14"/>
      <c r="P7380" s="14"/>
      <c r="Q7380" s="14"/>
      <c r="R7380" s="14"/>
    </row>
    <row r="7381" spans="15:18" x14ac:dyDescent="0.3">
      <c r="O7381" s="14"/>
      <c r="P7381" s="14"/>
      <c r="Q7381" s="14"/>
      <c r="R7381" s="14"/>
    </row>
    <row r="7382" spans="15:18" x14ac:dyDescent="0.3">
      <c r="O7382" s="14"/>
      <c r="P7382" s="14"/>
      <c r="Q7382" s="14"/>
      <c r="R7382" s="14"/>
    </row>
    <row r="7383" spans="15:18" x14ac:dyDescent="0.3">
      <c r="O7383" s="14"/>
      <c r="P7383" s="14"/>
      <c r="Q7383" s="14"/>
      <c r="R7383" s="14"/>
    </row>
    <row r="7384" spans="15:18" x14ac:dyDescent="0.3">
      <c r="O7384" s="14"/>
      <c r="P7384" s="14"/>
      <c r="Q7384" s="14"/>
      <c r="R7384" s="14"/>
    </row>
    <row r="7385" spans="15:18" x14ac:dyDescent="0.3">
      <c r="O7385" s="14"/>
      <c r="P7385" s="14"/>
      <c r="Q7385" s="14"/>
      <c r="R7385" s="14"/>
    </row>
    <row r="7386" spans="15:18" x14ac:dyDescent="0.3">
      <c r="O7386" s="14"/>
      <c r="P7386" s="14"/>
      <c r="Q7386" s="14"/>
      <c r="R7386" s="14"/>
    </row>
    <row r="7387" spans="15:18" x14ac:dyDescent="0.3">
      <c r="O7387" s="14"/>
      <c r="P7387" s="14"/>
      <c r="Q7387" s="14"/>
      <c r="R7387" s="14"/>
    </row>
    <row r="7388" spans="15:18" x14ac:dyDescent="0.3">
      <c r="O7388" s="14"/>
      <c r="P7388" s="14"/>
      <c r="Q7388" s="14"/>
      <c r="R7388" s="14"/>
    </row>
    <row r="7389" spans="15:18" x14ac:dyDescent="0.3">
      <c r="O7389" s="14"/>
      <c r="P7389" s="14"/>
      <c r="Q7389" s="14"/>
      <c r="R7389" s="14"/>
    </row>
    <row r="7390" spans="15:18" x14ac:dyDescent="0.3">
      <c r="O7390" s="14"/>
      <c r="P7390" s="14"/>
      <c r="Q7390" s="14"/>
      <c r="R7390" s="14"/>
    </row>
    <row r="7391" spans="15:18" x14ac:dyDescent="0.3">
      <c r="O7391" s="14"/>
      <c r="P7391" s="14"/>
      <c r="Q7391" s="14"/>
      <c r="R7391" s="14"/>
    </row>
    <row r="7392" spans="15:18" x14ac:dyDescent="0.3">
      <c r="O7392" s="14"/>
      <c r="P7392" s="14"/>
      <c r="Q7392" s="14"/>
      <c r="R7392" s="14"/>
    </row>
    <row r="7393" spans="15:18" x14ac:dyDescent="0.3">
      <c r="O7393" s="14"/>
      <c r="P7393" s="14"/>
      <c r="Q7393" s="14"/>
      <c r="R7393" s="14"/>
    </row>
    <row r="7394" spans="15:18" x14ac:dyDescent="0.3">
      <c r="O7394" s="14"/>
      <c r="P7394" s="14"/>
      <c r="Q7394" s="14"/>
      <c r="R7394" s="14"/>
    </row>
    <row r="7395" spans="15:18" x14ac:dyDescent="0.3">
      <c r="O7395" s="14"/>
      <c r="P7395" s="14"/>
      <c r="Q7395" s="14"/>
      <c r="R7395" s="14"/>
    </row>
    <row r="7396" spans="15:18" x14ac:dyDescent="0.3">
      <c r="O7396" s="14"/>
      <c r="P7396" s="14"/>
      <c r="Q7396" s="14"/>
      <c r="R7396" s="14"/>
    </row>
    <row r="7397" spans="15:18" x14ac:dyDescent="0.3">
      <c r="O7397" s="14"/>
      <c r="P7397" s="14"/>
      <c r="Q7397" s="14"/>
      <c r="R7397" s="14"/>
    </row>
    <row r="7398" spans="15:18" x14ac:dyDescent="0.3">
      <c r="O7398" s="14"/>
      <c r="P7398" s="14"/>
      <c r="Q7398" s="14"/>
      <c r="R7398" s="14"/>
    </row>
    <row r="7399" spans="15:18" x14ac:dyDescent="0.3">
      <c r="O7399" s="14"/>
      <c r="P7399" s="14"/>
      <c r="Q7399" s="14"/>
      <c r="R7399" s="14"/>
    </row>
    <row r="7400" spans="15:18" x14ac:dyDescent="0.3">
      <c r="O7400" s="14"/>
      <c r="P7400" s="14"/>
      <c r="Q7400" s="14"/>
      <c r="R7400" s="14"/>
    </row>
    <row r="7401" spans="15:18" x14ac:dyDescent="0.3">
      <c r="O7401" s="14"/>
      <c r="P7401" s="14"/>
      <c r="Q7401" s="14"/>
      <c r="R7401" s="14"/>
    </row>
    <row r="7402" spans="15:18" x14ac:dyDescent="0.3">
      <c r="O7402" s="14"/>
      <c r="P7402" s="14"/>
      <c r="Q7402" s="14"/>
      <c r="R7402" s="14"/>
    </row>
    <row r="7403" spans="15:18" x14ac:dyDescent="0.3">
      <c r="O7403" s="14"/>
      <c r="P7403" s="14"/>
      <c r="Q7403" s="14"/>
      <c r="R7403" s="14"/>
    </row>
    <row r="7404" spans="15:18" x14ac:dyDescent="0.3">
      <c r="O7404" s="14"/>
      <c r="P7404" s="14"/>
      <c r="Q7404" s="14"/>
      <c r="R7404" s="14"/>
    </row>
    <row r="7405" spans="15:18" x14ac:dyDescent="0.3">
      <c r="O7405" s="14"/>
      <c r="P7405" s="14"/>
      <c r="Q7405" s="14"/>
      <c r="R7405" s="14"/>
    </row>
    <row r="7406" spans="15:18" x14ac:dyDescent="0.3">
      <c r="O7406" s="14"/>
      <c r="P7406" s="14"/>
      <c r="Q7406" s="14"/>
      <c r="R7406" s="14"/>
    </row>
    <row r="7407" spans="15:18" x14ac:dyDescent="0.3">
      <c r="O7407" s="14"/>
      <c r="P7407" s="14"/>
      <c r="Q7407" s="14"/>
      <c r="R7407" s="14"/>
    </row>
    <row r="7408" spans="15:18" x14ac:dyDescent="0.3">
      <c r="O7408" s="14"/>
      <c r="P7408" s="14"/>
      <c r="Q7408" s="14"/>
      <c r="R7408" s="14"/>
    </row>
    <row r="7409" spans="15:18" x14ac:dyDescent="0.3">
      <c r="O7409" s="14"/>
      <c r="P7409" s="14"/>
      <c r="Q7409" s="14"/>
      <c r="R7409" s="14"/>
    </row>
    <row r="7410" spans="15:18" x14ac:dyDescent="0.3">
      <c r="O7410" s="14"/>
      <c r="P7410" s="14"/>
      <c r="Q7410" s="14"/>
      <c r="R7410" s="14"/>
    </row>
    <row r="7411" spans="15:18" x14ac:dyDescent="0.3">
      <c r="O7411" s="14"/>
      <c r="P7411" s="14"/>
      <c r="Q7411" s="14"/>
      <c r="R7411" s="14"/>
    </row>
    <row r="7412" spans="15:18" x14ac:dyDescent="0.3">
      <c r="O7412" s="14"/>
      <c r="P7412" s="14"/>
      <c r="Q7412" s="14"/>
      <c r="R7412" s="14"/>
    </row>
    <row r="7413" spans="15:18" x14ac:dyDescent="0.3">
      <c r="O7413" s="14"/>
      <c r="P7413" s="14"/>
      <c r="Q7413" s="14"/>
      <c r="R7413" s="14"/>
    </row>
    <row r="7414" spans="15:18" x14ac:dyDescent="0.3">
      <c r="O7414" s="14"/>
      <c r="P7414" s="14"/>
      <c r="Q7414" s="14"/>
      <c r="R7414" s="14"/>
    </row>
    <row r="7415" spans="15:18" x14ac:dyDescent="0.3">
      <c r="O7415" s="14"/>
      <c r="P7415" s="14"/>
      <c r="Q7415" s="14"/>
      <c r="R7415" s="14"/>
    </row>
    <row r="7416" spans="15:18" x14ac:dyDescent="0.3">
      <c r="O7416" s="14"/>
      <c r="P7416" s="14"/>
      <c r="Q7416" s="14"/>
      <c r="R7416" s="14"/>
    </row>
    <row r="7417" spans="15:18" x14ac:dyDescent="0.3">
      <c r="O7417" s="14"/>
      <c r="P7417" s="14"/>
      <c r="Q7417" s="14"/>
      <c r="R7417" s="14"/>
    </row>
    <row r="7418" spans="15:18" x14ac:dyDescent="0.3">
      <c r="O7418" s="14"/>
      <c r="P7418" s="14"/>
      <c r="Q7418" s="14"/>
      <c r="R7418" s="14"/>
    </row>
    <row r="7419" spans="15:18" x14ac:dyDescent="0.3">
      <c r="O7419" s="14"/>
      <c r="P7419" s="14"/>
      <c r="Q7419" s="14"/>
      <c r="R7419" s="14"/>
    </row>
    <row r="7420" spans="15:18" x14ac:dyDescent="0.3">
      <c r="O7420" s="14"/>
      <c r="P7420" s="14"/>
      <c r="Q7420" s="14"/>
      <c r="R7420" s="14"/>
    </row>
    <row r="7421" spans="15:18" x14ac:dyDescent="0.3">
      <c r="O7421" s="14"/>
      <c r="P7421" s="14"/>
      <c r="Q7421" s="14"/>
      <c r="R7421" s="14"/>
    </row>
    <row r="7422" spans="15:18" x14ac:dyDescent="0.3">
      <c r="O7422" s="14"/>
      <c r="P7422" s="14"/>
      <c r="Q7422" s="14"/>
      <c r="R7422" s="14"/>
    </row>
    <row r="7423" spans="15:18" x14ac:dyDescent="0.3">
      <c r="O7423" s="14"/>
      <c r="P7423" s="14"/>
      <c r="Q7423" s="14"/>
      <c r="R7423" s="14"/>
    </row>
    <row r="7424" spans="15:18" x14ac:dyDescent="0.3">
      <c r="O7424" s="14"/>
      <c r="P7424" s="14"/>
      <c r="Q7424" s="14"/>
      <c r="R7424" s="14"/>
    </row>
    <row r="7425" spans="15:18" x14ac:dyDescent="0.3">
      <c r="O7425" s="14"/>
      <c r="P7425" s="14"/>
      <c r="Q7425" s="14"/>
      <c r="R7425" s="14"/>
    </row>
    <row r="7426" spans="15:18" x14ac:dyDescent="0.3">
      <c r="O7426" s="14"/>
      <c r="P7426" s="14"/>
      <c r="Q7426" s="14"/>
      <c r="R7426" s="14"/>
    </row>
    <row r="7427" spans="15:18" x14ac:dyDescent="0.3">
      <c r="O7427" s="14"/>
      <c r="P7427" s="14"/>
      <c r="Q7427" s="14"/>
      <c r="R7427" s="14"/>
    </row>
    <row r="7428" spans="15:18" x14ac:dyDescent="0.3">
      <c r="O7428" s="14"/>
      <c r="P7428" s="14"/>
      <c r="Q7428" s="14"/>
      <c r="R7428" s="14"/>
    </row>
    <row r="7429" spans="15:18" x14ac:dyDescent="0.3">
      <c r="O7429" s="14"/>
      <c r="P7429" s="14"/>
      <c r="Q7429" s="14"/>
      <c r="R7429" s="14"/>
    </row>
    <row r="7430" spans="15:18" x14ac:dyDescent="0.3">
      <c r="O7430" s="14"/>
      <c r="P7430" s="14"/>
      <c r="Q7430" s="14"/>
      <c r="R7430" s="14"/>
    </row>
    <row r="7431" spans="15:18" x14ac:dyDescent="0.3">
      <c r="O7431" s="14"/>
      <c r="P7431" s="14"/>
      <c r="Q7431" s="14"/>
      <c r="R7431" s="14"/>
    </row>
    <row r="7432" spans="15:18" x14ac:dyDescent="0.3">
      <c r="O7432" s="14"/>
      <c r="P7432" s="14"/>
      <c r="Q7432" s="14"/>
      <c r="R7432" s="14"/>
    </row>
    <row r="7433" spans="15:18" x14ac:dyDescent="0.3">
      <c r="O7433" s="14"/>
      <c r="P7433" s="14"/>
      <c r="Q7433" s="14"/>
      <c r="R7433" s="14"/>
    </row>
    <row r="7434" spans="15:18" x14ac:dyDescent="0.3">
      <c r="O7434" s="14"/>
      <c r="P7434" s="14"/>
      <c r="Q7434" s="14"/>
      <c r="R7434" s="14"/>
    </row>
    <row r="7435" spans="15:18" x14ac:dyDescent="0.3">
      <c r="O7435" s="14"/>
      <c r="P7435" s="14"/>
      <c r="Q7435" s="14"/>
      <c r="R7435" s="14"/>
    </row>
    <row r="7436" spans="15:18" x14ac:dyDescent="0.3">
      <c r="O7436" s="14"/>
      <c r="P7436" s="14"/>
      <c r="Q7436" s="14"/>
      <c r="R7436" s="14"/>
    </row>
    <row r="7437" spans="15:18" x14ac:dyDescent="0.3">
      <c r="O7437" s="14"/>
      <c r="P7437" s="14"/>
      <c r="Q7437" s="14"/>
      <c r="R7437" s="14"/>
    </row>
    <row r="7438" spans="15:18" x14ac:dyDescent="0.3">
      <c r="O7438" s="14"/>
      <c r="P7438" s="14"/>
      <c r="Q7438" s="14"/>
      <c r="R7438" s="14"/>
    </row>
    <row r="7439" spans="15:18" x14ac:dyDescent="0.3">
      <c r="O7439" s="14"/>
      <c r="P7439" s="14"/>
      <c r="Q7439" s="14"/>
      <c r="R7439" s="14"/>
    </row>
    <row r="7440" spans="15:18" x14ac:dyDescent="0.3">
      <c r="O7440" s="14"/>
      <c r="P7440" s="14"/>
      <c r="Q7440" s="14"/>
      <c r="R7440" s="14"/>
    </row>
    <row r="7441" spans="15:18" x14ac:dyDescent="0.3">
      <c r="O7441" s="14"/>
      <c r="P7441" s="14"/>
      <c r="Q7441" s="14"/>
      <c r="R7441" s="14"/>
    </row>
    <row r="7442" spans="15:18" x14ac:dyDescent="0.3">
      <c r="O7442" s="14"/>
      <c r="P7442" s="14"/>
      <c r="Q7442" s="14"/>
      <c r="R7442" s="14"/>
    </row>
    <row r="7443" spans="15:18" x14ac:dyDescent="0.3">
      <c r="O7443" s="14"/>
      <c r="P7443" s="14"/>
      <c r="Q7443" s="14"/>
      <c r="R7443" s="14"/>
    </row>
    <row r="7444" spans="15:18" x14ac:dyDescent="0.3">
      <c r="O7444" s="14"/>
      <c r="P7444" s="14"/>
      <c r="Q7444" s="14"/>
      <c r="R7444" s="14"/>
    </row>
    <row r="7445" spans="15:18" x14ac:dyDescent="0.3">
      <c r="O7445" s="14"/>
      <c r="P7445" s="14"/>
      <c r="Q7445" s="14"/>
      <c r="R7445" s="14"/>
    </row>
    <row r="7446" spans="15:18" x14ac:dyDescent="0.3">
      <c r="O7446" s="14"/>
      <c r="P7446" s="14"/>
      <c r="Q7446" s="14"/>
      <c r="R7446" s="14"/>
    </row>
    <row r="7447" spans="15:18" x14ac:dyDescent="0.3">
      <c r="O7447" s="14"/>
      <c r="P7447" s="14"/>
      <c r="Q7447" s="14"/>
      <c r="R7447" s="14"/>
    </row>
    <row r="7448" spans="15:18" x14ac:dyDescent="0.3">
      <c r="O7448" s="14"/>
      <c r="P7448" s="14"/>
      <c r="Q7448" s="14"/>
      <c r="R7448" s="14"/>
    </row>
    <row r="7449" spans="15:18" x14ac:dyDescent="0.3">
      <c r="O7449" s="14"/>
      <c r="P7449" s="14"/>
      <c r="Q7449" s="14"/>
      <c r="R7449" s="14"/>
    </row>
    <row r="7450" spans="15:18" x14ac:dyDescent="0.3">
      <c r="O7450" s="14"/>
      <c r="P7450" s="14"/>
      <c r="Q7450" s="14"/>
      <c r="R7450" s="14"/>
    </row>
    <row r="7451" spans="15:18" x14ac:dyDescent="0.3">
      <c r="O7451" s="14"/>
      <c r="P7451" s="14"/>
      <c r="Q7451" s="14"/>
      <c r="R7451" s="14"/>
    </row>
    <row r="7452" spans="15:18" x14ac:dyDescent="0.3">
      <c r="O7452" s="14"/>
      <c r="P7452" s="14"/>
      <c r="Q7452" s="14"/>
      <c r="R7452" s="14"/>
    </row>
    <row r="7453" spans="15:18" x14ac:dyDescent="0.3">
      <c r="O7453" s="14"/>
      <c r="P7453" s="14"/>
      <c r="Q7453" s="14"/>
      <c r="R7453" s="14"/>
    </row>
    <row r="7454" spans="15:18" x14ac:dyDescent="0.3">
      <c r="O7454" s="14"/>
      <c r="P7454" s="14"/>
      <c r="Q7454" s="14"/>
      <c r="R7454" s="14"/>
    </row>
    <row r="7455" spans="15:18" x14ac:dyDescent="0.3">
      <c r="O7455" s="14"/>
      <c r="P7455" s="14"/>
      <c r="Q7455" s="14"/>
      <c r="R7455" s="14"/>
    </row>
    <row r="7456" spans="15:18" x14ac:dyDescent="0.3">
      <c r="O7456" s="14"/>
      <c r="P7456" s="14"/>
      <c r="Q7456" s="14"/>
      <c r="R7456" s="14"/>
    </row>
    <row r="7457" spans="15:18" x14ac:dyDescent="0.3">
      <c r="O7457" s="14"/>
      <c r="P7457" s="14"/>
      <c r="Q7457" s="14"/>
      <c r="R7457" s="14"/>
    </row>
    <row r="7458" spans="15:18" x14ac:dyDescent="0.3">
      <c r="O7458" s="14"/>
      <c r="P7458" s="14"/>
      <c r="Q7458" s="14"/>
      <c r="R7458" s="14"/>
    </row>
    <row r="7459" spans="15:18" x14ac:dyDescent="0.3">
      <c r="O7459" s="14"/>
      <c r="P7459" s="14"/>
      <c r="Q7459" s="14"/>
      <c r="R7459" s="14"/>
    </row>
    <row r="7460" spans="15:18" x14ac:dyDescent="0.3">
      <c r="O7460" s="14"/>
      <c r="P7460" s="14"/>
      <c r="Q7460" s="14"/>
      <c r="R7460" s="14"/>
    </row>
    <row r="7461" spans="15:18" x14ac:dyDescent="0.3">
      <c r="O7461" s="14"/>
      <c r="P7461" s="14"/>
      <c r="Q7461" s="14"/>
      <c r="R7461" s="14"/>
    </row>
    <row r="7462" spans="15:18" x14ac:dyDescent="0.3">
      <c r="O7462" s="14"/>
      <c r="P7462" s="14"/>
      <c r="Q7462" s="14"/>
      <c r="R7462" s="14"/>
    </row>
    <row r="7463" spans="15:18" x14ac:dyDescent="0.3">
      <c r="O7463" s="14"/>
      <c r="P7463" s="14"/>
      <c r="Q7463" s="14"/>
      <c r="R7463" s="14"/>
    </row>
    <row r="7464" spans="15:18" x14ac:dyDescent="0.3">
      <c r="O7464" s="14"/>
      <c r="P7464" s="14"/>
      <c r="Q7464" s="14"/>
      <c r="R7464" s="14"/>
    </row>
    <row r="7465" spans="15:18" x14ac:dyDescent="0.3">
      <c r="O7465" s="14"/>
      <c r="P7465" s="14"/>
      <c r="Q7465" s="14"/>
      <c r="R7465" s="14"/>
    </row>
    <row r="7466" spans="15:18" x14ac:dyDescent="0.3">
      <c r="O7466" s="14"/>
      <c r="P7466" s="14"/>
      <c r="Q7466" s="14"/>
      <c r="R7466" s="14"/>
    </row>
    <row r="7467" spans="15:18" x14ac:dyDescent="0.3">
      <c r="O7467" s="14"/>
      <c r="P7467" s="14"/>
      <c r="Q7467" s="14"/>
      <c r="R7467" s="14"/>
    </row>
    <row r="7468" spans="15:18" x14ac:dyDescent="0.3">
      <c r="O7468" s="14"/>
      <c r="P7468" s="14"/>
      <c r="Q7468" s="14"/>
      <c r="R7468" s="14"/>
    </row>
    <row r="7469" spans="15:18" x14ac:dyDescent="0.3">
      <c r="O7469" s="14"/>
      <c r="P7469" s="14"/>
      <c r="Q7469" s="14"/>
      <c r="R7469" s="14"/>
    </row>
    <row r="7470" spans="15:18" x14ac:dyDescent="0.3">
      <c r="O7470" s="14"/>
      <c r="P7470" s="14"/>
      <c r="Q7470" s="14"/>
      <c r="R7470" s="14"/>
    </row>
    <row r="7471" spans="15:18" x14ac:dyDescent="0.3">
      <c r="O7471" s="14"/>
      <c r="P7471" s="14"/>
      <c r="Q7471" s="14"/>
      <c r="R7471" s="14"/>
    </row>
    <row r="7472" spans="15:18" x14ac:dyDescent="0.3">
      <c r="O7472" s="14"/>
      <c r="P7472" s="14"/>
      <c r="Q7472" s="14"/>
      <c r="R7472" s="14"/>
    </row>
    <row r="7473" spans="15:18" x14ac:dyDescent="0.3">
      <c r="O7473" s="14"/>
      <c r="P7473" s="14"/>
      <c r="Q7473" s="14"/>
      <c r="R7473" s="14"/>
    </row>
    <row r="7474" spans="15:18" x14ac:dyDescent="0.3">
      <c r="O7474" s="14"/>
      <c r="P7474" s="14"/>
      <c r="Q7474" s="14"/>
      <c r="R7474" s="14"/>
    </row>
    <row r="7475" spans="15:18" x14ac:dyDescent="0.3">
      <c r="O7475" s="14"/>
      <c r="P7475" s="14"/>
      <c r="Q7475" s="14"/>
      <c r="R7475" s="14"/>
    </row>
    <row r="7476" spans="15:18" x14ac:dyDescent="0.3">
      <c r="O7476" s="14"/>
      <c r="P7476" s="14"/>
      <c r="Q7476" s="14"/>
      <c r="R7476" s="14"/>
    </row>
    <row r="7477" spans="15:18" x14ac:dyDescent="0.3">
      <c r="O7477" s="14"/>
      <c r="P7477" s="14"/>
      <c r="Q7477" s="14"/>
      <c r="R7477" s="14"/>
    </row>
    <row r="7478" spans="15:18" x14ac:dyDescent="0.3">
      <c r="O7478" s="14"/>
      <c r="P7478" s="14"/>
      <c r="Q7478" s="14"/>
      <c r="R7478" s="14"/>
    </row>
    <row r="7479" spans="15:18" x14ac:dyDescent="0.3">
      <c r="O7479" s="14"/>
      <c r="P7479" s="14"/>
      <c r="Q7479" s="14"/>
      <c r="R7479" s="14"/>
    </row>
    <row r="7480" spans="15:18" x14ac:dyDescent="0.3">
      <c r="O7480" s="14"/>
      <c r="P7480" s="14"/>
      <c r="Q7480" s="14"/>
      <c r="R7480" s="14"/>
    </row>
    <row r="7481" spans="15:18" x14ac:dyDescent="0.3">
      <c r="O7481" s="14"/>
      <c r="P7481" s="14"/>
      <c r="Q7481" s="14"/>
      <c r="R7481" s="14"/>
    </row>
    <row r="7482" spans="15:18" x14ac:dyDescent="0.3">
      <c r="O7482" s="14"/>
      <c r="P7482" s="14"/>
      <c r="Q7482" s="14"/>
      <c r="R7482" s="14"/>
    </row>
    <row r="7483" spans="15:18" x14ac:dyDescent="0.3">
      <c r="O7483" s="14"/>
      <c r="P7483" s="14"/>
      <c r="Q7483" s="14"/>
      <c r="R7483" s="14"/>
    </row>
    <row r="7484" spans="15:18" x14ac:dyDescent="0.3">
      <c r="O7484" s="14"/>
      <c r="P7484" s="14"/>
      <c r="Q7484" s="14"/>
      <c r="R7484" s="14"/>
    </row>
    <row r="7485" spans="15:18" x14ac:dyDescent="0.3">
      <c r="O7485" s="14"/>
      <c r="P7485" s="14"/>
      <c r="Q7485" s="14"/>
      <c r="R7485" s="14"/>
    </row>
    <row r="7486" spans="15:18" x14ac:dyDescent="0.3">
      <c r="O7486" s="14"/>
      <c r="P7486" s="14"/>
      <c r="Q7486" s="14"/>
      <c r="R7486" s="14"/>
    </row>
    <row r="7487" spans="15:18" x14ac:dyDescent="0.3">
      <c r="O7487" s="14"/>
      <c r="P7487" s="14"/>
      <c r="Q7487" s="14"/>
      <c r="R7487" s="14"/>
    </row>
    <row r="7488" spans="15:18" x14ac:dyDescent="0.3">
      <c r="O7488" s="14"/>
      <c r="P7488" s="14"/>
      <c r="Q7488" s="14"/>
      <c r="R7488" s="14"/>
    </row>
    <row r="7489" spans="15:18" x14ac:dyDescent="0.3">
      <c r="O7489" s="14"/>
      <c r="P7489" s="14"/>
      <c r="Q7489" s="14"/>
      <c r="R7489" s="14"/>
    </row>
    <row r="7490" spans="15:18" x14ac:dyDescent="0.3">
      <c r="O7490" s="14"/>
      <c r="P7490" s="14"/>
      <c r="Q7490" s="14"/>
      <c r="R7490" s="14"/>
    </row>
    <row r="7491" spans="15:18" x14ac:dyDescent="0.3">
      <c r="O7491" s="14"/>
      <c r="P7491" s="14"/>
      <c r="Q7491" s="14"/>
      <c r="R7491" s="14"/>
    </row>
    <row r="7492" spans="15:18" x14ac:dyDescent="0.3">
      <c r="O7492" s="14"/>
      <c r="P7492" s="14"/>
      <c r="Q7492" s="14"/>
      <c r="R7492" s="14"/>
    </row>
    <row r="7493" spans="15:18" x14ac:dyDescent="0.3">
      <c r="O7493" s="14"/>
      <c r="P7493" s="14"/>
      <c r="Q7493" s="14"/>
      <c r="R7493" s="14"/>
    </row>
    <row r="7494" spans="15:18" x14ac:dyDescent="0.3">
      <c r="O7494" s="14"/>
      <c r="P7494" s="14"/>
      <c r="Q7494" s="14"/>
      <c r="R7494" s="14"/>
    </row>
    <row r="7495" spans="15:18" x14ac:dyDescent="0.3">
      <c r="O7495" s="14"/>
      <c r="P7495" s="14"/>
      <c r="Q7495" s="14"/>
      <c r="R7495" s="14"/>
    </row>
    <row r="7496" spans="15:18" x14ac:dyDescent="0.3">
      <c r="O7496" s="14"/>
      <c r="P7496" s="14"/>
      <c r="Q7496" s="14"/>
      <c r="R7496" s="14"/>
    </row>
    <row r="7497" spans="15:18" x14ac:dyDescent="0.3">
      <c r="O7497" s="14"/>
      <c r="P7497" s="14"/>
      <c r="Q7497" s="14"/>
      <c r="R7497" s="14"/>
    </row>
    <row r="7498" spans="15:18" x14ac:dyDescent="0.3">
      <c r="O7498" s="14"/>
      <c r="P7498" s="14"/>
      <c r="Q7498" s="14"/>
      <c r="R7498" s="14"/>
    </row>
    <row r="7499" spans="15:18" x14ac:dyDescent="0.3">
      <c r="O7499" s="14"/>
      <c r="P7499" s="14"/>
      <c r="Q7499" s="14"/>
      <c r="R7499" s="14"/>
    </row>
    <row r="7500" spans="15:18" x14ac:dyDescent="0.3">
      <c r="O7500" s="14"/>
      <c r="P7500" s="14"/>
      <c r="Q7500" s="14"/>
      <c r="R7500" s="14"/>
    </row>
    <row r="7501" spans="15:18" x14ac:dyDescent="0.3">
      <c r="O7501" s="14"/>
      <c r="P7501" s="14"/>
      <c r="Q7501" s="14"/>
      <c r="R7501" s="14"/>
    </row>
    <row r="7502" spans="15:18" x14ac:dyDescent="0.3">
      <c r="O7502" s="14"/>
      <c r="P7502" s="14"/>
      <c r="Q7502" s="14"/>
      <c r="R7502" s="14"/>
    </row>
    <row r="7503" spans="15:18" x14ac:dyDescent="0.3">
      <c r="O7503" s="14"/>
      <c r="P7503" s="14"/>
      <c r="Q7503" s="14"/>
      <c r="R7503" s="14"/>
    </row>
    <row r="7504" spans="15:18" x14ac:dyDescent="0.3">
      <c r="O7504" s="14"/>
      <c r="P7504" s="14"/>
      <c r="Q7504" s="14"/>
      <c r="R7504" s="14"/>
    </row>
    <row r="7505" spans="15:18" x14ac:dyDescent="0.3">
      <c r="O7505" s="14"/>
      <c r="P7505" s="14"/>
      <c r="Q7505" s="14"/>
      <c r="R7505" s="14"/>
    </row>
    <row r="7506" spans="15:18" x14ac:dyDescent="0.3">
      <c r="O7506" s="14"/>
      <c r="P7506" s="14"/>
      <c r="Q7506" s="14"/>
      <c r="R7506" s="14"/>
    </row>
    <row r="7507" spans="15:18" x14ac:dyDescent="0.3">
      <c r="O7507" s="14"/>
      <c r="P7507" s="14"/>
      <c r="Q7507" s="14"/>
      <c r="R7507" s="14"/>
    </row>
    <row r="7508" spans="15:18" x14ac:dyDescent="0.3">
      <c r="O7508" s="14"/>
      <c r="P7508" s="14"/>
      <c r="Q7508" s="14"/>
      <c r="R7508" s="14"/>
    </row>
    <row r="7509" spans="15:18" x14ac:dyDescent="0.3">
      <c r="O7509" s="14"/>
      <c r="P7509" s="14"/>
      <c r="Q7509" s="14"/>
      <c r="R7509" s="14"/>
    </row>
    <row r="7510" spans="15:18" x14ac:dyDescent="0.3">
      <c r="O7510" s="14"/>
      <c r="P7510" s="14"/>
      <c r="Q7510" s="14"/>
      <c r="R7510" s="14"/>
    </row>
    <row r="7511" spans="15:18" x14ac:dyDescent="0.3">
      <c r="O7511" s="14"/>
      <c r="P7511" s="14"/>
      <c r="Q7511" s="14"/>
      <c r="R7511" s="14"/>
    </row>
    <row r="7512" spans="15:18" x14ac:dyDescent="0.3">
      <c r="O7512" s="14"/>
      <c r="P7512" s="14"/>
      <c r="Q7512" s="14"/>
      <c r="R7512" s="14"/>
    </row>
    <row r="7513" spans="15:18" x14ac:dyDescent="0.3">
      <c r="O7513" s="14"/>
      <c r="P7513" s="14"/>
      <c r="Q7513" s="14"/>
      <c r="R7513" s="14"/>
    </row>
    <row r="7514" spans="15:18" x14ac:dyDescent="0.3">
      <c r="O7514" s="14"/>
      <c r="P7514" s="14"/>
      <c r="Q7514" s="14"/>
      <c r="R7514" s="14"/>
    </row>
    <row r="7515" spans="15:18" x14ac:dyDescent="0.3">
      <c r="O7515" s="14"/>
      <c r="P7515" s="14"/>
      <c r="Q7515" s="14"/>
      <c r="R7515" s="14"/>
    </row>
    <row r="7516" spans="15:18" x14ac:dyDescent="0.3">
      <c r="O7516" s="14"/>
      <c r="P7516" s="14"/>
      <c r="Q7516" s="14"/>
      <c r="R7516" s="14"/>
    </row>
    <row r="7517" spans="15:18" x14ac:dyDescent="0.3">
      <c r="O7517" s="14"/>
      <c r="P7517" s="14"/>
      <c r="Q7517" s="14"/>
      <c r="R7517" s="14"/>
    </row>
    <row r="7518" spans="15:18" x14ac:dyDescent="0.3">
      <c r="O7518" s="14"/>
      <c r="P7518" s="14"/>
      <c r="Q7518" s="14"/>
      <c r="R7518" s="14"/>
    </row>
    <row r="7519" spans="15:18" x14ac:dyDescent="0.3">
      <c r="O7519" s="14"/>
      <c r="P7519" s="14"/>
      <c r="Q7519" s="14"/>
      <c r="R7519" s="14"/>
    </row>
    <row r="7520" spans="15:18" x14ac:dyDescent="0.3">
      <c r="O7520" s="14"/>
      <c r="P7520" s="14"/>
      <c r="Q7520" s="14"/>
      <c r="R7520" s="14"/>
    </row>
    <row r="7521" spans="15:18" x14ac:dyDescent="0.3">
      <c r="O7521" s="14"/>
      <c r="P7521" s="14"/>
      <c r="Q7521" s="14"/>
      <c r="R7521" s="14"/>
    </row>
    <row r="7522" spans="15:18" x14ac:dyDescent="0.3">
      <c r="O7522" s="14"/>
      <c r="P7522" s="14"/>
      <c r="Q7522" s="14"/>
      <c r="R7522" s="14"/>
    </row>
    <row r="7523" spans="15:18" x14ac:dyDescent="0.3">
      <c r="O7523" s="14"/>
      <c r="P7523" s="14"/>
      <c r="Q7523" s="14"/>
      <c r="R7523" s="14"/>
    </row>
    <row r="7524" spans="15:18" x14ac:dyDescent="0.3">
      <c r="O7524" s="14"/>
      <c r="P7524" s="14"/>
      <c r="Q7524" s="14"/>
      <c r="R7524" s="14"/>
    </row>
    <row r="7525" spans="15:18" x14ac:dyDescent="0.3">
      <c r="O7525" s="14"/>
      <c r="P7525" s="14"/>
      <c r="Q7525" s="14"/>
      <c r="R7525" s="14"/>
    </row>
    <row r="7526" spans="15:18" x14ac:dyDescent="0.3">
      <c r="O7526" s="14"/>
      <c r="P7526" s="14"/>
      <c r="Q7526" s="14"/>
      <c r="R7526" s="14"/>
    </row>
    <row r="7527" spans="15:18" x14ac:dyDescent="0.3">
      <c r="O7527" s="14"/>
      <c r="P7527" s="14"/>
      <c r="Q7527" s="14"/>
      <c r="R7527" s="14"/>
    </row>
    <row r="7528" spans="15:18" x14ac:dyDescent="0.3">
      <c r="O7528" s="14"/>
      <c r="P7528" s="14"/>
      <c r="Q7528" s="14"/>
      <c r="R7528" s="14"/>
    </row>
    <row r="7529" spans="15:18" x14ac:dyDescent="0.3">
      <c r="O7529" s="14"/>
      <c r="P7529" s="14"/>
      <c r="Q7529" s="14"/>
      <c r="R7529" s="14"/>
    </row>
    <row r="7530" spans="15:18" x14ac:dyDescent="0.3">
      <c r="O7530" s="14"/>
      <c r="P7530" s="14"/>
      <c r="Q7530" s="14"/>
      <c r="R7530" s="14"/>
    </row>
    <row r="7531" spans="15:18" x14ac:dyDescent="0.3">
      <c r="O7531" s="14"/>
      <c r="P7531" s="14"/>
      <c r="Q7531" s="14"/>
      <c r="R7531" s="14"/>
    </row>
    <row r="7532" spans="15:18" x14ac:dyDescent="0.3">
      <c r="O7532" s="14"/>
      <c r="P7532" s="14"/>
      <c r="Q7532" s="14"/>
      <c r="R7532" s="14"/>
    </row>
    <row r="7533" spans="15:18" x14ac:dyDescent="0.3">
      <c r="O7533" s="14"/>
      <c r="P7533" s="14"/>
      <c r="Q7533" s="14"/>
      <c r="R7533" s="14"/>
    </row>
    <row r="7534" spans="15:18" x14ac:dyDescent="0.3">
      <c r="O7534" s="14"/>
      <c r="P7534" s="14"/>
      <c r="Q7534" s="14"/>
      <c r="R7534" s="14"/>
    </row>
    <row r="7535" spans="15:18" x14ac:dyDescent="0.3">
      <c r="O7535" s="14"/>
      <c r="P7535" s="14"/>
      <c r="Q7535" s="14"/>
      <c r="R7535" s="14"/>
    </row>
    <row r="7536" spans="15:18" x14ac:dyDescent="0.3">
      <c r="O7536" s="14"/>
      <c r="P7536" s="14"/>
      <c r="Q7536" s="14"/>
      <c r="R7536" s="14"/>
    </row>
    <row r="7537" spans="15:18" x14ac:dyDescent="0.3">
      <c r="O7537" s="14"/>
      <c r="P7537" s="14"/>
      <c r="Q7537" s="14"/>
      <c r="R7537" s="14"/>
    </row>
    <row r="7538" spans="15:18" x14ac:dyDescent="0.3">
      <c r="O7538" s="14"/>
      <c r="P7538" s="14"/>
      <c r="Q7538" s="14"/>
      <c r="R7538" s="14"/>
    </row>
    <row r="7539" spans="15:18" x14ac:dyDescent="0.3">
      <c r="O7539" s="14"/>
      <c r="P7539" s="14"/>
      <c r="Q7539" s="14"/>
      <c r="R7539" s="14"/>
    </row>
    <row r="7540" spans="15:18" x14ac:dyDescent="0.3">
      <c r="O7540" s="14"/>
      <c r="P7540" s="14"/>
      <c r="Q7540" s="14"/>
      <c r="R7540" s="14"/>
    </row>
    <row r="7541" spans="15:18" x14ac:dyDescent="0.3">
      <c r="O7541" s="14"/>
      <c r="P7541" s="14"/>
      <c r="Q7541" s="14"/>
      <c r="R7541" s="14"/>
    </row>
    <row r="7542" spans="15:18" x14ac:dyDescent="0.3">
      <c r="O7542" s="14"/>
      <c r="P7542" s="14"/>
      <c r="Q7542" s="14"/>
      <c r="R7542" s="14"/>
    </row>
    <row r="7543" spans="15:18" x14ac:dyDescent="0.3">
      <c r="O7543" s="14"/>
      <c r="P7543" s="14"/>
      <c r="Q7543" s="14"/>
      <c r="R7543" s="14"/>
    </row>
    <row r="7544" spans="15:18" x14ac:dyDescent="0.3">
      <c r="O7544" s="14"/>
      <c r="P7544" s="14"/>
      <c r="Q7544" s="14"/>
      <c r="R7544" s="14"/>
    </row>
    <row r="7545" spans="15:18" x14ac:dyDescent="0.3">
      <c r="O7545" s="14"/>
      <c r="P7545" s="14"/>
      <c r="Q7545" s="14"/>
      <c r="R7545" s="14"/>
    </row>
    <row r="7546" spans="15:18" x14ac:dyDescent="0.3">
      <c r="O7546" s="14"/>
      <c r="P7546" s="14"/>
      <c r="Q7546" s="14"/>
      <c r="R7546" s="14"/>
    </row>
    <row r="7547" spans="15:18" x14ac:dyDescent="0.3">
      <c r="O7547" s="14"/>
      <c r="P7547" s="14"/>
      <c r="Q7547" s="14"/>
      <c r="R7547" s="14"/>
    </row>
    <row r="7548" spans="15:18" x14ac:dyDescent="0.3">
      <c r="O7548" s="14"/>
      <c r="P7548" s="14"/>
      <c r="Q7548" s="14"/>
      <c r="R7548" s="14"/>
    </row>
    <row r="7549" spans="15:18" x14ac:dyDescent="0.3">
      <c r="O7549" s="14"/>
      <c r="P7549" s="14"/>
      <c r="Q7549" s="14"/>
      <c r="R7549" s="14"/>
    </row>
    <row r="7550" spans="15:18" x14ac:dyDescent="0.3">
      <c r="O7550" s="14"/>
      <c r="P7550" s="14"/>
      <c r="Q7550" s="14"/>
      <c r="R7550" s="14"/>
    </row>
    <row r="7551" spans="15:18" x14ac:dyDescent="0.3">
      <c r="O7551" s="14"/>
      <c r="P7551" s="14"/>
      <c r="Q7551" s="14"/>
      <c r="R7551" s="14"/>
    </row>
    <row r="7552" spans="15:18" x14ac:dyDescent="0.3">
      <c r="O7552" s="14"/>
      <c r="P7552" s="14"/>
      <c r="Q7552" s="14"/>
      <c r="R7552" s="14"/>
    </row>
    <row r="7553" spans="15:18" x14ac:dyDescent="0.3">
      <c r="O7553" s="14"/>
      <c r="P7553" s="14"/>
      <c r="Q7553" s="14"/>
      <c r="R7553" s="14"/>
    </row>
    <row r="7554" spans="15:18" x14ac:dyDescent="0.3">
      <c r="O7554" s="14"/>
      <c r="P7554" s="14"/>
      <c r="Q7554" s="14"/>
      <c r="R7554" s="14"/>
    </row>
    <row r="7555" spans="15:18" x14ac:dyDescent="0.3">
      <c r="O7555" s="14"/>
      <c r="P7555" s="14"/>
      <c r="Q7555" s="14"/>
      <c r="R7555" s="14"/>
    </row>
    <row r="7556" spans="15:18" x14ac:dyDescent="0.3">
      <c r="O7556" s="14"/>
      <c r="P7556" s="14"/>
      <c r="Q7556" s="14"/>
      <c r="R7556" s="14"/>
    </row>
    <row r="7557" spans="15:18" x14ac:dyDescent="0.3">
      <c r="O7557" s="14"/>
      <c r="P7557" s="14"/>
      <c r="Q7557" s="14"/>
      <c r="R7557" s="14"/>
    </row>
    <row r="7558" spans="15:18" x14ac:dyDescent="0.3">
      <c r="O7558" s="14"/>
      <c r="P7558" s="14"/>
      <c r="Q7558" s="14"/>
      <c r="R7558" s="14"/>
    </row>
    <row r="7559" spans="15:18" x14ac:dyDescent="0.3">
      <c r="O7559" s="14"/>
      <c r="P7559" s="14"/>
      <c r="Q7559" s="14"/>
      <c r="R7559" s="14"/>
    </row>
    <row r="7560" spans="15:18" x14ac:dyDescent="0.3">
      <c r="O7560" s="14"/>
      <c r="P7560" s="14"/>
      <c r="Q7560" s="14"/>
      <c r="R7560" s="14"/>
    </row>
    <row r="7561" spans="15:18" x14ac:dyDescent="0.3">
      <c r="O7561" s="14"/>
      <c r="P7561" s="14"/>
      <c r="Q7561" s="14"/>
      <c r="R7561" s="14"/>
    </row>
    <row r="7562" spans="15:18" x14ac:dyDescent="0.3">
      <c r="O7562" s="14"/>
      <c r="P7562" s="14"/>
      <c r="Q7562" s="14"/>
      <c r="R7562" s="14"/>
    </row>
    <row r="7563" spans="15:18" x14ac:dyDescent="0.3">
      <c r="O7563" s="14"/>
      <c r="P7563" s="14"/>
      <c r="Q7563" s="14"/>
      <c r="R7563" s="14"/>
    </row>
    <row r="7564" spans="15:18" x14ac:dyDescent="0.3">
      <c r="O7564" s="14"/>
      <c r="P7564" s="14"/>
      <c r="Q7564" s="14"/>
      <c r="R7564" s="14"/>
    </row>
    <row r="7565" spans="15:18" x14ac:dyDescent="0.3">
      <c r="O7565" s="14"/>
      <c r="P7565" s="14"/>
      <c r="Q7565" s="14"/>
      <c r="R7565" s="14"/>
    </row>
    <row r="7566" spans="15:18" x14ac:dyDescent="0.3">
      <c r="O7566" s="14"/>
      <c r="P7566" s="14"/>
      <c r="Q7566" s="14"/>
      <c r="R7566" s="14"/>
    </row>
    <row r="7567" spans="15:18" x14ac:dyDescent="0.3">
      <c r="O7567" s="14"/>
      <c r="P7567" s="14"/>
      <c r="Q7567" s="14"/>
      <c r="R7567" s="14"/>
    </row>
    <row r="7568" spans="15:18" x14ac:dyDescent="0.3">
      <c r="O7568" s="14"/>
      <c r="P7568" s="14"/>
      <c r="Q7568" s="14"/>
      <c r="R7568" s="14"/>
    </row>
    <row r="7569" spans="15:18" x14ac:dyDescent="0.3">
      <c r="O7569" s="14"/>
      <c r="P7569" s="14"/>
      <c r="Q7569" s="14"/>
      <c r="R7569" s="14"/>
    </row>
    <row r="7570" spans="15:18" x14ac:dyDescent="0.3">
      <c r="O7570" s="14"/>
      <c r="P7570" s="14"/>
      <c r="Q7570" s="14"/>
      <c r="R7570" s="14"/>
    </row>
    <row r="7571" spans="15:18" x14ac:dyDescent="0.3">
      <c r="O7571" s="14"/>
      <c r="P7571" s="14"/>
      <c r="Q7571" s="14"/>
      <c r="R7571" s="14"/>
    </row>
    <row r="7572" spans="15:18" x14ac:dyDescent="0.3">
      <c r="O7572" s="14"/>
      <c r="P7572" s="14"/>
      <c r="Q7572" s="14"/>
      <c r="R7572" s="14"/>
    </row>
    <row r="7573" spans="15:18" x14ac:dyDescent="0.3">
      <c r="O7573" s="14"/>
      <c r="P7573" s="14"/>
      <c r="Q7573" s="14"/>
      <c r="R7573" s="14"/>
    </row>
    <row r="7574" spans="15:18" x14ac:dyDescent="0.3">
      <c r="O7574" s="14"/>
      <c r="P7574" s="14"/>
      <c r="Q7574" s="14"/>
      <c r="R7574" s="14"/>
    </row>
    <row r="7575" spans="15:18" x14ac:dyDescent="0.3">
      <c r="O7575" s="14"/>
      <c r="P7575" s="14"/>
      <c r="Q7575" s="14"/>
      <c r="R7575" s="14"/>
    </row>
    <row r="7576" spans="15:18" x14ac:dyDescent="0.3">
      <c r="O7576" s="14"/>
      <c r="P7576" s="14"/>
      <c r="Q7576" s="14"/>
      <c r="R7576" s="14"/>
    </row>
    <row r="7577" spans="15:18" x14ac:dyDescent="0.3">
      <c r="O7577" s="14"/>
      <c r="P7577" s="14"/>
      <c r="Q7577" s="14"/>
      <c r="R7577" s="14"/>
    </row>
    <row r="7578" spans="15:18" x14ac:dyDescent="0.3">
      <c r="O7578" s="14"/>
      <c r="P7578" s="14"/>
      <c r="Q7578" s="14"/>
      <c r="R7578" s="14"/>
    </row>
    <row r="7579" spans="15:18" x14ac:dyDescent="0.3">
      <c r="O7579" s="14"/>
      <c r="P7579" s="14"/>
      <c r="Q7579" s="14"/>
      <c r="R7579" s="14"/>
    </row>
    <row r="7580" spans="15:18" x14ac:dyDescent="0.3">
      <c r="O7580" s="14"/>
      <c r="P7580" s="14"/>
      <c r="Q7580" s="14"/>
      <c r="R7580" s="14"/>
    </row>
    <row r="7581" spans="15:18" x14ac:dyDescent="0.3">
      <c r="O7581" s="14"/>
      <c r="P7581" s="14"/>
      <c r="Q7581" s="14"/>
      <c r="R7581" s="14"/>
    </row>
    <row r="7582" spans="15:18" x14ac:dyDescent="0.3">
      <c r="O7582" s="14"/>
      <c r="P7582" s="14"/>
      <c r="Q7582" s="14"/>
      <c r="R7582" s="14"/>
    </row>
    <row r="7583" spans="15:18" x14ac:dyDescent="0.3">
      <c r="O7583" s="14"/>
      <c r="P7583" s="14"/>
      <c r="Q7583" s="14"/>
      <c r="R7583" s="14"/>
    </row>
    <row r="7584" spans="15:18" x14ac:dyDescent="0.3">
      <c r="O7584" s="14"/>
      <c r="P7584" s="14"/>
      <c r="Q7584" s="14"/>
      <c r="R7584" s="14"/>
    </row>
    <row r="7585" spans="15:18" x14ac:dyDescent="0.3">
      <c r="O7585" s="14"/>
      <c r="P7585" s="14"/>
      <c r="Q7585" s="14"/>
      <c r="R7585" s="14"/>
    </row>
    <row r="7586" spans="15:18" x14ac:dyDescent="0.3">
      <c r="O7586" s="14"/>
      <c r="P7586" s="14"/>
      <c r="Q7586" s="14"/>
      <c r="R7586" s="14"/>
    </row>
    <row r="7587" spans="15:18" x14ac:dyDescent="0.3">
      <c r="O7587" s="14"/>
      <c r="P7587" s="14"/>
      <c r="Q7587" s="14"/>
      <c r="R7587" s="14"/>
    </row>
    <row r="7588" spans="15:18" x14ac:dyDescent="0.3">
      <c r="O7588" s="14"/>
      <c r="P7588" s="14"/>
      <c r="Q7588" s="14"/>
      <c r="R7588" s="14"/>
    </row>
    <row r="7589" spans="15:18" x14ac:dyDescent="0.3">
      <c r="O7589" s="14"/>
      <c r="P7589" s="14"/>
      <c r="Q7589" s="14"/>
      <c r="R7589" s="14"/>
    </row>
    <row r="7590" spans="15:18" x14ac:dyDescent="0.3">
      <c r="O7590" s="14"/>
      <c r="P7590" s="14"/>
      <c r="Q7590" s="14"/>
      <c r="R7590" s="14"/>
    </row>
    <row r="7591" spans="15:18" x14ac:dyDescent="0.3">
      <c r="O7591" s="14"/>
      <c r="P7591" s="14"/>
      <c r="Q7591" s="14"/>
      <c r="R7591" s="14"/>
    </row>
    <row r="7592" spans="15:18" x14ac:dyDescent="0.3">
      <c r="O7592" s="14"/>
      <c r="P7592" s="14"/>
      <c r="Q7592" s="14"/>
      <c r="R7592" s="14"/>
    </row>
    <row r="7593" spans="15:18" x14ac:dyDescent="0.3">
      <c r="O7593" s="14"/>
      <c r="P7593" s="14"/>
      <c r="Q7593" s="14"/>
      <c r="R7593" s="14"/>
    </row>
    <row r="7594" spans="15:18" x14ac:dyDescent="0.3">
      <c r="O7594" s="14"/>
      <c r="P7594" s="14"/>
      <c r="Q7594" s="14"/>
      <c r="R7594" s="14"/>
    </row>
    <row r="7595" spans="15:18" x14ac:dyDescent="0.3">
      <c r="O7595" s="14"/>
      <c r="P7595" s="14"/>
      <c r="Q7595" s="14"/>
      <c r="R7595" s="14"/>
    </row>
    <row r="7596" spans="15:18" x14ac:dyDescent="0.3">
      <c r="O7596" s="14"/>
      <c r="P7596" s="14"/>
      <c r="Q7596" s="14"/>
      <c r="R7596" s="14"/>
    </row>
    <row r="7597" spans="15:18" x14ac:dyDescent="0.3">
      <c r="O7597" s="14"/>
      <c r="P7597" s="14"/>
      <c r="Q7597" s="14"/>
      <c r="R7597" s="14"/>
    </row>
    <row r="7598" spans="15:18" x14ac:dyDescent="0.3">
      <c r="O7598" s="14"/>
      <c r="P7598" s="14"/>
      <c r="Q7598" s="14"/>
      <c r="R7598" s="14"/>
    </row>
    <row r="7599" spans="15:18" x14ac:dyDescent="0.3">
      <c r="O7599" s="14"/>
      <c r="P7599" s="14"/>
      <c r="Q7599" s="14"/>
      <c r="R7599" s="14"/>
    </row>
    <row r="7600" spans="15:18" x14ac:dyDescent="0.3">
      <c r="O7600" s="14"/>
      <c r="P7600" s="14"/>
      <c r="Q7600" s="14"/>
      <c r="R7600" s="14"/>
    </row>
    <row r="7601" spans="15:18" x14ac:dyDescent="0.3">
      <c r="O7601" s="14"/>
      <c r="P7601" s="14"/>
      <c r="Q7601" s="14"/>
      <c r="R7601" s="14"/>
    </row>
    <row r="7602" spans="15:18" x14ac:dyDescent="0.3">
      <c r="O7602" s="14"/>
      <c r="P7602" s="14"/>
      <c r="Q7602" s="14"/>
      <c r="R7602" s="14"/>
    </row>
    <row r="7603" spans="15:18" x14ac:dyDescent="0.3">
      <c r="O7603" s="14"/>
      <c r="P7603" s="14"/>
      <c r="Q7603" s="14"/>
      <c r="R7603" s="14"/>
    </row>
    <row r="7604" spans="15:18" x14ac:dyDescent="0.3">
      <c r="O7604" s="14"/>
      <c r="P7604" s="14"/>
      <c r="Q7604" s="14"/>
      <c r="R7604" s="14"/>
    </row>
    <row r="7605" spans="15:18" x14ac:dyDescent="0.3">
      <c r="O7605" s="14"/>
      <c r="P7605" s="14"/>
      <c r="Q7605" s="14"/>
      <c r="R7605" s="14"/>
    </row>
    <row r="7606" spans="15:18" x14ac:dyDescent="0.3">
      <c r="O7606" s="14"/>
      <c r="P7606" s="14"/>
      <c r="Q7606" s="14"/>
      <c r="R7606" s="14"/>
    </row>
    <row r="7607" spans="15:18" x14ac:dyDescent="0.3">
      <c r="O7607" s="14"/>
      <c r="P7607" s="14"/>
      <c r="Q7607" s="14"/>
      <c r="R7607" s="14"/>
    </row>
    <row r="7608" spans="15:18" x14ac:dyDescent="0.3">
      <c r="O7608" s="14"/>
      <c r="P7608" s="14"/>
      <c r="Q7608" s="14"/>
      <c r="R7608" s="14"/>
    </row>
    <row r="7609" spans="15:18" x14ac:dyDescent="0.3">
      <c r="O7609" s="14"/>
      <c r="P7609" s="14"/>
      <c r="Q7609" s="14"/>
      <c r="R7609" s="14"/>
    </row>
    <row r="7610" spans="15:18" x14ac:dyDescent="0.3">
      <c r="O7610" s="14"/>
      <c r="P7610" s="14"/>
      <c r="Q7610" s="14"/>
      <c r="R7610" s="14"/>
    </row>
    <row r="7611" spans="15:18" x14ac:dyDescent="0.3">
      <c r="O7611" s="14"/>
      <c r="P7611" s="14"/>
      <c r="Q7611" s="14"/>
      <c r="R7611" s="14"/>
    </row>
    <row r="7612" spans="15:18" x14ac:dyDescent="0.3">
      <c r="O7612" s="14"/>
      <c r="P7612" s="14"/>
      <c r="Q7612" s="14"/>
      <c r="R7612" s="14"/>
    </row>
    <row r="7613" spans="15:18" x14ac:dyDescent="0.3">
      <c r="O7613" s="14"/>
      <c r="P7613" s="14"/>
      <c r="Q7613" s="14"/>
      <c r="R7613" s="14"/>
    </row>
    <row r="7614" spans="15:18" x14ac:dyDescent="0.3">
      <c r="O7614" s="14"/>
      <c r="P7614" s="14"/>
      <c r="Q7614" s="14"/>
      <c r="R7614" s="14"/>
    </row>
    <row r="7615" spans="15:18" x14ac:dyDescent="0.3">
      <c r="O7615" s="14"/>
      <c r="P7615" s="14"/>
      <c r="Q7615" s="14"/>
      <c r="R7615" s="14"/>
    </row>
    <row r="7616" spans="15:18" x14ac:dyDescent="0.3">
      <c r="O7616" s="14"/>
      <c r="P7616" s="14"/>
      <c r="Q7616" s="14"/>
      <c r="R7616" s="14"/>
    </row>
    <row r="7617" spans="15:18" x14ac:dyDescent="0.3">
      <c r="O7617" s="14"/>
      <c r="P7617" s="14"/>
      <c r="Q7617" s="14"/>
      <c r="R7617" s="14"/>
    </row>
    <row r="7618" spans="15:18" x14ac:dyDescent="0.3">
      <c r="O7618" s="14"/>
      <c r="P7618" s="14"/>
      <c r="Q7618" s="14"/>
      <c r="R7618" s="14"/>
    </row>
    <row r="7619" spans="15:18" x14ac:dyDescent="0.3">
      <c r="O7619" s="14"/>
      <c r="P7619" s="14"/>
      <c r="Q7619" s="14"/>
      <c r="R7619" s="14"/>
    </row>
    <row r="7620" spans="15:18" x14ac:dyDescent="0.3">
      <c r="O7620" s="14"/>
      <c r="P7620" s="14"/>
      <c r="Q7620" s="14"/>
      <c r="R7620" s="14"/>
    </row>
    <row r="7621" spans="15:18" x14ac:dyDescent="0.3">
      <c r="O7621" s="14"/>
      <c r="P7621" s="14"/>
      <c r="Q7621" s="14"/>
      <c r="R7621" s="14"/>
    </row>
    <row r="7622" spans="15:18" x14ac:dyDescent="0.3">
      <c r="O7622" s="14"/>
      <c r="P7622" s="14"/>
      <c r="Q7622" s="14"/>
      <c r="R7622" s="14"/>
    </row>
    <row r="7623" spans="15:18" x14ac:dyDescent="0.3">
      <c r="O7623" s="14"/>
      <c r="P7623" s="14"/>
      <c r="Q7623" s="14"/>
      <c r="R7623" s="14"/>
    </row>
    <row r="7624" spans="15:18" x14ac:dyDescent="0.3">
      <c r="O7624" s="14"/>
      <c r="P7624" s="14"/>
      <c r="Q7624" s="14"/>
      <c r="R7624" s="14"/>
    </row>
    <row r="7625" spans="15:18" x14ac:dyDescent="0.3">
      <c r="O7625" s="14"/>
      <c r="P7625" s="14"/>
      <c r="Q7625" s="14"/>
      <c r="R7625" s="14"/>
    </row>
    <row r="7626" spans="15:18" x14ac:dyDescent="0.3">
      <c r="O7626" s="14"/>
      <c r="P7626" s="14"/>
      <c r="Q7626" s="14"/>
      <c r="R7626" s="14"/>
    </row>
    <row r="7627" spans="15:18" x14ac:dyDescent="0.3">
      <c r="O7627" s="14"/>
      <c r="P7627" s="14"/>
      <c r="Q7627" s="14"/>
      <c r="R7627" s="14"/>
    </row>
    <row r="7628" spans="15:18" x14ac:dyDescent="0.3">
      <c r="O7628" s="14"/>
      <c r="P7628" s="14"/>
      <c r="Q7628" s="14"/>
      <c r="R7628" s="14"/>
    </row>
    <row r="7629" spans="15:18" x14ac:dyDescent="0.3">
      <c r="O7629" s="14"/>
      <c r="P7629" s="14"/>
      <c r="Q7629" s="14"/>
      <c r="R7629" s="14"/>
    </row>
    <row r="7630" spans="15:18" x14ac:dyDescent="0.3">
      <c r="O7630" s="14"/>
      <c r="P7630" s="14"/>
      <c r="Q7630" s="14"/>
      <c r="R7630" s="14"/>
    </row>
    <row r="7631" spans="15:18" x14ac:dyDescent="0.3">
      <c r="O7631" s="14"/>
      <c r="P7631" s="14"/>
      <c r="Q7631" s="14"/>
      <c r="R7631" s="14"/>
    </row>
    <row r="7632" spans="15:18" x14ac:dyDescent="0.3">
      <c r="O7632" s="14"/>
      <c r="P7632" s="14"/>
      <c r="Q7632" s="14"/>
      <c r="R7632" s="14"/>
    </row>
    <row r="7633" spans="15:18" x14ac:dyDescent="0.3">
      <c r="O7633" s="14"/>
      <c r="P7633" s="14"/>
      <c r="Q7633" s="14"/>
      <c r="R7633" s="14"/>
    </row>
    <row r="7634" spans="15:18" x14ac:dyDescent="0.3">
      <c r="O7634" s="14"/>
      <c r="P7634" s="14"/>
      <c r="Q7634" s="14"/>
      <c r="R7634" s="14"/>
    </row>
    <row r="7635" spans="15:18" x14ac:dyDescent="0.3">
      <c r="O7635" s="14"/>
      <c r="P7635" s="14"/>
      <c r="Q7635" s="14"/>
      <c r="R7635" s="14"/>
    </row>
    <row r="7636" spans="15:18" x14ac:dyDescent="0.3">
      <c r="O7636" s="14"/>
      <c r="P7636" s="14"/>
      <c r="Q7636" s="14"/>
      <c r="R7636" s="14"/>
    </row>
    <row r="7637" spans="15:18" x14ac:dyDescent="0.3">
      <c r="O7637" s="14"/>
      <c r="P7637" s="14"/>
      <c r="Q7637" s="14"/>
      <c r="R7637" s="14"/>
    </row>
    <row r="7638" spans="15:18" x14ac:dyDescent="0.3">
      <c r="O7638" s="14"/>
      <c r="P7638" s="14"/>
      <c r="Q7638" s="14"/>
      <c r="R7638" s="14"/>
    </row>
    <row r="7639" spans="15:18" x14ac:dyDescent="0.3">
      <c r="O7639" s="14"/>
      <c r="P7639" s="14"/>
      <c r="Q7639" s="14"/>
      <c r="R7639" s="14"/>
    </row>
    <row r="7640" spans="15:18" x14ac:dyDescent="0.3">
      <c r="O7640" s="14"/>
      <c r="P7640" s="14"/>
      <c r="Q7640" s="14"/>
      <c r="R7640" s="14"/>
    </row>
    <row r="7641" spans="15:18" x14ac:dyDescent="0.3">
      <c r="O7641" s="14"/>
      <c r="P7641" s="14"/>
      <c r="Q7641" s="14"/>
      <c r="R7641" s="14"/>
    </row>
    <row r="7642" spans="15:18" x14ac:dyDescent="0.3">
      <c r="O7642" s="14"/>
      <c r="P7642" s="14"/>
      <c r="Q7642" s="14"/>
      <c r="R7642" s="14"/>
    </row>
    <row r="7643" spans="15:18" x14ac:dyDescent="0.3">
      <c r="O7643" s="14"/>
      <c r="P7643" s="14"/>
      <c r="Q7643" s="14"/>
      <c r="R7643" s="14"/>
    </row>
    <row r="7644" spans="15:18" x14ac:dyDescent="0.3">
      <c r="O7644" s="14"/>
      <c r="P7644" s="14"/>
      <c r="Q7644" s="14"/>
      <c r="R7644" s="14"/>
    </row>
    <row r="7645" spans="15:18" x14ac:dyDescent="0.3">
      <c r="O7645" s="14"/>
      <c r="P7645" s="14"/>
      <c r="Q7645" s="14"/>
      <c r="R7645" s="14"/>
    </row>
    <row r="7646" spans="15:18" x14ac:dyDescent="0.3">
      <c r="O7646" s="14"/>
      <c r="P7646" s="14"/>
      <c r="Q7646" s="14"/>
      <c r="R7646" s="14"/>
    </row>
    <row r="7647" spans="15:18" x14ac:dyDescent="0.3">
      <c r="O7647" s="14"/>
      <c r="P7647" s="14"/>
      <c r="Q7647" s="14"/>
      <c r="R7647" s="14"/>
    </row>
    <row r="7648" spans="15:18" x14ac:dyDescent="0.3">
      <c r="O7648" s="14"/>
      <c r="P7648" s="14"/>
      <c r="Q7648" s="14"/>
      <c r="R7648" s="14"/>
    </row>
    <row r="7649" spans="15:18" x14ac:dyDescent="0.3">
      <c r="O7649" s="14"/>
      <c r="P7649" s="14"/>
      <c r="Q7649" s="14"/>
      <c r="R7649" s="14"/>
    </row>
    <row r="7650" spans="15:18" x14ac:dyDescent="0.3">
      <c r="O7650" s="14"/>
      <c r="P7650" s="14"/>
      <c r="Q7650" s="14"/>
      <c r="R7650" s="14"/>
    </row>
    <row r="7651" spans="15:18" x14ac:dyDescent="0.3">
      <c r="O7651" s="14"/>
      <c r="P7651" s="14"/>
      <c r="Q7651" s="14"/>
      <c r="R7651" s="14"/>
    </row>
    <row r="7652" spans="15:18" x14ac:dyDescent="0.3">
      <c r="O7652" s="14"/>
      <c r="P7652" s="14"/>
      <c r="Q7652" s="14"/>
      <c r="R7652" s="14"/>
    </row>
    <row r="7653" spans="15:18" x14ac:dyDescent="0.3">
      <c r="O7653" s="14"/>
      <c r="P7653" s="14"/>
      <c r="Q7653" s="14"/>
      <c r="R7653" s="14"/>
    </row>
    <row r="7654" spans="15:18" x14ac:dyDescent="0.3">
      <c r="O7654" s="14"/>
      <c r="P7654" s="14"/>
      <c r="Q7654" s="14"/>
      <c r="R7654" s="14"/>
    </row>
    <row r="7655" spans="15:18" x14ac:dyDescent="0.3">
      <c r="O7655" s="14"/>
      <c r="P7655" s="14"/>
      <c r="Q7655" s="14"/>
      <c r="R7655" s="14"/>
    </row>
    <row r="7656" spans="15:18" x14ac:dyDescent="0.3">
      <c r="O7656" s="14"/>
      <c r="P7656" s="14"/>
      <c r="Q7656" s="14"/>
      <c r="R7656" s="14"/>
    </row>
    <row r="7657" spans="15:18" x14ac:dyDescent="0.3">
      <c r="O7657" s="14"/>
      <c r="P7657" s="14"/>
      <c r="Q7657" s="14"/>
      <c r="R7657" s="14"/>
    </row>
    <row r="7658" spans="15:18" x14ac:dyDescent="0.3">
      <c r="O7658" s="14"/>
      <c r="P7658" s="14"/>
      <c r="Q7658" s="14"/>
      <c r="R7658" s="14"/>
    </row>
    <row r="7659" spans="15:18" x14ac:dyDescent="0.3">
      <c r="O7659" s="14"/>
      <c r="P7659" s="14"/>
      <c r="Q7659" s="14"/>
      <c r="R7659" s="14"/>
    </row>
    <row r="7660" spans="15:18" x14ac:dyDescent="0.3">
      <c r="O7660" s="14"/>
      <c r="P7660" s="14"/>
      <c r="Q7660" s="14"/>
      <c r="R7660" s="14"/>
    </row>
    <row r="7661" spans="15:18" x14ac:dyDescent="0.3">
      <c r="O7661" s="14"/>
      <c r="P7661" s="14"/>
      <c r="Q7661" s="14"/>
      <c r="R7661" s="14"/>
    </row>
    <row r="7662" spans="15:18" x14ac:dyDescent="0.3">
      <c r="O7662" s="14"/>
      <c r="P7662" s="14"/>
      <c r="Q7662" s="14"/>
      <c r="R7662" s="14"/>
    </row>
    <row r="7663" spans="15:18" x14ac:dyDescent="0.3">
      <c r="O7663" s="14"/>
      <c r="P7663" s="14"/>
      <c r="Q7663" s="14"/>
      <c r="R7663" s="14"/>
    </row>
    <row r="7664" spans="15:18" x14ac:dyDescent="0.3">
      <c r="O7664" s="14"/>
      <c r="P7664" s="14"/>
      <c r="Q7664" s="14"/>
      <c r="R7664" s="14"/>
    </row>
    <row r="7665" spans="15:18" x14ac:dyDescent="0.3">
      <c r="O7665" s="14"/>
      <c r="P7665" s="14"/>
      <c r="Q7665" s="14"/>
      <c r="R7665" s="14"/>
    </row>
    <row r="7666" spans="15:18" x14ac:dyDescent="0.3">
      <c r="O7666" s="14"/>
      <c r="P7666" s="14"/>
      <c r="Q7666" s="14"/>
      <c r="R7666" s="14"/>
    </row>
    <row r="7667" spans="15:18" x14ac:dyDescent="0.3">
      <c r="O7667" s="14"/>
      <c r="P7667" s="14"/>
      <c r="Q7667" s="14"/>
      <c r="R7667" s="14"/>
    </row>
    <row r="7668" spans="15:18" x14ac:dyDescent="0.3">
      <c r="O7668" s="14"/>
      <c r="P7668" s="14"/>
      <c r="Q7668" s="14"/>
      <c r="R7668" s="14"/>
    </row>
    <row r="7669" spans="15:18" x14ac:dyDescent="0.3">
      <c r="O7669" s="14"/>
      <c r="P7669" s="14"/>
      <c r="Q7669" s="14"/>
      <c r="R7669" s="14"/>
    </row>
    <row r="7670" spans="15:18" x14ac:dyDescent="0.3">
      <c r="O7670" s="14"/>
      <c r="P7670" s="14"/>
      <c r="Q7670" s="14"/>
      <c r="R7670" s="14"/>
    </row>
    <row r="7671" spans="15:18" x14ac:dyDescent="0.3">
      <c r="O7671" s="14"/>
      <c r="P7671" s="14"/>
      <c r="Q7671" s="14"/>
      <c r="R7671" s="14"/>
    </row>
    <row r="7672" spans="15:18" x14ac:dyDescent="0.3">
      <c r="O7672" s="14"/>
      <c r="P7672" s="14"/>
      <c r="Q7672" s="14"/>
      <c r="R7672" s="14"/>
    </row>
    <row r="7673" spans="15:18" x14ac:dyDescent="0.3">
      <c r="O7673" s="14"/>
      <c r="P7673" s="14"/>
      <c r="Q7673" s="14"/>
      <c r="R7673" s="14"/>
    </row>
    <row r="7674" spans="15:18" x14ac:dyDescent="0.3">
      <c r="O7674" s="14"/>
      <c r="P7674" s="14"/>
      <c r="Q7674" s="14"/>
      <c r="R7674" s="14"/>
    </row>
    <row r="7675" spans="15:18" x14ac:dyDescent="0.3">
      <c r="O7675" s="14"/>
      <c r="P7675" s="14"/>
      <c r="Q7675" s="14"/>
      <c r="R7675" s="14"/>
    </row>
    <row r="7676" spans="15:18" x14ac:dyDescent="0.3">
      <c r="O7676" s="14"/>
      <c r="P7676" s="14"/>
      <c r="Q7676" s="14"/>
      <c r="R7676" s="14"/>
    </row>
    <row r="7677" spans="15:18" x14ac:dyDescent="0.3">
      <c r="O7677" s="14"/>
      <c r="P7677" s="14"/>
      <c r="Q7677" s="14"/>
      <c r="R7677" s="14"/>
    </row>
    <row r="7678" spans="15:18" x14ac:dyDescent="0.3">
      <c r="O7678" s="14"/>
      <c r="P7678" s="14"/>
      <c r="Q7678" s="14"/>
      <c r="R7678" s="14"/>
    </row>
    <row r="7679" spans="15:18" x14ac:dyDescent="0.3">
      <c r="O7679" s="14"/>
      <c r="P7679" s="14"/>
      <c r="Q7679" s="14"/>
      <c r="R7679" s="14"/>
    </row>
    <row r="7680" spans="15:18" x14ac:dyDescent="0.3">
      <c r="O7680" s="14"/>
      <c r="P7680" s="14"/>
      <c r="Q7680" s="14"/>
      <c r="R7680" s="14"/>
    </row>
    <row r="7681" spans="15:18" x14ac:dyDescent="0.3">
      <c r="O7681" s="14"/>
      <c r="P7681" s="14"/>
      <c r="Q7681" s="14"/>
      <c r="R7681" s="14"/>
    </row>
    <row r="7682" spans="15:18" x14ac:dyDescent="0.3">
      <c r="O7682" s="14"/>
      <c r="P7682" s="14"/>
      <c r="Q7682" s="14"/>
      <c r="R7682" s="14"/>
    </row>
    <row r="7683" spans="15:18" x14ac:dyDescent="0.3">
      <c r="O7683" s="14"/>
      <c r="P7683" s="14"/>
      <c r="Q7683" s="14"/>
      <c r="R7683" s="14"/>
    </row>
    <row r="7684" spans="15:18" x14ac:dyDescent="0.3">
      <c r="O7684" s="14"/>
      <c r="P7684" s="14"/>
      <c r="Q7684" s="14"/>
      <c r="R7684" s="14"/>
    </row>
    <row r="7685" spans="15:18" x14ac:dyDescent="0.3">
      <c r="O7685" s="14"/>
      <c r="P7685" s="14"/>
      <c r="Q7685" s="14"/>
      <c r="R7685" s="14"/>
    </row>
    <row r="7686" spans="15:18" x14ac:dyDescent="0.3">
      <c r="O7686" s="14"/>
      <c r="P7686" s="14"/>
      <c r="Q7686" s="14"/>
      <c r="R7686" s="14"/>
    </row>
    <row r="7687" spans="15:18" x14ac:dyDescent="0.3">
      <c r="O7687" s="14"/>
      <c r="P7687" s="14"/>
      <c r="Q7687" s="14"/>
      <c r="R7687" s="14"/>
    </row>
    <row r="7688" spans="15:18" x14ac:dyDescent="0.3">
      <c r="O7688" s="14"/>
      <c r="P7688" s="14"/>
      <c r="Q7688" s="14"/>
      <c r="R7688" s="14"/>
    </row>
    <row r="7689" spans="15:18" x14ac:dyDescent="0.3">
      <c r="O7689" s="14"/>
      <c r="P7689" s="14"/>
      <c r="Q7689" s="14"/>
      <c r="R7689" s="14"/>
    </row>
    <row r="7690" spans="15:18" x14ac:dyDescent="0.3">
      <c r="O7690" s="14"/>
      <c r="P7690" s="14"/>
      <c r="Q7690" s="14"/>
      <c r="R7690" s="14"/>
    </row>
    <row r="7691" spans="15:18" x14ac:dyDescent="0.3">
      <c r="O7691" s="14"/>
      <c r="P7691" s="14"/>
      <c r="Q7691" s="14"/>
      <c r="R7691" s="14"/>
    </row>
    <row r="7692" spans="15:18" x14ac:dyDescent="0.3">
      <c r="O7692" s="14"/>
      <c r="P7692" s="14"/>
      <c r="Q7692" s="14"/>
      <c r="R7692" s="14"/>
    </row>
    <row r="7693" spans="15:18" x14ac:dyDescent="0.3">
      <c r="O7693" s="14"/>
      <c r="P7693" s="14"/>
      <c r="Q7693" s="14"/>
      <c r="R7693" s="14"/>
    </row>
    <row r="7694" spans="15:18" x14ac:dyDescent="0.3">
      <c r="O7694" s="14"/>
      <c r="P7694" s="14"/>
      <c r="Q7694" s="14"/>
      <c r="R7694" s="14"/>
    </row>
    <row r="7695" spans="15:18" x14ac:dyDescent="0.3">
      <c r="O7695" s="14"/>
      <c r="P7695" s="14"/>
      <c r="Q7695" s="14"/>
      <c r="R7695" s="14"/>
    </row>
    <row r="7696" spans="15:18" x14ac:dyDescent="0.3">
      <c r="O7696" s="14"/>
      <c r="P7696" s="14"/>
      <c r="Q7696" s="14"/>
      <c r="R7696" s="14"/>
    </row>
    <row r="7697" spans="15:18" x14ac:dyDescent="0.3">
      <c r="O7697" s="14"/>
      <c r="P7697" s="14"/>
      <c r="Q7697" s="14"/>
      <c r="R7697" s="14"/>
    </row>
    <row r="7698" spans="15:18" x14ac:dyDescent="0.3">
      <c r="O7698" s="14"/>
      <c r="P7698" s="14"/>
      <c r="Q7698" s="14"/>
      <c r="R7698" s="14"/>
    </row>
    <row r="7699" spans="15:18" x14ac:dyDescent="0.3">
      <c r="O7699" s="14"/>
      <c r="P7699" s="14"/>
      <c r="Q7699" s="14"/>
      <c r="R7699" s="14"/>
    </row>
    <row r="7700" spans="15:18" x14ac:dyDescent="0.3">
      <c r="O7700" s="14"/>
      <c r="P7700" s="14"/>
      <c r="Q7700" s="14"/>
      <c r="R7700" s="14"/>
    </row>
    <row r="7701" spans="15:18" x14ac:dyDescent="0.3">
      <c r="O7701" s="14"/>
      <c r="P7701" s="14"/>
      <c r="Q7701" s="14"/>
      <c r="R7701" s="14"/>
    </row>
    <row r="7702" spans="15:18" x14ac:dyDescent="0.3">
      <c r="O7702" s="14"/>
      <c r="P7702" s="14"/>
      <c r="Q7702" s="14"/>
      <c r="R7702" s="14"/>
    </row>
    <row r="7703" spans="15:18" x14ac:dyDescent="0.3">
      <c r="O7703" s="14"/>
      <c r="P7703" s="14"/>
      <c r="Q7703" s="14"/>
      <c r="R7703" s="14"/>
    </row>
    <row r="7704" spans="15:18" x14ac:dyDescent="0.3">
      <c r="O7704" s="14"/>
      <c r="P7704" s="14"/>
      <c r="Q7704" s="14"/>
      <c r="R7704" s="14"/>
    </row>
    <row r="7705" spans="15:18" x14ac:dyDescent="0.3">
      <c r="O7705" s="14"/>
      <c r="P7705" s="14"/>
      <c r="Q7705" s="14"/>
      <c r="R7705" s="14"/>
    </row>
    <row r="7706" spans="15:18" x14ac:dyDescent="0.3">
      <c r="O7706" s="14"/>
      <c r="P7706" s="14"/>
      <c r="Q7706" s="14"/>
      <c r="R7706" s="14"/>
    </row>
    <row r="7707" spans="15:18" x14ac:dyDescent="0.3">
      <c r="O7707" s="14"/>
      <c r="P7707" s="14"/>
      <c r="Q7707" s="14"/>
      <c r="R7707" s="14"/>
    </row>
    <row r="7708" spans="15:18" x14ac:dyDescent="0.3">
      <c r="O7708" s="14"/>
      <c r="P7708" s="14"/>
      <c r="Q7708" s="14"/>
      <c r="R7708" s="14"/>
    </row>
    <row r="7709" spans="15:18" x14ac:dyDescent="0.3">
      <c r="O7709" s="14"/>
      <c r="P7709" s="14"/>
      <c r="Q7709" s="14"/>
      <c r="R7709" s="14"/>
    </row>
    <row r="7710" spans="15:18" x14ac:dyDescent="0.3">
      <c r="O7710" s="14"/>
      <c r="P7710" s="14"/>
      <c r="Q7710" s="14"/>
      <c r="R7710" s="14"/>
    </row>
    <row r="7711" spans="15:18" x14ac:dyDescent="0.3">
      <c r="O7711" s="14"/>
      <c r="P7711" s="14"/>
      <c r="Q7711" s="14"/>
      <c r="R7711" s="14"/>
    </row>
    <row r="7712" spans="15:18" x14ac:dyDescent="0.3">
      <c r="O7712" s="14"/>
      <c r="P7712" s="14"/>
      <c r="Q7712" s="14"/>
      <c r="R7712" s="14"/>
    </row>
    <row r="7713" spans="15:18" x14ac:dyDescent="0.3">
      <c r="O7713" s="14"/>
      <c r="P7713" s="14"/>
      <c r="Q7713" s="14"/>
      <c r="R7713" s="14"/>
    </row>
    <row r="7714" spans="15:18" x14ac:dyDescent="0.3">
      <c r="O7714" s="14"/>
      <c r="P7714" s="14"/>
      <c r="Q7714" s="14"/>
      <c r="R7714" s="14"/>
    </row>
    <row r="7715" spans="15:18" x14ac:dyDescent="0.3">
      <c r="O7715" s="14"/>
      <c r="P7715" s="14"/>
      <c r="Q7715" s="14"/>
      <c r="R7715" s="14"/>
    </row>
    <row r="7716" spans="15:18" x14ac:dyDescent="0.3">
      <c r="O7716" s="14"/>
      <c r="P7716" s="14"/>
      <c r="Q7716" s="14"/>
      <c r="R7716" s="14"/>
    </row>
    <row r="7717" spans="15:18" x14ac:dyDescent="0.3">
      <c r="O7717" s="14"/>
      <c r="P7717" s="14"/>
      <c r="Q7717" s="14"/>
      <c r="R7717" s="14"/>
    </row>
    <row r="7718" spans="15:18" x14ac:dyDescent="0.3">
      <c r="O7718" s="14"/>
      <c r="P7718" s="14"/>
      <c r="Q7718" s="14"/>
      <c r="R7718" s="14"/>
    </row>
    <row r="7719" spans="15:18" x14ac:dyDescent="0.3">
      <c r="O7719" s="14"/>
      <c r="P7719" s="14"/>
      <c r="Q7719" s="14"/>
      <c r="R7719" s="14"/>
    </row>
    <row r="7720" spans="15:18" x14ac:dyDescent="0.3">
      <c r="O7720" s="14"/>
      <c r="P7720" s="14"/>
      <c r="Q7720" s="14"/>
      <c r="R7720" s="14"/>
    </row>
    <row r="7721" spans="15:18" x14ac:dyDescent="0.3">
      <c r="O7721" s="14"/>
      <c r="P7721" s="14"/>
      <c r="Q7721" s="14"/>
      <c r="R7721" s="14"/>
    </row>
    <row r="7722" spans="15:18" x14ac:dyDescent="0.3">
      <c r="O7722" s="14"/>
      <c r="P7722" s="14"/>
      <c r="Q7722" s="14"/>
      <c r="R7722" s="14"/>
    </row>
    <row r="7723" spans="15:18" x14ac:dyDescent="0.3">
      <c r="O7723" s="14"/>
      <c r="P7723" s="14"/>
      <c r="Q7723" s="14"/>
      <c r="R7723" s="14"/>
    </row>
    <row r="7724" spans="15:18" x14ac:dyDescent="0.3">
      <c r="O7724" s="14"/>
      <c r="P7724" s="14"/>
      <c r="Q7724" s="14"/>
      <c r="R7724" s="14"/>
    </row>
    <row r="7725" spans="15:18" x14ac:dyDescent="0.3">
      <c r="O7725" s="14"/>
      <c r="P7725" s="14"/>
      <c r="Q7725" s="14"/>
      <c r="R7725" s="14"/>
    </row>
    <row r="7726" spans="15:18" x14ac:dyDescent="0.3">
      <c r="O7726" s="14"/>
      <c r="P7726" s="14"/>
      <c r="Q7726" s="14"/>
      <c r="R7726" s="14"/>
    </row>
    <row r="7727" spans="15:18" x14ac:dyDescent="0.3">
      <c r="O7727" s="14"/>
      <c r="P7727" s="14"/>
      <c r="Q7727" s="14"/>
      <c r="R7727" s="14"/>
    </row>
    <row r="7728" spans="15:18" x14ac:dyDescent="0.3">
      <c r="O7728" s="14"/>
      <c r="P7728" s="14"/>
      <c r="Q7728" s="14"/>
      <c r="R7728" s="14"/>
    </row>
    <row r="7729" spans="15:18" x14ac:dyDescent="0.3">
      <c r="O7729" s="14"/>
      <c r="P7729" s="14"/>
      <c r="Q7729" s="14"/>
      <c r="R7729" s="14"/>
    </row>
    <row r="7730" spans="15:18" x14ac:dyDescent="0.3">
      <c r="O7730" s="14"/>
      <c r="P7730" s="14"/>
      <c r="Q7730" s="14"/>
      <c r="R7730" s="14"/>
    </row>
    <row r="7731" spans="15:18" x14ac:dyDescent="0.3">
      <c r="O7731" s="14"/>
      <c r="P7731" s="14"/>
      <c r="Q7731" s="14"/>
      <c r="R7731" s="14"/>
    </row>
    <row r="7732" spans="15:18" x14ac:dyDescent="0.3">
      <c r="O7732" s="14"/>
      <c r="P7732" s="14"/>
      <c r="Q7732" s="14"/>
      <c r="R7732" s="14"/>
    </row>
    <row r="7733" spans="15:18" x14ac:dyDescent="0.3">
      <c r="O7733" s="14"/>
      <c r="P7733" s="14"/>
      <c r="Q7733" s="14"/>
      <c r="R7733" s="14"/>
    </row>
    <row r="7734" spans="15:18" x14ac:dyDescent="0.3">
      <c r="O7734" s="14"/>
      <c r="P7734" s="14"/>
      <c r="Q7734" s="14"/>
      <c r="R7734" s="14"/>
    </row>
    <row r="7735" spans="15:18" x14ac:dyDescent="0.3">
      <c r="O7735" s="14"/>
      <c r="P7735" s="14"/>
      <c r="Q7735" s="14"/>
      <c r="R7735" s="14"/>
    </row>
    <row r="7736" spans="15:18" x14ac:dyDescent="0.3">
      <c r="O7736" s="14"/>
      <c r="P7736" s="14"/>
      <c r="Q7736" s="14"/>
      <c r="R7736" s="14"/>
    </row>
    <row r="7737" spans="15:18" x14ac:dyDescent="0.3">
      <c r="O7737" s="14"/>
      <c r="P7737" s="14"/>
      <c r="Q7737" s="14"/>
      <c r="R7737" s="14"/>
    </row>
    <row r="7738" spans="15:18" x14ac:dyDescent="0.3">
      <c r="O7738" s="14"/>
      <c r="P7738" s="14"/>
      <c r="Q7738" s="14"/>
      <c r="R7738" s="14"/>
    </row>
    <row r="7739" spans="15:18" x14ac:dyDescent="0.3">
      <c r="O7739" s="14"/>
      <c r="P7739" s="14"/>
      <c r="Q7739" s="14"/>
      <c r="R7739" s="14"/>
    </row>
    <row r="7740" spans="15:18" x14ac:dyDescent="0.3">
      <c r="O7740" s="14"/>
      <c r="P7740" s="14"/>
      <c r="Q7740" s="14"/>
      <c r="R7740" s="14"/>
    </row>
    <row r="7741" spans="15:18" x14ac:dyDescent="0.3">
      <c r="O7741" s="14"/>
      <c r="P7741" s="14"/>
      <c r="Q7741" s="14"/>
      <c r="R7741" s="14"/>
    </row>
    <row r="7742" spans="15:18" x14ac:dyDescent="0.3">
      <c r="O7742" s="14"/>
      <c r="P7742" s="14"/>
      <c r="Q7742" s="14"/>
      <c r="R7742" s="14"/>
    </row>
    <row r="7743" spans="15:18" x14ac:dyDescent="0.3">
      <c r="O7743" s="14"/>
      <c r="P7743" s="14"/>
      <c r="Q7743" s="14"/>
      <c r="R7743" s="14"/>
    </row>
    <row r="7744" spans="15:18" x14ac:dyDescent="0.3">
      <c r="O7744" s="14"/>
      <c r="P7744" s="14"/>
      <c r="Q7744" s="14"/>
      <c r="R7744" s="14"/>
    </row>
    <row r="7745" spans="15:18" x14ac:dyDescent="0.3">
      <c r="O7745" s="14"/>
      <c r="P7745" s="14"/>
      <c r="Q7745" s="14"/>
      <c r="R7745" s="14"/>
    </row>
    <row r="7746" spans="15:18" x14ac:dyDescent="0.3">
      <c r="O7746" s="14"/>
      <c r="P7746" s="14"/>
      <c r="Q7746" s="14"/>
      <c r="R7746" s="14"/>
    </row>
    <row r="7747" spans="15:18" x14ac:dyDescent="0.3">
      <c r="O7747" s="14"/>
      <c r="P7747" s="14"/>
      <c r="Q7747" s="14"/>
      <c r="R7747" s="14"/>
    </row>
    <row r="7748" spans="15:18" x14ac:dyDescent="0.3">
      <c r="O7748" s="14"/>
      <c r="P7748" s="14"/>
      <c r="Q7748" s="14"/>
      <c r="R7748" s="14"/>
    </row>
    <row r="7749" spans="15:18" x14ac:dyDescent="0.3">
      <c r="O7749" s="14"/>
      <c r="P7749" s="14"/>
      <c r="Q7749" s="14"/>
      <c r="R7749" s="14"/>
    </row>
    <row r="7750" spans="15:18" x14ac:dyDescent="0.3">
      <c r="O7750" s="14"/>
      <c r="P7750" s="14"/>
      <c r="Q7750" s="14"/>
      <c r="R7750" s="14"/>
    </row>
    <row r="7751" spans="15:18" x14ac:dyDescent="0.3">
      <c r="O7751" s="14"/>
      <c r="P7751" s="14"/>
      <c r="Q7751" s="14"/>
      <c r="R7751" s="14"/>
    </row>
    <row r="7752" spans="15:18" x14ac:dyDescent="0.3">
      <c r="O7752" s="14"/>
      <c r="P7752" s="14"/>
      <c r="Q7752" s="14"/>
      <c r="R7752" s="14"/>
    </row>
    <row r="7753" spans="15:18" x14ac:dyDescent="0.3">
      <c r="O7753" s="14"/>
      <c r="P7753" s="14"/>
      <c r="Q7753" s="14"/>
      <c r="R7753" s="14"/>
    </row>
    <row r="7754" spans="15:18" x14ac:dyDescent="0.3">
      <c r="O7754" s="14"/>
      <c r="P7754" s="14"/>
      <c r="Q7754" s="14"/>
      <c r="R7754" s="14"/>
    </row>
    <row r="7755" spans="15:18" x14ac:dyDescent="0.3">
      <c r="O7755" s="14"/>
      <c r="P7755" s="14"/>
      <c r="Q7755" s="14"/>
      <c r="R7755" s="14"/>
    </row>
    <row r="7756" spans="15:18" x14ac:dyDescent="0.3">
      <c r="O7756" s="14"/>
      <c r="P7756" s="14"/>
      <c r="Q7756" s="14"/>
      <c r="R7756" s="14"/>
    </row>
    <row r="7757" spans="15:18" x14ac:dyDescent="0.3">
      <c r="O7757" s="14"/>
      <c r="P7757" s="14"/>
      <c r="Q7757" s="14"/>
      <c r="R7757" s="14"/>
    </row>
    <row r="7758" spans="15:18" x14ac:dyDescent="0.3">
      <c r="O7758" s="14"/>
      <c r="P7758" s="14"/>
      <c r="Q7758" s="14"/>
      <c r="R7758" s="14"/>
    </row>
    <row r="7759" spans="15:18" x14ac:dyDescent="0.3">
      <c r="O7759" s="14"/>
      <c r="P7759" s="14"/>
      <c r="Q7759" s="14"/>
      <c r="R7759" s="14"/>
    </row>
    <row r="7760" spans="15:18" x14ac:dyDescent="0.3">
      <c r="O7760" s="14"/>
      <c r="P7760" s="14"/>
      <c r="Q7760" s="14"/>
      <c r="R7760" s="14"/>
    </row>
    <row r="7761" spans="15:18" x14ac:dyDescent="0.3">
      <c r="O7761" s="14"/>
      <c r="P7761" s="14"/>
      <c r="Q7761" s="14"/>
      <c r="R7761" s="14"/>
    </row>
    <row r="7762" spans="15:18" x14ac:dyDescent="0.3">
      <c r="O7762" s="14"/>
      <c r="P7762" s="14"/>
      <c r="Q7762" s="14"/>
      <c r="R7762" s="14"/>
    </row>
    <row r="7763" spans="15:18" x14ac:dyDescent="0.3">
      <c r="O7763" s="14"/>
      <c r="P7763" s="14"/>
      <c r="Q7763" s="14"/>
      <c r="R7763" s="14"/>
    </row>
    <row r="7764" spans="15:18" x14ac:dyDescent="0.3">
      <c r="O7764" s="14"/>
      <c r="P7764" s="14"/>
      <c r="Q7764" s="14"/>
      <c r="R7764" s="14"/>
    </row>
    <row r="7765" spans="15:18" x14ac:dyDescent="0.3">
      <c r="O7765" s="14"/>
      <c r="P7765" s="14"/>
      <c r="Q7765" s="14"/>
      <c r="R7765" s="14"/>
    </row>
    <row r="7766" spans="15:18" x14ac:dyDescent="0.3">
      <c r="O7766" s="14"/>
      <c r="P7766" s="14"/>
      <c r="Q7766" s="14"/>
      <c r="R7766" s="14"/>
    </row>
    <row r="7767" spans="15:18" x14ac:dyDescent="0.3">
      <c r="O7767" s="14"/>
      <c r="P7767" s="14"/>
      <c r="Q7767" s="14"/>
      <c r="R7767" s="14"/>
    </row>
    <row r="7768" spans="15:18" x14ac:dyDescent="0.3">
      <c r="O7768" s="14"/>
      <c r="P7768" s="14"/>
      <c r="Q7768" s="14"/>
      <c r="R7768" s="14"/>
    </row>
    <row r="7769" spans="15:18" x14ac:dyDescent="0.3">
      <c r="O7769" s="14"/>
      <c r="P7769" s="14"/>
      <c r="Q7769" s="14"/>
      <c r="R7769" s="14"/>
    </row>
    <row r="7770" spans="15:18" x14ac:dyDescent="0.3">
      <c r="O7770" s="14"/>
      <c r="P7770" s="14"/>
      <c r="Q7770" s="14"/>
      <c r="R7770" s="14"/>
    </row>
    <row r="7771" spans="15:18" x14ac:dyDescent="0.3">
      <c r="O7771" s="14"/>
      <c r="P7771" s="14"/>
      <c r="Q7771" s="14"/>
      <c r="R7771" s="14"/>
    </row>
    <row r="7772" spans="15:18" x14ac:dyDescent="0.3">
      <c r="O7772" s="14"/>
      <c r="P7772" s="14"/>
      <c r="Q7772" s="14"/>
      <c r="R7772" s="14"/>
    </row>
    <row r="7773" spans="15:18" x14ac:dyDescent="0.3">
      <c r="O7773" s="14"/>
      <c r="P7773" s="14"/>
      <c r="Q7773" s="14"/>
      <c r="R7773" s="14"/>
    </row>
    <row r="7774" spans="15:18" x14ac:dyDescent="0.3">
      <c r="O7774" s="14"/>
      <c r="P7774" s="14"/>
      <c r="Q7774" s="14"/>
      <c r="R7774" s="14"/>
    </row>
    <row r="7775" spans="15:18" x14ac:dyDescent="0.3">
      <c r="O7775" s="14"/>
      <c r="P7775" s="14"/>
      <c r="Q7775" s="14"/>
      <c r="R7775" s="14"/>
    </row>
    <row r="7776" spans="15:18" x14ac:dyDescent="0.3">
      <c r="O7776" s="14"/>
      <c r="P7776" s="14"/>
      <c r="Q7776" s="14"/>
      <c r="R7776" s="14"/>
    </row>
    <row r="7777" spans="15:18" x14ac:dyDescent="0.3">
      <c r="O7777" s="14"/>
      <c r="P7777" s="14"/>
      <c r="Q7777" s="14"/>
      <c r="R7777" s="14"/>
    </row>
    <row r="7778" spans="15:18" x14ac:dyDescent="0.3">
      <c r="O7778" s="14"/>
      <c r="P7778" s="14"/>
      <c r="Q7778" s="14"/>
      <c r="R7778" s="14"/>
    </row>
    <row r="7779" spans="15:18" x14ac:dyDescent="0.3">
      <c r="O7779" s="14"/>
      <c r="P7779" s="14"/>
      <c r="Q7779" s="14"/>
      <c r="R7779" s="14"/>
    </row>
    <row r="7780" spans="15:18" x14ac:dyDescent="0.3">
      <c r="O7780" s="14"/>
      <c r="P7780" s="14"/>
      <c r="Q7780" s="14"/>
      <c r="R7780" s="14"/>
    </row>
    <row r="7781" spans="15:18" x14ac:dyDescent="0.3">
      <c r="O7781" s="14"/>
      <c r="P7781" s="14"/>
      <c r="Q7781" s="14"/>
      <c r="R7781" s="14"/>
    </row>
    <row r="7782" spans="15:18" x14ac:dyDescent="0.3">
      <c r="O7782" s="14"/>
      <c r="P7782" s="14"/>
      <c r="Q7782" s="14"/>
      <c r="R7782" s="14"/>
    </row>
    <row r="7783" spans="15:18" x14ac:dyDescent="0.3">
      <c r="O7783" s="14"/>
      <c r="P7783" s="14"/>
      <c r="Q7783" s="14"/>
      <c r="R7783" s="14"/>
    </row>
    <row r="7784" spans="15:18" x14ac:dyDescent="0.3">
      <c r="O7784" s="14"/>
      <c r="P7784" s="14"/>
      <c r="Q7784" s="14"/>
      <c r="R7784" s="14"/>
    </row>
    <row r="7785" spans="15:18" x14ac:dyDescent="0.3">
      <c r="O7785" s="14"/>
      <c r="P7785" s="14"/>
      <c r="Q7785" s="14"/>
      <c r="R7785" s="14"/>
    </row>
    <row r="7786" spans="15:18" x14ac:dyDescent="0.3">
      <c r="O7786" s="14"/>
      <c r="P7786" s="14"/>
      <c r="Q7786" s="14"/>
      <c r="R7786" s="14"/>
    </row>
    <row r="7787" spans="15:18" x14ac:dyDescent="0.3">
      <c r="O7787" s="14"/>
      <c r="P7787" s="14"/>
      <c r="Q7787" s="14"/>
      <c r="R7787" s="14"/>
    </row>
    <row r="7788" spans="15:18" x14ac:dyDescent="0.3">
      <c r="O7788" s="14"/>
      <c r="P7788" s="14"/>
      <c r="Q7788" s="14"/>
      <c r="R7788" s="14"/>
    </row>
    <row r="7789" spans="15:18" x14ac:dyDescent="0.3">
      <c r="O7789" s="14"/>
      <c r="P7789" s="14"/>
      <c r="Q7789" s="14"/>
      <c r="R7789" s="14"/>
    </row>
    <row r="7790" spans="15:18" x14ac:dyDescent="0.3">
      <c r="O7790" s="14"/>
      <c r="P7790" s="14"/>
      <c r="Q7790" s="14"/>
      <c r="R7790" s="14"/>
    </row>
    <row r="7791" spans="15:18" x14ac:dyDescent="0.3">
      <c r="O7791" s="14"/>
      <c r="P7791" s="14"/>
      <c r="Q7791" s="14"/>
      <c r="R7791" s="14"/>
    </row>
    <row r="7792" spans="15:18" x14ac:dyDescent="0.3">
      <c r="O7792" s="14"/>
      <c r="P7792" s="14"/>
      <c r="Q7792" s="14"/>
      <c r="R7792" s="14"/>
    </row>
    <row r="7793" spans="15:18" x14ac:dyDescent="0.3">
      <c r="O7793" s="14"/>
      <c r="P7793" s="14"/>
      <c r="Q7793" s="14"/>
      <c r="R7793" s="14"/>
    </row>
    <row r="7794" spans="15:18" x14ac:dyDescent="0.3">
      <c r="O7794" s="14"/>
      <c r="P7794" s="14"/>
      <c r="Q7794" s="14"/>
      <c r="R7794" s="14"/>
    </row>
    <row r="7795" spans="15:18" x14ac:dyDescent="0.3">
      <c r="O7795" s="14"/>
      <c r="P7795" s="14"/>
      <c r="Q7795" s="14"/>
      <c r="R7795" s="14"/>
    </row>
    <row r="7796" spans="15:18" x14ac:dyDescent="0.3">
      <c r="O7796" s="14"/>
      <c r="P7796" s="14"/>
      <c r="Q7796" s="14"/>
      <c r="R7796" s="14"/>
    </row>
    <row r="7797" spans="15:18" x14ac:dyDescent="0.3">
      <c r="O7797" s="14"/>
      <c r="P7797" s="14"/>
      <c r="Q7797" s="14"/>
      <c r="R7797" s="14"/>
    </row>
    <row r="7798" spans="15:18" x14ac:dyDescent="0.3">
      <c r="O7798" s="14"/>
      <c r="P7798" s="14"/>
      <c r="Q7798" s="14"/>
      <c r="R7798" s="14"/>
    </row>
    <row r="7799" spans="15:18" x14ac:dyDescent="0.3">
      <c r="O7799" s="14"/>
      <c r="P7799" s="14"/>
      <c r="Q7799" s="14"/>
      <c r="R7799" s="14"/>
    </row>
    <row r="7800" spans="15:18" x14ac:dyDescent="0.3">
      <c r="O7800" s="14"/>
      <c r="P7800" s="14"/>
      <c r="Q7800" s="14"/>
      <c r="R7800" s="14"/>
    </row>
    <row r="7801" spans="15:18" x14ac:dyDescent="0.3">
      <c r="O7801" s="14"/>
      <c r="P7801" s="14"/>
      <c r="Q7801" s="14"/>
      <c r="R7801" s="14"/>
    </row>
    <row r="7802" spans="15:18" x14ac:dyDescent="0.3">
      <c r="O7802" s="14"/>
      <c r="P7802" s="14"/>
      <c r="Q7802" s="14"/>
      <c r="R7802" s="14"/>
    </row>
    <row r="7803" spans="15:18" x14ac:dyDescent="0.3">
      <c r="O7803" s="14"/>
      <c r="P7803" s="14"/>
      <c r="Q7803" s="14"/>
      <c r="R7803" s="14"/>
    </row>
    <row r="7804" spans="15:18" x14ac:dyDescent="0.3">
      <c r="O7804" s="14"/>
      <c r="P7804" s="14"/>
      <c r="Q7804" s="14"/>
      <c r="R7804" s="14"/>
    </row>
    <row r="7805" spans="15:18" x14ac:dyDescent="0.3">
      <c r="O7805" s="14"/>
      <c r="P7805" s="14"/>
      <c r="Q7805" s="14"/>
      <c r="R7805" s="14"/>
    </row>
    <row r="7806" spans="15:18" x14ac:dyDescent="0.3">
      <c r="O7806" s="14"/>
      <c r="P7806" s="14"/>
      <c r="Q7806" s="14"/>
      <c r="R7806" s="14"/>
    </row>
    <row r="7807" spans="15:18" x14ac:dyDescent="0.3">
      <c r="O7807" s="14"/>
      <c r="P7807" s="14"/>
      <c r="Q7807" s="14"/>
      <c r="R7807" s="14"/>
    </row>
    <row r="7808" spans="15:18" x14ac:dyDescent="0.3">
      <c r="O7808" s="14"/>
      <c r="P7808" s="14"/>
      <c r="Q7808" s="14"/>
      <c r="R7808" s="14"/>
    </row>
    <row r="7809" spans="15:18" x14ac:dyDescent="0.3">
      <c r="O7809" s="14"/>
      <c r="P7809" s="14"/>
      <c r="Q7809" s="14"/>
      <c r="R7809" s="14"/>
    </row>
    <row r="7810" spans="15:18" x14ac:dyDescent="0.3">
      <c r="O7810" s="14"/>
      <c r="P7810" s="14"/>
      <c r="Q7810" s="14"/>
      <c r="R7810" s="14"/>
    </row>
    <row r="7811" spans="15:18" x14ac:dyDescent="0.3">
      <c r="O7811" s="14"/>
      <c r="P7811" s="14"/>
      <c r="Q7811" s="14"/>
      <c r="R7811" s="14"/>
    </row>
    <row r="7812" spans="15:18" x14ac:dyDescent="0.3">
      <c r="O7812" s="14"/>
      <c r="P7812" s="14"/>
      <c r="Q7812" s="14"/>
      <c r="R7812" s="14"/>
    </row>
    <row r="7813" spans="15:18" x14ac:dyDescent="0.3">
      <c r="O7813" s="14"/>
      <c r="P7813" s="14"/>
      <c r="Q7813" s="14"/>
      <c r="R7813" s="14"/>
    </row>
    <row r="7814" spans="15:18" x14ac:dyDescent="0.3">
      <c r="O7814" s="14"/>
      <c r="P7814" s="14"/>
      <c r="Q7814" s="14"/>
      <c r="R7814" s="14"/>
    </row>
    <row r="7815" spans="15:18" x14ac:dyDescent="0.3">
      <c r="O7815" s="14"/>
      <c r="P7815" s="14"/>
      <c r="Q7815" s="14"/>
      <c r="R7815" s="14"/>
    </row>
    <row r="7816" spans="15:18" x14ac:dyDescent="0.3">
      <c r="O7816" s="14"/>
      <c r="P7816" s="14"/>
      <c r="Q7816" s="14"/>
      <c r="R7816" s="14"/>
    </row>
    <row r="7817" spans="15:18" x14ac:dyDescent="0.3">
      <c r="O7817" s="14"/>
      <c r="P7817" s="14"/>
      <c r="Q7817" s="14"/>
      <c r="R7817" s="14"/>
    </row>
    <row r="7818" spans="15:18" x14ac:dyDescent="0.3">
      <c r="O7818" s="14"/>
      <c r="P7818" s="14"/>
      <c r="Q7818" s="14"/>
      <c r="R7818" s="14"/>
    </row>
    <row r="7819" spans="15:18" x14ac:dyDescent="0.3">
      <c r="O7819" s="14"/>
      <c r="P7819" s="14"/>
      <c r="Q7819" s="14"/>
      <c r="R7819" s="14"/>
    </row>
    <row r="7820" spans="15:18" x14ac:dyDescent="0.3">
      <c r="O7820" s="14"/>
      <c r="P7820" s="14"/>
      <c r="Q7820" s="14"/>
      <c r="R7820" s="14"/>
    </row>
    <row r="7821" spans="15:18" x14ac:dyDescent="0.3">
      <c r="O7821" s="14"/>
      <c r="P7821" s="14"/>
      <c r="Q7821" s="14"/>
      <c r="R7821" s="14"/>
    </row>
    <row r="7822" spans="15:18" x14ac:dyDescent="0.3">
      <c r="O7822" s="14"/>
      <c r="P7822" s="14"/>
      <c r="Q7822" s="14"/>
      <c r="R7822" s="14"/>
    </row>
    <row r="7823" spans="15:18" x14ac:dyDescent="0.3">
      <c r="O7823" s="14"/>
      <c r="P7823" s="14"/>
      <c r="Q7823" s="14"/>
      <c r="R7823" s="14"/>
    </row>
    <row r="7824" spans="15:18" x14ac:dyDescent="0.3">
      <c r="O7824" s="14"/>
      <c r="P7824" s="14"/>
      <c r="Q7824" s="14"/>
      <c r="R7824" s="14"/>
    </row>
    <row r="7825" spans="15:18" x14ac:dyDescent="0.3">
      <c r="O7825" s="14"/>
      <c r="P7825" s="14"/>
      <c r="Q7825" s="14"/>
      <c r="R7825" s="14"/>
    </row>
    <row r="7826" spans="15:18" x14ac:dyDescent="0.3">
      <c r="O7826" s="14"/>
      <c r="P7826" s="14"/>
      <c r="Q7826" s="14"/>
      <c r="R7826" s="14"/>
    </row>
    <row r="7827" spans="15:18" x14ac:dyDescent="0.3">
      <c r="O7827" s="14"/>
      <c r="P7827" s="14"/>
      <c r="Q7827" s="14"/>
      <c r="R7827" s="14"/>
    </row>
    <row r="7828" spans="15:18" x14ac:dyDescent="0.3">
      <c r="O7828" s="14"/>
      <c r="P7828" s="14"/>
      <c r="Q7828" s="14"/>
      <c r="R7828" s="14"/>
    </row>
    <row r="7829" spans="15:18" x14ac:dyDescent="0.3">
      <c r="O7829" s="14"/>
      <c r="P7829" s="14"/>
      <c r="Q7829" s="14"/>
      <c r="R7829" s="14"/>
    </row>
    <row r="7830" spans="15:18" x14ac:dyDescent="0.3">
      <c r="O7830" s="14"/>
      <c r="P7830" s="14"/>
      <c r="Q7830" s="14"/>
      <c r="R7830" s="14"/>
    </row>
    <row r="7831" spans="15:18" x14ac:dyDescent="0.3">
      <c r="O7831" s="14"/>
      <c r="P7831" s="14"/>
      <c r="Q7831" s="14"/>
      <c r="R7831" s="14"/>
    </row>
    <row r="7832" spans="15:18" x14ac:dyDescent="0.3">
      <c r="O7832" s="14"/>
      <c r="P7832" s="14"/>
      <c r="Q7832" s="14"/>
      <c r="R7832" s="14"/>
    </row>
    <row r="7833" spans="15:18" x14ac:dyDescent="0.3">
      <c r="O7833" s="14"/>
      <c r="P7833" s="14"/>
      <c r="Q7833" s="14"/>
      <c r="R7833" s="14"/>
    </row>
    <row r="7834" spans="15:18" x14ac:dyDescent="0.3">
      <c r="O7834" s="14"/>
      <c r="P7834" s="14"/>
      <c r="Q7834" s="14"/>
      <c r="R7834" s="14"/>
    </row>
    <row r="7835" spans="15:18" x14ac:dyDescent="0.3">
      <c r="O7835" s="14"/>
      <c r="P7835" s="14"/>
      <c r="Q7835" s="14"/>
      <c r="R7835" s="14"/>
    </row>
    <row r="7836" spans="15:18" x14ac:dyDescent="0.3">
      <c r="O7836" s="14"/>
      <c r="P7836" s="14"/>
      <c r="Q7836" s="14"/>
      <c r="R7836" s="14"/>
    </row>
    <row r="7837" spans="15:18" x14ac:dyDescent="0.3">
      <c r="O7837" s="14"/>
      <c r="P7837" s="14"/>
      <c r="Q7837" s="14"/>
      <c r="R7837" s="14"/>
    </row>
    <row r="7838" spans="15:18" x14ac:dyDescent="0.3">
      <c r="O7838" s="14"/>
      <c r="P7838" s="14"/>
      <c r="Q7838" s="14"/>
      <c r="R7838" s="14"/>
    </row>
    <row r="7839" spans="15:18" x14ac:dyDescent="0.3">
      <c r="O7839" s="14"/>
      <c r="P7839" s="14"/>
      <c r="Q7839" s="14"/>
      <c r="R7839" s="14"/>
    </row>
    <row r="7840" spans="15:18" x14ac:dyDescent="0.3">
      <c r="O7840" s="14"/>
      <c r="P7840" s="14"/>
      <c r="Q7840" s="14"/>
      <c r="R7840" s="14"/>
    </row>
    <row r="7841" spans="15:18" x14ac:dyDescent="0.3">
      <c r="O7841" s="14"/>
      <c r="P7841" s="14"/>
      <c r="Q7841" s="14"/>
      <c r="R7841" s="14"/>
    </row>
    <row r="7842" spans="15:18" x14ac:dyDescent="0.3">
      <c r="O7842" s="14"/>
      <c r="P7842" s="14"/>
      <c r="Q7842" s="14"/>
      <c r="R7842" s="14"/>
    </row>
    <row r="7843" spans="15:18" x14ac:dyDescent="0.3">
      <c r="O7843" s="14"/>
      <c r="P7843" s="14"/>
      <c r="Q7843" s="14"/>
      <c r="R7843" s="14"/>
    </row>
    <row r="7844" spans="15:18" x14ac:dyDescent="0.3">
      <c r="O7844" s="14"/>
      <c r="P7844" s="14"/>
      <c r="Q7844" s="14"/>
      <c r="R7844" s="14"/>
    </row>
    <row r="7845" spans="15:18" x14ac:dyDescent="0.3">
      <c r="O7845" s="14"/>
      <c r="P7845" s="14"/>
      <c r="Q7845" s="14"/>
      <c r="R7845" s="14"/>
    </row>
    <row r="7846" spans="15:18" x14ac:dyDescent="0.3">
      <c r="O7846" s="14"/>
      <c r="P7846" s="14"/>
      <c r="Q7846" s="14"/>
      <c r="R7846" s="14"/>
    </row>
    <row r="7847" spans="15:18" x14ac:dyDescent="0.3">
      <c r="O7847" s="14"/>
      <c r="P7847" s="14"/>
      <c r="Q7847" s="14"/>
      <c r="R7847" s="14"/>
    </row>
    <row r="7848" spans="15:18" x14ac:dyDescent="0.3">
      <c r="O7848" s="14"/>
      <c r="P7848" s="14"/>
      <c r="Q7848" s="14"/>
      <c r="R7848" s="14"/>
    </row>
    <row r="7849" spans="15:18" x14ac:dyDescent="0.3">
      <c r="O7849" s="14"/>
      <c r="P7849" s="14"/>
      <c r="Q7849" s="14"/>
      <c r="R7849" s="14"/>
    </row>
    <row r="7850" spans="15:18" x14ac:dyDescent="0.3">
      <c r="O7850" s="14"/>
      <c r="P7850" s="14"/>
      <c r="Q7850" s="14"/>
      <c r="R7850" s="14"/>
    </row>
    <row r="7851" spans="15:18" x14ac:dyDescent="0.3">
      <c r="O7851" s="14"/>
      <c r="P7851" s="14"/>
      <c r="Q7851" s="14"/>
      <c r="R7851" s="14"/>
    </row>
    <row r="7852" spans="15:18" x14ac:dyDescent="0.3">
      <c r="O7852" s="14"/>
      <c r="P7852" s="14"/>
      <c r="Q7852" s="14"/>
      <c r="R7852" s="14"/>
    </row>
    <row r="7853" spans="15:18" x14ac:dyDescent="0.3">
      <c r="O7853" s="14"/>
      <c r="P7853" s="14"/>
      <c r="Q7853" s="14"/>
      <c r="R7853" s="14"/>
    </row>
    <row r="7854" spans="15:18" x14ac:dyDescent="0.3">
      <c r="O7854" s="14"/>
      <c r="P7854" s="14"/>
      <c r="Q7854" s="14"/>
      <c r="R7854" s="14"/>
    </row>
    <row r="7855" spans="15:18" x14ac:dyDescent="0.3">
      <c r="O7855" s="14"/>
      <c r="P7855" s="14"/>
      <c r="Q7855" s="14"/>
      <c r="R7855" s="14"/>
    </row>
    <row r="7856" spans="15:18" x14ac:dyDescent="0.3">
      <c r="O7856" s="14"/>
      <c r="P7856" s="14"/>
      <c r="Q7856" s="14"/>
      <c r="R7856" s="14"/>
    </row>
    <row r="7857" spans="15:18" x14ac:dyDescent="0.3">
      <c r="O7857" s="14"/>
      <c r="P7857" s="14"/>
      <c r="Q7857" s="14"/>
      <c r="R7857" s="14"/>
    </row>
    <row r="7858" spans="15:18" x14ac:dyDescent="0.3">
      <c r="O7858" s="14"/>
      <c r="P7858" s="14"/>
      <c r="Q7858" s="14"/>
      <c r="R7858" s="14"/>
    </row>
    <row r="7859" spans="15:18" x14ac:dyDescent="0.3">
      <c r="O7859" s="14"/>
      <c r="P7859" s="14"/>
      <c r="Q7859" s="14"/>
      <c r="R7859" s="14"/>
    </row>
    <row r="7860" spans="15:18" x14ac:dyDescent="0.3">
      <c r="O7860" s="14"/>
      <c r="P7860" s="14"/>
      <c r="Q7860" s="14"/>
      <c r="R7860" s="14"/>
    </row>
    <row r="7861" spans="15:18" x14ac:dyDescent="0.3">
      <c r="O7861" s="14"/>
      <c r="P7861" s="14"/>
      <c r="Q7861" s="14"/>
      <c r="R7861" s="14"/>
    </row>
    <row r="7862" spans="15:18" x14ac:dyDescent="0.3">
      <c r="O7862" s="14"/>
      <c r="P7862" s="14"/>
      <c r="Q7862" s="14"/>
      <c r="R7862" s="14"/>
    </row>
    <row r="7863" spans="15:18" x14ac:dyDescent="0.3">
      <c r="O7863" s="14"/>
      <c r="P7863" s="14"/>
      <c r="Q7863" s="14"/>
      <c r="R7863" s="14"/>
    </row>
    <row r="7864" spans="15:18" x14ac:dyDescent="0.3">
      <c r="O7864" s="14"/>
      <c r="P7864" s="14"/>
      <c r="Q7864" s="14"/>
      <c r="R7864" s="14"/>
    </row>
    <row r="7865" spans="15:18" x14ac:dyDescent="0.3">
      <c r="O7865" s="14"/>
      <c r="P7865" s="14"/>
      <c r="Q7865" s="14"/>
      <c r="R7865" s="14"/>
    </row>
    <row r="7866" spans="15:18" x14ac:dyDescent="0.3">
      <c r="O7866" s="14"/>
      <c r="P7866" s="14"/>
      <c r="Q7866" s="14"/>
      <c r="R7866" s="14"/>
    </row>
    <row r="7867" spans="15:18" x14ac:dyDescent="0.3">
      <c r="O7867" s="14"/>
      <c r="P7867" s="14"/>
      <c r="Q7867" s="14"/>
      <c r="R7867" s="14"/>
    </row>
    <row r="7868" spans="15:18" x14ac:dyDescent="0.3">
      <c r="O7868" s="14"/>
      <c r="P7868" s="14"/>
      <c r="Q7868" s="14"/>
      <c r="R7868" s="14"/>
    </row>
    <row r="7869" spans="15:18" x14ac:dyDescent="0.3">
      <c r="O7869" s="14"/>
      <c r="P7869" s="14"/>
      <c r="Q7869" s="14"/>
      <c r="R7869" s="14"/>
    </row>
    <row r="7870" spans="15:18" x14ac:dyDescent="0.3">
      <c r="O7870" s="14"/>
      <c r="P7870" s="14"/>
      <c r="Q7870" s="14"/>
      <c r="R7870" s="14"/>
    </row>
    <row r="7871" spans="15:18" x14ac:dyDescent="0.3">
      <c r="O7871" s="14"/>
      <c r="P7871" s="14"/>
      <c r="Q7871" s="14"/>
      <c r="R7871" s="14"/>
    </row>
    <row r="7872" spans="15:18" x14ac:dyDescent="0.3">
      <c r="O7872" s="14"/>
      <c r="P7872" s="14"/>
      <c r="Q7872" s="14"/>
      <c r="R7872" s="14"/>
    </row>
    <row r="7873" spans="15:18" x14ac:dyDescent="0.3">
      <c r="O7873" s="14"/>
      <c r="P7873" s="14"/>
      <c r="Q7873" s="14"/>
      <c r="R7873" s="14"/>
    </row>
    <row r="7874" spans="15:18" x14ac:dyDescent="0.3">
      <c r="O7874" s="14"/>
      <c r="P7874" s="14"/>
      <c r="Q7874" s="14"/>
      <c r="R7874" s="14"/>
    </row>
    <row r="7875" spans="15:18" x14ac:dyDescent="0.3">
      <c r="O7875" s="14"/>
      <c r="P7875" s="14"/>
      <c r="Q7875" s="14"/>
      <c r="R7875" s="14"/>
    </row>
    <row r="7876" spans="15:18" x14ac:dyDescent="0.3">
      <c r="O7876" s="14"/>
      <c r="P7876" s="14"/>
      <c r="Q7876" s="14"/>
      <c r="R7876" s="14"/>
    </row>
    <row r="7877" spans="15:18" x14ac:dyDescent="0.3">
      <c r="O7877" s="14"/>
      <c r="P7877" s="14"/>
      <c r="Q7877" s="14"/>
      <c r="R7877" s="14"/>
    </row>
    <row r="7878" spans="15:18" x14ac:dyDescent="0.3">
      <c r="O7878" s="14"/>
      <c r="P7878" s="14"/>
      <c r="Q7878" s="14"/>
      <c r="R7878" s="14"/>
    </row>
    <row r="7879" spans="15:18" x14ac:dyDescent="0.3">
      <c r="O7879" s="14"/>
      <c r="P7879" s="14"/>
      <c r="Q7879" s="14"/>
      <c r="R7879" s="14"/>
    </row>
    <row r="7880" spans="15:18" x14ac:dyDescent="0.3">
      <c r="O7880" s="14"/>
      <c r="P7880" s="14"/>
      <c r="Q7880" s="14"/>
      <c r="R7880" s="14"/>
    </row>
    <row r="7881" spans="15:18" x14ac:dyDescent="0.3">
      <c r="O7881" s="14"/>
      <c r="P7881" s="14"/>
      <c r="Q7881" s="14"/>
      <c r="R7881" s="14"/>
    </row>
    <row r="7882" spans="15:18" x14ac:dyDescent="0.3">
      <c r="O7882" s="14"/>
      <c r="P7882" s="14"/>
      <c r="Q7882" s="14"/>
      <c r="R7882" s="14"/>
    </row>
    <row r="7883" spans="15:18" x14ac:dyDescent="0.3">
      <c r="O7883" s="14"/>
      <c r="P7883" s="14"/>
      <c r="Q7883" s="14"/>
      <c r="R7883" s="14"/>
    </row>
    <row r="7884" spans="15:18" x14ac:dyDescent="0.3">
      <c r="O7884" s="14"/>
      <c r="P7884" s="14"/>
      <c r="Q7884" s="14"/>
      <c r="R7884" s="14"/>
    </row>
    <row r="7885" spans="15:18" x14ac:dyDescent="0.3">
      <c r="O7885" s="14"/>
      <c r="P7885" s="14"/>
      <c r="Q7885" s="14"/>
      <c r="R7885" s="14"/>
    </row>
    <row r="7886" spans="15:18" x14ac:dyDescent="0.3">
      <c r="O7886" s="14"/>
      <c r="P7886" s="14"/>
      <c r="Q7886" s="14"/>
      <c r="R7886" s="14"/>
    </row>
    <row r="7887" spans="15:18" x14ac:dyDescent="0.3">
      <c r="O7887" s="14"/>
      <c r="P7887" s="14"/>
      <c r="Q7887" s="14"/>
      <c r="R7887" s="14"/>
    </row>
    <row r="7888" spans="15:18" x14ac:dyDescent="0.3">
      <c r="O7888" s="14"/>
      <c r="P7888" s="14"/>
      <c r="Q7888" s="14"/>
      <c r="R7888" s="14"/>
    </row>
    <row r="7889" spans="15:18" x14ac:dyDescent="0.3">
      <c r="O7889" s="14"/>
      <c r="P7889" s="14"/>
      <c r="Q7889" s="14"/>
      <c r="R7889" s="14"/>
    </row>
    <row r="7890" spans="15:18" x14ac:dyDescent="0.3">
      <c r="O7890" s="14"/>
      <c r="P7890" s="14"/>
      <c r="Q7890" s="14"/>
      <c r="R7890" s="14"/>
    </row>
    <row r="7891" spans="15:18" x14ac:dyDescent="0.3">
      <c r="O7891" s="14"/>
      <c r="P7891" s="14"/>
      <c r="Q7891" s="14"/>
      <c r="R7891" s="14"/>
    </row>
    <row r="7892" spans="15:18" x14ac:dyDescent="0.3">
      <c r="O7892" s="14"/>
      <c r="P7892" s="14"/>
      <c r="Q7892" s="14"/>
      <c r="R7892" s="14"/>
    </row>
    <row r="7893" spans="15:18" x14ac:dyDescent="0.3">
      <c r="O7893" s="14"/>
      <c r="P7893" s="14"/>
      <c r="Q7893" s="14"/>
      <c r="R7893" s="14"/>
    </row>
    <row r="7894" spans="15:18" x14ac:dyDescent="0.3">
      <c r="O7894" s="14"/>
      <c r="P7894" s="14"/>
      <c r="Q7894" s="14"/>
      <c r="R7894" s="14"/>
    </row>
    <row r="7895" spans="15:18" x14ac:dyDescent="0.3">
      <c r="O7895" s="14"/>
      <c r="P7895" s="14"/>
      <c r="Q7895" s="14"/>
      <c r="R7895" s="14"/>
    </row>
    <row r="7896" spans="15:18" x14ac:dyDescent="0.3">
      <c r="O7896" s="14"/>
      <c r="P7896" s="14"/>
      <c r="Q7896" s="14"/>
      <c r="R7896" s="14"/>
    </row>
    <row r="7897" spans="15:18" x14ac:dyDescent="0.3">
      <c r="O7897" s="14"/>
      <c r="P7897" s="14"/>
      <c r="Q7897" s="14"/>
      <c r="R7897" s="14"/>
    </row>
    <row r="7898" spans="15:18" x14ac:dyDescent="0.3">
      <c r="O7898" s="14"/>
      <c r="P7898" s="14"/>
      <c r="Q7898" s="14"/>
      <c r="R7898" s="14"/>
    </row>
    <row r="7899" spans="15:18" x14ac:dyDescent="0.3">
      <c r="O7899" s="14"/>
      <c r="P7899" s="14"/>
      <c r="Q7899" s="14"/>
      <c r="R7899" s="14"/>
    </row>
    <row r="7900" spans="15:18" x14ac:dyDescent="0.3">
      <c r="O7900" s="14"/>
      <c r="P7900" s="14"/>
      <c r="Q7900" s="14"/>
      <c r="R7900" s="14"/>
    </row>
    <row r="7901" spans="15:18" x14ac:dyDescent="0.3">
      <c r="O7901" s="14"/>
      <c r="P7901" s="14"/>
      <c r="Q7901" s="14"/>
      <c r="R7901" s="14"/>
    </row>
    <row r="7902" spans="15:18" x14ac:dyDescent="0.3">
      <c r="O7902" s="14"/>
      <c r="P7902" s="14"/>
      <c r="Q7902" s="14"/>
      <c r="R7902" s="14"/>
    </row>
    <row r="7903" spans="15:18" x14ac:dyDescent="0.3">
      <c r="O7903" s="14"/>
      <c r="P7903" s="14"/>
      <c r="Q7903" s="14"/>
      <c r="R7903" s="14"/>
    </row>
    <row r="7904" spans="15:18" x14ac:dyDescent="0.3">
      <c r="O7904" s="14"/>
      <c r="P7904" s="14"/>
      <c r="Q7904" s="14"/>
      <c r="R7904" s="14"/>
    </row>
    <row r="7905" spans="15:18" x14ac:dyDescent="0.3">
      <c r="O7905" s="14"/>
      <c r="P7905" s="14"/>
      <c r="Q7905" s="14"/>
      <c r="R7905" s="14"/>
    </row>
    <row r="7906" spans="15:18" x14ac:dyDescent="0.3">
      <c r="O7906" s="14"/>
      <c r="P7906" s="14"/>
      <c r="Q7906" s="14"/>
      <c r="R7906" s="14"/>
    </row>
    <row r="7907" spans="15:18" x14ac:dyDescent="0.3">
      <c r="O7907" s="14"/>
      <c r="P7907" s="14"/>
      <c r="Q7907" s="14"/>
      <c r="R7907" s="14"/>
    </row>
    <row r="7908" spans="15:18" x14ac:dyDescent="0.3">
      <c r="O7908" s="14"/>
      <c r="P7908" s="14"/>
      <c r="Q7908" s="14"/>
      <c r="R7908" s="14"/>
    </row>
    <row r="7909" spans="15:18" x14ac:dyDescent="0.3">
      <c r="O7909" s="14"/>
      <c r="P7909" s="14"/>
      <c r="Q7909" s="14"/>
      <c r="R7909" s="14"/>
    </row>
    <row r="7910" spans="15:18" x14ac:dyDescent="0.3">
      <c r="O7910" s="14"/>
      <c r="P7910" s="14"/>
      <c r="Q7910" s="14"/>
      <c r="R7910" s="14"/>
    </row>
    <row r="7911" spans="15:18" x14ac:dyDescent="0.3">
      <c r="O7911" s="14"/>
      <c r="P7911" s="14"/>
      <c r="Q7911" s="14"/>
      <c r="R7911" s="14"/>
    </row>
    <row r="7912" spans="15:18" x14ac:dyDescent="0.3">
      <c r="O7912" s="14"/>
      <c r="P7912" s="14"/>
      <c r="Q7912" s="14"/>
      <c r="R7912" s="14"/>
    </row>
    <row r="7913" spans="15:18" x14ac:dyDescent="0.3">
      <c r="O7913" s="14"/>
      <c r="P7913" s="14"/>
      <c r="Q7913" s="14"/>
      <c r="R7913" s="14"/>
    </row>
    <row r="7914" spans="15:18" x14ac:dyDescent="0.3">
      <c r="O7914" s="14"/>
      <c r="P7914" s="14"/>
      <c r="Q7914" s="14"/>
      <c r="R7914" s="14"/>
    </row>
    <row r="7915" spans="15:18" x14ac:dyDescent="0.3">
      <c r="O7915" s="14"/>
      <c r="P7915" s="14"/>
      <c r="Q7915" s="14"/>
      <c r="R7915" s="14"/>
    </row>
    <row r="7916" spans="15:18" x14ac:dyDescent="0.3">
      <c r="O7916" s="14"/>
      <c r="P7916" s="14"/>
      <c r="Q7916" s="14"/>
      <c r="R7916" s="14"/>
    </row>
    <row r="7917" spans="15:18" x14ac:dyDescent="0.3">
      <c r="O7917" s="14"/>
      <c r="P7917" s="14"/>
      <c r="Q7917" s="14"/>
      <c r="R7917" s="14"/>
    </row>
    <row r="7918" spans="15:18" x14ac:dyDescent="0.3">
      <c r="O7918" s="14"/>
      <c r="P7918" s="14"/>
      <c r="Q7918" s="14"/>
      <c r="R7918" s="14"/>
    </row>
    <row r="7919" spans="15:18" x14ac:dyDescent="0.3">
      <c r="O7919" s="14"/>
      <c r="P7919" s="14"/>
      <c r="Q7919" s="14"/>
      <c r="R7919" s="14"/>
    </row>
    <row r="7920" spans="15:18" x14ac:dyDescent="0.3">
      <c r="O7920" s="14"/>
      <c r="P7920" s="14"/>
      <c r="Q7920" s="14"/>
      <c r="R7920" s="14"/>
    </row>
    <row r="7921" spans="15:18" x14ac:dyDescent="0.3">
      <c r="O7921" s="14"/>
      <c r="P7921" s="14"/>
      <c r="Q7921" s="14"/>
      <c r="R7921" s="14"/>
    </row>
    <row r="7922" spans="15:18" x14ac:dyDescent="0.3">
      <c r="O7922" s="14"/>
      <c r="P7922" s="14"/>
      <c r="Q7922" s="14"/>
      <c r="R7922" s="14"/>
    </row>
    <row r="7923" spans="15:18" x14ac:dyDescent="0.3">
      <c r="O7923" s="14"/>
      <c r="P7923" s="14"/>
      <c r="Q7923" s="14"/>
      <c r="R7923" s="14"/>
    </row>
    <row r="7924" spans="15:18" x14ac:dyDescent="0.3">
      <c r="O7924" s="14"/>
      <c r="P7924" s="14"/>
      <c r="Q7924" s="14"/>
      <c r="R7924" s="14"/>
    </row>
    <row r="7925" spans="15:18" x14ac:dyDescent="0.3">
      <c r="O7925" s="14"/>
      <c r="P7925" s="14"/>
      <c r="Q7925" s="14"/>
      <c r="R7925" s="14"/>
    </row>
    <row r="7926" spans="15:18" x14ac:dyDescent="0.3">
      <c r="O7926" s="14"/>
      <c r="P7926" s="14"/>
      <c r="Q7926" s="14"/>
      <c r="R7926" s="14"/>
    </row>
    <row r="7927" spans="15:18" x14ac:dyDescent="0.3">
      <c r="O7927" s="14"/>
      <c r="P7927" s="14"/>
      <c r="Q7927" s="14"/>
      <c r="R7927" s="14"/>
    </row>
    <row r="7928" spans="15:18" x14ac:dyDescent="0.3">
      <c r="O7928" s="14"/>
      <c r="P7928" s="14"/>
      <c r="Q7928" s="14"/>
      <c r="R7928" s="14"/>
    </row>
    <row r="7929" spans="15:18" x14ac:dyDescent="0.3">
      <c r="O7929" s="14"/>
      <c r="P7929" s="14"/>
      <c r="Q7929" s="14"/>
      <c r="R7929" s="14"/>
    </row>
    <row r="7930" spans="15:18" x14ac:dyDescent="0.3">
      <c r="O7930" s="14"/>
      <c r="P7930" s="14"/>
      <c r="Q7930" s="14"/>
      <c r="R7930" s="14"/>
    </row>
    <row r="7931" spans="15:18" x14ac:dyDescent="0.3">
      <c r="O7931" s="14"/>
      <c r="P7931" s="14"/>
      <c r="Q7931" s="14"/>
      <c r="R7931" s="14"/>
    </row>
    <row r="7932" spans="15:18" x14ac:dyDescent="0.3">
      <c r="O7932" s="14"/>
      <c r="P7932" s="14"/>
      <c r="Q7932" s="14"/>
      <c r="R7932" s="14"/>
    </row>
    <row r="7933" spans="15:18" x14ac:dyDescent="0.3">
      <c r="O7933" s="14"/>
      <c r="P7933" s="14"/>
      <c r="Q7933" s="14"/>
      <c r="R7933" s="14"/>
    </row>
    <row r="7934" spans="15:18" x14ac:dyDescent="0.3">
      <c r="O7934" s="14"/>
      <c r="P7934" s="14"/>
      <c r="Q7934" s="14"/>
      <c r="R7934" s="14"/>
    </row>
    <row r="7935" spans="15:18" x14ac:dyDescent="0.3">
      <c r="O7935" s="14"/>
      <c r="P7935" s="14"/>
      <c r="Q7935" s="14"/>
      <c r="R7935" s="14"/>
    </row>
    <row r="7936" spans="15:18" x14ac:dyDescent="0.3">
      <c r="O7936" s="14"/>
      <c r="P7936" s="14"/>
      <c r="Q7936" s="14"/>
      <c r="R7936" s="14"/>
    </row>
    <row r="7937" spans="15:18" x14ac:dyDescent="0.3">
      <c r="O7937" s="14"/>
      <c r="P7937" s="14"/>
      <c r="Q7937" s="14"/>
      <c r="R7937" s="14"/>
    </row>
    <row r="7938" spans="15:18" x14ac:dyDescent="0.3">
      <c r="O7938" s="14"/>
      <c r="P7938" s="14"/>
      <c r="Q7938" s="14"/>
      <c r="R7938" s="14"/>
    </row>
    <row r="7939" spans="15:18" x14ac:dyDescent="0.3">
      <c r="O7939" s="14"/>
      <c r="P7939" s="14"/>
      <c r="Q7939" s="14"/>
      <c r="R7939" s="14"/>
    </row>
    <row r="7940" spans="15:18" x14ac:dyDescent="0.3">
      <c r="O7940" s="14"/>
      <c r="P7940" s="14"/>
      <c r="Q7940" s="14"/>
      <c r="R7940" s="14"/>
    </row>
    <row r="7941" spans="15:18" x14ac:dyDescent="0.3">
      <c r="O7941" s="14"/>
      <c r="P7941" s="14"/>
      <c r="Q7941" s="14"/>
      <c r="R7941" s="14"/>
    </row>
    <row r="7942" spans="15:18" x14ac:dyDescent="0.3">
      <c r="O7942" s="14"/>
      <c r="P7942" s="14"/>
      <c r="Q7942" s="14"/>
      <c r="R7942" s="14"/>
    </row>
    <row r="7943" spans="15:18" x14ac:dyDescent="0.3">
      <c r="O7943" s="14"/>
      <c r="P7943" s="14"/>
      <c r="Q7943" s="14"/>
      <c r="R7943" s="14"/>
    </row>
    <row r="7944" spans="15:18" x14ac:dyDescent="0.3">
      <c r="O7944" s="14"/>
      <c r="P7944" s="14"/>
      <c r="Q7944" s="14"/>
      <c r="R7944" s="14"/>
    </row>
    <row r="7945" spans="15:18" x14ac:dyDescent="0.3">
      <c r="O7945" s="14"/>
      <c r="P7945" s="14"/>
      <c r="Q7945" s="14"/>
      <c r="R7945" s="14"/>
    </row>
    <row r="7946" spans="15:18" x14ac:dyDescent="0.3">
      <c r="O7946" s="14"/>
      <c r="P7946" s="14"/>
      <c r="Q7946" s="14"/>
      <c r="R7946" s="14"/>
    </row>
    <row r="7947" spans="15:18" x14ac:dyDescent="0.3">
      <c r="O7947" s="14"/>
      <c r="P7947" s="14"/>
      <c r="Q7947" s="14"/>
      <c r="R7947" s="14"/>
    </row>
    <row r="7948" spans="15:18" x14ac:dyDescent="0.3">
      <c r="O7948" s="14"/>
      <c r="P7948" s="14"/>
      <c r="Q7948" s="14"/>
      <c r="R7948" s="14"/>
    </row>
    <row r="7949" spans="15:18" x14ac:dyDescent="0.3">
      <c r="O7949" s="14"/>
      <c r="P7949" s="14"/>
      <c r="Q7949" s="14"/>
      <c r="R7949" s="14"/>
    </row>
    <row r="7950" spans="15:18" x14ac:dyDescent="0.3">
      <c r="O7950" s="14"/>
      <c r="P7950" s="14"/>
      <c r="Q7950" s="14"/>
      <c r="R7950" s="14"/>
    </row>
    <row r="7951" spans="15:18" x14ac:dyDescent="0.3">
      <c r="O7951" s="14"/>
      <c r="P7951" s="14"/>
      <c r="Q7951" s="14"/>
      <c r="R7951" s="14"/>
    </row>
    <row r="7952" spans="15:18" x14ac:dyDescent="0.3">
      <c r="O7952" s="14"/>
      <c r="P7952" s="14"/>
      <c r="Q7952" s="14"/>
      <c r="R7952" s="14"/>
    </row>
    <row r="7953" spans="15:18" x14ac:dyDescent="0.3">
      <c r="O7953" s="14"/>
      <c r="P7953" s="14"/>
      <c r="Q7953" s="14"/>
      <c r="R7953" s="14"/>
    </row>
    <row r="7954" spans="15:18" x14ac:dyDescent="0.3">
      <c r="O7954" s="14"/>
      <c r="P7954" s="14"/>
      <c r="Q7954" s="14"/>
      <c r="R7954" s="14"/>
    </row>
    <row r="7955" spans="15:18" x14ac:dyDescent="0.3">
      <c r="O7955" s="14"/>
      <c r="P7955" s="14"/>
      <c r="Q7955" s="14"/>
      <c r="R7955" s="14"/>
    </row>
    <row r="7956" spans="15:18" x14ac:dyDescent="0.3">
      <c r="O7956" s="14"/>
      <c r="P7956" s="14"/>
      <c r="Q7956" s="14"/>
      <c r="R7956" s="14"/>
    </row>
    <row r="7957" spans="15:18" x14ac:dyDescent="0.3">
      <c r="O7957" s="14"/>
      <c r="P7957" s="14"/>
      <c r="Q7957" s="14"/>
      <c r="R7957" s="14"/>
    </row>
    <row r="7958" spans="15:18" x14ac:dyDescent="0.3">
      <c r="O7958" s="14"/>
      <c r="P7958" s="14"/>
      <c r="Q7958" s="14"/>
      <c r="R7958" s="14"/>
    </row>
    <row r="7959" spans="15:18" x14ac:dyDescent="0.3">
      <c r="O7959" s="14"/>
      <c r="P7959" s="14"/>
      <c r="Q7959" s="14"/>
      <c r="R7959" s="14"/>
    </row>
    <row r="7960" spans="15:18" x14ac:dyDescent="0.3">
      <c r="O7960" s="14"/>
      <c r="P7960" s="14"/>
      <c r="Q7960" s="14"/>
      <c r="R7960" s="14"/>
    </row>
    <row r="7961" spans="15:18" x14ac:dyDescent="0.3">
      <c r="O7961" s="14"/>
      <c r="P7961" s="14"/>
      <c r="Q7961" s="14"/>
      <c r="R7961" s="14"/>
    </row>
    <row r="7962" spans="15:18" x14ac:dyDescent="0.3">
      <c r="O7962" s="14"/>
      <c r="P7962" s="14"/>
      <c r="Q7962" s="14"/>
      <c r="R7962" s="14"/>
    </row>
    <row r="7963" spans="15:18" x14ac:dyDescent="0.3">
      <c r="O7963" s="14"/>
      <c r="P7963" s="14"/>
      <c r="Q7963" s="14"/>
      <c r="R7963" s="14"/>
    </row>
    <row r="7964" spans="15:18" x14ac:dyDescent="0.3">
      <c r="O7964" s="14"/>
      <c r="P7964" s="14"/>
      <c r="Q7964" s="14"/>
      <c r="R7964" s="14"/>
    </row>
    <row r="7965" spans="15:18" x14ac:dyDescent="0.3">
      <c r="O7965" s="14"/>
      <c r="P7965" s="14"/>
      <c r="Q7965" s="14"/>
      <c r="R7965" s="14"/>
    </row>
    <row r="7966" spans="15:18" x14ac:dyDescent="0.3">
      <c r="O7966" s="14"/>
      <c r="P7966" s="14"/>
      <c r="Q7966" s="14"/>
      <c r="R7966" s="14"/>
    </row>
    <row r="7967" spans="15:18" x14ac:dyDescent="0.3">
      <c r="O7967" s="14"/>
      <c r="P7967" s="14"/>
      <c r="Q7967" s="14"/>
      <c r="R7967" s="14"/>
    </row>
    <row r="7968" spans="15:18" x14ac:dyDescent="0.3">
      <c r="O7968" s="14"/>
      <c r="P7968" s="14"/>
      <c r="Q7968" s="14"/>
      <c r="R7968" s="14"/>
    </row>
    <row r="7969" spans="15:18" x14ac:dyDescent="0.3">
      <c r="O7969" s="14"/>
      <c r="P7969" s="14"/>
      <c r="Q7969" s="14"/>
      <c r="R7969" s="14"/>
    </row>
    <row r="7970" spans="15:18" x14ac:dyDescent="0.3">
      <c r="O7970" s="14"/>
      <c r="P7970" s="14"/>
      <c r="Q7970" s="14"/>
      <c r="R7970" s="14"/>
    </row>
    <row r="7971" spans="15:18" x14ac:dyDescent="0.3">
      <c r="O7971" s="14"/>
      <c r="P7971" s="14"/>
      <c r="Q7971" s="14"/>
      <c r="R7971" s="14"/>
    </row>
    <row r="7972" spans="15:18" x14ac:dyDescent="0.3">
      <c r="O7972" s="14"/>
      <c r="P7972" s="14"/>
      <c r="Q7972" s="14"/>
      <c r="R7972" s="14"/>
    </row>
    <row r="7973" spans="15:18" x14ac:dyDescent="0.3">
      <c r="O7973" s="14"/>
      <c r="P7973" s="14"/>
      <c r="Q7973" s="14"/>
      <c r="R7973" s="14"/>
    </row>
    <row r="7974" spans="15:18" x14ac:dyDescent="0.3">
      <c r="O7974" s="14"/>
      <c r="P7974" s="14"/>
      <c r="Q7974" s="14"/>
      <c r="R7974" s="14"/>
    </row>
    <row r="7975" spans="15:18" x14ac:dyDescent="0.3">
      <c r="O7975" s="14"/>
      <c r="P7975" s="14"/>
      <c r="Q7975" s="14"/>
      <c r="R7975" s="14"/>
    </row>
    <row r="7976" spans="15:18" x14ac:dyDescent="0.3">
      <c r="O7976" s="14"/>
      <c r="P7976" s="14"/>
      <c r="Q7976" s="14"/>
      <c r="R7976" s="14"/>
    </row>
    <row r="7977" spans="15:18" x14ac:dyDescent="0.3">
      <c r="O7977" s="14"/>
      <c r="P7977" s="14"/>
      <c r="Q7977" s="14"/>
      <c r="R7977" s="14"/>
    </row>
    <row r="7978" spans="15:18" x14ac:dyDescent="0.3">
      <c r="O7978" s="14"/>
      <c r="P7978" s="14"/>
      <c r="Q7978" s="14"/>
      <c r="R7978" s="14"/>
    </row>
    <row r="7979" spans="15:18" x14ac:dyDescent="0.3">
      <c r="O7979" s="14"/>
      <c r="P7979" s="14"/>
      <c r="Q7979" s="14"/>
      <c r="R7979" s="14"/>
    </row>
    <row r="7980" spans="15:18" x14ac:dyDescent="0.3">
      <c r="O7980" s="14"/>
      <c r="P7980" s="14"/>
      <c r="Q7980" s="14"/>
      <c r="R7980" s="14"/>
    </row>
    <row r="7981" spans="15:18" x14ac:dyDescent="0.3">
      <c r="O7981" s="14"/>
      <c r="P7981" s="14"/>
      <c r="Q7981" s="14"/>
      <c r="R7981" s="14"/>
    </row>
    <row r="7982" spans="15:18" x14ac:dyDescent="0.3">
      <c r="O7982" s="14"/>
      <c r="P7982" s="14"/>
      <c r="Q7982" s="14"/>
      <c r="R7982" s="14"/>
    </row>
    <row r="7983" spans="15:18" x14ac:dyDescent="0.3">
      <c r="O7983" s="14"/>
      <c r="P7983" s="14"/>
      <c r="Q7983" s="14"/>
      <c r="R7983" s="14"/>
    </row>
    <row r="7984" spans="15:18" x14ac:dyDescent="0.3">
      <c r="O7984" s="14"/>
      <c r="P7984" s="14"/>
      <c r="Q7984" s="14"/>
      <c r="R7984" s="14"/>
    </row>
    <row r="7985" spans="15:18" x14ac:dyDescent="0.3">
      <c r="O7985" s="14"/>
      <c r="P7985" s="14"/>
      <c r="Q7985" s="14"/>
      <c r="R7985" s="14"/>
    </row>
    <row r="7986" spans="15:18" x14ac:dyDescent="0.3">
      <c r="O7986" s="14"/>
      <c r="P7986" s="14"/>
      <c r="Q7986" s="14"/>
      <c r="R7986" s="14"/>
    </row>
    <row r="7987" spans="15:18" x14ac:dyDescent="0.3">
      <c r="O7987" s="14"/>
      <c r="P7987" s="14"/>
      <c r="Q7987" s="14"/>
      <c r="R7987" s="14"/>
    </row>
    <row r="7988" spans="15:18" x14ac:dyDescent="0.3">
      <c r="O7988" s="14"/>
      <c r="P7988" s="14"/>
      <c r="Q7988" s="14"/>
      <c r="R7988" s="14"/>
    </row>
    <row r="7989" spans="15:18" x14ac:dyDescent="0.3">
      <c r="O7989" s="14"/>
      <c r="P7989" s="14"/>
      <c r="Q7989" s="14"/>
      <c r="R7989" s="14"/>
    </row>
    <row r="7990" spans="15:18" x14ac:dyDescent="0.3">
      <c r="O7990" s="14"/>
      <c r="P7990" s="14"/>
      <c r="Q7990" s="14"/>
      <c r="R7990" s="14"/>
    </row>
    <row r="7991" spans="15:18" x14ac:dyDescent="0.3">
      <c r="O7991" s="14"/>
      <c r="P7991" s="14"/>
      <c r="Q7991" s="14"/>
      <c r="R7991" s="14"/>
    </row>
    <row r="7992" spans="15:18" x14ac:dyDescent="0.3">
      <c r="O7992" s="14"/>
      <c r="P7992" s="14"/>
      <c r="Q7992" s="14"/>
      <c r="R7992" s="14"/>
    </row>
    <row r="7993" spans="15:18" x14ac:dyDescent="0.3">
      <c r="O7993" s="14"/>
      <c r="P7993" s="14"/>
      <c r="Q7993" s="14"/>
      <c r="R7993" s="14"/>
    </row>
    <row r="7994" spans="15:18" x14ac:dyDescent="0.3">
      <c r="O7994" s="14"/>
      <c r="P7994" s="14"/>
      <c r="Q7994" s="14"/>
      <c r="R7994" s="14"/>
    </row>
    <row r="7995" spans="15:18" x14ac:dyDescent="0.3">
      <c r="O7995" s="14"/>
      <c r="P7995" s="14"/>
      <c r="Q7995" s="14"/>
      <c r="R7995" s="14"/>
    </row>
    <row r="7996" spans="15:18" x14ac:dyDescent="0.3">
      <c r="O7996" s="14"/>
      <c r="P7996" s="14"/>
      <c r="Q7996" s="14"/>
      <c r="R7996" s="14"/>
    </row>
    <row r="7997" spans="15:18" x14ac:dyDescent="0.3">
      <c r="O7997" s="14"/>
      <c r="P7997" s="14"/>
      <c r="Q7997" s="14"/>
      <c r="R7997" s="14"/>
    </row>
    <row r="7998" spans="15:18" x14ac:dyDescent="0.3">
      <c r="O7998" s="14"/>
      <c r="P7998" s="14"/>
      <c r="Q7998" s="14"/>
      <c r="R7998" s="14"/>
    </row>
    <row r="7999" spans="15:18" x14ac:dyDescent="0.3">
      <c r="O7999" s="14"/>
      <c r="P7999" s="14"/>
      <c r="Q7999" s="14"/>
      <c r="R7999" s="14"/>
    </row>
    <row r="8000" spans="15:18" x14ac:dyDescent="0.3">
      <c r="O8000" s="14"/>
      <c r="P8000" s="14"/>
      <c r="Q8000" s="14"/>
      <c r="R8000" s="14"/>
    </row>
    <row r="8001" spans="15:18" x14ac:dyDescent="0.3">
      <c r="O8001" s="14"/>
      <c r="P8001" s="14"/>
      <c r="Q8001" s="14"/>
      <c r="R8001" s="14"/>
    </row>
    <row r="8002" spans="15:18" x14ac:dyDescent="0.3">
      <c r="O8002" s="14"/>
      <c r="P8002" s="14"/>
      <c r="Q8002" s="14"/>
      <c r="R8002" s="14"/>
    </row>
    <row r="8003" spans="15:18" x14ac:dyDescent="0.3">
      <c r="O8003" s="14"/>
      <c r="P8003" s="14"/>
      <c r="Q8003" s="14"/>
      <c r="R8003" s="14"/>
    </row>
    <row r="8004" spans="15:18" x14ac:dyDescent="0.3">
      <c r="O8004" s="14"/>
      <c r="P8004" s="14"/>
      <c r="Q8004" s="14"/>
      <c r="R8004" s="14"/>
    </row>
    <row r="8005" spans="15:18" x14ac:dyDescent="0.3">
      <c r="O8005" s="14"/>
      <c r="P8005" s="14"/>
      <c r="Q8005" s="14"/>
      <c r="R8005" s="14"/>
    </row>
    <row r="8006" spans="15:18" x14ac:dyDescent="0.3">
      <c r="O8006" s="14"/>
      <c r="P8006" s="14"/>
      <c r="Q8006" s="14"/>
      <c r="R8006" s="14"/>
    </row>
    <row r="8007" spans="15:18" x14ac:dyDescent="0.3">
      <c r="O8007" s="14"/>
      <c r="P8007" s="14"/>
      <c r="Q8007" s="14"/>
      <c r="R8007" s="14"/>
    </row>
    <row r="8008" spans="15:18" x14ac:dyDescent="0.3">
      <c r="O8008" s="14"/>
      <c r="P8008" s="14"/>
      <c r="Q8008" s="14"/>
      <c r="R8008" s="14"/>
    </row>
    <row r="8009" spans="15:18" x14ac:dyDescent="0.3">
      <c r="O8009" s="14"/>
      <c r="P8009" s="14"/>
      <c r="Q8009" s="14"/>
      <c r="R8009" s="14"/>
    </row>
    <row r="8010" spans="15:18" x14ac:dyDescent="0.3">
      <c r="O8010" s="14"/>
      <c r="P8010" s="14"/>
      <c r="Q8010" s="14"/>
      <c r="R8010" s="14"/>
    </row>
    <row r="8011" spans="15:18" x14ac:dyDescent="0.3">
      <c r="O8011" s="14"/>
      <c r="P8011" s="14"/>
      <c r="Q8011" s="14"/>
      <c r="R8011" s="14"/>
    </row>
    <row r="8012" spans="15:18" x14ac:dyDescent="0.3">
      <c r="O8012" s="14"/>
      <c r="P8012" s="14"/>
      <c r="Q8012" s="14"/>
      <c r="R8012" s="14"/>
    </row>
    <row r="8013" spans="15:18" x14ac:dyDescent="0.3">
      <c r="O8013" s="14"/>
      <c r="P8013" s="14"/>
      <c r="Q8013" s="14"/>
      <c r="R8013" s="14"/>
    </row>
    <row r="8014" spans="15:18" x14ac:dyDescent="0.3">
      <c r="O8014" s="14"/>
      <c r="P8014" s="14"/>
      <c r="Q8014" s="14"/>
      <c r="R8014" s="14"/>
    </row>
    <row r="8015" spans="15:18" x14ac:dyDescent="0.3">
      <c r="O8015" s="14"/>
      <c r="P8015" s="14"/>
      <c r="Q8015" s="14"/>
      <c r="R8015" s="14"/>
    </row>
    <row r="8016" spans="15:18" x14ac:dyDescent="0.3">
      <c r="O8016" s="14"/>
      <c r="P8016" s="14"/>
      <c r="Q8016" s="14"/>
      <c r="R8016" s="14"/>
    </row>
    <row r="8017" spans="15:18" x14ac:dyDescent="0.3">
      <c r="O8017" s="14"/>
      <c r="P8017" s="14"/>
      <c r="Q8017" s="14"/>
      <c r="R8017" s="14"/>
    </row>
    <row r="8018" spans="15:18" x14ac:dyDescent="0.3">
      <c r="O8018" s="14"/>
      <c r="P8018" s="14"/>
      <c r="Q8018" s="14"/>
      <c r="R8018" s="14"/>
    </row>
    <row r="8019" spans="15:18" x14ac:dyDescent="0.3">
      <c r="O8019" s="14"/>
      <c r="P8019" s="14"/>
      <c r="Q8019" s="14"/>
      <c r="R8019" s="14"/>
    </row>
    <row r="8020" spans="15:18" x14ac:dyDescent="0.3">
      <c r="O8020" s="14"/>
      <c r="P8020" s="14"/>
      <c r="Q8020" s="14"/>
      <c r="R8020" s="14"/>
    </row>
    <row r="8021" spans="15:18" x14ac:dyDescent="0.3">
      <c r="O8021" s="14"/>
      <c r="P8021" s="14"/>
      <c r="Q8021" s="14"/>
      <c r="R8021" s="14"/>
    </row>
    <row r="8022" spans="15:18" x14ac:dyDescent="0.3">
      <c r="O8022" s="14"/>
      <c r="P8022" s="14"/>
      <c r="Q8022" s="14"/>
      <c r="R8022" s="14"/>
    </row>
    <row r="8023" spans="15:18" x14ac:dyDescent="0.3">
      <c r="O8023" s="14"/>
      <c r="P8023" s="14"/>
      <c r="Q8023" s="14"/>
      <c r="R8023" s="14"/>
    </row>
    <row r="8024" spans="15:18" x14ac:dyDescent="0.3">
      <c r="O8024" s="14"/>
      <c r="P8024" s="14"/>
      <c r="Q8024" s="14"/>
      <c r="R8024" s="14"/>
    </row>
    <row r="8025" spans="15:18" x14ac:dyDescent="0.3">
      <c r="O8025" s="14"/>
      <c r="P8025" s="14"/>
      <c r="Q8025" s="14"/>
      <c r="R8025" s="14"/>
    </row>
    <row r="8026" spans="15:18" x14ac:dyDescent="0.3">
      <c r="O8026" s="14"/>
      <c r="P8026" s="14"/>
      <c r="Q8026" s="14"/>
      <c r="R8026" s="14"/>
    </row>
    <row r="8027" spans="15:18" x14ac:dyDescent="0.3">
      <c r="O8027" s="14"/>
      <c r="P8027" s="14"/>
      <c r="Q8027" s="14"/>
      <c r="R8027" s="14"/>
    </row>
    <row r="8028" spans="15:18" x14ac:dyDescent="0.3">
      <c r="O8028" s="14"/>
      <c r="P8028" s="14"/>
      <c r="Q8028" s="14"/>
      <c r="R8028" s="14"/>
    </row>
    <row r="8029" spans="15:18" x14ac:dyDescent="0.3">
      <c r="O8029" s="14"/>
      <c r="P8029" s="14"/>
      <c r="Q8029" s="14"/>
      <c r="R8029" s="14"/>
    </row>
    <row r="8030" spans="15:18" x14ac:dyDescent="0.3">
      <c r="O8030" s="14"/>
      <c r="P8030" s="14"/>
      <c r="Q8030" s="14"/>
      <c r="R8030" s="14"/>
    </row>
    <row r="8031" spans="15:18" x14ac:dyDescent="0.3">
      <c r="O8031" s="14"/>
      <c r="P8031" s="14"/>
      <c r="Q8031" s="14"/>
      <c r="R8031" s="14"/>
    </row>
    <row r="8032" spans="15:18" x14ac:dyDescent="0.3">
      <c r="O8032" s="14"/>
      <c r="P8032" s="14"/>
      <c r="Q8032" s="14"/>
      <c r="R8032" s="14"/>
    </row>
    <row r="8033" spans="15:18" x14ac:dyDescent="0.3">
      <c r="O8033" s="14"/>
      <c r="P8033" s="14"/>
      <c r="Q8033" s="14"/>
      <c r="R8033" s="14"/>
    </row>
    <row r="8034" spans="15:18" x14ac:dyDescent="0.3">
      <c r="O8034" s="14"/>
      <c r="P8034" s="14"/>
      <c r="Q8034" s="14"/>
      <c r="R8034" s="14"/>
    </row>
    <row r="8035" spans="15:18" x14ac:dyDescent="0.3">
      <c r="O8035" s="14"/>
      <c r="P8035" s="14"/>
      <c r="Q8035" s="14"/>
      <c r="R8035" s="14"/>
    </row>
    <row r="8036" spans="15:18" x14ac:dyDescent="0.3">
      <c r="O8036" s="14"/>
      <c r="P8036" s="14"/>
      <c r="Q8036" s="14"/>
      <c r="R8036" s="14"/>
    </row>
    <row r="8037" spans="15:18" x14ac:dyDescent="0.3">
      <c r="O8037" s="14"/>
      <c r="P8037" s="14"/>
      <c r="Q8037" s="14"/>
      <c r="R8037" s="14"/>
    </row>
    <row r="8038" spans="15:18" x14ac:dyDescent="0.3">
      <c r="O8038" s="14"/>
      <c r="P8038" s="14"/>
      <c r="Q8038" s="14"/>
      <c r="R8038" s="14"/>
    </row>
    <row r="8039" spans="15:18" x14ac:dyDescent="0.3">
      <c r="O8039" s="14"/>
      <c r="P8039" s="14"/>
      <c r="Q8039" s="14"/>
      <c r="R8039" s="14"/>
    </row>
    <row r="8040" spans="15:18" x14ac:dyDescent="0.3">
      <c r="O8040" s="14"/>
      <c r="P8040" s="14"/>
      <c r="Q8040" s="14"/>
      <c r="R8040" s="14"/>
    </row>
    <row r="8041" spans="15:18" x14ac:dyDescent="0.3">
      <c r="O8041" s="14"/>
      <c r="P8041" s="14"/>
      <c r="Q8041" s="14"/>
      <c r="R8041" s="14"/>
    </row>
    <row r="8042" spans="15:18" x14ac:dyDescent="0.3">
      <c r="O8042" s="14"/>
      <c r="P8042" s="14"/>
      <c r="Q8042" s="14"/>
      <c r="R8042" s="14"/>
    </row>
    <row r="8043" spans="15:18" x14ac:dyDescent="0.3">
      <c r="O8043" s="14"/>
      <c r="P8043" s="14"/>
      <c r="Q8043" s="14"/>
      <c r="R8043" s="14"/>
    </row>
    <row r="8044" spans="15:18" x14ac:dyDescent="0.3">
      <c r="O8044" s="14"/>
      <c r="P8044" s="14"/>
      <c r="Q8044" s="14"/>
      <c r="R8044" s="14"/>
    </row>
    <row r="8045" spans="15:18" x14ac:dyDescent="0.3">
      <c r="O8045" s="14"/>
      <c r="P8045" s="14"/>
      <c r="Q8045" s="14"/>
      <c r="R8045" s="14"/>
    </row>
    <row r="8046" spans="15:18" x14ac:dyDescent="0.3">
      <c r="O8046" s="14"/>
      <c r="P8046" s="14"/>
      <c r="Q8046" s="14"/>
      <c r="R8046" s="14"/>
    </row>
    <row r="8047" spans="15:18" x14ac:dyDescent="0.3">
      <c r="O8047" s="14"/>
      <c r="P8047" s="14"/>
      <c r="Q8047" s="14"/>
      <c r="R8047" s="14"/>
    </row>
    <row r="8048" spans="15:18" x14ac:dyDescent="0.3">
      <c r="O8048" s="14"/>
      <c r="P8048" s="14"/>
      <c r="Q8048" s="14"/>
      <c r="R8048" s="14"/>
    </row>
    <row r="8049" spans="15:18" x14ac:dyDescent="0.3">
      <c r="O8049" s="14"/>
      <c r="P8049" s="14"/>
      <c r="Q8049" s="14"/>
      <c r="R8049" s="14"/>
    </row>
    <row r="8050" spans="15:18" x14ac:dyDescent="0.3">
      <c r="O8050" s="14"/>
      <c r="P8050" s="14"/>
      <c r="Q8050" s="14"/>
      <c r="R8050" s="14"/>
    </row>
    <row r="8051" spans="15:18" x14ac:dyDescent="0.3">
      <c r="O8051" s="14"/>
      <c r="P8051" s="14"/>
      <c r="Q8051" s="14"/>
      <c r="R8051" s="14"/>
    </row>
    <row r="8052" spans="15:18" x14ac:dyDescent="0.3">
      <c r="O8052" s="14"/>
      <c r="P8052" s="14"/>
      <c r="Q8052" s="14"/>
      <c r="R8052" s="14"/>
    </row>
    <row r="8053" spans="15:18" x14ac:dyDescent="0.3">
      <c r="O8053" s="14"/>
      <c r="P8053" s="14"/>
      <c r="Q8053" s="14"/>
      <c r="R8053" s="14"/>
    </row>
    <row r="8054" spans="15:18" x14ac:dyDescent="0.3">
      <c r="O8054" s="14"/>
      <c r="P8054" s="14"/>
      <c r="Q8054" s="14"/>
      <c r="R8054" s="14"/>
    </row>
    <row r="8055" spans="15:18" x14ac:dyDescent="0.3">
      <c r="O8055" s="14"/>
      <c r="P8055" s="14"/>
      <c r="Q8055" s="14"/>
      <c r="R8055" s="14"/>
    </row>
    <row r="8056" spans="15:18" x14ac:dyDescent="0.3">
      <c r="O8056" s="14"/>
      <c r="P8056" s="14"/>
      <c r="Q8056" s="14"/>
      <c r="R8056" s="14"/>
    </row>
    <row r="8057" spans="15:18" x14ac:dyDescent="0.3">
      <c r="O8057" s="14"/>
      <c r="P8057" s="14"/>
      <c r="Q8057" s="14"/>
      <c r="R8057" s="14"/>
    </row>
    <row r="8058" spans="15:18" x14ac:dyDescent="0.3">
      <c r="O8058" s="14"/>
      <c r="P8058" s="14"/>
      <c r="Q8058" s="14"/>
      <c r="R8058" s="14"/>
    </row>
    <row r="8059" spans="15:18" x14ac:dyDescent="0.3">
      <c r="O8059" s="14"/>
      <c r="P8059" s="14"/>
      <c r="Q8059" s="14"/>
      <c r="R8059" s="14"/>
    </row>
    <row r="8060" spans="15:18" x14ac:dyDescent="0.3">
      <c r="O8060" s="14"/>
      <c r="P8060" s="14"/>
      <c r="Q8060" s="14"/>
      <c r="R8060" s="14"/>
    </row>
    <row r="8061" spans="15:18" x14ac:dyDescent="0.3">
      <c r="O8061" s="14"/>
      <c r="P8061" s="14"/>
      <c r="Q8061" s="14"/>
      <c r="R8061" s="14"/>
    </row>
    <row r="8062" spans="15:18" x14ac:dyDescent="0.3">
      <c r="O8062" s="14"/>
      <c r="P8062" s="14"/>
      <c r="Q8062" s="14"/>
      <c r="R8062" s="14"/>
    </row>
    <row r="8063" spans="15:18" x14ac:dyDescent="0.3">
      <c r="O8063" s="14"/>
      <c r="P8063" s="14"/>
      <c r="Q8063" s="14"/>
      <c r="R8063" s="14"/>
    </row>
    <row r="8064" spans="15:18" x14ac:dyDescent="0.3">
      <c r="O8064" s="14"/>
      <c r="P8064" s="14"/>
      <c r="Q8064" s="14"/>
      <c r="R8064" s="14"/>
    </row>
    <row r="8065" spans="15:18" x14ac:dyDescent="0.3">
      <c r="O8065" s="14"/>
      <c r="P8065" s="14"/>
      <c r="Q8065" s="14"/>
      <c r="R8065" s="14"/>
    </row>
    <row r="8066" spans="15:18" x14ac:dyDescent="0.3">
      <c r="O8066" s="14"/>
      <c r="P8066" s="14"/>
      <c r="Q8066" s="14"/>
      <c r="R8066" s="14"/>
    </row>
    <row r="8067" spans="15:18" x14ac:dyDescent="0.3">
      <c r="O8067" s="14"/>
      <c r="P8067" s="14"/>
      <c r="Q8067" s="14"/>
      <c r="R8067" s="14"/>
    </row>
    <row r="8068" spans="15:18" x14ac:dyDescent="0.3">
      <c r="O8068" s="14"/>
      <c r="P8068" s="14"/>
      <c r="Q8068" s="14"/>
      <c r="R8068" s="14"/>
    </row>
    <row r="8069" spans="15:18" x14ac:dyDescent="0.3">
      <c r="O8069" s="14"/>
      <c r="P8069" s="14"/>
      <c r="Q8069" s="14"/>
      <c r="R8069" s="14"/>
    </row>
    <row r="8070" spans="15:18" x14ac:dyDescent="0.3">
      <c r="O8070" s="14"/>
      <c r="P8070" s="14"/>
      <c r="Q8070" s="14"/>
      <c r="R8070" s="14"/>
    </row>
    <row r="8071" spans="15:18" x14ac:dyDescent="0.3">
      <c r="O8071" s="14"/>
      <c r="P8071" s="14"/>
      <c r="Q8071" s="14"/>
      <c r="R8071" s="14"/>
    </row>
    <row r="8072" spans="15:18" x14ac:dyDescent="0.3">
      <c r="O8072" s="14"/>
      <c r="P8072" s="14"/>
      <c r="Q8072" s="14"/>
      <c r="R8072" s="14"/>
    </row>
    <row r="8073" spans="15:18" x14ac:dyDescent="0.3">
      <c r="O8073" s="14"/>
      <c r="P8073" s="14"/>
      <c r="Q8073" s="14"/>
      <c r="R8073" s="14"/>
    </row>
    <row r="8074" spans="15:18" x14ac:dyDescent="0.3">
      <c r="O8074" s="14"/>
      <c r="P8074" s="14"/>
      <c r="Q8074" s="14"/>
      <c r="R8074" s="14"/>
    </row>
    <row r="8075" spans="15:18" x14ac:dyDescent="0.3">
      <c r="O8075" s="14"/>
      <c r="P8075" s="14"/>
      <c r="Q8075" s="14"/>
      <c r="R8075" s="14"/>
    </row>
    <row r="8076" spans="15:18" x14ac:dyDescent="0.3">
      <c r="O8076" s="14"/>
      <c r="P8076" s="14"/>
      <c r="Q8076" s="14"/>
      <c r="R8076" s="14"/>
    </row>
    <row r="8077" spans="15:18" x14ac:dyDescent="0.3">
      <c r="O8077" s="14"/>
      <c r="P8077" s="14"/>
      <c r="Q8077" s="14"/>
      <c r="R8077" s="14"/>
    </row>
    <row r="8078" spans="15:18" x14ac:dyDescent="0.3">
      <c r="O8078" s="14"/>
      <c r="P8078" s="14"/>
      <c r="Q8078" s="14"/>
      <c r="R8078" s="14"/>
    </row>
    <row r="8079" spans="15:18" x14ac:dyDescent="0.3">
      <c r="O8079" s="14"/>
      <c r="P8079" s="14"/>
      <c r="Q8079" s="14"/>
      <c r="R8079" s="14"/>
    </row>
    <row r="8080" spans="15:18" x14ac:dyDescent="0.3">
      <c r="O8080" s="14"/>
      <c r="P8080" s="14"/>
      <c r="Q8080" s="14"/>
      <c r="R8080" s="14"/>
    </row>
    <row r="8081" spans="15:18" x14ac:dyDescent="0.3">
      <c r="O8081" s="14"/>
      <c r="P8081" s="14"/>
      <c r="Q8081" s="14"/>
      <c r="R8081" s="14"/>
    </row>
    <row r="8082" spans="15:18" x14ac:dyDescent="0.3">
      <c r="O8082" s="14"/>
      <c r="P8082" s="14"/>
      <c r="Q8082" s="14"/>
      <c r="R8082" s="14"/>
    </row>
    <row r="8083" spans="15:18" x14ac:dyDescent="0.3">
      <c r="O8083" s="14"/>
      <c r="P8083" s="14"/>
      <c r="Q8083" s="14"/>
      <c r="R8083" s="14"/>
    </row>
    <row r="8084" spans="15:18" x14ac:dyDescent="0.3">
      <c r="O8084" s="14"/>
      <c r="P8084" s="14"/>
      <c r="Q8084" s="14"/>
      <c r="R8084" s="14"/>
    </row>
    <row r="8085" spans="15:18" x14ac:dyDescent="0.3">
      <c r="O8085" s="14"/>
      <c r="P8085" s="14"/>
      <c r="Q8085" s="14"/>
      <c r="R8085" s="14"/>
    </row>
    <row r="8086" spans="15:18" x14ac:dyDescent="0.3">
      <c r="O8086" s="14"/>
      <c r="P8086" s="14"/>
      <c r="Q8086" s="14"/>
      <c r="R8086" s="14"/>
    </row>
    <row r="8087" spans="15:18" x14ac:dyDescent="0.3">
      <c r="O8087" s="14"/>
      <c r="P8087" s="14"/>
      <c r="Q8087" s="14"/>
      <c r="R8087" s="14"/>
    </row>
    <row r="8088" spans="15:18" x14ac:dyDescent="0.3">
      <c r="O8088" s="14"/>
      <c r="P8088" s="14"/>
      <c r="Q8088" s="14"/>
      <c r="R8088" s="14"/>
    </row>
    <row r="8089" spans="15:18" x14ac:dyDescent="0.3">
      <c r="O8089" s="14"/>
      <c r="P8089" s="14"/>
      <c r="Q8089" s="14"/>
      <c r="R8089" s="14"/>
    </row>
    <row r="8090" spans="15:18" x14ac:dyDescent="0.3">
      <c r="O8090" s="14"/>
      <c r="P8090" s="14"/>
      <c r="Q8090" s="14"/>
      <c r="R8090" s="14"/>
    </row>
    <row r="8091" spans="15:18" x14ac:dyDescent="0.3">
      <c r="O8091" s="14"/>
      <c r="P8091" s="14"/>
      <c r="Q8091" s="14"/>
      <c r="R8091" s="14"/>
    </row>
    <row r="8092" spans="15:18" x14ac:dyDescent="0.3">
      <c r="O8092" s="14"/>
      <c r="P8092" s="14"/>
      <c r="Q8092" s="14"/>
      <c r="R8092" s="14"/>
    </row>
    <row r="8093" spans="15:18" x14ac:dyDescent="0.3">
      <c r="O8093" s="14"/>
      <c r="P8093" s="14"/>
      <c r="Q8093" s="14"/>
      <c r="R8093" s="14"/>
    </row>
    <row r="8094" spans="15:18" x14ac:dyDescent="0.3">
      <c r="O8094" s="14"/>
      <c r="P8094" s="14"/>
      <c r="Q8094" s="14"/>
      <c r="R8094" s="14"/>
    </row>
    <row r="8095" spans="15:18" x14ac:dyDescent="0.3">
      <c r="O8095" s="14"/>
      <c r="P8095" s="14"/>
      <c r="Q8095" s="14"/>
      <c r="R8095" s="14"/>
    </row>
    <row r="8096" spans="15:18" x14ac:dyDescent="0.3">
      <c r="O8096" s="14"/>
      <c r="P8096" s="14"/>
      <c r="Q8096" s="14"/>
      <c r="R8096" s="14"/>
    </row>
    <row r="8097" spans="15:18" x14ac:dyDescent="0.3">
      <c r="O8097" s="14"/>
      <c r="P8097" s="14"/>
      <c r="Q8097" s="14"/>
      <c r="R8097" s="14"/>
    </row>
    <row r="8098" spans="15:18" x14ac:dyDescent="0.3">
      <c r="O8098" s="14"/>
      <c r="P8098" s="14"/>
      <c r="Q8098" s="14"/>
      <c r="R8098" s="14"/>
    </row>
    <row r="8099" spans="15:18" x14ac:dyDescent="0.3">
      <c r="O8099" s="14"/>
      <c r="P8099" s="14"/>
      <c r="Q8099" s="14"/>
      <c r="R8099" s="14"/>
    </row>
    <row r="8100" spans="15:18" x14ac:dyDescent="0.3">
      <c r="O8100" s="14"/>
      <c r="P8100" s="14"/>
      <c r="Q8100" s="14"/>
      <c r="R8100" s="14"/>
    </row>
    <row r="8101" spans="15:18" x14ac:dyDescent="0.3">
      <c r="O8101" s="14"/>
      <c r="P8101" s="14"/>
      <c r="Q8101" s="14"/>
      <c r="R8101" s="14"/>
    </row>
    <row r="8102" spans="15:18" x14ac:dyDescent="0.3">
      <c r="O8102" s="14"/>
      <c r="P8102" s="14"/>
      <c r="Q8102" s="14"/>
      <c r="R8102" s="14"/>
    </row>
    <row r="8103" spans="15:18" x14ac:dyDescent="0.3">
      <c r="O8103" s="14"/>
      <c r="P8103" s="14"/>
      <c r="Q8103" s="14"/>
      <c r="R8103" s="14"/>
    </row>
    <row r="8104" spans="15:18" x14ac:dyDescent="0.3">
      <c r="O8104" s="14"/>
      <c r="P8104" s="14"/>
      <c r="Q8104" s="14"/>
      <c r="R8104" s="14"/>
    </row>
    <row r="8105" spans="15:18" x14ac:dyDescent="0.3">
      <c r="O8105" s="14"/>
      <c r="P8105" s="14"/>
      <c r="Q8105" s="14"/>
      <c r="R8105" s="14"/>
    </row>
    <row r="8106" spans="15:18" x14ac:dyDescent="0.3">
      <c r="O8106" s="14"/>
      <c r="P8106" s="14"/>
      <c r="Q8106" s="14"/>
      <c r="R8106" s="14"/>
    </row>
    <row r="8107" spans="15:18" x14ac:dyDescent="0.3">
      <c r="O8107" s="14"/>
      <c r="P8107" s="14"/>
      <c r="Q8107" s="14"/>
      <c r="R8107" s="14"/>
    </row>
    <row r="8108" spans="15:18" x14ac:dyDescent="0.3">
      <c r="O8108" s="14"/>
      <c r="P8108" s="14"/>
      <c r="Q8108" s="14"/>
      <c r="R8108" s="14"/>
    </row>
    <row r="8109" spans="15:18" x14ac:dyDescent="0.3">
      <c r="O8109" s="14"/>
      <c r="P8109" s="14"/>
      <c r="Q8109" s="14"/>
      <c r="R8109" s="14"/>
    </row>
    <row r="8110" spans="15:18" x14ac:dyDescent="0.3">
      <c r="O8110" s="14"/>
      <c r="P8110" s="14"/>
      <c r="Q8110" s="14"/>
      <c r="R8110" s="14"/>
    </row>
    <row r="8111" spans="15:18" x14ac:dyDescent="0.3">
      <c r="O8111" s="14"/>
      <c r="P8111" s="14"/>
      <c r="Q8111" s="14"/>
      <c r="R8111" s="14"/>
    </row>
    <row r="8112" spans="15:18" x14ac:dyDescent="0.3">
      <c r="O8112" s="14"/>
      <c r="P8112" s="14"/>
      <c r="Q8112" s="14"/>
      <c r="R8112" s="14"/>
    </row>
    <row r="8113" spans="15:18" x14ac:dyDescent="0.3">
      <c r="O8113" s="14"/>
      <c r="P8113" s="14"/>
      <c r="Q8113" s="14"/>
      <c r="R8113" s="14"/>
    </row>
    <row r="8114" spans="15:18" x14ac:dyDescent="0.3">
      <c r="O8114" s="14"/>
      <c r="P8114" s="14"/>
      <c r="Q8114" s="14"/>
      <c r="R8114" s="14"/>
    </row>
    <row r="8115" spans="15:18" x14ac:dyDescent="0.3">
      <c r="O8115" s="14"/>
      <c r="P8115" s="14"/>
      <c r="Q8115" s="14"/>
      <c r="R8115" s="14"/>
    </row>
    <row r="8116" spans="15:18" x14ac:dyDescent="0.3">
      <c r="O8116" s="14"/>
      <c r="P8116" s="14"/>
      <c r="Q8116" s="14"/>
      <c r="R8116" s="14"/>
    </row>
    <row r="8117" spans="15:18" x14ac:dyDescent="0.3">
      <c r="O8117" s="14"/>
      <c r="P8117" s="14"/>
      <c r="Q8117" s="14"/>
      <c r="R8117" s="14"/>
    </row>
    <row r="8118" spans="15:18" x14ac:dyDescent="0.3">
      <c r="O8118" s="14"/>
      <c r="P8118" s="14"/>
      <c r="Q8118" s="14"/>
      <c r="R8118" s="14"/>
    </row>
    <row r="8119" spans="15:18" x14ac:dyDescent="0.3">
      <c r="O8119" s="14"/>
      <c r="P8119" s="14"/>
      <c r="Q8119" s="14"/>
      <c r="R8119" s="14"/>
    </row>
    <row r="8120" spans="15:18" x14ac:dyDescent="0.3">
      <c r="O8120" s="14"/>
      <c r="P8120" s="14"/>
      <c r="Q8120" s="14"/>
      <c r="R8120" s="14"/>
    </row>
    <row r="8121" spans="15:18" x14ac:dyDescent="0.3">
      <c r="O8121" s="14"/>
      <c r="P8121" s="14"/>
      <c r="Q8121" s="14"/>
      <c r="R8121" s="14"/>
    </row>
    <row r="8122" spans="15:18" x14ac:dyDescent="0.3">
      <c r="O8122" s="14"/>
      <c r="P8122" s="14"/>
      <c r="Q8122" s="14"/>
      <c r="R8122" s="14"/>
    </row>
    <row r="8123" spans="15:18" x14ac:dyDescent="0.3">
      <c r="O8123" s="14"/>
      <c r="P8123" s="14"/>
      <c r="Q8123" s="14"/>
      <c r="R8123" s="14"/>
    </row>
    <row r="8124" spans="15:18" x14ac:dyDescent="0.3">
      <c r="O8124" s="14"/>
      <c r="P8124" s="14"/>
      <c r="Q8124" s="14"/>
      <c r="R8124" s="14"/>
    </row>
    <row r="8125" spans="15:18" x14ac:dyDescent="0.3">
      <c r="O8125" s="14"/>
      <c r="P8125" s="14"/>
      <c r="Q8125" s="14"/>
      <c r="R8125" s="14"/>
    </row>
    <row r="8126" spans="15:18" x14ac:dyDescent="0.3">
      <c r="O8126" s="14"/>
      <c r="P8126" s="14"/>
      <c r="Q8126" s="14"/>
      <c r="R8126" s="14"/>
    </row>
    <row r="8127" spans="15:18" x14ac:dyDescent="0.3">
      <c r="O8127" s="14"/>
      <c r="P8127" s="14"/>
      <c r="Q8127" s="14"/>
      <c r="R8127" s="14"/>
    </row>
    <row r="8128" spans="15:18" x14ac:dyDescent="0.3">
      <c r="O8128" s="14"/>
      <c r="P8128" s="14"/>
      <c r="Q8128" s="14"/>
      <c r="R8128" s="14"/>
    </row>
    <row r="8129" spans="15:18" x14ac:dyDescent="0.3">
      <c r="O8129" s="14"/>
      <c r="P8129" s="14"/>
      <c r="Q8129" s="14"/>
      <c r="R8129" s="14"/>
    </row>
    <row r="8130" spans="15:18" x14ac:dyDescent="0.3">
      <c r="O8130" s="14"/>
      <c r="P8130" s="14"/>
      <c r="Q8130" s="14"/>
      <c r="R8130" s="14"/>
    </row>
    <row r="8131" spans="15:18" x14ac:dyDescent="0.3">
      <c r="O8131" s="14"/>
      <c r="P8131" s="14"/>
      <c r="Q8131" s="14"/>
      <c r="R8131" s="14"/>
    </row>
    <row r="8132" spans="15:18" x14ac:dyDescent="0.3">
      <c r="O8132" s="14"/>
      <c r="P8132" s="14"/>
      <c r="Q8132" s="14"/>
      <c r="R8132" s="14"/>
    </row>
    <row r="8133" spans="15:18" x14ac:dyDescent="0.3">
      <c r="O8133" s="14"/>
      <c r="P8133" s="14"/>
      <c r="Q8133" s="14"/>
      <c r="R8133" s="14"/>
    </row>
    <row r="8134" spans="15:18" x14ac:dyDescent="0.3">
      <c r="O8134" s="14"/>
      <c r="P8134" s="14"/>
      <c r="Q8134" s="14"/>
      <c r="R8134" s="14"/>
    </row>
    <row r="8135" spans="15:18" x14ac:dyDescent="0.3">
      <c r="O8135" s="14"/>
      <c r="P8135" s="14"/>
      <c r="Q8135" s="14"/>
      <c r="R8135" s="14"/>
    </row>
    <row r="8136" spans="15:18" x14ac:dyDescent="0.3">
      <c r="O8136" s="14"/>
      <c r="P8136" s="14"/>
      <c r="Q8136" s="14"/>
      <c r="R8136" s="14"/>
    </row>
    <row r="8137" spans="15:18" x14ac:dyDescent="0.3">
      <c r="O8137" s="14"/>
      <c r="P8137" s="14"/>
      <c r="Q8137" s="14"/>
      <c r="R8137" s="14"/>
    </row>
    <row r="8138" spans="15:18" x14ac:dyDescent="0.3">
      <c r="O8138" s="14"/>
      <c r="P8138" s="14"/>
      <c r="Q8138" s="14"/>
      <c r="R8138" s="14"/>
    </row>
    <row r="8139" spans="15:18" x14ac:dyDescent="0.3">
      <c r="O8139" s="14"/>
      <c r="P8139" s="14"/>
      <c r="Q8139" s="14"/>
      <c r="R8139" s="14"/>
    </row>
    <row r="8140" spans="15:18" x14ac:dyDescent="0.3">
      <c r="O8140" s="14"/>
      <c r="P8140" s="14"/>
      <c r="Q8140" s="14"/>
      <c r="R8140" s="14"/>
    </row>
    <row r="8141" spans="15:18" x14ac:dyDescent="0.3">
      <c r="O8141" s="14"/>
      <c r="P8141" s="14"/>
      <c r="Q8141" s="14"/>
      <c r="R8141" s="14"/>
    </row>
    <row r="8142" spans="15:18" x14ac:dyDescent="0.3">
      <c r="O8142" s="14"/>
      <c r="P8142" s="14"/>
      <c r="Q8142" s="14"/>
      <c r="R8142" s="14"/>
    </row>
    <row r="8143" spans="15:18" x14ac:dyDescent="0.3">
      <c r="O8143" s="14"/>
      <c r="P8143" s="14"/>
      <c r="Q8143" s="14"/>
      <c r="R8143" s="14"/>
    </row>
    <row r="8144" spans="15:18" x14ac:dyDescent="0.3">
      <c r="O8144" s="14"/>
      <c r="P8144" s="14"/>
      <c r="Q8144" s="14"/>
      <c r="R8144" s="14"/>
    </row>
    <row r="8145" spans="15:18" x14ac:dyDescent="0.3">
      <c r="O8145" s="14"/>
      <c r="P8145" s="14"/>
      <c r="Q8145" s="14"/>
      <c r="R8145" s="14"/>
    </row>
    <row r="8146" spans="15:18" x14ac:dyDescent="0.3">
      <c r="O8146" s="14"/>
      <c r="P8146" s="14"/>
      <c r="Q8146" s="14"/>
      <c r="R8146" s="14"/>
    </row>
    <row r="8147" spans="15:18" x14ac:dyDescent="0.3">
      <c r="O8147" s="14"/>
      <c r="P8147" s="14"/>
      <c r="Q8147" s="14"/>
      <c r="R8147" s="14"/>
    </row>
    <row r="8148" spans="15:18" x14ac:dyDescent="0.3">
      <c r="O8148" s="14"/>
      <c r="P8148" s="14"/>
      <c r="Q8148" s="14"/>
      <c r="R8148" s="14"/>
    </row>
    <row r="8149" spans="15:18" x14ac:dyDescent="0.3">
      <c r="O8149" s="14"/>
      <c r="P8149" s="14"/>
      <c r="Q8149" s="14"/>
      <c r="R8149" s="14"/>
    </row>
    <row r="8150" spans="15:18" x14ac:dyDescent="0.3">
      <c r="O8150" s="14"/>
      <c r="P8150" s="14"/>
      <c r="Q8150" s="14"/>
      <c r="R8150" s="14"/>
    </row>
    <row r="8151" spans="15:18" x14ac:dyDescent="0.3">
      <c r="O8151" s="14"/>
      <c r="P8151" s="14"/>
      <c r="Q8151" s="14"/>
      <c r="R8151" s="14"/>
    </row>
    <row r="8152" spans="15:18" x14ac:dyDescent="0.3">
      <c r="O8152" s="14"/>
      <c r="P8152" s="14"/>
      <c r="Q8152" s="14"/>
      <c r="R8152" s="14"/>
    </row>
    <row r="8153" spans="15:18" x14ac:dyDescent="0.3">
      <c r="O8153" s="14"/>
      <c r="P8153" s="14"/>
      <c r="Q8153" s="14"/>
      <c r="R8153" s="14"/>
    </row>
    <row r="8154" spans="15:18" x14ac:dyDescent="0.3">
      <c r="O8154" s="14"/>
      <c r="P8154" s="14"/>
      <c r="Q8154" s="14"/>
      <c r="R8154" s="14"/>
    </row>
    <row r="8155" spans="15:18" x14ac:dyDescent="0.3">
      <c r="O8155" s="14"/>
      <c r="P8155" s="14"/>
      <c r="Q8155" s="14"/>
      <c r="R8155" s="14"/>
    </row>
    <row r="8156" spans="15:18" x14ac:dyDescent="0.3">
      <c r="O8156" s="14"/>
      <c r="P8156" s="14"/>
      <c r="Q8156" s="14"/>
      <c r="R8156" s="14"/>
    </row>
    <row r="8157" spans="15:18" x14ac:dyDescent="0.3">
      <c r="O8157" s="14"/>
      <c r="P8157" s="14"/>
      <c r="Q8157" s="14"/>
      <c r="R8157" s="14"/>
    </row>
    <row r="8158" spans="15:18" x14ac:dyDescent="0.3">
      <c r="O8158" s="14"/>
      <c r="P8158" s="14"/>
      <c r="Q8158" s="14"/>
      <c r="R8158" s="14"/>
    </row>
    <row r="8159" spans="15:18" x14ac:dyDescent="0.3">
      <c r="O8159" s="14"/>
      <c r="P8159" s="14"/>
      <c r="Q8159" s="14"/>
      <c r="R8159" s="14"/>
    </row>
    <row r="8160" spans="15:18" x14ac:dyDescent="0.3">
      <c r="O8160" s="14"/>
      <c r="P8160" s="14"/>
      <c r="Q8160" s="14"/>
      <c r="R8160" s="14"/>
    </row>
    <row r="8161" spans="15:18" x14ac:dyDescent="0.3">
      <c r="O8161" s="14"/>
      <c r="P8161" s="14"/>
      <c r="Q8161" s="14"/>
      <c r="R8161" s="14"/>
    </row>
    <row r="8162" spans="15:18" x14ac:dyDescent="0.3">
      <c r="O8162" s="14"/>
      <c r="P8162" s="14"/>
      <c r="Q8162" s="14"/>
      <c r="R8162" s="14"/>
    </row>
    <row r="8163" spans="15:18" x14ac:dyDescent="0.3">
      <c r="O8163" s="14"/>
      <c r="P8163" s="14"/>
      <c r="Q8163" s="14"/>
      <c r="R8163" s="14"/>
    </row>
    <row r="8164" spans="15:18" x14ac:dyDescent="0.3">
      <c r="O8164" s="14"/>
      <c r="P8164" s="14"/>
      <c r="Q8164" s="14"/>
      <c r="R8164" s="14"/>
    </row>
    <row r="8165" spans="15:18" x14ac:dyDescent="0.3">
      <c r="O8165" s="14"/>
      <c r="P8165" s="14"/>
      <c r="Q8165" s="14"/>
      <c r="R8165" s="14"/>
    </row>
    <row r="8166" spans="15:18" x14ac:dyDescent="0.3">
      <c r="O8166" s="14"/>
      <c r="P8166" s="14"/>
      <c r="Q8166" s="14"/>
      <c r="R8166" s="14"/>
    </row>
    <row r="8167" spans="15:18" x14ac:dyDescent="0.3">
      <c r="O8167" s="14"/>
      <c r="P8167" s="14"/>
      <c r="Q8167" s="14"/>
      <c r="R8167" s="14"/>
    </row>
    <row r="8168" spans="15:18" x14ac:dyDescent="0.3">
      <c r="O8168" s="14"/>
      <c r="P8168" s="14"/>
      <c r="Q8168" s="14"/>
      <c r="R8168" s="14"/>
    </row>
    <row r="8169" spans="15:18" x14ac:dyDescent="0.3">
      <c r="O8169" s="14"/>
      <c r="P8169" s="14"/>
      <c r="Q8169" s="14"/>
      <c r="R8169" s="14"/>
    </row>
    <row r="8170" spans="15:18" x14ac:dyDescent="0.3">
      <c r="O8170" s="14"/>
      <c r="P8170" s="14"/>
      <c r="Q8170" s="14"/>
      <c r="R8170" s="14"/>
    </row>
    <row r="8171" spans="15:18" x14ac:dyDescent="0.3">
      <c r="O8171" s="14"/>
      <c r="P8171" s="14"/>
      <c r="Q8171" s="14"/>
      <c r="R8171" s="14"/>
    </row>
    <row r="8172" spans="15:18" x14ac:dyDescent="0.3">
      <c r="O8172" s="14"/>
      <c r="P8172" s="14"/>
      <c r="Q8172" s="14"/>
      <c r="R8172" s="14"/>
    </row>
    <row r="8173" spans="15:18" x14ac:dyDescent="0.3">
      <c r="O8173" s="14"/>
      <c r="P8173" s="14"/>
      <c r="Q8173" s="14"/>
      <c r="R8173" s="14"/>
    </row>
    <row r="8174" spans="15:18" x14ac:dyDescent="0.3">
      <c r="O8174" s="14"/>
      <c r="P8174" s="14"/>
      <c r="Q8174" s="14"/>
      <c r="R8174" s="14"/>
    </row>
    <row r="8175" spans="15:18" x14ac:dyDescent="0.3">
      <c r="O8175" s="14"/>
      <c r="P8175" s="14"/>
      <c r="Q8175" s="14"/>
      <c r="R8175" s="14"/>
    </row>
    <row r="8176" spans="15:18" x14ac:dyDescent="0.3">
      <c r="O8176" s="14"/>
      <c r="P8176" s="14"/>
      <c r="Q8176" s="14"/>
      <c r="R8176" s="14"/>
    </row>
    <row r="8177" spans="15:18" x14ac:dyDescent="0.3">
      <c r="O8177" s="14"/>
      <c r="P8177" s="14"/>
      <c r="Q8177" s="14"/>
      <c r="R8177" s="14"/>
    </row>
    <row r="8178" spans="15:18" x14ac:dyDescent="0.3">
      <c r="O8178" s="14"/>
      <c r="P8178" s="14"/>
      <c r="Q8178" s="14"/>
      <c r="R8178" s="14"/>
    </row>
    <row r="8179" spans="15:18" x14ac:dyDescent="0.3">
      <c r="O8179" s="14"/>
      <c r="P8179" s="14"/>
      <c r="Q8179" s="14"/>
      <c r="R8179" s="14"/>
    </row>
    <row r="8180" spans="15:18" x14ac:dyDescent="0.3">
      <c r="O8180" s="14"/>
      <c r="P8180" s="14"/>
      <c r="Q8180" s="14"/>
      <c r="R8180" s="14"/>
    </row>
    <row r="8181" spans="15:18" x14ac:dyDescent="0.3">
      <c r="O8181" s="14"/>
      <c r="P8181" s="14"/>
      <c r="Q8181" s="14"/>
      <c r="R8181" s="14"/>
    </row>
    <row r="8182" spans="15:18" x14ac:dyDescent="0.3">
      <c r="O8182" s="14"/>
      <c r="P8182" s="14"/>
      <c r="Q8182" s="14"/>
      <c r="R8182" s="14"/>
    </row>
    <row r="8183" spans="15:18" x14ac:dyDescent="0.3">
      <c r="O8183" s="14"/>
      <c r="P8183" s="14"/>
      <c r="Q8183" s="14"/>
      <c r="R8183" s="14"/>
    </row>
    <row r="8184" spans="15:18" x14ac:dyDescent="0.3">
      <c r="O8184" s="14"/>
      <c r="P8184" s="14"/>
      <c r="Q8184" s="14"/>
      <c r="R8184" s="14"/>
    </row>
    <row r="8185" spans="15:18" x14ac:dyDescent="0.3">
      <c r="O8185" s="14"/>
      <c r="P8185" s="14"/>
      <c r="Q8185" s="14"/>
      <c r="R8185" s="14"/>
    </row>
    <row r="8186" spans="15:18" x14ac:dyDescent="0.3">
      <c r="O8186" s="14"/>
      <c r="P8186" s="14"/>
      <c r="Q8186" s="14"/>
      <c r="R8186" s="14"/>
    </row>
    <row r="8187" spans="15:18" x14ac:dyDescent="0.3">
      <c r="O8187" s="14"/>
      <c r="P8187" s="14"/>
      <c r="Q8187" s="14"/>
      <c r="R8187" s="14"/>
    </row>
    <row r="8188" spans="15:18" x14ac:dyDescent="0.3">
      <c r="O8188" s="14"/>
      <c r="P8188" s="14"/>
      <c r="Q8188" s="14"/>
      <c r="R8188" s="14"/>
    </row>
    <row r="8189" spans="15:18" x14ac:dyDescent="0.3">
      <c r="O8189" s="14"/>
      <c r="P8189" s="14"/>
      <c r="Q8189" s="14"/>
      <c r="R8189" s="14"/>
    </row>
    <row r="8190" spans="15:18" x14ac:dyDescent="0.3">
      <c r="O8190" s="14"/>
      <c r="P8190" s="14"/>
      <c r="Q8190" s="14"/>
      <c r="R8190" s="14"/>
    </row>
    <row r="8191" spans="15:18" x14ac:dyDescent="0.3">
      <c r="O8191" s="14"/>
      <c r="P8191" s="14"/>
      <c r="Q8191" s="14"/>
      <c r="R8191" s="14"/>
    </row>
    <row r="8192" spans="15:18" x14ac:dyDescent="0.3">
      <c r="O8192" s="14"/>
      <c r="P8192" s="14"/>
      <c r="Q8192" s="14"/>
      <c r="R8192" s="14"/>
    </row>
    <row r="8193" spans="15:18" x14ac:dyDescent="0.3">
      <c r="O8193" s="14"/>
      <c r="P8193" s="14"/>
      <c r="Q8193" s="14"/>
      <c r="R8193" s="14"/>
    </row>
    <row r="8194" spans="15:18" x14ac:dyDescent="0.3">
      <c r="O8194" s="14"/>
      <c r="P8194" s="14"/>
      <c r="Q8194" s="14"/>
      <c r="R8194" s="14"/>
    </row>
    <row r="8195" spans="15:18" x14ac:dyDescent="0.3">
      <c r="O8195" s="14"/>
      <c r="P8195" s="14"/>
      <c r="Q8195" s="14"/>
      <c r="R8195" s="14"/>
    </row>
    <row r="8196" spans="15:18" x14ac:dyDescent="0.3">
      <c r="O8196" s="14"/>
      <c r="P8196" s="14"/>
      <c r="Q8196" s="14"/>
      <c r="R8196" s="14"/>
    </row>
    <row r="8197" spans="15:18" x14ac:dyDescent="0.3">
      <c r="O8197" s="14"/>
      <c r="P8197" s="14"/>
      <c r="Q8197" s="14"/>
      <c r="R8197" s="14"/>
    </row>
    <row r="8198" spans="15:18" x14ac:dyDescent="0.3">
      <c r="O8198" s="14"/>
      <c r="P8198" s="14"/>
      <c r="Q8198" s="14"/>
      <c r="R8198" s="14"/>
    </row>
    <row r="8199" spans="15:18" x14ac:dyDescent="0.3">
      <c r="O8199" s="14"/>
      <c r="P8199" s="14"/>
      <c r="Q8199" s="14"/>
      <c r="R8199" s="14"/>
    </row>
    <row r="8200" spans="15:18" x14ac:dyDescent="0.3">
      <c r="O8200" s="14"/>
      <c r="P8200" s="14"/>
      <c r="Q8200" s="14"/>
      <c r="R8200" s="14"/>
    </row>
    <row r="8201" spans="15:18" x14ac:dyDescent="0.3">
      <c r="O8201" s="14"/>
      <c r="P8201" s="14"/>
      <c r="Q8201" s="14"/>
      <c r="R8201" s="14"/>
    </row>
    <row r="8202" spans="15:18" x14ac:dyDescent="0.3">
      <c r="O8202" s="14"/>
      <c r="P8202" s="14"/>
      <c r="Q8202" s="14"/>
      <c r="R8202" s="14"/>
    </row>
    <row r="8203" spans="15:18" x14ac:dyDescent="0.3">
      <c r="O8203" s="14"/>
      <c r="P8203" s="14"/>
      <c r="Q8203" s="14"/>
      <c r="R8203" s="14"/>
    </row>
    <row r="8204" spans="15:18" x14ac:dyDescent="0.3">
      <c r="O8204" s="14"/>
      <c r="P8204" s="14"/>
      <c r="Q8204" s="14"/>
      <c r="R8204" s="14"/>
    </row>
    <row r="8205" spans="15:18" x14ac:dyDescent="0.3">
      <c r="O8205" s="14"/>
      <c r="P8205" s="14"/>
      <c r="Q8205" s="14"/>
      <c r="R8205" s="14"/>
    </row>
    <row r="8206" spans="15:18" x14ac:dyDescent="0.3">
      <c r="O8206" s="14"/>
      <c r="P8206" s="14"/>
      <c r="Q8206" s="14"/>
      <c r="R8206" s="14"/>
    </row>
    <row r="8207" spans="15:18" x14ac:dyDescent="0.3">
      <c r="O8207" s="14"/>
      <c r="P8207" s="14"/>
      <c r="Q8207" s="14"/>
      <c r="R8207" s="14"/>
    </row>
    <row r="8208" spans="15:18" x14ac:dyDescent="0.3">
      <c r="O8208" s="14"/>
      <c r="P8208" s="14"/>
      <c r="Q8208" s="14"/>
      <c r="R8208" s="14"/>
    </row>
    <row r="8209" spans="15:18" x14ac:dyDescent="0.3">
      <c r="O8209" s="14"/>
      <c r="P8209" s="14"/>
      <c r="Q8209" s="14"/>
      <c r="R8209" s="14"/>
    </row>
    <row r="8210" spans="15:18" x14ac:dyDescent="0.3">
      <c r="O8210" s="14"/>
      <c r="P8210" s="14"/>
      <c r="Q8210" s="14"/>
      <c r="R8210" s="14"/>
    </row>
    <row r="8211" spans="15:18" x14ac:dyDescent="0.3">
      <c r="O8211" s="14"/>
      <c r="P8211" s="14"/>
      <c r="Q8211" s="14"/>
      <c r="R8211" s="14"/>
    </row>
    <row r="8212" spans="15:18" x14ac:dyDescent="0.3">
      <c r="O8212" s="14"/>
      <c r="P8212" s="14"/>
      <c r="Q8212" s="14"/>
      <c r="R8212" s="14"/>
    </row>
    <row r="8213" spans="15:18" x14ac:dyDescent="0.3">
      <c r="O8213" s="14"/>
      <c r="P8213" s="14"/>
      <c r="Q8213" s="14"/>
      <c r="R8213" s="14"/>
    </row>
    <row r="8214" spans="15:18" x14ac:dyDescent="0.3">
      <c r="O8214" s="14"/>
      <c r="P8214" s="14"/>
      <c r="Q8214" s="14"/>
      <c r="R8214" s="14"/>
    </row>
    <row r="8215" spans="15:18" x14ac:dyDescent="0.3">
      <c r="O8215" s="14"/>
      <c r="P8215" s="14"/>
      <c r="Q8215" s="14"/>
      <c r="R8215" s="14"/>
    </row>
    <row r="8216" spans="15:18" x14ac:dyDescent="0.3">
      <c r="O8216" s="14"/>
      <c r="P8216" s="14"/>
      <c r="Q8216" s="14"/>
      <c r="R8216" s="14"/>
    </row>
    <row r="8217" spans="15:18" x14ac:dyDescent="0.3">
      <c r="O8217" s="14"/>
      <c r="P8217" s="14"/>
      <c r="Q8217" s="14"/>
      <c r="R8217" s="14"/>
    </row>
    <row r="8218" spans="15:18" x14ac:dyDescent="0.3">
      <c r="O8218" s="14"/>
      <c r="P8218" s="14"/>
      <c r="Q8218" s="14"/>
      <c r="R8218" s="14"/>
    </row>
    <row r="8219" spans="15:18" x14ac:dyDescent="0.3">
      <c r="O8219" s="14"/>
      <c r="P8219" s="14"/>
      <c r="Q8219" s="14"/>
      <c r="R8219" s="14"/>
    </row>
    <row r="8220" spans="15:18" x14ac:dyDescent="0.3">
      <c r="O8220" s="14"/>
      <c r="P8220" s="14"/>
      <c r="Q8220" s="14"/>
      <c r="R8220" s="14"/>
    </row>
    <row r="8221" spans="15:18" x14ac:dyDescent="0.3">
      <c r="O8221" s="14"/>
      <c r="P8221" s="14"/>
      <c r="Q8221" s="14"/>
      <c r="R8221" s="14"/>
    </row>
    <row r="8222" spans="15:18" x14ac:dyDescent="0.3">
      <c r="O8222" s="14"/>
      <c r="P8222" s="14"/>
      <c r="Q8222" s="14"/>
      <c r="R8222" s="14"/>
    </row>
    <row r="8223" spans="15:18" x14ac:dyDescent="0.3">
      <c r="O8223" s="14"/>
      <c r="P8223" s="14"/>
      <c r="Q8223" s="14"/>
      <c r="R8223" s="14"/>
    </row>
    <row r="8224" spans="15:18" x14ac:dyDescent="0.3">
      <c r="O8224" s="14"/>
      <c r="P8224" s="14"/>
      <c r="Q8224" s="14"/>
      <c r="R8224" s="14"/>
    </row>
    <row r="8225" spans="15:18" x14ac:dyDescent="0.3">
      <c r="O8225" s="14"/>
      <c r="P8225" s="14"/>
      <c r="Q8225" s="14"/>
      <c r="R8225" s="14"/>
    </row>
    <row r="8226" spans="15:18" x14ac:dyDescent="0.3">
      <c r="O8226" s="14"/>
      <c r="P8226" s="14"/>
      <c r="Q8226" s="14"/>
      <c r="R8226" s="14"/>
    </row>
    <row r="8227" spans="15:18" x14ac:dyDescent="0.3">
      <c r="O8227" s="14"/>
      <c r="P8227" s="14"/>
      <c r="Q8227" s="14"/>
      <c r="R8227" s="14"/>
    </row>
    <row r="8228" spans="15:18" x14ac:dyDescent="0.3">
      <c r="O8228" s="14"/>
      <c r="P8228" s="14"/>
      <c r="Q8228" s="14"/>
      <c r="R8228" s="14"/>
    </row>
    <row r="8229" spans="15:18" x14ac:dyDescent="0.3">
      <c r="O8229" s="14"/>
      <c r="P8229" s="14"/>
      <c r="Q8229" s="14"/>
      <c r="R8229" s="14"/>
    </row>
    <row r="8230" spans="15:18" x14ac:dyDescent="0.3">
      <c r="O8230" s="14"/>
      <c r="P8230" s="14"/>
      <c r="Q8230" s="14"/>
      <c r="R8230" s="14"/>
    </row>
    <row r="8231" spans="15:18" x14ac:dyDescent="0.3">
      <c r="O8231" s="14"/>
      <c r="P8231" s="14"/>
      <c r="Q8231" s="14"/>
      <c r="R8231" s="14"/>
    </row>
    <row r="8232" spans="15:18" x14ac:dyDescent="0.3">
      <c r="O8232" s="14"/>
      <c r="P8232" s="14"/>
      <c r="Q8232" s="14"/>
      <c r="R8232" s="14"/>
    </row>
    <row r="8233" spans="15:18" x14ac:dyDescent="0.3">
      <c r="O8233" s="14"/>
      <c r="P8233" s="14"/>
      <c r="Q8233" s="14"/>
      <c r="R8233" s="14"/>
    </row>
    <row r="8234" spans="15:18" x14ac:dyDescent="0.3">
      <c r="O8234" s="14"/>
      <c r="P8234" s="14"/>
      <c r="Q8234" s="14"/>
      <c r="R8234" s="14"/>
    </row>
    <row r="8235" spans="15:18" x14ac:dyDescent="0.3">
      <c r="O8235" s="14"/>
      <c r="P8235" s="14"/>
      <c r="Q8235" s="14"/>
      <c r="R8235" s="14"/>
    </row>
    <row r="8236" spans="15:18" x14ac:dyDescent="0.3">
      <c r="O8236" s="14"/>
      <c r="P8236" s="14"/>
      <c r="Q8236" s="14"/>
      <c r="R8236" s="14"/>
    </row>
    <row r="8237" spans="15:18" x14ac:dyDescent="0.3">
      <c r="O8237" s="14"/>
      <c r="P8237" s="14"/>
      <c r="Q8237" s="14"/>
      <c r="R8237" s="14"/>
    </row>
    <row r="8238" spans="15:18" x14ac:dyDescent="0.3">
      <c r="O8238" s="14"/>
      <c r="P8238" s="14"/>
      <c r="Q8238" s="14"/>
      <c r="R8238" s="14"/>
    </row>
    <row r="8239" spans="15:18" x14ac:dyDescent="0.3">
      <c r="O8239" s="14"/>
      <c r="P8239" s="14"/>
      <c r="Q8239" s="14"/>
      <c r="R8239" s="14"/>
    </row>
    <row r="8240" spans="15:18" x14ac:dyDescent="0.3">
      <c r="O8240" s="14"/>
      <c r="P8240" s="14"/>
      <c r="Q8240" s="14"/>
      <c r="R8240" s="14"/>
    </row>
    <row r="8241" spans="15:18" x14ac:dyDescent="0.3">
      <c r="O8241" s="14"/>
      <c r="P8241" s="14"/>
      <c r="Q8241" s="14"/>
      <c r="R8241" s="14"/>
    </row>
    <row r="8242" spans="15:18" x14ac:dyDescent="0.3">
      <c r="O8242" s="14"/>
      <c r="P8242" s="14"/>
      <c r="Q8242" s="14"/>
      <c r="R8242" s="14"/>
    </row>
    <row r="8243" spans="15:18" x14ac:dyDescent="0.3">
      <c r="O8243" s="14"/>
      <c r="P8243" s="14"/>
      <c r="Q8243" s="14"/>
      <c r="R8243" s="14"/>
    </row>
    <row r="8244" spans="15:18" x14ac:dyDescent="0.3">
      <c r="O8244" s="14"/>
      <c r="P8244" s="14"/>
      <c r="Q8244" s="14"/>
      <c r="R8244" s="14"/>
    </row>
    <row r="8245" spans="15:18" x14ac:dyDescent="0.3">
      <c r="O8245" s="14"/>
      <c r="P8245" s="14"/>
      <c r="Q8245" s="14"/>
      <c r="R8245" s="14"/>
    </row>
    <row r="8246" spans="15:18" x14ac:dyDescent="0.3">
      <c r="O8246" s="14"/>
      <c r="P8246" s="14"/>
      <c r="Q8246" s="14"/>
      <c r="R8246" s="14"/>
    </row>
    <row r="8247" spans="15:18" x14ac:dyDescent="0.3">
      <c r="O8247" s="14"/>
      <c r="P8247" s="14"/>
      <c r="Q8247" s="14"/>
      <c r="R8247" s="14"/>
    </row>
    <row r="8248" spans="15:18" x14ac:dyDescent="0.3">
      <c r="O8248" s="14"/>
      <c r="P8248" s="14"/>
      <c r="Q8248" s="14"/>
      <c r="R8248" s="14"/>
    </row>
    <row r="8249" spans="15:18" x14ac:dyDescent="0.3">
      <c r="O8249" s="14"/>
      <c r="P8249" s="14"/>
      <c r="Q8249" s="14"/>
      <c r="R8249" s="14"/>
    </row>
    <row r="8250" spans="15:18" x14ac:dyDescent="0.3">
      <c r="O8250" s="14"/>
      <c r="P8250" s="14"/>
      <c r="Q8250" s="14"/>
      <c r="R8250" s="14"/>
    </row>
    <row r="8251" spans="15:18" x14ac:dyDescent="0.3">
      <c r="O8251" s="14"/>
      <c r="P8251" s="14"/>
      <c r="Q8251" s="14"/>
      <c r="R8251" s="14"/>
    </row>
    <row r="8252" spans="15:18" x14ac:dyDescent="0.3">
      <c r="O8252" s="14"/>
      <c r="P8252" s="14"/>
      <c r="Q8252" s="14"/>
      <c r="R8252" s="14"/>
    </row>
    <row r="8253" spans="15:18" x14ac:dyDescent="0.3">
      <c r="O8253" s="14"/>
      <c r="P8253" s="14"/>
      <c r="Q8253" s="14"/>
      <c r="R8253" s="14"/>
    </row>
    <row r="8254" spans="15:18" x14ac:dyDescent="0.3">
      <c r="O8254" s="14"/>
      <c r="P8254" s="14"/>
      <c r="Q8254" s="14"/>
      <c r="R8254" s="14"/>
    </row>
    <row r="8255" spans="15:18" x14ac:dyDescent="0.3">
      <c r="O8255" s="14"/>
      <c r="P8255" s="14"/>
      <c r="Q8255" s="14"/>
      <c r="R8255" s="14"/>
    </row>
    <row r="8256" spans="15:18" x14ac:dyDescent="0.3">
      <c r="O8256" s="14"/>
      <c r="P8256" s="14"/>
      <c r="Q8256" s="14"/>
      <c r="R8256" s="14"/>
    </row>
    <row r="8257" spans="15:18" x14ac:dyDescent="0.3">
      <c r="O8257" s="14"/>
      <c r="P8257" s="14"/>
      <c r="Q8257" s="14"/>
      <c r="R8257" s="14"/>
    </row>
    <row r="8258" spans="15:18" x14ac:dyDescent="0.3">
      <c r="O8258" s="14"/>
      <c r="P8258" s="14"/>
      <c r="Q8258" s="14"/>
      <c r="R8258" s="14"/>
    </row>
    <row r="8259" spans="15:18" x14ac:dyDescent="0.3">
      <c r="O8259" s="14"/>
      <c r="P8259" s="14"/>
      <c r="Q8259" s="14"/>
      <c r="R8259" s="14"/>
    </row>
    <row r="8260" spans="15:18" x14ac:dyDescent="0.3">
      <c r="O8260" s="14"/>
      <c r="P8260" s="14"/>
      <c r="Q8260" s="14"/>
      <c r="R8260" s="14"/>
    </row>
    <row r="8261" spans="15:18" x14ac:dyDescent="0.3">
      <c r="O8261" s="14"/>
      <c r="P8261" s="14"/>
      <c r="Q8261" s="14"/>
      <c r="R8261" s="14"/>
    </row>
    <row r="8262" spans="15:18" x14ac:dyDescent="0.3">
      <c r="O8262" s="14"/>
      <c r="P8262" s="14"/>
      <c r="Q8262" s="14"/>
      <c r="R8262" s="14"/>
    </row>
    <row r="8263" spans="15:18" x14ac:dyDescent="0.3">
      <c r="O8263" s="14"/>
      <c r="P8263" s="14"/>
      <c r="Q8263" s="14"/>
      <c r="R8263" s="14"/>
    </row>
    <row r="8264" spans="15:18" x14ac:dyDescent="0.3">
      <c r="O8264" s="14"/>
      <c r="P8264" s="14"/>
      <c r="Q8264" s="14"/>
      <c r="R8264" s="14"/>
    </row>
    <row r="8265" spans="15:18" x14ac:dyDescent="0.3">
      <c r="O8265" s="14"/>
      <c r="P8265" s="14"/>
      <c r="Q8265" s="14"/>
      <c r="R8265" s="14"/>
    </row>
    <row r="8266" spans="15:18" x14ac:dyDescent="0.3">
      <c r="O8266" s="14"/>
      <c r="P8266" s="14"/>
      <c r="Q8266" s="14"/>
      <c r="R8266" s="14"/>
    </row>
    <row r="8267" spans="15:18" x14ac:dyDescent="0.3">
      <c r="O8267" s="14"/>
      <c r="P8267" s="14"/>
      <c r="Q8267" s="14"/>
      <c r="R8267" s="14"/>
    </row>
    <row r="8268" spans="15:18" x14ac:dyDescent="0.3">
      <c r="O8268" s="14"/>
      <c r="P8268" s="14"/>
      <c r="Q8268" s="14"/>
      <c r="R8268" s="14"/>
    </row>
    <row r="8269" spans="15:18" x14ac:dyDescent="0.3">
      <c r="O8269" s="14"/>
      <c r="P8269" s="14"/>
      <c r="Q8269" s="14"/>
      <c r="R8269" s="14"/>
    </row>
    <row r="8270" spans="15:18" x14ac:dyDescent="0.3">
      <c r="O8270" s="14"/>
      <c r="P8270" s="14"/>
      <c r="Q8270" s="14"/>
      <c r="R8270" s="14"/>
    </row>
    <row r="8271" spans="15:18" x14ac:dyDescent="0.3">
      <c r="O8271" s="14"/>
      <c r="P8271" s="14"/>
      <c r="Q8271" s="14"/>
      <c r="R8271" s="14"/>
    </row>
    <row r="8272" spans="15:18" x14ac:dyDescent="0.3">
      <c r="O8272" s="14"/>
      <c r="P8272" s="14"/>
      <c r="Q8272" s="14"/>
      <c r="R8272" s="14"/>
    </row>
    <row r="8273" spans="15:18" x14ac:dyDescent="0.3">
      <c r="O8273" s="14"/>
      <c r="P8273" s="14"/>
      <c r="Q8273" s="14"/>
      <c r="R8273" s="14"/>
    </row>
    <row r="8274" spans="15:18" x14ac:dyDescent="0.3">
      <c r="O8274" s="14"/>
      <c r="P8274" s="14"/>
      <c r="Q8274" s="14"/>
      <c r="R8274" s="14"/>
    </row>
    <row r="8275" spans="15:18" x14ac:dyDescent="0.3">
      <c r="O8275" s="14"/>
      <c r="P8275" s="14"/>
      <c r="Q8275" s="14"/>
      <c r="R8275" s="14"/>
    </row>
    <row r="8276" spans="15:18" x14ac:dyDescent="0.3">
      <c r="O8276" s="14"/>
      <c r="P8276" s="14"/>
      <c r="Q8276" s="14"/>
      <c r="R8276" s="14"/>
    </row>
    <row r="8277" spans="15:18" x14ac:dyDescent="0.3">
      <c r="O8277" s="14"/>
      <c r="P8277" s="14"/>
      <c r="Q8277" s="14"/>
      <c r="R8277" s="14"/>
    </row>
    <row r="8278" spans="15:18" x14ac:dyDescent="0.3">
      <c r="O8278" s="14"/>
      <c r="P8278" s="14"/>
      <c r="Q8278" s="14"/>
      <c r="R8278" s="14"/>
    </row>
    <row r="8279" spans="15:18" x14ac:dyDescent="0.3">
      <c r="O8279" s="14"/>
      <c r="P8279" s="14"/>
      <c r="Q8279" s="14"/>
      <c r="R8279" s="14"/>
    </row>
    <row r="8280" spans="15:18" x14ac:dyDescent="0.3">
      <c r="O8280" s="14"/>
      <c r="P8280" s="14"/>
      <c r="Q8280" s="14"/>
      <c r="R8280" s="14"/>
    </row>
    <row r="8281" spans="15:18" x14ac:dyDescent="0.3">
      <c r="O8281" s="14"/>
      <c r="P8281" s="14"/>
      <c r="Q8281" s="14"/>
      <c r="R8281" s="14"/>
    </row>
    <row r="8282" spans="15:18" x14ac:dyDescent="0.3">
      <c r="O8282" s="14"/>
      <c r="P8282" s="14"/>
      <c r="Q8282" s="14"/>
      <c r="R8282" s="14"/>
    </row>
    <row r="8283" spans="15:18" x14ac:dyDescent="0.3">
      <c r="O8283" s="14"/>
      <c r="P8283" s="14"/>
      <c r="Q8283" s="14"/>
      <c r="R8283" s="14"/>
    </row>
    <row r="8284" spans="15:18" x14ac:dyDescent="0.3">
      <c r="O8284" s="14"/>
      <c r="P8284" s="14"/>
      <c r="Q8284" s="14"/>
      <c r="R8284" s="14"/>
    </row>
    <row r="8285" spans="15:18" x14ac:dyDescent="0.3">
      <c r="O8285" s="14"/>
      <c r="P8285" s="14"/>
      <c r="Q8285" s="14"/>
      <c r="R8285" s="14"/>
    </row>
    <row r="8286" spans="15:18" x14ac:dyDescent="0.3">
      <c r="O8286" s="14"/>
      <c r="P8286" s="14"/>
      <c r="Q8286" s="14"/>
      <c r="R8286" s="14"/>
    </row>
    <row r="8287" spans="15:18" x14ac:dyDescent="0.3">
      <c r="O8287" s="14"/>
      <c r="P8287" s="14"/>
      <c r="Q8287" s="14"/>
      <c r="R8287" s="14"/>
    </row>
    <row r="8288" spans="15:18" x14ac:dyDescent="0.3">
      <c r="O8288" s="14"/>
      <c r="P8288" s="14"/>
      <c r="Q8288" s="14"/>
      <c r="R8288" s="14"/>
    </row>
    <row r="8289" spans="15:18" x14ac:dyDescent="0.3">
      <c r="O8289" s="14"/>
      <c r="P8289" s="14"/>
      <c r="Q8289" s="14"/>
      <c r="R8289" s="14"/>
    </row>
    <row r="8290" spans="15:18" x14ac:dyDescent="0.3">
      <c r="O8290" s="14"/>
      <c r="P8290" s="14"/>
      <c r="Q8290" s="14"/>
      <c r="R8290" s="14"/>
    </row>
    <row r="8291" spans="15:18" x14ac:dyDescent="0.3">
      <c r="O8291" s="14"/>
      <c r="P8291" s="14"/>
      <c r="Q8291" s="14"/>
      <c r="R8291" s="14"/>
    </row>
    <row r="8292" spans="15:18" x14ac:dyDescent="0.3">
      <c r="O8292" s="14"/>
      <c r="P8292" s="14"/>
      <c r="Q8292" s="14"/>
      <c r="R8292" s="14"/>
    </row>
    <row r="8293" spans="15:18" x14ac:dyDescent="0.3">
      <c r="O8293" s="14"/>
      <c r="P8293" s="14"/>
      <c r="Q8293" s="14"/>
      <c r="R8293" s="14"/>
    </row>
    <row r="8294" spans="15:18" x14ac:dyDescent="0.3">
      <c r="O8294" s="14"/>
      <c r="P8294" s="14"/>
      <c r="Q8294" s="14"/>
      <c r="R8294" s="14"/>
    </row>
    <row r="8295" spans="15:18" x14ac:dyDescent="0.3">
      <c r="O8295" s="14"/>
      <c r="P8295" s="14"/>
      <c r="Q8295" s="14"/>
      <c r="R8295" s="14"/>
    </row>
    <row r="8296" spans="15:18" x14ac:dyDescent="0.3">
      <c r="O8296" s="14"/>
      <c r="P8296" s="14"/>
      <c r="Q8296" s="14"/>
      <c r="R8296" s="14"/>
    </row>
    <row r="8297" spans="15:18" x14ac:dyDescent="0.3">
      <c r="O8297" s="14"/>
      <c r="P8297" s="14"/>
      <c r="Q8297" s="14"/>
      <c r="R8297" s="14"/>
    </row>
    <row r="8298" spans="15:18" x14ac:dyDescent="0.3">
      <c r="O8298" s="14"/>
      <c r="P8298" s="14"/>
      <c r="Q8298" s="14"/>
      <c r="R8298" s="14"/>
    </row>
    <row r="8299" spans="15:18" x14ac:dyDescent="0.3">
      <c r="O8299" s="14"/>
      <c r="P8299" s="14"/>
      <c r="Q8299" s="14"/>
      <c r="R8299" s="14"/>
    </row>
    <row r="8300" spans="15:18" x14ac:dyDescent="0.3">
      <c r="O8300" s="14"/>
      <c r="P8300" s="14"/>
      <c r="Q8300" s="14"/>
      <c r="R8300" s="14"/>
    </row>
    <row r="8301" spans="15:18" x14ac:dyDescent="0.3">
      <c r="O8301" s="14"/>
      <c r="P8301" s="14"/>
      <c r="Q8301" s="14"/>
      <c r="R8301" s="14"/>
    </row>
    <row r="8302" spans="15:18" x14ac:dyDescent="0.3">
      <c r="O8302" s="14"/>
      <c r="P8302" s="14"/>
      <c r="Q8302" s="14"/>
      <c r="R8302" s="14"/>
    </row>
    <row r="8303" spans="15:18" x14ac:dyDescent="0.3">
      <c r="O8303" s="14"/>
      <c r="P8303" s="14"/>
      <c r="Q8303" s="14"/>
      <c r="R8303" s="14"/>
    </row>
    <row r="8304" spans="15:18" x14ac:dyDescent="0.3">
      <c r="O8304" s="14"/>
      <c r="P8304" s="14"/>
      <c r="Q8304" s="14"/>
      <c r="R8304" s="14"/>
    </row>
    <row r="8305" spans="15:18" x14ac:dyDescent="0.3">
      <c r="O8305" s="14"/>
      <c r="P8305" s="14"/>
      <c r="Q8305" s="14"/>
      <c r="R8305" s="14"/>
    </row>
    <row r="8306" spans="15:18" x14ac:dyDescent="0.3">
      <c r="O8306" s="14"/>
      <c r="P8306" s="14"/>
      <c r="Q8306" s="14"/>
      <c r="R8306" s="14"/>
    </row>
    <row r="8307" spans="15:18" x14ac:dyDescent="0.3">
      <c r="O8307" s="14"/>
      <c r="P8307" s="14"/>
      <c r="Q8307" s="14"/>
      <c r="R8307" s="14"/>
    </row>
    <row r="8308" spans="15:18" x14ac:dyDescent="0.3">
      <c r="O8308" s="14"/>
      <c r="P8308" s="14"/>
      <c r="Q8308" s="14"/>
      <c r="R8308" s="14"/>
    </row>
    <row r="8309" spans="15:18" x14ac:dyDescent="0.3">
      <c r="O8309" s="14"/>
      <c r="P8309" s="14"/>
      <c r="Q8309" s="14"/>
      <c r="R8309" s="14"/>
    </row>
    <row r="8310" spans="15:18" x14ac:dyDescent="0.3">
      <c r="O8310" s="14"/>
      <c r="P8310" s="14"/>
      <c r="Q8310" s="14"/>
      <c r="R8310" s="14"/>
    </row>
    <row r="8311" spans="15:18" x14ac:dyDescent="0.3">
      <c r="O8311" s="14"/>
      <c r="P8311" s="14"/>
      <c r="Q8311" s="14"/>
      <c r="R8311" s="14"/>
    </row>
    <row r="8312" spans="15:18" x14ac:dyDescent="0.3">
      <c r="O8312" s="14"/>
      <c r="P8312" s="14"/>
      <c r="Q8312" s="14"/>
      <c r="R8312" s="14"/>
    </row>
    <row r="8313" spans="15:18" x14ac:dyDescent="0.3">
      <c r="O8313" s="14"/>
      <c r="P8313" s="14"/>
      <c r="Q8313" s="14"/>
      <c r="R8313" s="14"/>
    </row>
    <row r="8314" spans="15:18" x14ac:dyDescent="0.3">
      <c r="O8314" s="14"/>
      <c r="P8314" s="14"/>
      <c r="Q8314" s="14"/>
      <c r="R8314" s="14"/>
    </row>
    <row r="8315" spans="15:18" x14ac:dyDescent="0.3">
      <c r="O8315" s="14"/>
      <c r="P8315" s="14"/>
      <c r="Q8315" s="14"/>
      <c r="R8315" s="14"/>
    </row>
    <row r="8316" spans="15:18" x14ac:dyDescent="0.3">
      <c r="O8316" s="14"/>
      <c r="P8316" s="14"/>
      <c r="Q8316" s="14"/>
      <c r="R8316" s="14"/>
    </row>
    <row r="8317" spans="15:18" x14ac:dyDescent="0.3">
      <c r="O8317" s="14"/>
      <c r="P8317" s="14"/>
      <c r="Q8317" s="14"/>
      <c r="R8317" s="14"/>
    </row>
    <row r="8318" spans="15:18" x14ac:dyDescent="0.3">
      <c r="O8318" s="14"/>
      <c r="P8318" s="14"/>
      <c r="Q8318" s="14"/>
      <c r="R8318" s="14"/>
    </row>
    <row r="8319" spans="15:18" x14ac:dyDescent="0.3">
      <c r="O8319" s="14"/>
      <c r="P8319" s="14"/>
      <c r="Q8319" s="14"/>
      <c r="R8319" s="14"/>
    </row>
    <row r="8320" spans="15:18" x14ac:dyDescent="0.3">
      <c r="O8320" s="14"/>
      <c r="P8320" s="14"/>
      <c r="Q8320" s="14"/>
      <c r="R8320" s="14"/>
    </row>
    <row r="8321" spans="15:18" x14ac:dyDescent="0.3">
      <c r="O8321" s="14"/>
      <c r="P8321" s="14"/>
      <c r="Q8321" s="14"/>
      <c r="R8321" s="14"/>
    </row>
    <row r="8322" spans="15:18" x14ac:dyDescent="0.3">
      <c r="O8322" s="14"/>
      <c r="P8322" s="14"/>
      <c r="Q8322" s="14"/>
      <c r="R8322" s="14"/>
    </row>
    <row r="8323" spans="15:18" x14ac:dyDescent="0.3">
      <c r="O8323" s="14"/>
      <c r="P8323" s="14"/>
      <c r="Q8323" s="14"/>
      <c r="R8323" s="14"/>
    </row>
    <row r="8324" spans="15:18" x14ac:dyDescent="0.3">
      <c r="O8324" s="14"/>
      <c r="P8324" s="14"/>
      <c r="Q8324" s="14"/>
      <c r="R8324" s="14"/>
    </row>
    <row r="8325" spans="15:18" x14ac:dyDescent="0.3">
      <c r="O8325" s="14"/>
      <c r="P8325" s="14"/>
      <c r="Q8325" s="14"/>
      <c r="R8325" s="14"/>
    </row>
    <row r="8326" spans="15:18" x14ac:dyDescent="0.3">
      <c r="O8326" s="14"/>
      <c r="P8326" s="14"/>
      <c r="Q8326" s="14"/>
      <c r="R8326" s="14"/>
    </row>
    <row r="8327" spans="15:18" x14ac:dyDescent="0.3">
      <c r="O8327" s="14"/>
      <c r="P8327" s="14"/>
      <c r="Q8327" s="14"/>
      <c r="R8327" s="14"/>
    </row>
    <row r="8328" spans="15:18" x14ac:dyDescent="0.3">
      <c r="O8328" s="14"/>
      <c r="P8328" s="14"/>
      <c r="Q8328" s="14"/>
      <c r="R8328" s="14"/>
    </row>
    <row r="8329" spans="15:18" x14ac:dyDescent="0.3">
      <c r="O8329" s="14"/>
      <c r="P8329" s="14"/>
      <c r="Q8329" s="14"/>
      <c r="R8329" s="14"/>
    </row>
    <row r="8330" spans="15:18" x14ac:dyDescent="0.3">
      <c r="O8330" s="14"/>
      <c r="P8330" s="14"/>
      <c r="Q8330" s="14"/>
      <c r="R8330" s="14"/>
    </row>
    <row r="8331" spans="15:18" x14ac:dyDescent="0.3">
      <c r="O8331" s="14"/>
      <c r="P8331" s="14"/>
      <c r="Q8331" s="14"/>
      <c r="R8331" s="14"/>
    </row>
    <row r="8332" spans="15:18" x14ac:dyDescent="0.3">
      <c r="O8332" s="14"/>
      <c r="P8332" s="14"/>
      <c r="Q8332" s="14"/>
      <c r="R8332" s="14"/>
    </row>
    <row r="8333" spans="15:18" x14ac:dyDescent="0.3">
      <c r="O8333" s="14"/>
      <c r="P8333" s="14"/>
      <c r="Q8333" s="14"/>
      <c r="R8333" s="14"/>
    </row>
    <row r="8334" spans="15:18" x14ac:dyDescent="0.3">
      <c r="O8334" s="14"/>
      <c r="P8334" s="14"/>
      <c r="Q8334" s="14"/>
      <c r="R8334" s="14"/>
    </row>
    <row r="8335" spans="15:18" x14ac:dyDescent="0.3">
      <c r="O8335" s="14"/>
      <c r="P8335" s="14"/>
      <c r="Q8335" s="14"/>
      <c r="R8335" s="14"/>
    </row>
    <row r="8336" spans="15:18" x14ac:dyDescent="0.3">
      <c r="O8336" s="14"/>
      <c r="P8336" s="14"/>
      <c r="Q8336" s="14"/>
      <c r="R8336" s="14"/>
    </row>
    <row r="8337" spans="15:18" x14ac:dyDescent="0.3">
      <c r="O8337" s="14"/>
      <c r="P8337" s="14"/>
      <c r="Q8337" s="14"/>
      <c r="R8337" s="14"/>
    </row>
    <row r="8338" spans="15:18" x14ac:dyDescent="0.3">
      <c r="O8338" s="14"/>
      <c r="P8338" s="14"/>
      <c r="Q8338" s="14"/>
      <c r="R8338" s="14"/>
    </row>
    <row r="8339" spans="15:18" x14ac:dyDescent="0.3">
      <c r="O8339" s="14"/>
      <c r="P8339" s="14"/>
      <c r="Q8339" s="14"/>
      <c r="R8339" s="14"/>
    </row>
    <row r="8340" spans="15:18" x14ac:dyDescent="0.3">
      <c r="O8340" s="14"/>
      <c r="P8340" s="14"/>
      <c r="Q8340" s="14"/>
      <c r="R8340" s="14"/>
    </row>
    <row r="8341" spans="15:18" x14ac:dyDescent="0.3">
      <c r="O8341" s="14"/>
      <c r="P8341" s="14"/>
      <c r="Q8341" s="14"/>
      <c r="R8341" s="14"/>
    </row>
    <row r="8342" spans="15:18" x14ac:dyDescent="0.3">
      <c r="O8342" s="14"/>
      <c r="P8342" s="14"/>
      <c r="Q8342" s="14"/>
      <c r="R8342" s="14"/>
    </row>
    <row r="8343" spans="15:18" x14ac:dyDescent="0.3">
      <c r="O8343" s="14"/>
      <c r="P8343" s="14"/>
      <c r="Q8343" s="14"/>
      <c r="R8343" s="14"/>
    </row>
    <row r="8344" spans="15:18" x14ac:dyDescent="0.3">
      <c r="O8344" s="14"/>
      <c r="P8344" s="14"/>
      <c r="Q8344" s="14"/>
      <c r="R8344" s="14"/>
    </row>
    <row r="8345" spans="15:18" x14ac:dyDescent="0.3">
      <c r="O8345" s="14"/>
      <c r="P8345" s="14"/>
      <c r="Q8345" s="14"/>
      <c r="R8345" s="14"/>
    </row>
    <row r="8346" spans="15:18" x14ac:dyDescent="0.3">
      <c r="O8346" s="14"/>
      <c r="P8346" s="14"/>
      <c r="Q8346" s="14"/>
      <c r="R8346" s="14"/>
    </row>
    <row r="8347" spans="15:18" x14ac:dyDescent="0.3">
      <c r="O8347" s="14"/>
      <c r="P8347" s="14"/>
      <c r="Q8347" s="14"/>
      <c r="R8347" s="14"/>
    </row>
    <row r="8348" spans="15:18" x14ac:dyDescent="0.3">
      <c r="O8348" s="14"/>
      <c r="P8348" s="14"/>
      <c r="Q8348" s="14"/>
      <c r="R8348" s="14"/>
    </row>
    <row r="8349" spans="15:18" x14ac:dyDescent="0.3">
      <c r="O8349" s="14"/>
      <c r="P8349" s="14"/>
      <c r="Q8349" s="14"/>
      <c r="R8349" s="14"/>
    </row>
    <row r="8350" spans="15:18" x14ac:dyDescent="0.3">
      <c r="O8350" s="14"/>
      <c r="P8350" s="14"/>
      <c r="Q8350" s="14"/>
      <c r="R8350" s="14"/>
    </row>
    <row r="8351" spans="15:18" x14ac:dyDescent="0.3">
      <c r="O8351" s="14"/>
      <c r="P8351" s="14"/>
      <c r="Q8351" s="14"/>
      <c r="R8351" s="14"/>
    </row>
    <row r="8352" spans="15:18" x14ac:dyDescent="0.3">
      <c r="O8352" s="14"/>
      <c r="P8352" s="14"/>
      <c r="Q8352" s="14"/>
      <c r="R8352" s="14"/>
    </row>
    <row r="8353" spans="15:18" x14ac:dyDescent="0.3">
      <c r="O8353" s="14"/>
      <c r="P8353" s="14"/>
      <c r="Q8353" s="14"/>
      <c r="R8353" s="14"/>
    </row>
    <row r="8354" spans="15:18" x14ac:dyDescent="0.3">
      <c r="O8354" s="14"/>
      <c r="P8354" s="14"/>
      <c r="Q8354" s="14"/>
      <c r="R8354" s="14"/>
    </row>
    <row r="8355" spans="15:18" x14ac:dyDescent="0.3">
      <c r="O8355" s="14"/>
      <c r="P8355" s="14"/>
      <c r="Q8355" s="14"/>
      <c r="R8355" s="14"/>
    </row>
    <row r="8356" spans="15:18" x14ac:dyDescent="0.3">
      <c r="O8356" s="14"/>
      <c r="P8356" s="14"/>
      <c r="Q8356" s="14"/>
      <c r="R8356" s="14"/>
    </row>
    <row r="8357" spans="15:18" x14ac:dyDescent="0.3">
      <c r="O8357" s="14"/>
      <c r="P8357" s="14"/>
      <c r="Q8357" s="14"/>
      <c r="R8357" s="14"/>
    </row>
    <row r="8358" spans="15:18" x14ac:dyDescent="0.3">
      <c r="O8358" s="14"/>
      <c r="P8358" s="14"/>
      <c r="Q8358" s="14"/>
      <c r="R8358" s="14"/>
    </row>
    <row r="8359" spans="15:18" x14ac:dyDescent="0.3">
      <c r="O8359" s="14"/>
      <c r="P8359" s="14"/>
      <c r="Q8359" s="14"/>
      <c r="R8359" s="14"/>
    </row>
    <row r="8360" spans="15:18" x14ac:dyDescent="0.3">
      <c r="O8360" s="14"/>
      <c r="P8360" s="14"/>
      <c r="Q8360" s="14"/>
      <c r="R8360" s="14"/>
    </row>
    <row r="8361" spans="15:18" x14ac:dyDescent="0.3">
      <c r="O8361" s="14"/>
      <c r="P8361" s="14"/>
      <c r="Q8361" s="14"/>
      <c r="R8361" s="14"/>
    </row>
    <row r="8362" spans="15:18" x14ac:dyDescent="0.3">
      <c r="O8362" s="14"/>
      <c r="P8362" s="14"/>
      <c r="Q8362" s="14"/>
      <c r="R8362" s="14"/>
    </row>
    <row r="8363" spans="15:18" x14ac:dyDescent="0.3">
      <c r="O8363" s="14"/>
      <c r="P8363" s="14"/>
      <c r="Q8363" s="14"/>
      <c r="R8363" s="14"/>
    </row>
    <row r="8364" spans="15:18" x14ac:dyDescent="0.3">
      <c r="O8364" s="14"/>
      <c r="P8364" s="14"/>
      <c r="Q8364" s="14"/>
      <c r="R8364" s="14"/>
    </row>
    <row r="8365" spans="15:18" x14ac:dyDescent="0.3">
      <c r="O8365" s="14"/>
      <c r="P8365" s="14"/>
      <c r="Q8365" s="14"/>
      <c r="R8365" s="14"/>
    </row>
    <row r="8366" spans="15:18" x14ac:dyDescent="0.3">
      <c r="O8366" s="14"/>
      <c r="P8366" s="14"/>
      <c r="Q8366" s="14"/>
      <c r="R8366" s="14"/>
    </row>
    <row r="8367" spans="15:18" x14ac:dyDescent="0.3">
      <c r="O8367" s="14"/>
      <c r="P8367" s="14"/>
      <c r="Q8367" s="14"/>
      <c r="R8367" s="14"/>
    </row>
    <row r="8368" spans="15:18" x14ac:dyDescent="0.3">
      <c r="O8368" s="14"/>
      <c r="P8368" s="14"/>
      <c r="Q8368" s="14"/>
      <c r="R8368" s="14"/>
    </row>
    <row r="8369" spans="15:18" x14ac:dyDescent="0.3">
      <c r="O8369" s="14"/>
      <c r="P8369" s="14"/>
      <c r="Q8369" s="14"/>
      <c r="R8369" s="14"/>
    </row>
    <row r="8370" spans="15:18" x14ac:dyDescent="0.3">
      <c r="O8370" s="14"/>
      <c r="P8370" s="14"/>
      <c r="Q8370" s="14"/>
      <c r="R8370" s="14"/>
    </row>
    <row r="8371" spans="15:18" x14ac:dyDescent="0.3">
      <c r="O8371" s="14"/>
      <c r="P8371" s="14"/>
      <c r="Q8371" s="14"/>
      <c r="R8371" s="14"/>
    </row>
    <row r="8372" spans="15:18" x14ac:dyDescent="0.3">
      <c r="O8372" s="14"/>
      <c r="P8372" s="14"/>
      <c r="Q8372" s="14"/>
      <c r="R8372" s="14"/>
    </row>
    <row r="8373" spans="15:18" x14ac:dyDescent="0.3">
      <c r="O8373" s="14"/>
      <c r="P8373" s="14"/>
      <c r="Q8373" s="14"/>
      <c r="R8373" s="14"/>
    </row>
    <row r="8374" spans="15:18" x14ac:dyDescent="0.3">
      <c r="O8374" s="14"/>
      <c r="P8374" s="14"/>
      <c r="Q8374" s="14"/>
      <c r="R8374" s="14"/>
    </row>
    <row r="8375" spans="15:18" x14ac:dyDescent="0.3">
      <c r="O8375" s="14"/>
      <c r="P8375" s="14"/>
      <c r="Q8375" s="14"/>
      <c r="R8375" s="14"/>
    </row>
    <row r="8376" spans="15:18" x14ac:dyDescent="0.3">
      <c r="O8376" s="14"/>
      <c r="P8376" s="14"/>
      <c r="Q8376" s="14"/>
      <c r="R8376" s="14"/>
    </row>
    <row r="8377" spans="15:18" x14ac:dyDescent="0.3">
      <c r="O8377" s="14"/>
      <c r="P8377" s="14"/>
      <c r="Q8377" s="14"/>
      <c r="R8377" s="14"/>
    </row>
    <row r="8378" spans="15:18" x14ac:dyDescent="0.3">
      <c r="O8378" s="14"/>
      <c r="P8378" s="14"/>
      <c r="Q8378" s="14"/>
      <c r="R8378" s="14"/>
    </row>
    <row r="8379" spans="15:18" x14ac:dyDescent="0.3">
      <c r="O8379" s="14"/>
      <c r="P8379" s="14"/>
      <c r="Q8379" s="14"/>
      <c r="R8379" s="14"/>
    </row>
    <row r="8380" spans="15:18" x14ac:dyDescent="0.3">
      <c r="O8380" s="14"/>
      <c r="P8380" s="14"/>
      <c r="Q8380" s="14"/>
      <c r="R8380" s="14"/>
    </row>
    <row r="8381" spans="15:18" x14ac:dyDescent="0.3">
      <c r="O8381" s="14"/>
      <c r="P8381" s="14"/>
      <c r="Q8381" s="14"/>
      <c r="R8381" s="14"/>
    </row>
    <row r="8382" spans="15:18" x14ac:dyDescent="0.3">
      <c r="O8382" s="14"/>
      <c r="P8382" s="14"/>
      <c r="Q8382" s="14"/>
      <c r="R8382" s="14"/>
    </row>
    <row r="8383" spans="15:18" x14ac:dyDescent="0.3">
      <c r="O8383" s="14"/>
      <c r="P8383" s="14"/>
      <c r="Q8383" s="14"/>
      <c r="R8383" s="14"/>
    </row>
    <row r="8384" spans="15:18" x14ac:dyDescent="0.3">
      <c r="O8384" s="14"/>
      <c r="P8384" s="14"/>
      <c r="Q8384" s="14"/>
      <c r="R8384" s="14"/>
    </row>
    <row r="8385" spans="15:18" x14ac:dyDescent="0.3">
      <c r="O8385" s="14"/>
      <c r="P8385" s="14"/>
      <c r="Q8385" s="14"/>
      <c r="R8385" s="14"/>
    </row>
    <row r="8386" spans="15:18" x14ac:dyDescent="0.3">
      <c r="O8386" s="14"/>
      <c r="P8386" s="14"/>
      <c r="Q8386" s="14"/>
      <c r="R8386" s="14"/>
    </row>
    <row r="8387" spans="15:18" x14ac:dyDescent="0.3">
      <c r="O8387" s="14"/>
      <c r="P8387" s="14"/>
      <c r="Q8387" s="14"/>
      <c r="R8387" s="14"/>
    </row>
    <row r="8388" spans="15:18" x14ac:dyDescent="0.3">
      <c r="O8388" s="14"/>
      <c r="P8388" s="14"/>
      <c r="Q8388" s="14"/>
      <c r="R8388" s="14"/>
    </row>
    <row r="8389" spans="15:18" x14ac:dyDescent="0.3">
      <c r="O8389" s="14"/>
      <c r="P8389" s="14"/>
      <c r="Q8389" s="14"/>
      <c r="R8389" s="14"/>
    </row>
    <row r="8390" spans="15:18" x14ac:dyDescent="0.3">
      <c r="O8390" s="14"/>
      <c r="P8390" s="14"/>
      <c r="Q8390" s="14"/>
      <c r="R8390" s="14"/>
    </row>
    <row r="8391" spans="15:18" x14ac:dyDescent="0.3">
      <c r="O8391" s="14"/>
      <c r="P8391" s="14"/>
      <c r="Q8391" s="14"/>
      <c r="R8391" s="14"/>
    </row>
    <row r="8392" spans="15:18" x14ac:dyDescent="0.3">
      <c r="O8392" s="14"/>
      <c r="P8392" s="14"/>
      <c r="Q8392" s="14"/>
      <c r="R8392" s="14"/>
    </row>
    <row r="8393" spans="15:18" x14ac:dyDescent="0.3">
      <c r="O8393" s="14"/>
      <c r="P8393" s="14"/>
      <c r="Q8393" s="14"/>
      <c r="R8393" s="14"/>
    </row>
    <row r="8394" spans="15:18" x14ac:dyDescent="0.3">
      <c r="O8394" s="14"/>
      <c r="P8394" s="14"/>
      <c r="Q8394" s="14"/>
      <c r="R8394" s="14"/>
    </row>
    <row r="8395" spans="15:18" x14ac:dyDescent="0.3">
      <c r="O8395" s="14"/>
      <c r="P8395" s="14"/>
      <c r="Q8395" s="14"/>
      <c r="R8395" s="14"/>
    </row>
    <row r="8396" spans="15:18" x14ac:dyDescent="0.3">
      <c r="O8396" s="14"/>
      <c r="P8396" s="14"/>
      <c r="Q8396" s="14"/>
      <c r="R8396" s="14"/>
    </row>
    <row r="8397" spans="15:18" x14ac:dyDescent="0.3">
      <c r="O8397" s="14"/>
      <c r="P8397" s="14"/>
      <c r="Q8397" s="14"/>
      <c r="R8397" s="14"/>
    </row>
    <row r="8398" spans="15:18" x14ac:dyDescent="0.3">
      <c r="O8398" s="14"/>
      <c r="P8398" s="14"/>
      <c r="Q8398" s="14"/>
      <c r="R8398" s="14"/>
    </row>
    <row r="8399" spans="15:18" x14ac:dyDescent="0.3">
      <c r="O8399" s="14"/>
      <c r="P8399" s="14"/>
      <c r="Q8399" s="14"/>
      <c r="R8399" s="14"/>
    </row>
    <row r="8400" spans="15:18" x14ac:dyDescent="0.3">
      <c r="O8400" s="14"/>
      <c r="P8400" s="14"/>
      <c r="Q8400" s="14"/>
      <c r="R8400" s="14"/>
    </row>
    <row r="8401" spans="15:18" x14ac:dyDescent="0.3">
      <c r="O8401" s="14"/>
      <c r="P8401" s="14"/>
      <c r="Q8401" s="14"/>
      <c r="R8401" s="14"/>
    </row>
    <row r="8402" spans="15:18" x14ac:dyDescent="0.3">
      <c r="O8402" s="14"/>
      <c r="P8402" s="14"/>
      <c r="Q8402" s="14"/>
      <c r="R8402" s="14"/>
    </row>
    <row r="8403" spans="15:18" x14ac:dyDescent="0.3">
      <c r="O8403" s="14"/>
      <c r="P8403" s="14"/>
      <c r="Q8403" s="14"/>
      <c r="R8403" s="14"/>
    </row>
    <row r="8404" spans="15:18" x14ac:dyDescent="0.3">
      <c r="O8404" s="14"/>
      <c r="P8404" s="14"/>
      <c r="Q8404" s="14"/>
      <c r="R8404" s="14"/>
    </row>
    <row r="8405" spans="15:18" x14ac:dyDescent="0.3">
      <c r="O8405" s="14"/>
      <c r="P8405" s="14"/>
      <c r="Q8405" s="14"/>
      <c r="R8405" s="14"/>
    </row>
    <row r="8406" spans="15:18" x14ac:dyDescent="0.3">
      <c r="O8406" s="14"/>
      <c r="P8406" s="14"/>
      <c r="Q8406" s="14"/>
      <c r="R8406" s="14"/>
    </row>
    <row r="8407" spans="15:18" x14ac:dyDescent="0.3">
      <c r="O8407" s="14"/>
      <c r="P8407" s="14"/>
      <c r="Q8407" s="14"/>
      <c r="R8407" s="14"/>
    </row>
    <row r="8408" spans="15:18" x14ac:dyDescent="0.3">
      <c r="O8408" s="14"/>
      <c r="P8408" s="14"/>
      <c r="Q8408" s="14"/>
      <c r="R8408" s="14"/>
    </row>
    <row r="8409" spans="15:18" x14ac:dyDescent="0.3">
      <c r="O8409" s="14"/>
      <c r="P8409" s="14"/>
      <c r="Q8409" s="14"/>
      <c r="R8409" s="14"/>
    </row>
    <row r="8410" spans="15:18" x14ac:dyDescent="0.3">
      <c r="O8410" s="14"/>
      <c r="P8410" s="14"/>
      <c r="Q8410" s="14"/>
      <c r="R8410" s="14"/>
    </row>
    <row r="8411" spans="15:18" x14ac:dyDescent="0.3">
      <c r="O8411" s="14"/>
      <c r="P8411" s="14"/>
      <c r="Q8411" s="14"/>
      <c r="R8411" s="14"/>
    </row>
    <row r="8412" spans="15:18" x14ac:dyDescent="0.3">
      <c r="O8412" s="14"/>
      <c r="P8412" s="14"/>
      <c r="Q8412" s="14"/>
      <c r="R8412" s="14"/>
    </row>
    <row r="8413" spans="15:18" x14ac:dyDescent="0.3">
      <c r="O8413" s="14"/>
      <c r="P8413" s="14"/>
      <c r="Q8413" s="14"/>
      <c r="R8413" s="14"/>
    </row>
    <row r="8414" spans="15:18" x14ac:dyDescent="0.3">
      <c r="O8414" s="14"/>
      <c r="P8414" s="14"/>
      <c r="Q8414" s="14"/>
      <c r="R8414" s="14"/>
    </row>
    <row r="8415" spans="15:18" x14ac:dyDescent="0.3">
      <c r="O8415" s="14"/>
      <c r="P8415" s="14"/>
      <c r="Q8415" s="14"/>
      <c r="R8415" s="14"/>
    </row>
    <row r="8416" spans="15:18" x14ac:dyDescent="0.3">
      <c r="O8416" s="14"/>
      <c r="P8416" s="14"/>
      <c r="Q8416" s="14"/>
      <c r="R8416" s="14"/>
    </row>
    <row r="8417" spans="15:18" x14ac:dyDescent="0.3">
      <c r="O8417" s="14"/>
      <c r="P8417" s="14"/>
      <c r="Q8417" s="14"/>
      <c r="R8417" s="14"/>
    </row>
    <row r="8418" spans="15:18" x14ac:dyDescent="0.3">
      <c r="O8418" s="14"/>
      <c r="P8418" s="14"/>
      <c r="Q8418" s="14"/>
      <c r="R8418" s="14"/>
    </row>
    <row r="8419" spans="15:18" x14ac:dyDescent="0.3">
      <c r="O8419" s="14"/>
      <c r="P8419" s="14"/>
      <c r="Q8419" s="14"/>
      <c r="R8419" s="14"/>
    </row>
    <row r="8420" spans="15:18" x14ac:dyDescent="0.3">
      <c r="O8420" s="14"/>
      <c r="P8420" s="14"/>
      <c r="Q8420" s="14"/>
      <c r="R8420" s="14"/>
    </row>
    <row r="8421" spans="15:18" x14ac:dyDescent="0.3">
      <c r="O8421" s="14"/>
      <c r="P8421" s="14"/>
      <c r="Q8421" s="14"/>
      <c r="R8421" s="14"/>
    </row>
    <row r="8422" spans="15:18" x14ac:dyDescent="0.3">
      <c r="O8422" s="14"/>
      <c r="P8422" s="14"/>
      <c r="Q8422" s="14"/>
      <c r="R8422" s="14"/>
    </row>
    <row r="8423" spans="15:18" x14ac:dyDescent="0.3">
      <c r="O8423" s="14"/>
      <c r="P8423" s="14"/>
      <c r="Q8423" s="14"/>
      <c r="R8423" s="14"/>
    </row>
    <row r="8424" spans="15:18" x14ac:dyDescent="0.3">
      <c r="O8424" s="14"/>
      <c r="P8424" s="14"/>
      <c r="Q8424" s="14"/>
      <c r="R8424" s="14"/>
    </row>
    <row r="8425" spans="15:18" x14ac:dyDescent="0.3">
      <c r="O8425" s="14"/>
      <c r="P8425" s="14"/>
      <c r="Q8425" s="14"/>
      <c r="R8425" s="14"/>
    </row>
    <row r="8426" spans="15:18" x14ac:dyDescent="0.3">
      <c r="O8426" s="14"/>
      <c r="P8426" s="14"/>
      <c r="Q8426" s="14"/>
      <c r="R8426" s="14"/>
    </row>
    <row r="8427" spans="15:18" x14ac:dyDescent="0.3">
      <c r="O8427" s="14"/>
      <c r="P8427" s="14"/>
      <c r="Q8427" s="14"/>
      <c r="R8427" s="14"/>
    </row>
    <row r="8428" spans="15:18" x14ac:dyDescent="0.3">
      <c r="O8428" s="14"/>
      <c r="P8428" s="14"/>
      <c r="Q8428" s="14"/>
      <c r="R8428" s="14"/>
    </row>
    <row r="8429" spans="15:18" x14ac:dyDescent="0.3">
      <c r="O8429" s="14"/>
      <c r="P8429" s="14"/>
      <c r="Q8429" s="14"/>
      <c r="R8429" s="14"/>
    </row>
    <row r="8430" spans="15:18" x14ac:dyDescent="0.3">
      <c r="O8430" s="14"/>
      <c r="P8430" s="14"/>
      <c r="Q8430" s="14"/>
      <c r="R8430" s="14"/>
    </row>
    <row r="8431" spans="15:18" x14ac:dyDescent="0.3">
      <c r="O8431" s="14"/>
      <c r="P8431" s="14"/>
      <c r="Q8431" s="14"/>
      <c r="R8431" s="14"/>
    </row>
    <row r="8432" spans="15:18" x14ac:dyDescent="0.3">
      <c r="O8432" s="14"/>
      <c r="P8432" s="14"/>
      <c r="Q8432" s="14"/>
      <c r="R8432" s="14"/>
    </row>
    <row r="8433" spans="15:18" x14ac:dyDescent="0.3">
      <c r="O8433" s="14"/>
      <c r="P8433" s="14"/>
      <c r="Q8433" s="14"/>
      <c r="R8433" s="14"/>
    </row>
    <row r="8434" spans="15:18" x14ac:dyDescent="0.3">
      <c r="O8434" s="14"/>
      <c r="P8434" s="14"/>
      <c r="Q8434" s="14"/>
      <c r="R8434" s="14"/>
    </row>
    <row r="8435" spans="15:18" x14ac:dyDescent="0.3">
      <c r="O8435" s="14"/>
      <c r="P8435" s="14"/>
      <c r="Q8435" s="14"/>
      <c r="R8435" s="14"/>
    </row>
    <row r="8436" spans="15:18" x14ac:dyDescent="0.3">
      <c r="O8436" s="14"/>
      <c r="P8436" s="14"/>
      <c r="Q8436" s="14"/>
      <c r="R8436" s="14"/>
    </row>
    <row r="8437" spans="15:18" x14ac:dyDescent="0.3">
      <c r="O8437" s="14"/>
      <c r="P8437" s="14"/>
      <c r="Q8437" s="14"/>
      <c r="R8437" s="14"/>
    </row>
    <row r="8438" spans="15:18" x14ac:dyDescent="0.3">
      <c r="O8438" s="14"/>
      <c r="P8438" s="14"/>
      <c r="Q8438" s="14"/>
      <c r="R8438" s="14"/>
    </row>
    <row r="8439" spans="15:18" x14ac:dyDescent="0.3">
      <c r="O8439" s="14"/>
      <c r="P8439" s="14"/>
      <c r="Q8439" s="14"/>
      <c r="R8439" s="14"/>
    </row>
    <row r="8440" spans="15:18" x14ac:dyDescent="0.3">
      <c r="O8440" s="14"/>
      <c r="P8440" s="14"/>
      <c r="Q8440" s="14"/>
      <c r="R8440" s="14"/>
    </row>
    <row r="8441" spans="15:18" x14ac:dyDescent="0.3">
      <c r="O8441" s="14"/>
      <c r="P8441" s="14"/>
      <c r="Q8441" s="14"/>
      <c r="R8441" s="14"/>
    </row>
    <row r="8442" spans="15:18" x14ac:dyDescent="0.3">
      <c r="O8442" s="14"/>
      <c r="P8442" s="14"/>
      <c r="Q8442" s="14"/>
      <c r="R8442" s="14"/>
    </row>
    <row r="8443" spans="15:18" x14ac:dyDescent="0.3">
      <c r="O8443" s="14"/>
      <c r="P8443" s="14"/>
      <c r="Q8443" s="14"/>
      <c r="R8443" s="14"/>
    </row>
    <row r="8444" spans="15:18" x14ac:dyDescent="0.3">
      <c r="O8444" s="14"/>
      <c r="P8444" s="14"/>
      <c r="Q8444" s="14"/>
      <c r="R8444" s="14"/>
    </row>
    <row r="8445" spans="15:18" x14ac:dyDescent="0.3">
      <c r="O8445" s="14"/>
      <c r="P8445" s="14"/>
      <c r="Q8445" s="14"/>
      <c r="R8445" s="14"/>
    </row>
    <row r="8446" spans="15:18" x14ac:dyDescent="0.3">
      <c r="O8446" s="14"/>
      <c r="P8446" s="14"/>
      <c r="Q8446" s="14"/>
      <c r="R8446" s="14"/>
    </row>
    <row r="8447" spans="15:18" x14ac:dyDescent="0.3">
      <c r="O8447" s="14"/>
      <c r="P8447" s="14"/>
      <c r="Q8447" s="14"/>
      <c r="R8447" s="14"/>
    </row>
    <row r="8448" spans="15:18" x14ac:dyDescent="0.3">
      <c r="O8448" s="14"/>
      <c r="P8448" s="14"/>
      <c r="Q8448" s="14"/>
      <c r="R8448" s="14"/>
    </row>
    <row r="8449" spans="15:18" x14ac:dyDescent="0.3">
      <c r="O8449" s="14"/>
      <c r="P8449" s="14"/>
      <c r="Q8449" s="14"/>
      <c r="R8449" s="14"/>
    </row>
    <row r="8450" spans="15:18" x14ac:dyDescent="0.3">
      <c r="O8450" s="14"/>
      <c r="P8450" s="14"/>
      <c r="Q8450" s="14"/>
      <c r="R8450" s="14"/>
    </row>
    <row r="8451" spans="15:18" x14ac:dyDescent="0.3">
      <c r="O8451" s="14"/>
      <c r="P8451" s="14"/>
      <c r="Q8451" s="14"/>
      <c r="R8451" s="14"/>
    </row>
    <row r="8452" spans="15:18" x14ac:dyDescent="0.3">
      <c r="O8452" s="14"/>
      <c r="P8452" s="14"/>
      <c r="Q8452" s="14"/>
      <c r="R8452" s="14"/>
    </row>
    <row r="8453" spans="15:18" x14ac:dyDescent="0.3">
      <c r="O8453" s="14"/>
      <c r="P8453" s="14"/>
      <c r="Q8453" s="14"/>
      <c r="R8453" s="14"/>
    </row>
    <row r="8454" spans="15:18" x14ac:dyDescent="0.3">
      <c r="O8454" s="14"/>
      <c r="P8454" s="14"/>
      <c r="Q8454" s="14"/>
      <c r="R8454" s="14"/>
    </row>
    <row r="8455" spans="15:18" x14ac:dyDescent="0.3">
      <c r="O8455" s="14"/>
      <c r="P8455" s="14"/>
      <c r="Q8455" s="14"/>
      <c r="R8455" s="14"/>
    </row>
    <row r="8456" spans="15:18" x14ac:dyDescent="0.3">
      <c r="O8456" s="14"/>
      <c r="P8456" s="14"/>
      <c r="Q8456" s="14"/>
      <c r="R8456" s="14"/>
    </row>
    <row r="8457" spans="15:18" x14ac:dyDescent="0.3">
      <c r="O8457" s="14"/>
      <c r="P8457" s="14"/>
      <c r="Q8457" s="14"/>
      <c r="R8457" s="14"/>
    </row>
    <row r="8458" spans="15:18" x14ac:dyDescent="0.3">
      <c r="O8458" s="14"/>
      <c r="P8458" s="14"/>
      <c r="Q8458" s="14"/>
      <c r="R8458" s="14"/>
    </row>
    <row r="8459" spans="15:18" x14ac:dyDescent="0.3">
      <c r="O8459" s="14"/>
      <c r="P8459" s="14"/>
      <c r="Q8459" s="14"/>
      <c r="R8459" s="14"/>
    </row>
    <row r="8460" spans="15:18" x14ac:dyDescent="0.3">
      <c r="O8460" s="14"/>
      <c r="P8460" s="14"/>
      <c r="Q8460" s="14"/>
      <c r="R8460" s="14"/>
    </row>
    <row r="8461" spans="15:18" x14ac:dyDescent="0.3">
      <c r="O8461" s="14"/>
      <c r="P8461" s="14"/>
      <c r="Q8461" s="14"/>
      <c r="R8461" s="14"/>
    </row>
    <row r="8462" spans="15:18" x14ac:dyDescent="0.3">
      <c r="O8462" s="14"/>
      <c r="P8462" s="14"/>
      <c r="Q8462" s="14"/>
      <c r="R8462" s="14"/>
    </row>
    <row r="8463" spans="15:18" x14ac:dyDescent="0.3">
      <c r="O8463" s="14"/>
      <c r="P8463" s="14"/>
      <c r="Q8463" s="14"/>
      <c r="R8463" s="14"/>
    </row>
    <row r="8464" spans="15:18" x14ac:dyDescent="0.3">
      <c r="O8464" s="14"/>
      <c r="P8464" s="14"/>
      <c r="Q8464" s="14"/>
      <c r="R8464" s="14"/>
    </row>
    <row r="8465" spans="15:18" x14ac:dyDescent="0.3">
      <c r="O8465" s="14"/>
      <c r="P8465" s="14"/>
      <c r="Q8465" s="14"/>
      <c r="R8465" s="14"/>
    </row>
    <row r="8466" spans="15:18" x14ac:dyDescent="0.3">
      <c r="O8466" s="14"/>
      <c r="P8466" s="14"/>
      <c r="Q8466" s="14"/>
      <c r="R8466" s="14"/>
    </row>
    <row r="8467" spans="15:18" x14ac:dyDescent="0.3">
      <c r="O8467" s="14"/>
      <c r="P8467" s="14"/>
      <c r="Q8467" s="14"/>
      <c r="R8467" s="14"/>
    </row>
    <row r="8468" spans="15:18" x14ac:dyDescent="0.3">
      <c r="O8468" s="14"/>
      <c r="P8468" s="14"/>
      <c r="Q8468" s="14"/>
      <c r="R8468" s="14"/>
    </row>
    <row r="8469" spans="15:18" x14ac:dyDescent="0.3">
      <c r="O8469" s="14"/>
      <c r="P8469" s="14"/>
      <c r="Q8469" s="14"/>
      <c r="R8469" s="14"/>
    </row>
    <row r="8470" spans="15:18" x14ac:dyDescent="0.3">
      <c r="O8470" s="14"/>
      <c r="P8470" s="14"/>
      <c r="Q8470" s="14"/>
      <c r="R8470" s="14"/>
    </row>
    <row r="8471" spans="15:18" x14ac:dyDescent="0.3">
      <c r="O8471" s="14"/>
      <c r="P8471" s="14"/>
      <c r="Q8471" s="14"/>
      <c r="R8471" s="14"/>
    </row>
    <row r="8472" spans="15:18" x14ac:dyDescent="0.3">
      <c r="O8472" s="14"/>
      <c r="P8472" s="14"/>
      <c r="Q8472" s="14"/>
      <c r="R8472" s="14"/>
    </row>
    <row r="8473" spans="15:18" x14ac:dyDescent="0.3">
      <c r="O8473" s="14"/>
      <c r="P8473" s="14"/>
      <c r="Q8473" s="14"/>
      <c r="R8473" s="14"/>
    </row>
    <row r="8474" spans="15:18" x14ac:dyDescent="0.3">
      <c r="O8474" s="14"/>
      <c r="P8474" s="14"/>
      <c r="Q8474" s="14"/>
      <c r="R8474" s="14"/>
    </row>
    <row r="8475" spans="15:18" x14ac:dyDescent="0.3">
      <c r="O8475" s="14"/>
      <c r="P8475" s="14"/>
      <c r="Q8475" s="14"/>
      <c r="R8475" s="14"/>
    </row>
    <row r="8476" spans="15:18" x14ac:dyDescent="0.3">
      <c r="O8476" s="14"/>
      <c r="P8476" s="14"/>
      <c r="Q8476" s="14"/>
      <c r="R8476" s="14"/>
    </row>
    <row r="8477" spans="15:18" x14ac:dyDescent="0.3">
      <c r="O8477" s="14"/>
      <c r="P8477" s="14"/>
      <c r="Q8477" s="14"/>
      <c r="R8477" s="14"/>
    </row>
    <row r="8478" spans="15:18" x14ac:dyDescent="0.3">
      <c r="O8478" s="14"/>
      <c r="P8478" s="14"/>
      <c r="Q8478" s="14"/>
      <c r="R8478" s="14"/>
    </row>
    <row r="8479" spans="15:18" x14ac:dyDescent="0.3">
      <c r="O8479" s="14"/>
      <c r="P8479" s="14"/>
      <c r="Q8479" s="14"/>
      <c r="R8479" s="14"/>
    </row>
    <row r="8480" spans="15:18" x14ac:dyDescent="0.3">
      <c r="O8480" s="14"/>
      <c r="P8480" s="14"/>
      <c r="Q8480" s="14"/>
      <c r="R8480" s="14"/>
    </row>
    <row r="8481" spans="15:18" x14ac:dyDescent="0.3">
      <c r="O8481" s="14"/>
      <c r="P8481" s="14"/>
      <c r="Q8481" s="14"/>
      <c r="R8481" s="14"/>
    </row>
    <row r="8482" spans="15:18" x14ac:dyDescent="0.3">
      <c r="O8482" s="14"/>
      <c r="P8482" s="14"/>
      <c r="Q8482" s="14"/>
      <c r="R8482" s="14"/>
    </row>
    <row r="8483" spans="15:18" x14ac:dyDescent="0.3">
      <c r="O8483" s="14"/>
      <c r="P8483" s="14"/>
      <c r="Q8483" s="14"/>
      <c r="R8483" s="14"/>
    </row>
    <row r="8484" spans="15:18" x14ac:dyDescent="0.3">
      <c r="O8484" s="14"/>
      <c r="P8484" s="14"/>
      <c r="Q8484" s="14"/>
      <c r="R8484" s="14"/>
    </row>
    <row r="8485" spans="15:18" x14ac:dyDescent="0.3">
      <c r="O8485" s="14"/>
      <c r="P8485" s="14"/>
      <c r="Q8485" s="14"/>
      <c r="R8485" s="14"/>
    </row>
    <row r="8486" spans="15:18" x14ac:dyDescent="0.3">
      <c r="O8486" s="14"/>
      <c r="P8486" s="14"/>
      <c r="Q8486" s="14"/>
      <c r="R8486" s="14"/>
    </row>
    <row r="8487" spans="15:18" x14ac:dyDescent="0.3">
      <c r="O8487" s="14"/>
      <c r="P8487" s="14"/>
      <c r="Q8487" s="14"/>
      <c r="R8487" s="14"/>
    </row>
    <row r="8488" spans="15:18" x14ac:dyDescent="0.3">
      <c r="O8488" s="14"/>
      <c r="P8488" s="14"/>
      <c r="Q8488" s="14"/>
      <c r="R8488" s="14"/>
    </row>
    <row r="8489" spans="15:18" x14ac:dyDescent="0.3">
      <c r="O8489" s="14"/>
      <c r="P8489" s="14"/>
      <c r="Q8489" s="14"/>
      <c r="R8489" s="14"/>
    </row>
    <row r="8490" spans="15:18" x14ac:dyDescent="0.3">
      <c r="O8490" s="14"/>
      <c r="P8490" s="14"/>
      <c r="Q8490" s="14"/>
      <c r="R8490" s="14"/>
    </row>
    <row r="8491" spans="15:18" x14ac:dyDescent="0.3">
      <c r="O8491" s="14"/>
      <c r="P8491" s="14"/>
      <c r="Q8491" s="14"/>
      <c r="R8491" s="14"/>
    </row>
    <row r="8492" spans="15:18" x14ac:dyDescent="0.3">
      <c r="O8492" s="14"/>
      <c r="P8492" s="14"/>
      <c r="Q8492" s="14"/>
      <c r="R8492" s="14"/>
    </row>
    <row r="8493" spans="15:18" x14ac:dyDescent="0.3">
      <c r="O8493" s="14"/>
      <c r="P8493" s="14"/>
      <c r="Q8493" s="14"/>
      <c r="R8493" s="14"/>
    </row>
    <row r="8494" spans="15:18" x14ac:dyDescent="0.3">
      <c r="O8494" s="14"/>
      <c r="P8494" s="14"/>
      <c r="Q8494" s="14"/>
      <c r="R8494" s="14"/>
    </row>
    <row r="8495" spans="15:18" x14ac:dyDescent="0.3">
      <c r="O8495" s="14"/>
      <c r="P8495" s="14"/>
      <c r="Q8495" s="14"/>
      <c r="R8495" s="14"/>
    </row>
    <row r="8496" spans="15:18" x14ac:dyDescent="0.3">
      <c r="O8496" s="14"/>
      <c r="P8496" s="14"/>
      <c r="Q8496" s="14"/>
      <c r="R8496" s="14"/>
    </row>
    <row r="8497" spans="15:18" x14ac:dyDescent="0.3">
      <c r="O8497" s="14"/>
      <c r="P8497" s="14"/>
      <c r="Q8497" s="14"/>
      <c r="R8497" s="14"/>
    </row>
    <row r="8498" spans="15:18" x14ac:dyDescent="0.3">
      <c r="O8498" s="14"/>
      <c r="P8498" s="14"/>
      <c r="Q8498" s="14"/>
      <c r="R8498" s="14"/>
    </row>
    <row r="8499" spans="15:18" x14ac:dyDescent="0.3">
      <c r="O8499" s="14"/>
      <c r="P8499" s="14"/>
      <c r="Q8499" s="14"/>
      <c r="R8499" s="14"/>
    </row>
    <row r="8500" spans="15:18" x14ac:dyDescent="0.3">
      <c r="O8500" s="14"/>
      <c r="P8500" s="14"/>
      <c r="Q8500" s="14"/>
      <c r="R8500" s="14"/>
    </row>
    <row r="8501" spans="15:18" x14ac:dyDescent="0.3">
      <c r="O8501" s="14"/>
      <c r="P8501" s="14"/>
      <c r="Q8501" s="14"/>
      <c r="R8501" s="14"/>
    </row>
    <row r="8502" spans="15:18" x14ac:dyDescent="0.3">
      <c r="O8502" s="14"/>
      <c r="P8502" s="14"/>
      <c r="Q8502" s="14"/>
      <c r="R8502" s="14"/>
    </row>
    <row r="8503" spans="15:18" x14ac:dyDescent="0.3">
      <c r="O8503" s="14"/>
      <c r="P8503" s="14"/>
      <c r="Q8503" s="14"/>
      <c r="R8503" s="14"/>
    </row>
    <row r="8504" spans="15:18" x14ac:dyDescent="0.3">
      <c r="O8504" s="14"/>
      <c r="P8504" s="14"/>
      <c r="Q8504" s="14"/>
      <c r="R8504" s="14"/>
    </row>
    <row r="8505" spans="15:18" x14ac:dyDescent="0.3">
      <c r="O8505" s="14"/>
      <c r="P8505" s="14"/>
      <c r="Q8505" s="14"/>
      <c r="R8505" s="14"/>
    </row>
    <row r="8506" spans="15:18" x14ac:dyDescent="0.3">
      <c r="O8506" s="14"/>
      <c r="P8506" s="14"/>
      <c r="Q8506" s="14"/>
      <c r="R8506" s="14"/>
    </row>
    <row r="8507" spans="15:18" x14ac:dyDescent="0.3">
      <c r="O8507" s="14"/>
      <c r="P8507" s="14"/>
      <c r="Q8507" s="14"/>
      <c r="R8507" s="14"/>
    </row>
    <row r="8508" spans="15:18" x14ac:dyDescent="0.3">
      <c r="O8508" s="14"/>
      <c r="P8508" s="14"/>
      <c r="Q8508" s="14"/>
      <c r="R8508" s="14"/>
    </row>
    <row r="8509" spans="15:18" x14ac:dyDescent="0.3">
      <c r="O8509" s="14"/>
      <c r="P8509" s="14"/>
      <c r="Q8509" s="14"/>
      <c r="R8509" s="14"/>
    </row>
    <row r="8510" spans="15:18" x14ac:dyDescent="0.3">
      <c r="O8510" s="14"/>
      <c r="P8510" s="14"/>
      <c r="Q8510" s="14"/>
      <c r="R8510" s="14"/>
    </row>
    <row r="8511" spans="15:18" x14ac:dyDescent="0.3">
      <c r="O8511" s="14"/>
      <c r="P8511" s="14"/>
      <c r="Q8511" s="14"/>
      <c r="R8511" s="14"/>
    </row>
    <row r="8512" spans="15:18" x14ac:dyDescent="0.3">
      <c r="O8512" s="14"/>
      <c r="P8512" s="14"/>
      <c r="Q8512" s="14"/>
      <c r="R8512" s="14"/>
    </row>
    <row r="8513" spans="15:18" x14ac:dyDescent="0.3">
      <c r="O8513" s="14"/>
      <c r="P8513" s="14"/>
      <c r="Q8513" s="14"/>
      <c r="R8513" s="14"/>
    </row>
    <row r="8514" spans="15:18" x14ac:dyDescent="0.3">
      <c r="O8514" s="14"/>
      <c r="P8514" s="14"/>
      <c r="Q8514" s="14"/>
      <c r="R8514" s="14"/>
    </row>
    <row r="8515" spans="15:18" x14ac:dyDescent="0.3">
      <c r="O8515" s="14"/>
      <c r="P8515" s="14"/>
      <c r="Q8515" s="14"/>
      <c r="R8515" s="14"/>
    </row>
    <row r="8516" spans="15:18" x14ac:dyDescent="0.3">
      <c r="O8516" s="14"/>
      <c r="P8516" s="14"/>
      <c r="Q8516" s="14"/>
      <c r="R8516" s="14"/>
    </row>
    <row r="8517" spans="15:18" x14ac:dyDescent="0.3">
      <c r="O8517" s="14"/>
      <c r="P8517" s="14"/>
      <c r="Q8517" s="14"/>
      <c r="R8517" s="14"/>
    </row>
    <row r="8518" spans="15:18" x14ac:dyDescent="0.3">
      <c r="O8518" s="14"/>
      <c r="P8518" s="14"/>
      <c r="Q8518" s="14"/>
      <c r="R8518" s="14"/>
    </row>
    <row r="8519" spans="15:18" x14ac:dyDescent="0.3">
      <c r="O8519" s="14"/>
      <c r="P8519" s="14"/>
      <c r="Q8519" s="14"/>
      <c r="R8519" s="14"/>
    </row>
    <row r="8520" spans="15:18" x14ac:dyDescent="0.3">
      <c r="O8520" s="14"/>
      <c r="P8520" s="14"/>
      <c r="Q8520" s="14"/>
      <c r="R8520" s="14"/>
    </row>
    <row r="8521" spans="15:18" x14ac:dyDescent="0.3">
      <c r="O8521" s="14"/>
      <c r="P8521" s="14"/>
      <c r="Q8521" s="14"/>
      <c r="R8521" s="14"/>
    </row>
    <row r="8522" spans="15:18" x14ac:dyDescent="0.3">
      <c r="O8522" s="14"/>
      <c r="P8522" s="14"/>
      <c r="Q8522" s="14"/>
      <c r="R8522" s="14"/>
    </row>
    <row r="8523" spans="15:18" x14ac:dyDescent="0.3">
      <c r="O8523" s="14"/>
      <c r="P8523" s="14"/>
      <c r="Q8523" s="14"/>
      <c r="R8523" s="14"/>
    </row>
    <row r="8524" spans="15:18" x14ac:dyDescent="0.3">
      <c r="O8524" s="14"/>
      <c r="P8524" s="14"/>
      <c r="Q8524" s="14"/>
      <c r="R8524" s="14"/>
    </row>
    <row r="8525" spans="15:18" x14ac:dyDescent="0.3">
      <c r="O8525" s="14"/>
      <c r="P8525" s="14"/>
      <c r="Q8525" s="14"/>
      <c r="R8525" s="14"/>
    </row>
    <row r="8526" spans="15:18" x14ac:dyDescent="0.3">
      <c r="O8526" s="14"/>
      <c r="P8526" s="14"/>
      <c r="Q8526" s="14"/>
      <c r="R8526" s="14"/>
    </row>
    <row r="8527" spans="15:18" x14ac:dyDescent="0.3">
      <c r="O8527" s="14"/>
      <c r="P8527" s="14"/>
      <c r="Q8527" s="14"/>
      <c r="R8527" s="14"/>
    </row>
    <row r="8528" spans="15:18" x14ac:dyDescent="0.3">
      <c r="O8528" s="14"/>
      <c r="P8528" s="14"/>
      <c r="Q8528" s="14"/>
      <c r="R8528" s="14"/>
    </row>
    <row r="8529" spans="15:18" x14ac:dyDescent="0.3">
      <c r="O8529" s="14"/>
      <c r="P8529" s="14"/>
      <c r="Q8529" s="14"/>
      <c r="R8529" s="14"/>
    </row>
    <row r="8530" spans="15:18" x14ac:dyDescent="0.3">
      <c r="O8530" s="14"/>
      <c r="P8530" s="14"/>
      <c r="Q8530" s="14"/>
      <c r="R8530" s="14"/>
    </row>
    <row r="8531" spans="15:18" x14ac:dyDescent="0.3">
      <c r="O8531" s="14"/>
      <c r="P8531" s="14"/>
      <c r="Q8531" s="14"/>
      <c r="R8531" s="14"/>
    </row>
    <row r="8532" spans="15:18" x14ac:dyDescent="0.3">
      <c r="O8532" s="14"/>
      <c r="P8532" s="14"/>
      <c r="Q8532" s="14"/>
      <c r="R8532" s="14"/>
    </row>
    <row r="8533" spans="15:18" x14ac:dyDescent="0.3">
      <c r="O8533" s="14"/>
      <c r="P8533" s="14"/>
      <c r="Q8533" s="14"/>
      <c r="R8533" s="14"/>
    </row>
    <row r="8534" spans="15:18" x14ac:dyDescent="0.3">
      <c r="O8534" s="14"/>
      <c r="P8534" s="14"/>
      <c r="Q8534" s="14"/>
      <c r="R8534" s="14"/>
    </row>
    <row r="8535" spans="15:18" x14ac:dyDescent="0.3">
      <c r="O8535" s="14"/>
      <c r="P8535" s="14"/>
      <c r="Q8535" s="14"/>
      <c r="R8535" s="14"/>
    </row>
    <row r="8536" spans="15:18" x14ac:dyDescent="0.3">
      <c r="O8536" s="14"/>
      <c r="P8536" s="14"/>
      <c r="Q8536" s="14"/>
      <c r="R8536" s="14"/>
    </row>
    <row r="8537" spans="15:18" x14ac:dyDescent="0.3">
      <c r="O8537" s="14"/>
      <c r="P8537" s="14"/>
      <c r="Q8537" s="14"/>
      <c r="R8537" s="14"/>
    </row>
    <row r="8538" spans="15:18" x14ac:dyDescent="0.3">
      <c r="O8538" s="14"/>
      <c r="P8538" s="14"/>
      <c r="Q8538" s="14"/>
      <c r="R8538" s="14"/>
    </row>
    <row r="8539" spans="15:18" x14ac:dyDescent="0.3">
      <c r="O8539" s="14"/>
      <c r="P8539" s="14"/>
      <c r="Q8539" s="14"/>
      <c r="R8539" s="14"/>
    </row>
    <row r="8540" spans="15:18" x14ac:dyDescent="0.3">
      <c r="O8540" s="14"/>
      <c r="P8540" s="14"/>
      <c r="Q8540" s="14"/>
      <c r="R8540" s="14"/>
    </row>
    <row r="8541" spans="15:18" x14ac:dyDescent="0.3">
      <c r="O8541" s="14"/>
      <c r="P8541" s="14"/>
      <c r="Q8541" s="14"/>
      <c r="R8541" s="14"/>
    </row>
    <row r="8542" spans="15:18" x14ac:dyDescent="0.3">
      <c r="O8542" s="14"/>
      <c r="P8542" s="14"/>
      <c r="Q8542" s="14"/>
      <c r="R8542" s="14"/>
    </row>
    <row r="8543" spans="15:18" x14ac:dyDescent="0.3">
      <c r="O8543" s="14"/>
      <c r="P8543" s="14"/>
      <c r="Q8543" s="14"/>
      <c r="R8543" s="14"/>
    </row>
    <row r="8544" spans="15:18" x14ac:dyDescent="0.3">
      <c r="O8544" s="14"/>
      <c r="P8544" s="14"/>
      <c r="Q8544" s="14"/>
      <c r="R8544" s="14"/>
    </row>
    <row r="8545" spans="15:18" x14ac:dyDescent="0.3">
      <c r="O8545" s="14"/>
      <c r="P8545" s="14"/>
      <c r="Q8545" s="14"/>
      <c r="R8545" s="14"/>
    </row>
    <row r="8546" spans="15:18" x14ac:dyDescent="0.3">
      <c r="O8546" s="14"/>
      <c r="P8546" s="14"/>
      <c r="Q8546" s="14"/>
      <c r="R8546" s="14"/>
    </row>
    <row r="8547" spans="15:18" x14ac:dyDescent="0.3">
      <c r="O8547" s="14"/>
      <c r="P8547" s="14"/>
      <c r="Q8547" s="14"/>
      <c r="R8547" s="14"/>
    </row>
    <row r="8548" spans="15:18" x14ac:dyDescent="0.3">
      <c r="O8548" s="14"/>
      <c r="P8548" s="14"/>
      <c r="Q8548" s="14"/>
      <c r="R8548" s="14"/>
    </row>
    <row r="8549" spans="15:18" x14ac:dyDescent="0.3">
      <c r="O8549" s="14"/>
      <c r="P8549" s="14"/>
      <c r="Q8549" s="14"/>
      <c r="R8549" s="14"/>
    </row>
    <row r="8550" spans="15:18" x14ac:dyDescent="0.3">
      <c r="O8550" s="14"/>
      <c r="P8550" s="14"/>
      <c r="Q8550" s="14"/>
      <c r="R8550" s="14"/>
    </row>
    <row r="8551" spans="15:18" x14ac:dyDescent="0.3">
      <c r="O8551" s="14"/>
      <c r="P8551" s="14"/>
      <c r="Q8551" s="14"/>
      <c r="R8551" s="14"/>
    </row>
    <row r="8552" spans="15:18" x14ac:dyDescent="0.3">
      <c r="O8552" s="14"/>
      <c r="P8552" s="14"/>
      <c r="Q8552" s="14"/>
      <c r="R8552" s="14"/>
    </row>
    <row r="8553" spans="15:18" x14ac:dyDescent="0.3">
      <c r="O8553" s="14"/>
      <c r="P8553" s="14"/>
      <c r="Q8553" s="14"/>
      <c r="R8553" s="14"/>
    </row>
    <row r="8554" spans="15:18" x14ac:dyDescent="0.3">
      <c r="O8554" s="14"/>
      <c r="P8554" s="14"/>
      <c r="Q8554" s="14"/>
      <c r="R8554" s="14"/>
    </row>
    <row r="8555" spans="15:18" x14ac:dyDescent="0.3">
      <c r="O8555" s="14"/>
      <c r="P8555" s="14"/>
      <c r="Q8555" s="14"/>
      <c r="R8555" s="14"/>
    </row>
    <row r="8556" spans="15:18" x14ac:dyDescent="0.3">
      <c r="O8556" s="14"/>
      <c r="P8556" s="14"/>
      <c r="Q8556" s="14"/>
      <c r="R8556" s="14"/>
    </row>
    <row r="8557" spans="15:18" x14ac:dyDescent="0.3">
      <c r="O8557" s="14"/>
      <c r="P8557" s="14"/>
      <c r="Q8557" s="14"/>
      <c r="R8557" s="14"/>
    </row>
    <row r="8558" spans="15:18" x14ac:dyDescent="0.3">
      <c r="O8558" s="14"/>
      <c r="P8558" s="14"/>
      <c r="Q8558" s="14"/>
      <c r="R8558" s="14"/>
    </row>
    <row r="8559" spans="15:18" x14ac:dyDescent="0.3">
      <c r="O8559" s="14"/>
      <c r="P8559" s="14"/>
      <c r="Q8559" s="14"/>
      <c r="R8559" s="14"/>
    </row>
    <row r="8560" spans="15:18" x14ac:dyDescent="0.3">
      <c r="O8560" s="14"/>
      <c r="P8560" s="14"/>
      <c r="Q8560" s="14"/>
      <c r="R8560" s="14"/>
    </row>
    <row r="8561" spans="15:18" x14ac:dyDescent="0.3">
      <c r="O8561" s="14"/>
      <c r="P8561" s="14"/>
      <c r="Q8561" s="14"/>
      <c r="R8561" s="14"/>
    </row>
    <row r="8562" spans="15:18" x14ac:dyDescent="0.3">
      <c r="O8562" s="14"/>
      <c r="P8562" s="14"/>
      <c r="Q8562" s="14"/>
      <c r="R8562" s="14"/>
    </row>
    <row r="8563" spans="15:18" x14ac:dyDescent="0.3">
      <c r="O8563" s="14"/>
      <c r="P8563" s="14"/>
      <c r="Q8563" s="14"/>
      <c r="R8563" s="14"/>
    </row>
    <row r="8564" spans="15:18" x14ac:dyDescent="0.3">
      <c r="O8564" s="14"/>
      <c r="P8564" s="14"/>
      <c r="Q8564" s="14"/>
      <c r="R8564" s="14"/>
    </row>
    <row r="8565" spans="15:18" x14ac:dyDescent="0.3">
      <c r="O8565" s="14"/>
      <c r="P8565" s="14"/>
      <c r="Q8565" s="14"/>
      <c r="R8565" s="14"/>
    </row>
    <row r="8566" spans="15:18" x14ac:dyDescent="0.3">
      <c r="O8566" s="14"/>
      <c r="P8566" s="14"/>
      <c r="Q8566" s="14"/>
      <c r="R8566" s="14"/>
    </row>
    <row r="8567" spans="15:18" x14ac:dyDescent="0.3">
      <c r="O8567" s="14"/>
      <c r="P8567" s="14"/>
      <c r="Q8567" s="14"/>
      <c r="R8567" s="14"/>
    </row>
    <row r="8568" spans="15:18" x14ac:dyDescent="0.3">
      <c r="O8568" s="14"/>
      <c r="P8568" s="14"/>
      <c r="Q8568" s="14"/>
      <c r="R8568" s="14"/>
    </row>
    <row r="8569" spans="15:18" x14ac:dyDescent="0.3">
      <c r="O8569" s="14"/>
      <c r="P8569" s="14"/>
      <c r="Q8569" s="14"/>
      <c r="R8569" s="14"/>
    </row>
    <row r="8570" spans="15:18" x14ac:dyDescent="0.3">
      <c r="O8570" s="14"/>
      <c r="P8570" s="14"/>
      <c r="Q8570" s="14"/>
      <c r="R8570" s="14"/>
    </row>
    <row r="8571" spans="15:18" x14ac:dyDescent="0.3">
      <c r="O8571" s="14"/>
      <c r="P8571" s="14"/>
      <c r="Q8571" s="14"/>
      <c r="R8571" s="14"/>
    </row>
    <row r="8572" spans="15:18" x14ac:dyDescent="0.3">
      <c r="O8572" s="14"/>
      <c r="P8572" s="14"/>
      <c r="Q8572" s="14"/>
      <c r="R8572" s="14"/>
    </row>
    <row r="8573" spans="15:18" x14ac:dyDescent="0.3">
      <c r="O8573" s="14"/>
      <c r="P8573" s="14"/>
      <c r="Q8573" s="14"/>
      <c r="R8573" s="14"/>
    </row>
    <row r="8574" spans="15:18" x14ac:dyDescent="0.3">
      <c r="O8574" s="14"/>
      <c r="P8574" s="14"/>
      <c r="Q8574" s="14"/>
      <c r="R8574" s="14"/>
    </row>
    <row r="8575" spans="15:18" x14ac:dyDescent="0.3">
      <c r="O8575" s="14"/>
      <c r="P8575" s="14"/>
      <c r="Q8575" s="14"/>
      <c r="R8575" s="14"/>
    </row>
    <row r="8576" spans="15:18" x14ac:dyDescent="0.3">
      <c r="O8576" s="14"/>
      <c r="P8576" s="14"/>
      <c r="Q8576" s="14"/>
      <c r="R8576" s="14"/>
    </row>
    <row r="8577" spans="15:18" x14ac:dyDescent="0.3">
      <c r="O8577" s="14"/>
      <c r="P8577" s="14"/>
      <c r="Q8577" s="14"/>
      <c r="R8577" s="14"/>
    </row>
    <row r="8578" spans="15:18" x14ac:dyDescent="0.3">
      <c r="O8578" s="14"/>
      <c r="P8578" s="14"/>
      <c r="Q8578" s="14"/>
      <c r="R8578" s="14"/>
    </row>
    <row r="8579" spans="15:18" x14ac:dyDescent="0.3">
      <c r="O8579" s="14"/>
      <c r="P8579" s="14"/>
      <c r="Q8579" s="14"/>
      <c r="R8579" s="14"/>
    </row>
    <row r="8580" spans="15:18" x14ac:dyDescent="0.3">
      <c r="O8580" s="14"/>
      <c r="P8580" s="14"/>
      <c r="Q8580" s="14"/>
      <c r="R8580" s="14"/>
    </row>
    <row r="8581" spans="15:18" x14ac:dyDescent="0.3">
      <c r="O8581" s="14"/>
      <c r="P8581" s="14"/>
      <c r="Q8581" s="14"/>
      <c r="R8581" s="14"/>
    </row>
    <row r="8582" spans="15:18" x14ac:dyDescent="0.3">
      <c r="O8582" s="14"/>
      <c r="P8582" s="14"/>
      <c r="Q8582" s="14"/>
      <c r="R8582" s="14"/>
    </row>
    <row r="8583" spans="15:18" x14ac:dyDescent="0.3">
      <c r="O8583" s="14"/>
      <c r="P8583" s="14"/>
      <c r="Q8583" s="14"/>
      <c r="R8583" s="14"/>
    </row>
    <row r="8584" spans="15:18" x14ac:dyDescent="0.3">
      <c r="O8584" s="14"/>
      <c r="P8584" s="14"/>
      <c r="Q8584" s="14"/>
      <c r="R8584" s="14"/>
    </row>
    <row r="8585" spans="15:18" x14ac:dyDescent="0.3">
      <c r="O8585" s="14"/>
      <c r="P8585" s="14"/>
      <c r="Q8585" s="14"/>
      <c r="R8585" s="14"/>
    </row>
    <row r="8586" spans="15:18" x14ac:dyDescent="0.3">
      <c r="O8586" s="14"/>
      <c r="P8586" s="14"/>
      <c r="Q8586" s="14"/>
      <c r="R8586" s="14"/>
    </row>
    <row r="8587" spans="15:18" x14ac:dyDescent="0.3">
      <c r="O8587" s="14"/>
      <c r="P8587" s="14"/>
      <c r="Q8587" s="14"/>
      <c r="R8587" s="14"/>
    </row>
    <row r="8588" spans="15:18" x14ac:dyDescent="0.3">
      <c r="O8588" s="14"/>
      <c r="P8588" s="14"/>
      <c r="Q8588" s="14"/>
      <c r="R8588" s="14"/>
    </row>
    <row r="8589" spans="15:18" x14ac:dyDescent="0.3">
      <c r="O8589" s="14"/>
      <c r="P8589" s="14"/>
      <c r="Q8589" s="14"/>
      <c r="R8589" s="14"/>
    </row>
    <row r="8590" spans="15:18" x14ac:dyDescent="0.3">
      <c r="O8590" s="14"/>
      <c r="P8590" s="14"/>
      <c r="Q8590" s="14"/>
      <c r="R8590" s="14"/>
    </row>
    <row r="8591" spans="15:18" x14ac:dyDescent="0.3">
      <c r="O8591" s="14"/>
      <c r="P8591" s="14"/>
      <c r="Q8591" s="14"/>
      <c r="R8591" s="14"/>
    </row>
    <row r="8592" spans="15:18" x14ac:dyDescent="0.3">
      <c r="O8592" s="14"/>
      <c r="P8592" s="14"/>
      <c r="Q8592" s="14"/>
      <c r="R8592" s="14"/>
    </row>
    <row r="8593" spans="15:18" x14ac:dyDescent="0.3">
      <c r="O8593" s="14"/>
      <c r="P8593" s="14"/>
      <c r="Q8593" s="14"/>
      <c r="R8593" s="14"/>
    </row>
    <row r="8594" spans="15:18" x14ac:dyDescent="0.3">
      <c r="O8594" s="14"/>
      <c r="P8594" s="14"/>
      <c r="Q8594" s="14"/>
      <c r="R8594" s="14"/>
    </row>
    <row r="8595" spans="15:18" x14ac:dyDescent="0.3">
      <c r="O8595" s="14"/>
      <c r="P8595" s="14"/>
      <c r="Q8595" s="14"/>
      <c r="R8595" s="14"/>
    </row>
    <row r="8596" spans="15:18" x14ac:dyDescent="0.3">
      <c r="O8596" s="14"/>
      <c r="P8596" s="14"/>
      <c r="Q8596" s="14"/>
      <c r="R8596" s="14"/>
    </row>
    <row r="8597" spans="15:18" x14ac:dyDescent="0.3">
      <c r="O8597" s="14"/>
      <c r="P8597" s="14"/>
      <c r="Q8597" s="14"/>
      <c r="R8597" s="14"/>
    </row>
    <row r="8598" spans="15:18" x14ac:dyDescent="0.3">
      <c r="O8598" s="14"/>
      <c r="P8598" s="14"/>
      <c r="Q8598" s="14"/>
      <c r="R8598" s="14"/>
    </row>
    <row r="8599" spans="15:18" x14ac:dyDescent="0.3">
      <c r="O8599" s="14"/>
      <c r="P8599" s="14"/>
      <c r="Q8599" s="14"/>
      <c r="R8599" s="14"/>
    </row>
    <row r="8600" spans="15:18" x14ac:dyDescent="0.3">
      <c r="O8600" s="14"/>
      <c r="P8600" s="14"/>
      <c r="Q8600" s="14"/>
      <c r="R8600" s="14"/>
    </row>
    <row r="8601" spans="15:18" x14ac:dyDescent="0.3">
      <c r="O8601" s="14"/>
      <c r="P8601" s="14"/>
      <c r="Q8601" s="14"/>
      <c r="R8601" s="14"/>
    </row>
    <row r="8602" spans="15:18" x14ac:dyDescent="0.3">
      <c r="O8602" s="14"/>
      <c r="P8602" s="14"/>
      <c r="Q8602" s="14"/>
      <c r="R8602" s="14"/>
    </row>
    <row r="8603" spans="15:18" x14ac:dyDescent="0.3">
      <c r="O8603" s="14"/>
      <c r="P8603" s="14"/>
      <c r="Q8603" s="14"/>
      <c r="R8603" s="14"/>
    </row>
    <row r="8604" spans="15:18" x14ac:dyDescent="0.3">
      <c r="O8604" s="14"/>
      <c r="P8604" s="14"/>
      <c r="Q8604" s="14"/>
      <c r="R8604" s="14"/>
    </row>
    <row r="8605" spans="15:18" x14ac:dyDescent="0.3">
      <c r="O8605" s="14"/>
      <c r="P8605" s="14"/>
      <c r="Q8605" s="14"/>
      <c r="R8605" s="14"/>
    </row>
    <row r="8606" spans="15:18" x14ac:dyDescent="0.3">
      <c r="O8606" s="14"/>
      <c r="P8606" s="14"/>
      <c r="Q8606" s="14"/>
      <c r="R8606" s="14"/>
    </row>
    <row r="8607" spans="15:18" x14ac:dyDescent="0.3">
      <c r="O8607" s="14"/>
      <c r="P8607" s="14"/>
      <c r="Q8607" s="14"/>
      <c r="R8607" s="14"/>
    </row>
    <row r="8608" spans="15:18" x14ac:dyDescent="0.3">
      <c r="O8608" s="14"/>
      <c r="P8608" s="14"/>
      <c r="Q8608" s="14"/>
      <c r="R8608" s="14"/>
    </row>
    <row r="8609" spans="15:18" x14ac:dyDescent="0.3">
      <c r="O8609" s="14"/>
      <c r="P8609" s="14"/>
      <c r="Q8609" s="14"/>
      <c r="R8609" s="14"/>
    </row>
    <row r="8610" spans="15:18" x14ac:dyDescent="0.3">
      <c r="O8610" s="14"/>
      <c r="P8610" s="14"/>
      <c r="Q8610" s="14"/>
      <c r="R8610" s="14"/>
    </row>
    <row r="8611" spans="15:18" x14ac:dyDescent="0.3">
      <c r="O8611" s="14"/>
      <c r="P8611" s="14"/>
      <c r="Q8611" s="14"/>
      <c r="R8611" s="14"/>
    </row>
    <row r="8612" spans="15:18" x14ac:dyDescent="0.3">
      <c r="O8612" s="14"/>
      <c r="P8612" s="14"/>
      <c r="Q8612" s="14"/>
      <c r="R8612" s="14"/>
    </row>
    <row r="8613" spans="15:18" x14ac:dyDescent="0.3">
      <c r="O8613" s="14"/>
      <c r="P8613" s="14"/>
      <c r="Q8613" s="14"/>
      <c r="R8613" s="14"/>
    </row>
    <row r="8614" spans="15:18" x14ac:dyDescent="0.3">
      <c r="O8614" s="14"/>
      <c r="P8614" s="14"/>
      <c r="Q8614" s="14"/>
      <c r="R8614" s="14"/>
    </row>
    <row r="8615" spans="15:18" x14ac:dyDescent="0.3">
      <c r="O8615" s="14"/>
      <c r="P8615" s="14"/>
      <c r="Q8615" s="14"/>
      <c r="R8615" s="14"/>
    </row>
    <row r="8616" spans="15:18" x14ac:dyDescent="0.3">
      <c r="O8616" s="14"/>
      <c r="P8616" s="14"/>
      <c r="Q8616" s="14"/>
      <c r="R8616" s="14"/>
    </row>
    <row r="8617" spans="15:18" x14ac:dyDescent="0.3">
      <c r="O8617" s="14"/>
      <c r="P8617" s="14"/>
      <c r="Q8617" s="14"/>
      <c r="R8617" s="14"/>
    </row>
    <row r="8618" spans="15:18" x14ac:dyDescent="0.3">
      <c r="O8618" s="14"/>
      <c r="P8618" s="14"/>
      <c r="Q8618" s="14"/>
      <c r="R8618" s="14"/>
    </row>
    <row r="8619" spans="15:18" x14ac:dyDescent="0.3">
      <c r="O8619" s="14"/>
      <c r="P8619" s="14"/>
      <c r="Q8619" s="14"/>
      <c r="R8619" s="14"/>
    </row>
    <row r="8620" spans="15:18" x14ac:dyDescent="0.3">
      <c r="O8620" s="14"/>
      <c r="P8620" s="14"/>
      <c r="Q8620" s="14"/>
      <c r="R8620" s="14"/>
    </row>
    <row r="8621" spans="15:18" x14ac:dyDescent="0.3">
      <c r="O8621" s="14"/>
      <c r="P8621" s="14"/>
      <c r="Q8621" s="14"/>
      <c r="R8621" s="14"/>
    </row>
    <row r="8622" spans="15:18" x14ac:dyDescent="0.3">
      <c r="O8622" s="14"/>
      <c r="P8622" s="14"/>
      <c r="Q8622" s="14"/>
      <c r="R8622" s="14"/>
    </row>
    <row r="8623" spans="15:18" x14ac:dyDescent="0.3">
      <c r="O8623" s="14"/>
      <c r="P8623" s="14"/>
      <c r="Q8623" s="14"/>
      <c r="R8623" s="14"/>
    </row>
    <row r="8624" spans="15:18" x14ac:dyDescent="0.3">
      <c r="O8624" s="14"/>
      <c r="P8624" s="14"/>
      <c r="Q8624" s="14"/>
      <c r="R8624" s="14"/>
    </row>
    <row r="8625" spans="15:18" x14ac:dyDescent="0.3">
      <c r="O8625" s="14"/>
      <c r="P8625" s="14"/>
      <c r="Q8625" s="14"/>
      <c r="R8625" s="14"/>
    </row>
    <row r="8626" spans="15:18" x14ac:dyDescent="0.3">
      <c r="O8626" s="14"/>
      <c r="P8626" s="14"/>
      <c r="Q8626" s="14"/>
      <c r="R8626" s="14"/>
    </row>
    <row r="8627" spans="15:18" x14ac:dyDescent="0.3">
      <c r="O8627" s="14"/>
      <c r="P8627" s="14"/>
      <c r="Q8627" s="14"/>
      <c r="R8627" s="14"/>
    </row>
    <row r="8628" spans="15:18" x14ac:dyDescent="0.3">
      <c r="O8628" s="14"/>
      <c r="P8628" s="14"/>
      <c r="Q8628" s="14"/>
      <c r="R8628" s="14"/>
    </row>
    <row r="8629" spans="15:18" x14ac:dyDescent="0.3">
      <c r="O8629" s="14"/>
      <c r="P8629" s="14"/>
      <c r="Q8629" s="14"/>
      <c r="R8629" s="14"/>
    </row>
    <row r="8630" spans="15:18" x14ac:dyDescent="0.3">
      <c r="O8630" s="14"/>
      <c r="P8630" s="14"/>
      <c r="Q8630" s="14"/>
      <c r="R8630" s="14"/>
    </row>
    <row r="8631" spans="15:18" x14ac:dyDescent="0.3">
      <c r="O8631" s="14"/>
      <c r="P8631" s="14"/>
      <c r="Q8631" s="14"/>
      <c r="R8631" s="14"/>
    </row>
    <row r="8632" spans="15:18" x14ac:dyDescent="0.3">
      <c r="O8632" s="14"/>
      <c r="P8632" s="14"/>
      <c r="Q8632" s="14"/>
      <c r="R8632" s="14"/>
    </row>
    <row r="8633" spans="15:18" x14ac:dyDescent="0.3">
      <c r="O8633" s="14"/>
      <c r="P8633" s="14"/>
      <c r="Q8633" s="14"/>
      <c r="R8633" s="14"/>
    </row>
    <row r="8634" spans="15:18" x14ac:dyDescent="0.3">
      <c r="O8634" s="14"/>
      <c r="P8634" s="14"/>
      <c r="Q8634" s="14"/>
      <c r="R8634" s="14"/>
    </row>
    <row r="8635" spans="15:18" x14ac:dyDescent="0.3">
      <c r="O8635" s="14"/>
      <c r="P8635" s="14"/>
      <c r="Q8635" s="14"/>
      <c r="R8635" s="14"/>
    </row>
    <row r="8636" spans="15:18" x14ac:dyDescent="0.3">
      <c r="O8636" s="14"/>
      <c r="P8636" s="14"/>
      <c r="Q8636" s="14"/>
      <c r="R8636" s="14"/>
    </row>
    <row r="8637" spans="15:18" x14ac:dyDescent="0.3">
      <c r="O8637" s="14"/>
      <c r="P8637" s="14"/>
      <c r="Q8637" s="14"/>
      <c r="R8637" s="14"/>
    </row>
    <row r="8638" spans="15:18" x14ac:dyDescent="0.3">
      <c r="O8638" s="14"/>
      <c r="P8638" s="14"/>
      <c r="Q8638" s="14"/>
      <c r="R8638" s="14"/>
    </row>
    <row r="8639" spans="15:18" x14ac:dyDescent="0.3">
      <c r="O8639" s="14"/>
      <c r="P8639" s="14"/>
      <c r="Q8639" s="14"/>
      <c r="R8639" s="14"/>
    </row>
    <row r="8640" spans="15:18" x14ac:dyDescent="0.3">
      <c r="O8640" s="14"/>
      <c r="P8640" s="14"/>
      <c r="Q8640" s="14"/>
      <c r="R8640" s="14"/>
    </row>
    <row r="8641" spans="15:18" x14ac:dyDescent="0.3">
      <c r="O8641" s="14"/>
      <c r="P8641" s="14"/>
      <c r="Q8641" s="14"/>
      <c r="R8641" s="14"/>
    </row>
    <row r="8642" spans="15:18" x14ac:dyDescent="0.3">
      <c r="O8642" s="14"/>
      <c r="P8642" s="14"/>
      <c r="Q8642" s="14"/>
      <c r="R8642" s="14"/>
    </row>
    <row r="8643" spans="15:18" x14ac:dyDescent="0.3">
      <c r="O8643" s="14"/>
      <c r="P8643" s="14"/>
      <c r="Q8643" s="14"/>
      <c r="R8643" s="14"/>
    </row>
    <row r="8644" spans="15:18" x14ac:dyDescent="0.3">
      <c r="O8644" s="14"/>
      <c r="P8644" s="14"/>
      <c r="Q8644" s="14"/>
      <c r="R8644" s="14"/>
    </row>
    <row r="8645" spans="15:18" x14ac:dyDescent="0.3">
      <c r="O8645" s="14"/>
      <c r="P8645" s="14"/>
      <c r="Q8645" s="14"/>
      <c r="R8645" s="14"/>
    </row>
    <row r="8646" spans="15:18" x14ac:dyDescent="0.3">
      <c r="O8646" s="14"/>
      <c r="P8646" s="14"/>
      <c r="Q8646" s="14"/>
      <c r="R8646" s="14"/>
    </row>
    <row r="8647" spans="15:18" x14ac:dyDescent="0.3">
      <c r="O8647" s="14"/>
      <c r="P8647" s="14"/>
      <c r="Q8647" s="14"/>
      <c r="R8647" s="14"/>
    </row>
    <row r="8648" spans="15:18" x14ac:dyDescent="0.3">
      <c r="O8648" s="14"/>
      <c r="P8648" s="14"/>
      <c r="Q8648" s="14"/>
      <c r="R8648" s="14"/>
    </row>
    <row r="8649" spans="15:18" x14ac:dyDescent="0.3">
      <c r="O8649" s="14"/>
      <c r="P8649" s="14"/>
      <c r="Q8649" s="14"/>
      <c r="R8649" s="14"/>
    </row>
    <row r="8650" spans="15:18" x14ac:dyDescent="0.3">
      <c r="O8650" s="14"/>
      <c r="P8650" s="14"/>
      <c r="Q8650" s="14"/>
      <c r="R8650" s="14"/>
    </row>
    <row r="8651" spans="15:18" x14ac:dyDescent="0.3">
      <c r="O8651" s="14"/>
      <c r="P8651" s="14"/>
      <c r="Q8651" s="14"/>
      <c r="R8651" s="14"/>
    </row>
    <row r="8652" spans="15:18" x14ac:dyDescent="0.3">
      <c r="O8652" s="14"/>
      <c r="P8652" s="14"/>
      <c r="Q8652" s="14"/>
      <c r="R8652" s="14"/>
    </row>
    <row r="8653" spans="15:18" x14ac:dyDescent="0.3">
      <c r="O8653" s="14"/>
      <c r="P8653" s="14"/>
      <c r="Q8653" s="14"/>
      <c r="R8653" s="14"/>
    </row>
    <row r="8654" spans="15:18" x14ac:dyDescent="0.3">
      <c r="O8654" s="14"/>
      <c r="P8654" s="14"/>
      <c r="Q8654" s="14"/>
      <c r="R8654" s="14"/>
    </row>
    <row r="8655" spans="15:18" x14ac:dyDescent="0.3">
      <c r="O8655" s="14"/>
      <c r="P8655" s="14"/>
      <c r="Q8655" s="14"/>
      <c r="R8655" s="14"/>
    </row>
    <row r="8656" spans="15:18" x14ac:dyDescent="0.3">
      <c r="O8656" s="14"/>
      <c r="P8656" s="14"/>
      <c r="Q8656" s="14"/>
      <c r="R8656" s="14"/>
    </row>
    <row r="8657" spans="15:18" x14ac:dyDescent="0.3">
      <c r="O8657" s="14"/>
      <c r="P8657" s="14"/>
      <c r="Q8657" s="14"/>
      <c r="R8657" s="14"/>
    </row>
    <row r="8658" spans="15:18" x14ac:dyDescent="0.3">
      <c r="O8658" s="14"/>
      <c r="P8658" s="14"/>
      <c r="Q8658" s="14"/>
      <c r="R8658" s="14"/>
    </row>
    <row r="8659" spans="15:18" x14ac:dyDescent="0.3">
      <c r="O8659" s="14"/>
      <c r="P8659" s="14"/>
      <c r="Q8659" s="14"/>
      <c r="R8659" s="14"/>
    </row>
    <row r="8660" spans="15:18" x14ac:dyDescent="0.3">
      <c r="O8660" s="14"/>
      <c r="P8660" s="14"/>
      <c r="Q8660" s="14"/>
      <c r="R8660" s="14"/>
    </row>
    <row r="8661" spans="15:18" x14ac:dyDescent="0.3">
      <c r="O8661" s="14"/>
      <c r="P8661" s="14"/>
      <c r="Q8661" s="14"/>
      <c r="R8661" s="14"/>
    </row>
    <row r="8662" spans="15:18" x14ac:dyDescent="0.3">
      <c r="O8662" s="14"/>
      <c r="P8662" s="14"/>
      <c r="Q8662" s="14"/>
      <c r="R8662" s="14"/>
    </row>
    <row r="8663" spans="15:18" x14ac:dyDescent="0.3">
      <c r="O8663" s="14"/>
      <c r="P8663" s="14"/>
      <c r="Q8663" s="14"/>
      <c r="R8663" s="14"/>
    </row>
    <row r="8664" spans="15:18" x14ac:dyDescent="0.3">
      <c r="O8664" s="14"/>
      <c r="P8664" s="14"/>
      <c r="Q8664" s="14"/>
      <c r="R8664" s="14"/>
    </row>
    <row r="8665" spans="15:18" x14ac:dyDescent="0.3">
      <c r="O8665" s="14"/>
      <c r="P8665" s="14"/>
      <c r="Q8665" s="14"/>
      <c r="R8665" s="14"/>
    </row>
    <row r="8666" spans="15:18" x14ac:dyDescent="0.3">
      <c r="O8666" s="14"/>
      <c r="P8666" s="14"/>
      <c r="Q8666" s="14"/>
      <c r="R8666" s="14"/>
    </row>
    <row r="8667" spans="15:18" x14ac:dyDescent="0.3">
      <c r="O8667" s="14"/>
      <c r="P8667" s="14"/>
      <c r="Q8667" s="14"/>
      <c r="R8667" s="14"/>
    </row>
    <row r="8668" spans="15:18" x14ac:dyDescent="0.3">
      <c r="O8668" s="14"/>
      <c r="P8668" s="14"/>
      <c r="Q8668" s="14"/>
      <c r="R8668" s="14"/>
    </row>
    <row r="8669" spans="15:18" x14ac:dyDescent="0.3">
      <c r="O8669" s="14"/>
      <c r="P8669" s="14"/>
      <c r="Q8669" s="14"/>
      <c r="R8669" s="14"/>
    </row>
    <row r="8670" spans="15:18" x14ac:dyDescent="0.3">
      <c r="O8670" s="14"/>
      <c r="P8670" s="14"/>
      <c r="Q8670" s="14"/>
      <c r="R8670" s="14"/>
    </row>
    <row r="8671" spans="15:18" x14ac:dyDescent="0.3">
      <c r="O8671" s="14"/>
      <c r="P8671" s="14"/>
      <c r="Q8671" s="14"/>
      <c r="R8671" s="14"/>
    </row>
    <row r="8672" spans="15:18" x14ac:dyDescent="0.3">
      <c r="O8672" s="14"/>
      <c r="P8672" s="14"/>
      <c r="Q8672" s="14"/>
      <c r="R8672" s="14"/>
    </row>
    <row r="8673" spans="15:18" x14ac:dyDescent="0.3">
      <c r="O8673" s="14"/>
      <c r="P8673" s="14"/>
      <c r="Q8673" s="14"/>
      <c r="R8673" s="14"/>
    </row>
    <row r="8674" spans="15:18" x14ac:dyDescent="0.3">
      <c r="O8674" s="14"/>
      <c r="P8674" s="14"/>
      <c r="Q8674" s="14"/>
      <c r="R8674" s="14"/>
    </row>
    <row r="8675" spans="15:18" x14ac:dyDescent="0.3">
      <c r="O8675" s="14"/>
      <c r="P8675" s="14"/>
      <c r="Q8675" s="14"/>
      <c r="R8675" s="14"/>
    </row>
    <row r="8676" spans="15:18" x14ac:dyDescent="0.3">
      <c r="O8676" s="14"/>
      <c r="P8676" s="14"/>
      <c r="Q8676" s="14"/>
      <c r="R8676" s="14"/>
    </row>
    <row r="8677" spans="15:18" x14ac:dyDescent="0.3">
      <c r="O8677" s="14"/>
      <c r="P8677" s="14"/>
      <c r="Q8677" s="14"/>
      <c r="R8677" s="14"/>
    </row>
    <row r="8678" spans="15:18" x14ac:dyDescent="0.3">
      <c r="O8678" s="14"/>
      <c r="P8678" s="14"/>
      <c r="Q8678" s="14"/>
      <c r="R8678" s="14"/>
    </row>
    <row r="8679" spans="15:18" x14ac:dyDescent="0.3">
      <c r="O8679" s="14"/>
      <c r="P8679" s="14"/>
      <c r="Q8679" s="14"/>
      <c r="R8679" s="14"/>
    </row>
    <row r="8680" spans="15:18" x14ac:dyDescent="0.3">
      <c r="O8680" s="14"/>
      <c r="P8680" s="14"/>
      <c r="Q8680" s="14"/>
      <c r="R8680" s="14"/>
    </row>
    <row r="8681" spans="15:18" x14ac:dyDescent="0.3">
      <c r="O8681" s="14"/>
      <c r="P8681" s="14"/>
      <c r="Q8681" s="14"/>
      <c r="R8681" s="14"/>
    </row>
    <row r="8682" spans="15:18" x14ac:dyDescent="0.3">
      <c r="O8682" s="14"/>
      <c r="P8682" s="14"/>
      <c r="Q8682" s="14"/>
      <c r="R8682" s="14"/>
    </row>
    <row r="8683" spans="15:18" x14ac:dyDescent="0.3">
      <c r="O8683" s="14"/>
      <c r="P8683" s="14"/>
      <c r="Q8683" s="14"/>
      <c r="R8683" s="14"/>
    </row>
    <row r="8684" spans="15:18" x14ac:dyDescent="0.3">
      <c r="O8684" s="14"/>
      <c r="P8684" s="14"/>
      <c r="Q8684" s="14"/>
      <c r="R8684" s="14"/>
    </row>
    <row r="8685" spans="15:18" x14ac:dyDescent="0.3">
      <c r="O8685" s="14"/>
      <c r="P8685" s="14"/>
      <c r="Q8685" s="14"/>
      <c r="R8685" s="14"/>
    </row>
    <row r="8686" spans="15:18" x14ac:dyDescent="0.3">
      <c r="O8686" s="14"/>
      <c r="P8686" s="14"/>
      <c r="Q8686" s="14"/>
      <c r="R8686" s="14"/>
    </row>
    <row r="8687" spans="15:18" x14ac:dyDescent="0.3">
      <c r="O8687" s="14"/>
      <c r="P8687" s="14"/>
      <c r="Q8687" s="14"/>
      <c r="R8687" s="14"/>
    </row>
    <row r="8688" spans="15:18" x14ac:dyDescent="0.3">
      <c r="O8688" s="14"/>
      <c r="P8688" s="14"/>
      <c r="Q8688" s="14"/>
      <c r="R8688" s="14"/>
    </row>
    <row r="8689" spans="15:18" x14ac:dyDescent="0.3">
      <c r="O8689" s="14"/>
      <c r="P8689" s="14"/>
      <c r="Q8689" s="14"/>
      <c r="R8689" s="14"/>
    </row>
    <row r="8690" spans="15:18" x14ac:dyDescent="0.3">
      <c r="O8690" s="14"/>
      <c r="P8690" s="14"/>
      <c r="Q8690" s="14"/>
      <c r="R8690" s="14"/>
    </row>
    <row r="8691" spans="15:18" x14ac:dyDescent="0.3">
      <c r="O8691" s="14"/>
      <c r="P8691" s="14"/>
      <c r="Q8691" s="14"/>
      <c r="R8691" s="14"/>
    </row>
    <row r="8692" spans="15:18" x14ac:dyDescent="0.3">
      <c r="O8692" s="14"/>
      <c r="P8692" s="14"/>
      <c r="Q8692" s="14"/>
      <c r="R8692" s="14"/>
    </row>
    <row r="8693" spans="15:18" x14ac:dyDescent="0.3">
      <c r="O8693" s="14"/>
      <c r="P8693" s="14"/>
      <c r="Q8693" s="14"/>
      <c r="R8693" s="14"/>
    </row>
    <row r="8694" spans="15:18" x14ac:dyDescent="0.3">
      <c r="O8694" s="14"/>
      <c r="P8694" s="14"/>
      <c r="Q8694" s="14"/>
      <c r="R8694" s="14"/>
    </row>
    <row r="8695" spans="15:18" x14ac:dyDescent="0.3">
      <c r="O8695" s="14"/>
      <c r="P8695" s="14"/>
      <c r="Q8695" s="14"/>
      <c r="R8695" s="14"/>
    </row>
    <row r="8696" spans="15:18" x14ac:dyDescent="0.3">
      <c r="O8696" s="14"/>
      <c r="P8696" s="14"/>
      <c r="Q8696" s="14"/>
      <c r="R8696" s="14"/>
    </row>
    <row r="8697" spans="15:18" x14ac:dyDescent="0.3">
      <c r="O8697" s="14"/>
      <c r="P8697" s="14"/>
      <c r="Q8697" s="14"/>
      <c r="R8697" s="14"/>
    </row>
    <row r="8698" spans="15:18" x14ac:dyDescent="0.3">
      <c r="O8698" s="14"/>
      <c r="P8698" s="14"/>
      <c r="Q8698" s="14"/>
      <c r="R8698" s="14"/>
    </row>
    <row r="8699" spans="15:18" x14ac:dyDescent="0.3">
      <c r="O8699" s="14"/>
      <c r="P8699" s="14"/>
      <c r="Q8699" s="14"/>
      <c r="R8699" s="14"/>
    </row>
    <row r="8700" spans="15:18" x14ac:dyDescent="0.3">
      <c r="O8700" s="14"/>
      <c r="P8700" s="14"/>
      <c r="Q8700" s="14"/>
      <c r="R8700" s="14"/>
    </row>
    <row r="8701" spans="15:18" x14ac:dyDescent="0.3">
      <c r="O8701" s="14"/>
      <c r="P8701" s="14"/>
      <c r="Q8701" s="14"/>
      <c r="R8701" s="14"/>
    </row>
    <row r="8702" spans="15:18" x14ac:dyDescent="0.3">
      <c r="O8702" s="14"/>
      <c r="P8702" s="14"/>
      <c r="Q8702" s="14"/>
      <c r="R8702" s="14"/>
    </row>
    <row r="8703" spans="15:18" x14ac:dyDescent="0.3">
      <c r="O8703" s="14"/>
      <c r="P8703" s="14"/>
      <c r="Q8703" s="14"/>
      <c r="R8703" s="14"/>
    </row>
    <row r="8704" spans="15:18" x14ac:dyDescent="0.3">
      <c r="O8704" s="14"/>
      <c r="P8704" s="14"/>
      <c r="Q8704" s="14"/>
      <c r="R8704" s="14"/>
    </row>
    <row r="8705" spans="15:18" x14ac:dyDescent="0.3">
      <c r="O8705" s="14"/>
      <c r="P8705" s="14"/>
      <c r="Q8705" s="14"/>
      <c r="R8705" s="14"/>
    </row>
    <row r="8706" spans="15:18" x14ac:dyDescent="0.3">
      <c r="O8706" s="14"/>
      <c r="P8706" s="14"/>
      <c r="Q8706" s="14"/>
      <c r="R8706" s="14"/>
    </row>
    <row r="8707" spans="15:18" x14ac:dyDescent="0.3">
      <c r="O8707" s="14"/>
      <c r="P8707" s="14"/>
      <c r="Q8707" s="14"/>
      <c r="R8707" s="14"/>
    </row>
    <row r="8708" spans="15:18" x14ac:dyDescent="0.3">
      <c r="O8708" s="14"/>
      <c r="P8708" s="14"/>
      <c r="Q8708" s="14"/>
      <c r="R8708" s="14"/>
    </row>
    <row r="8709" spans="15:18" x14ac:dyDescent="0.3">
      <c r="O8709" s="14"/>
      <c r="P8709" s="14"/>
      <c r="Q8709" s="14"/>
      <c r="R8709" s="14"/>
    </row>
    <row r="8710" spans="15:18" x14ac:dyDescent="0.3">
      <c r="O8710" s="14"/>
      <c r="P8710" s="14"/>
      <c r="Q8710" s="14"/>
      <c r="R8710" s="14"/>
    </row>
    <row r="8711" spans="15:18" x14ac:dyDescent="0.3">
      <c r="O8711" s="14"/>
      <c r="P8711" s="14"/>
      <c r="Q8711" s="14"/>
      <c r="R8711" s="14"/>
    </row>
    <row r="8712" spans="15:18" x14ac:dyDescent="0.3">
      <c r="O8712" s="14"/>
      <c r="P8712" s="14"/>
      <c r="Q8712" s="14"/>
      <c r="R8712" s="14"/>
    </row>
    <row r="8713" spans="15:18" x14ac:dyDescent="0.3">
      <c r="O8713" s="14"/>
      <c r="P8713" s="14"/>
      <c r="Q8713" s="14"/>
      <c r="R8713" s="14"/>
    </row>
    <row r="8714" spans="15:18" x14ac:dyDescent="0.3">
      <c r="O8714" s="14"/>
      <c r="P8714" s="14"/>
      <c r="Q8714" s="14"/>
      <c r="R8714" s="14"/>
    </row>
    <row r="8715" spans="15:18" x14ac:dyDescent="0.3">
      <c r="O8715" s="14"/>
      <c r="P8715" s="14"/>
      <c r="Q8715" s="14"/>
      <c r="R8715" s="14"/>
    </row>
    <row r="8716" spans="15:18" x14ac:dyDescent="0.3">
      <c r="O8716" s="14"/>
      <c r="P8716" s="14"/>
      <c r="Q8716" s="14"/>
      <c r="R8716" s="14"/>
    </row>
    <row r="8717" spans="15:18" x14ac:dyDescent="0.3">
      <c r="O8717" s="14"/>
      <c r="P8717" s="14"/>
      <c r="Q8717" s="14"/>
      <c r="R8717" s="14"/>
    </row>
    <row r="8718" spans="15:18" x14ac:dyDescent="0.3">
      <c r="O8718" s="14"/>
      <c r="P8718" s="14"/>
      <c r="Q8718" s="14"/>
      <c r="R8718" s="14"/>
    </row>
    <row r="8719" spans="15:18" x14ac:dyDescent="0.3">
      <c r="O8719" s="14"/>
      <c r="P8719" s="14"/>
      <c r="Q8719" s="14"/>
      <c r="R8719" s="14"/>
    </row>
    <row r="8720" spans="15:18" x14ac:dyDescent="0.3">
      <c r="O8720" s="14"/>
      <c r="P8720" s="14"/>
      <c r="Q8720" s="14"/>
      <c r="R8720" s="14"/>
    </row>
    <row r="8721" spans="15:18" x14ac:dyDescent="0.3">
      <c r="O8721" s="14"/>
      <c r="P8721" s="14"/>
      <c r="Q8721" s="14"/>
      <c r="R8721" s="14"/>
    </row>
    <row r="8722" spans="15:18" x14ac:dyDescent="0.3">
      <c r="O8722" s="14"/>
      <c r="P8722" s="14"/>
      <c r="Q8722" s="14"/>
      <c r="R8722" s="14"/>
    </row>
    <row r="8723" spans="15:18" x14ac:dyDescent="0.3">
      <c r="O8723" s="14"/>
      <c r="P8723" s="14"/>
      <c r="Q8723" s="14"/>
      <c r="R8723" s="14"/>
    </row>
    <row r="8724" spans="15:18" x14ac:dyDescent="0.3">
      <c r="O8724" s="14"/>
      <c r="P8724" s="14"/>
      <c r="Q8724" s="14"/>
      <c r="R8724" s="14"/>
    </row>
    <row r="8725" spans="15:18" x14ac:dyDescent="0.3">
      <c r="O8725" s="14"/>
      <c r="P8725" s="14"/>
      <c r="Q8725" s="14"/>
      <c r="R8725" s="14"/>
    </row>
    <row r="8726" spans="15:18" x14ac:dyDescent="0.3">
      <c r="O8726" s="14"/>
      <c r="P8726" s="14"/>
      <c r="Q8726" s="14"/>
      <c r="R8726" s="14"/>
    </row>
    <row r="8727" spans="15:18" x14ac:dyDescent="0.3">
      <c r="O8727" s="14"/>
      <c r="P8727" s="14"/>
      <c r="Q8727" s="14"/>
      <c r="R8727" s="14"/>
    </row>
    <row r="8728" spans="15:18" x14ac:dyDescent="0.3">
      <c r="O8728" s="14"/>
      <c r="P8728" s="14"/>
      <c r="Q8728" s="14"/>
      <c r="R8728" s="14"/>
    </row>
    <row r="8729" spans="15:18" x14ac:dyDescent="0.3">
      <c r="O8729" s="14"/>
      <c r="P8729" s="14"/>
      <c r="Q8729" s="14"/>
      <c r="R8729" s="14"/>
    </row>
    <row r="8730" spans="15:18" x14ac:dyDescent="0.3">
      <c r="O8730" s="14"/>
      <c r="P8730" s="14"/>
      <c r="Q8730" s="14"/>
      <c r="R8730" s="14"/>
    </row>
    <row r="8731" spans="15:18" x14ac:dyDescent="0.3">
      <c r="O8731" s="14"/>
      <c r="P8731" s="14"/>
      <c r="Q8731" s="14"/>
      <c r="R8731" s="14"/>
    </row>
    <row r="8732" spans="15:18" x14ac:dyDescent="0.3">
      <c r="O8732" s="14"/>
      <c r="P8732" s="14"/>
      <c r="Q8732" s="14"/>
      <c r="R8732" s="14"/>
    </row>
    <row r="8733" spans="15:18" x14ac:dyDescent="0.3">
      <c r="O8733" s="14"/>
      <c r="P8733" s="14"/>
      <c r="Q8733" s="14"/>
      <c r="R8733" s="14"/>
    </row>
    <row r="8734" spans="15:18" x14ac:dyDescent="0.3">
      <c r="O8734" s="14"/>
      <c r="P8734" s="14"/>
      <c r="Q8734" s="14"/>
      <c r="R8734" s="14"/>
    </row>
    <row r="8735" spans="15:18" x14ac:dyDescent="0.3">
      <c r="O8735" s="14"/>
      <c r="P8735" s="14"/>
      <c r="Q8735" s="14"/>
      <c r="R8735" s="14"/>
    </row>
    <row r="8736" spans="15:18" x14ac:dyDescent="0.3">
      <c r="O8736" s="14"/>
      <c r="P8736" s="14"/>
      <c r="Q8736" s="14"/>
      <c r="R8736" s="14"/>
    </row>
    <row r="8737" spans="15:18" x14ac:dyDescent="0.3">
      <c r="O8737" s="14"/>
      <c r="P8737" s="14"/>
      <c r="Q8737" s="14"/>
      <c r="R8737" s="14"/>
    </row>
    <row r="8738" spans="15:18" x14ac:dyDescent="0.3">
      <c r="O8738" s="14"/>
      <c r="P8738" s="14"/>
      <c r="Q8738" s="14"/>
      <c r="R8738" s="14"/>
    </row>
    <row r="8739" spans="15:18" x14ac:dyDescent="0.3">
      <c r="O8739" s="14"/>
      <c r="P8739" s="14"/>
      <c r="Q8739" s="14"/>
      <c r="R8739" s="14"/>
    </row>
    <row r="8740" spans="15:18" x14ac:dyDescent="0.3">
      <c r="O8740" s="14"/>
      <c r="P8740" s="14"/>
      <c r="Q8740" s="14"/>
      <c r="R8740" s="14"/>
    </row>
    <row r="8741" spans="15:18" x14ac:dyDescent="0.3">
      <c r="O8741" s="14"/>
      <c r="P8741" s="14"/>
      <c r="Q8741" s="14"/>
      <c r="R8741" s="14"/>
    </row>
    <row r="8742" spans="15:18" x14ac:dyDescent="0.3">
      <c r="O8742" s="14"/>
      <c r="P8742" s="14"/>
      <c r="Q8742" s="14"/>
      <c r="R8742" s="14"/>
    </row>
    <row r="8743" spans="15:18" x14ac:dyDescent="0.3">
      <c r="O8743" s="14"/>
      <c r="P8743" s="14"/>
      <c r="Q8743" s="14"/>
      <c r="R8743" s="14"/>
    </row>
    <row r="8744" spans="15:18" x14ac:dyDescent="0.3">
      <c r="O8744" s="14"/>
      <c r="P8744" s="14"/>
      <c r="Q8744" s="14"/>
      <c r="R8744" s="14"/>
    </row>
    <row r="8745" spans="15:18" x14ac:dyDescent="0.3">
      <c r="O8745" s="14"/>
      <c r="P8745" s="14"/>
      <c r="Q8745" s="14"/>
      <c r="R8745" s="14"/>
    </row>
    <row r="8746" spans="15:18" x14ac:dyDescent="0.3">
      <c r="O8746" s="14"/>
      <c r="P8746" s="14"/>
      <c r="Q8746" s="14"/>
      <c r="R8746" s="14"/>
    </row>
    <row r="8747" spans="15:18" x14ac:dyDescent="0.3">
      <c r="O8747" s="14"/>
      <c r="P8747" s="14"/>
      <c r="Q8747" s="14"/>
      <c r="R8747" s="14"/>
    </row>
    <row r="8748" spans="15:18" x14ac:dyDescent="0.3">
      <c r="O8748" s="14"/>
      <c r="P8748" s="14"/>
      <c r="Q8748" s="14"/>
      <c r="R8748" s="14"/>
    </row>
    <row r="8749" spans="15:18" x14ac:dyDescent="0.3">
      <c r="O8749" s="14"/>
      <c r="P8749" s="14"/>
      <c r="Q8749" s="14"/>
      <c r="R8749" s="14"/>
    </row>
    <row r="8750" spans="15:18" x14ac:dyDescent="0.3">
      <c r="O8750" s="14"/>
      <c r="P8750" s="14"/>
      <c r="Q8750" s="14"/>
      <c r="R8750" s="14"/>
    </row>
    <row r="8751" spans="15:18" x14ac:dyDescent="0.3">
      <c r="O8751" s="14"/>
      <c r="P8751" s="14"/>
      <c r="Q8751" s="14"/>
      <c r="R8751" s="14"/>
    </row>
    <row r="8752" spans="15:18" x14ac:dyDescent="0.3">
      <c r="O8752" s="14"/>
      <c r="P8752" s="14"/>
      <c r="Q8752" s="14"/>
      <c r="R8752" s="14"/>
    </row>
    <row r="8753" spans="15:18" x14ac:dyDescent="0.3">
      <c r="O8753" s="14"/>
      <c r="P8753" s="14"/>
      <c r="Q8753" s="14"/>
      <c r="R8753" s="14"/>
    </row>
    <row r="8754" spans="15:18" x14ac:dyDescent="0.3">
      <c r="O8754" s="14"/>
      <c r="P8754" s="14"/>
      <c r="Q8754" s="14"/>
      <c r="R8754" s="14"/>
    </row>
    <row r="8755" spans="15:18" x14ac:dyDescent="0.3">
      <c r="O8755" s="14"/>
      <c r="P8755" s="14"/>
      <c r="Q8755" s="14"/>
      <c r="R8755" s="14"/>
    </row>
    <row r="8756" spans="15:18" x14ac:dyDescent="0.3">
      <c r="O8756" s="14"/>
      <c r="P8756" s="14"/>
      <c r="Q8756" s="14"/>
      <c r="R8756" s="14"/>
    </row>
    <row r="8757" spans="15:18" x14ac:dyDescent="0.3">
      <c r="O8757" s="14"/>
      <c r="P8757" s="14"/>
      <c r="Q8757" s="14"/>
      <c r="R8757" s="14"/>
    </row>
    <row r="8758" spans="15:18" x14ac:dyDescent="0.3">
      <c r="O8758" s="14"/>
      <c r="P8758" s="14"/>
      <c r="Q8758" s="14"/>
      <c r="R8758" s="14"/>
    </row>
    <row r="8759" spans="15:18" x14ac:dyDescent="0.3">
      <c r="O8759" s="14"/>
      <c r="P8759" s="14"/>
      <c r="Q8759" s="14"/>
      <c r="R8759" s="14"/>
    </row>
    <row r="8760" spans="15:18" x14ac:dyDescent="0.3">
      <c r="O8760" s="14"/>
      <c r="P8760" s="14"/>
      <c r="Q8760" s="14"/>
      <c r="R8760" s="14"/>
    </row>
    <row r="8761" spans="15:18" x14ac:dyDescent="0.3">
      <c r="O8761" s="14"/>
      <c r="P8761" s="14"/>
      <c r="Q8761" s="14"/>
      <c r="R8761" s="14"/>
    </row>
    <row r="8762" spans="15:18" x14ac:dyDescent="0.3">
      <c r="O8762" s="14"/>
      <c r="P8762" s="14"/>
      <c r="Q8762" s="14"/>
      <c r="R8762" s="14"/>
    </row>
    <row r="8763" spans="15:18" x14ac:dyDescent="0.3">
      <c r="O8763" s="14"/>
      <c r="P8763" s="14"/>
      <c r="Q8763" s="14"/>
      <c r="R8763" s="14"/>
    </row>
    <row r="8764" spans="15:18" x14ac:dyDescent="0.3">
      <c r="O8764" s="14"/>
      <c r="P8764" s="14"/>
      <c r="Q8764" s="14"/>
      <c r="R8764" s="14"/>
    </row>
    <row r="8765" spans="15:18" x14ac:dyDescent="0.3">
      <c r="O8765" s="14"/>
      <c r="P8765" s="14"/>
      <c r="Q8765" s="14"/>
      <c r="R8765" s="14"/>
    </row>
    <row r="8766" spans="15:18" x14ac:dyDescent="0.3">
      <c r="O8766" s="14"/>
      <c r="P8766" s="14"/>
      <c r="Q8766" s="14"/>
      <c r="R8766" s="14"/>
    </row>
    <row r="8767" spans="15:18" x14ac:dyDescent="0.3">
      <c r="O8767" s="14"/>
      <c r="P8767" s="14"/>
      <c r="Q8767" s="14"/>
      <c r="R8767" s="14"/>
    </row>
    <row r="8768" spans="15:18" x14ac:dyDescent="0.3">
      <c r="O8768" s="14"/>
      <c r="P8768" s="14"/>
      <c r="Q8768" s="14"/>
      <c r="R8768" s="14"/>
    </row>
    <row r="8769" spans="15:18" x14ac:dyDescent="0.3">
      <c r="O8769" s="14"/>
      <c r="P8769" s="14"/>
      <c r="Q8769" s="14"/>
      <c r="R8769" s="14"/>
    </row>
    <row r="8770" spans="15:18" x14ac:dyDescent="0.3">
      <c r="O8770" s="14"/>
      <c r="P8770" s="14"/>
      <c r="Q8770" s="14"/>
      <c r="R8770" s="14"/>
    </row>
    <row r="8771" spans="15:18" x14ac:dyDescent="0.3">
      <c r="O8771" s="14"/>
      <c r="P8771" s="14"/>
      <c r="Q8771" s="14"/>
      <c r="R8771" s="14"/>
    </row>
    <row r="8772" spans="15:18" x14ac:dyDescent="0.3">
      <c r="O8772" s="14"/>
      <c r="P8772" s="14"/>
      <c r="Q8772" s="14"/>
      <c r="R8772" s="14"/>
    </row>
    <row r="8773" spans="15:18" x14ac:dyDescent="0.3">
      <c r="O8773" s="14"/>
      <c r="P8773" s="14"/>
      <c r="Q8773" s="14"/>
      <c r="R8773" s="14"/>
    </row>
    <row r="8774" spans="15:18" x14ac:dyDescent="0.3">
      <c r="O8774" s="14"/>
      <c r="P8774" s="14"/>
      <c r="Q8774" s="14"/>
      <c r="R8774" s="14"/>
    </row>
    <row r="8775" spans="15:18" x14ac:dyDescent="0.3">
      <c r="O8775" s="14"/>
      <c r="P8775" s="14"/>
      <c r="Q8775" s="14"/>
      <c r="R8775" s="14"/>
    </row>
    <row r="8776" spans="15:18" x14ac:dyDescent="0.3">
      <c r="O8776" s="14"/>
      <c r="P8776" s="14"/>
      <c r="Q8776" s="14"/>
      <c r="R8776" s="14"/>
    </row>
    <row r="8777" spans="15:18" x14ac:dyDescent="0.3">
      <c r="O8777" s="14"/>
      <c r="P8777" s="14"/>
      <c r="Q8777" s="14"/>
      <c r="R8777" s="14"/>
    </row>
    <row r="8778" spans="15:18" x14ac:dyDescent="0.3">
      <c r="O8778" s="14"/>
      <c r="P8778" s="14"/>
      <c r="Q8778" s="14"/>
      <c r="R8778" s="14"/>
    </row>
    <row r="8779" spans="15:18" x14ac:dyDescent="0.3">
      <c r="O8779" s="14"/>
      <c r="P8779" s="14"/>
      <c r="Q8779" s="14"/>
      <c r="R8779" s="14"/>
    </row>
    <row r="8780" spans="15:18" x14ac:dyDescent="0.3">
      <c r="O8780" s="14"/>
      <c r="P8780" s="14"/>
      <c r="Q8780" s="14"/>
      <c r="R8780" s="14"/>
    </row>
    <row r="8781" spans="15:18" x14ac:dyDescent="0.3">
      <c r="O8781" s="14"/>
      <c r="P8781" s="14"/>
      <c r="Q8781" s="14"/>
      <c r="R8781" s="14"/>
    </row>
    <row r="8782" spans="15:18" x14ac:dyDescent="0.3">
      <c r="O8782" s="14"/>
      <c r="P8782" s="14"/>
      <c r="Q8782" s="14"/>
      <c r="R8782" s="14"/>
    </row>
    <row r="8783" spans="15:18" x14ac:dyDescent="0.3">
      <c r="O8783" s="14"/>
      <c r="P8783" s="14"/>
      <c r="Q8783" s="14"/>
      <c r="R8783" s="14"/>
    </row>
    <row r="8784" spans="15:18" x14ac:dyDescent="0.3">
      <c r="O8784" s="14"/>
      <c r="P8784" s="14"/>
      <c r="Q8784" s="14"/>
      <c r="R8784" s="14"/>
    </row>
    <row r="8785" spans="15:18" x14ac:dyDescent="0.3">
      <c r="O8785" s="14"/>
      <c r="P8785" s="14"/>
      <c r="Q8785" s="14"/>
      <c r="R8785" s="14"/>
    </row>
    <row r="8786" spans="15:18" x14ac:dyDescent="0.3">
      <c r="O8786" s="14"/>
      <c r="P8786" s="14"/>
      <c r="Q8786" s="14"/>
      <c r="R8786" s="14"/>
    </row>
    <row r="8787" spans="15:18" x14ac:dyDescent="0.3">
      <c r="O8787" s="14"/>
      <c r="P8787" s="14"/>
      <c r="Q8787" s="14"/>
      <c r="R8787" s="14"/>
    </row>
    <row r="8788" spans="15:18" x14ac:dyDescent="0.3">
      <c r="O8788" s="14"/>
      <c r="P8788" s="14"/>
      <c r="Q8788" s="14"/>
      <c r="R8788" s="14"/>
    </row>
    <row r="8789" spans="15:18" x14ac:dyDescent="0.3">
      <c r="O8789" s="14"/>
      <c r="P8789" s="14"/>
      <c r="Q8789" s="14"/>
      <c r="R8789" s="14"/>
    </row>
    <row r="8790" spans="15:18" x14ac:dyDescent="0.3">
      <c r="O8790" s="14"/>
      <c r="P8790" s="14"/>
      <c r="Q8790" s="14"/>
      <c r="R8790" s="14"/>
    </row>
    <row r="8791" spans="15:18" x14ac:dyDescent="0.3">
      <c r="O8791" s="14"/>
      <c r="P8791" s="14"/>
      <c r="Q8791" s="14"/>
      <c r="R8791" s="14"/>
    </row>
    <row r="8792" spans="15:18" x14ac:dyDescent="0.3">
      <c r="O8792" s="14"/>
      <c r="P8792" s="14"/>
      <c r="Q8792" s="14"/>
      <c r="R8792" s="14"/>
    </row>
    <row r="8793" spans="15:18" x14ac:dyDescent="0.3">
      <c r="O8793" s="14"/>
      <c r="P8793" s="14"/>
      <c r="Q8793" s="14"/>
      <c r="R8793" s="14"/>
    </row>
    <row r="8794" spans="15:18" x14ac:dyDescent="0.3">
      <c r="O8794" s="14"/>
      <c r="P8794" s="14"/>
      <c r="Q8794" s="14"/>
      <c r="R8794" s="14"/>
    </row>
    <row r="8795" spans="15:18" x14ac:dyDescent="0.3">
      <c r="O8795" s="14"/>
      <c r="P8795" s="14"/>
      <c r="Q8795" s="14"/>
      <c r="R8795" s="14"/>
    </row>
    <row r="8796" spans="15:18" x14ac:dyDescent="0.3">
      <c r="O8796" s="14"/>
      <c r="P8796" s="14"/>
      <c r="Q8796" s="14"/>
      <c r="R8796" s="14"/>
    </row>
    <row r="8797" spans="15:18" x14ac:dyDescent="0.3">
      <c r="O8797" s="14"/>
      <c r="P8797" s="14"/>
      <c r="Q8797" s="14"/>
      <c r="R8797" s="14"/>
    </row>
    <row r="8798" spans="15:18" x14ac:dyDescent="0.3">
      <c r="O8798" s="14"/>
      <c r="P8798" s="14"/>
      <c r="Q8798" s="14"/>
      <c r="R8798" s="14"/>
    </row>
    <row r="8799" spans="15:18" x14ac:dyDescent="0.3">
      <c r="O8799" s="14"/>
      <c r="P8799" s="14"/>
      <c r="Q8799" s="14"/>
      <c r="R8799" s="14"/>
    </row>
    <row r="8800" spans="15:18" x14ac:dyDescent="0.3">
      <c r="O8800" s="14"/>
      <c r="P8800" s="14"/>
      <c r="Q8800" s="14"/>
      <c r="R8800" s="14"/>
    </row>
    <row r="8801" spans="15:18" x14ac:dyDescent="0.3">
      <c r="O8801" s="14"/>
      <c r="P8801" s="14"/>
      <c r="Q8801" s="14"/>
      <c r="R8801" s="14"/>
    </row>
    <row r="8802" spans="15:18" x14ac:dyDescent="0.3">
      <c r="O8802" s="14"/>
      <c r="P8802" s="14"/>
      <c r="Q8802" s="14"/>
      <c r="R8802" s="14"/>
    </row>
    <row r="8803" spans="15:18" x14ac:dyDescent="0.3">
      <c r="O8803" s="14"/>
      <c r="P8803" s="14"/>
      <c r="Q8803" s="14"/>
      <c r="R8803" s="14"/>
    </row>
    <row r="8804" spans="15:18" x14ac:dyDescent="0.3">
      <c r="O8804" s="14"/>
      <c r="P8804" s="14"/>
      <c r="Q8804" s="14"/>
      <c r="R8804" s="14"/>
    </row>
    <row r="8805" spans="15:18" x14ac:dyDescent="0.3">
      <c r="O8805" s="14"/>
      <c r="P8805" s="14"/>
      <c r="Q8805" s="14"/>
      <c r="R8805" s="14"/>
    </row>
    <row r="8806" spans="15:18" x14ac:dyDescent="0.3">
      <c r="O8806" s="14"/>
      <c r="P8806" s="14"/>
      <c r="Q8806" s="14"/>
      <c r="R8806" s="14"/>
    </row>
    <row r="8807" spans="15:18" x14ac:dyDescent="0.3">
      <c r="O8807" s="14"/>
      <c r="P8807" s="14"/>
      <c r="Q8807" s="14"/>
      <c r="R8807" s="14"/>
    </row>
    <row r="8808" spans="15:18" x14ac:dyDescent="0.3">
      <c r="O8808" s="14"/>
      <c r="P8808" s="14"/>
      <c r="Q8808" s="14"/>
      <c r="R8808" s="14"/>
    </row>
    <row r="8809" spans="15:18" x14ac:dyDescent="0.3">
      <c r="O8809" s="14"/>
      <c r="P8809" s="14"/>
      <c r="Q8809" s="14"/>
      <c r="R8809" s="14"/>
    </row>
    <row r="8810" spans="15:18" x14ac:dyDescent="0.3">
      <c r="O8810" s="14"/>
      <c r="P8810" s="14"/>
      <c r="Q8810" s="14"/>
      <c r="R8810" s="14"/>
    </row>
    <row r="8811" spans="15:18" x14ac:dyDescent="0.3">
      <c r="O8811" s="14"/>
      <c r="P8811" s="14"/>
      <c r="Q8811" s="14"/>
      <c r="R8811" s="14"/>
    </row>
    <row r="8812" spans="15:18" x14ac:dyDescent="0.3">
      <c r="O8812" s="14"/>
      <c r="P8812" s="14"/>
      <c r="Q8812" s="14"/>
      <c r="R8812" s="14"/>
    </row>
    <row r="8813" spans="15:18" x14ac:dyDescent="0.3">
      <c r="O8813" s="14"/>
      <c r="P8813" s="14"/>
      <c r="Q8813" s="14"/>
      <c r="R8813" s="14"/>
    </row>
    <row r="8814" spans="15:18" x14ac:dyDescent="0.3">
      <c r="O8814" s="14"/>
      <c r="P8814" s="14"/>
      <c r="Q8814" s="14"/>
      <c r="R8814" s="14"/>
    </row>
    <row r="8815" spans="15:18" x14ac:dyDescent="0.3">
      <c r="O8815" s="14"/>
      <c r="P8815" s="14"/>
      <c r="Q8815" s="14"/>
      <c r="R8815" s="14"/>
    </row>
    <row r="8816" spans="15:18" x14ac:dyDescent="0.3">
      <c r="O8816" s="14"/>
      <c r="P8816" s="14"/>
      <c r="Q8816" s="14"/>
      <c r="R8816" s="14"/>
    </row>
    <row r="8817" spans="15:18" x14ac:dyDescent="0.3">
      <c r="O8817" s="14"/>
      <c r="P8817" s="14"/>
      <c r="Q8817" s="14"/>
      <c r="R8817" s="14"/>
    </row>
    <row r="8818" spans="15:18" x14ac:dyDescent="0.3">
      <c r="O8818" s="14"/>
      <c r="P8818" s="14"/>
      <c r="Q8818" s="14"/>
      <c r="R8818" s="14"/>
    </row>
    <row r="8819" spans="15:18" x14ac:dyDescent="0.3">
      <c r="O8819" s="14"/>
      <c r="P8819" s="14"/>
      <c r="Q8819" s="14"/>
      <c r="R8819" s="14"/>
    </row>
    <row r="8820" spans="15:18" x14ac:dyDescent="0.3">
      <c r="O8820" s="14"/>
      <c r="P8820" s="14"/>
      <c r="Q8820" s="14"/>
      <c r="R8820" s="14"/>
    </row>
    <row r="8821" spans="15:18" x14ac:dyDescent="0.3">
      <c r="O8821" s="14"/>
      <c r="P8821" s="14"/>
      <c r="Q8821" s="14"/>
      <c r="R8821" s="14"/>
    </row>
    <row r="8822" spans="15:18" x14ac:dyDescent="0.3">
      <c r="O8822" s="14"/>
      <c r="P8822" s="14"/>
      <c r="Q8822" s="14"/>
      <c r="R8822" s="14"/>
    </row>
    <row r="8823" spans="15:18" x14ac:dyDescent="0.3">
      <c r="O8823" s="14"/>
      <c r="P8823" s="14"/>
      <c r="Q8823" s="14"/>
      <c r="R8823" s="14"/>
    </row>
    <row r="8824" spans="15:18" x14ac:dyDescent="0.3">
      <c r="O8824" s="14"/>
      <c r="P8824" s="14"/>
      <c r="Q8824" s="14"/>
      <c r="R8824" s="14"/>
    </row>
    <row r="8825" spans="15:18" x14ac:dyDescent="0.3">
      <c r="O8825" s="14"/>
      <c r="P8825" s="14"/>
      <c r="Q8825" s="14"/>
      <c r="R8825" s="14"/>
    </row>
    <row r="8826" spans="15:18" x14ac:dyDescent="0.3">
      <c r="O8826" s="14"/>
      <c r="P8826" s="14"/>
      <c r="Q8826" s="14"/>
      <c r="R8826" s="14"/>
    </row>
    <row r="8827" spans="15:18" x14ac:dyDescent="0.3">
      <c r="O8827" s="14"/>
      <c r="P8827" s="14"/>
      <c r="Q8827" s="14"/>
      <c r="R8827" s="14"/>
    </row>
    <row r="8828" spans="15:18" x14ac:dyDescent="0.3">
      <c r="O8828" s="14"/>
      <c r="P8828" s="14"/>
      <c r="Q8828" s="14"/>
      <c r="R8828" s="14"/>
    </row>
    <row r="8829" spans="15:18" x14ac:dyDescent="0.3">
      <c r="O8829" s="14"/>
      <c r="P8829" s="14"/>
      <c r="Q8829" s="14"/>
      <c r="R8829" s="14"/>
    </row>
    <row r="8830" spans="15:18" x14ac:dyDescent="0.3">
      <c r="O8830" s="14"/>
      <c r="P8830" s="14"/>
      <c r="Q8830" s="14"/>
      <c r="R8830" s="14"/>
    </row>
    <row r="8831" spans="15:18" x14ac:dyDescent="0.3">
      <c r="O8831" s="14"/>
      <c r="P8831" s="14"/>
      <c r="Q8831" s="14"/>
      <c r="R8831" s="14"/>
    </row>
    <row r="8832" spans="15:18" x14ac:dyDescent="0.3">
      <c r="O8832" s="14"/>
      <c r="P8832" s="14"/>
      <c r="Q8832" s="14"/>
      <c r="R8832" s="14"/>
    </row>
    <row r="8833" spans="15:18" x14ac:dyDescent="0.3">
      <c r="O8833" s="14"/>
      <c r="P8833" s="14"/>
      <c r="Q8833" s="14"/>
      <c r="R8833" s="14"/>
    </row>
    <row r="8834" spans="15:18" x14ac:dyDescent="0.3">
      <c r="O8834" s="14"/>
      <c r="P8834" s="14"/>
      <c r="Q8834" s="14"/>
      <c r="R8834" s="14"/>
    </row>
    <row r="8835" spans="15:18" x14ac:dyDescent="0.3">
      <c r="O8835" s="14"/>
      <c r="P8835" s="14"/>
      <c r="Q8835" s="14"/>
      <c r="R8835" s="14"/>
    </row>
    <row r="8836" spans="15:18" x14ac:dyDescent="0.3">
      <c r="O8836" s="14"/>
      <c r="P8836" s="14"/>
      <c r="Q8836" s="14"/>
      <c r="R8836" s="14"/>
    </row>
    <row r="8837" spans="15:18" x14ac:dyDescent="0.3">
      <c r="O8837" s="14"/>
      <c r="P8837" s="14"/>
      <c r="Q8837" s="14"/>
      <c r="R8837" s="14"/>
    </row>
    <row r="8838" spans="15:18" x14ac:dyDescent="0.3">
      <c r="O8838" s="14"/>
      <c r="P8838" s="14"/>
      <c r="Q8838" s="14"/>
      <c r="R8838" s="14"/>
    </row>
    <row r="8839" spans="15:18" x14ac:dyDescent="0.3">
      <c r="O8839" s="14"/>
      <c r="P8839" s="14"/>
      <c r="Q8839" s="14"/>
      <c r="R8839" s="14"/>
    </row>
    <row r="8840" spans="15:18" x14ac:dyDescent="0.3">
      <c r="O8840" s="14"/>
      <c r="P8840" s="14"/>
      <c r="Q8840" s="14"/>
      <c r="R8840" s="14"/>
    </row>
    <row r="8841" spans="15:18" x14ac:dyDescent="0.3">
      <c r="O8841" s="14"/>
      <c r="P8841" s="14"/>
      <c r="Q8841" s="14"/>
      <c r="R8841" s="14"/>
    </row>
    <row r="8842" spans="15:18" x14ac:dyDescent="0.3">
      <c r="O8842" s="14"/>
      <c r="P8842" s="14"/>
      <c r="Q8842" s="14"/>
      <c r="R8842" s="14"/>
    </row>
    <row r="8843" spans="15:18" x14ac:dyDescent="0.3">
      <c r="O8843" s="14"/>
      <c r="P8843" s="14"/>
      <c r="Q8843" s="14"/>
      <c r="R8843" s="14"/>
    </row>
    <row r="8844" spans="15:18" x14ac:dyDescent="0.3">
      <c r="O8844" s="14"/>
      <c r="P8844" s="14"/>
      <c r="Q8844" s="14"/>
      <c r="R8844" s="14"/>
    </row>
    <row r="8845" spans="15:18" x14ac:dyDescent="0.3">
      <c r="O8845" s="14"/>
      <c r="P8845" s="14"/>
      <c r="Q8845" s="14"/>
      <c r="R8845" s="14"/>
    </row>
    <row r="8846" spans="15:18" x14ac:dyDescent="0.3">
      <c r="O8846" s="14"/>
      <c r="P8846" s="14"/>
      <c r="Q8846" s="14"/>
      <c r="R8846" s="14"/>
    </row>
    <row r="8847" spans="15:18" x14ac:dyDescent="0.3">
      <c r="O8847" s="14"/>
      <c r="P8847" s="14"/>
      <c r="Q8847" s="14"/>
      <c r="R8847" s="14"/>
    </row>
    <row r="8848" spans="15:18" x14ac:dyDescent="0.3">
      <c r="O8848" s="14"/>
      <c r="P8848" s="14"/>
      <c r="Q8848" s="14"/>
      <c r="R8848" s="14"/>
    </row>
    <row r="8849" spans="15:18" x14ac:dyDescent="0.3">
      <c r="O8849" s="14"/>
      <c r="P8849" s="14"/>
      <c r="Q8849" s="14"/>
      <c r="R8849" s="14"/>
    </row>
    <row r="8850" spans="15:18" x14ac:dyDescent="0.3">
      <c r="O8850" s="14"/>
      <c r="P8850" s="14"/>
      <c r="Q8850" s="14"/>
      <c r="R8850" s="14"/>
    </row>
    <row r="8851" spans="15:18" x14ac:dyDescent="0.3">
      <c r="O8851" s="14"/>
      <c r="P8851" s="14"/>
      <c r="Q8851" s="14"/>
      <c r="R8851" s="14"/>
    </row>
    <row r="8852" spans="15:18" x14ac:dyDescent="0.3">
      <c r="O8852" s="14"/>
      <c r="P8852" s="14"/>
      <c r="Q8852" s="14"/>
      <c r="R8852" s="14"/>
    </row>
    <row r="8853" spans="15:18" x14ac:dyDescent="0.3">
      <c r="O8853" s="14"/>
      <c r="P8853" s="14"/>
      <c r="Q8853" s="14"/>
      <c r="R8853" s="14"/>
    </row>
    <row r="8854" spans="15:18" x14ac:dyDescent="0.3">
      <c r="O8854" s="14"/>
      <c r="P8854" s="14"/>
      <c r="Q8854" s="14"/>
      <c r="R8854" s="14"/>
    </row>
    <row r="8855" spans="15:18" x14ac:dyDescent="0.3">
      <c r="O8855" s="14"/>
      <c r="P8855" s="14"/>
      <c r="Q8855" s="14"/>
      <c r="R8855" s="14"/>
    </row>
    <row r="8856" spans="15:18" x14ac:dyDescent="0.3">
      <c r="O8856" s="14"/>
      <c r="P8856" s="14"/>
      <c r="Q8856" s="14"/>
      <c r="R8856" s="14"/>
    </row>
    <row r="8857" spans="15:18" x14ac:dyDescent="0.3">
      <c r="O8857" s="14"/>
      <c r="P8857" s="14"/>
      <c r="Q8857" s="14"/>
      <c r="R8857" s="14"/>
    </row>
    <row r="8858" spans="15:18" x14ac:dyDescent="0.3">
      <c r="O8858" s="14"/>
      <c r="P8858" s="14"/>
      <c r="Q8858" s="14"/>
      <c r="R8858" s="14"/>
    </row>
    <row r="8859" spans="15:18" x14ac:dyDescent="0.3">
      <c r="O8859" s="14"/>
      <c r="P8859" s="14"/>
      <c r="Q8859" s="14"/>
      <c r="R8859" s="14"/>
    </row>
    <row r="8860" spans="15:18" x14ac:dyDescent="0.3">
      <c r="O8860" s="14"/>
      <c r="P8860" s="14"/>
      <c r="Q8860" s="14"/>
      <c r="R8860" s="14"/>
    </row>
    <row r="8861" spans="15:18" x14ac:dyDescent="0.3">
      <c r="O8861" s="14"/>
      <c r="P8861" s="14"/>
      <c r="Q8861" s="14"/>
      <c r="R8861" s="14"/>
    </row>
    <row r="8862" spans="15:18" x14ac:dyDescent="0.3">
      <c r="O8862" s="14"/>
      <c r="P8862" s="14"/>
      <c r="Q8862" s="14"/>
      <c r="R8862" s="14"/>
    </row>
    <row r="8863" spans="15:18" x14ac:dyDescent="0.3">
      <c r="O8863" s="14"/>
      <c r="P8863" s="14"/>
      <c r="Q8863" s="14"/>
      <c r="R8863" s="14"/>
    </row>
    <row r="8864" spans="15:18" x14ac:dyDescent="0.3">
      <c r="O8864" s="14"/>
      <c r="P8864" s="14"/>
      <c r="Q8864" s="14"/>
      <c r="R8864" s="14"/>
    </row>
    <row r="8865" spans="15:18" x14ac:dyDescent="0.3">
      <c r="O8865" s="14"/>
      <c r="P8865" s="14"/>
      <c r="Q8865" s="14"/>
      <c r="R8865" s="14"/>
    </row>
    <row r="8866" spans="15:18" x14ac:dyDescent="0.3">
      <c r="O8866" s="14"/>
      <c r="P8866" s="14"/>
      <c r="Q8866" s="14"/>
      <c r="R8866" s="14"/>
    </row>
    <row r="8867" spans="15:18" x14ac:dyDescent="0.3">
      <c r="O8867" s="14"/>
      <c r="P8867" s="14"/>
      <c r="Q8867" s="14"/>
      <c r="R8867" s="14"/>
    </row>
    <row r="8868" spans="15:18" x14ac:dyDescent="0.3">
      <c r="O8868" s="14"/>
      <c r="P8868" s="14"/>
      <c r="Q8868" s="14"/>
      <c r="R8868" s="14"/>
    </row>
    <row r="8869" spans="15:18" x14ac:dyDescent="0.3">
      <c r="O8869" s="14"/>
      <c r="P8869" s="14"/>
      <c r="Q8869" s="14"/>
      <c r="R8869" s="14"/>
    </row>
    <row r="8870" spans="15:18" x14ac:dyDescent="0.3">
      <c r="O8870" s="14"/>
      <c r="P8870" s="14"/>
      <c r="Q8870" s="14"/>
      <c r="R8870" s="14"/>
    </row>
    <row r="8871" spans="15:18" x14ac:dyDescent="0.3">
      <c r="O8871" s="14"/>
      <c r="P8871" s="14"/>
      <c r="Q8871" s="14"/>
      <c r="R8871" s="14"/>
    </row>
    <row r="8872" spans="15:18" x14ac:dyDescent="0.3">
      <c r="O8872" s="14"/>
      <c r="P8872" s="14"/>
      <c r="Q8872" s="14"/>
      <c r="R8872" s="14"/>
    </row>
    <row r="8873" spans="15:18" x14ac:dyDescent="0.3">
      <c r="O8873" s="14"/>
      <c r="P8873" s="14"/>
      <c r="Q8873" s="14"/>
      <c r="R8873" s="14"/>
    </row>
    <row r="8874" spans="15:18" x14ac:dyDescent="0.3">
      <c r="O8874" s="14"/>
      <c r="P8874" s="14"/>
      <c r="Q8874" s="14"/>
      <c r="R8874" s="14"/>
    </row>
    <row r="8875" spans="15:18" x14ac:dyDescent="0.3">
      <c r="O8875" s="14"/>
      <c r="P8875" s="14"/>
      <c r="Q8875" s="14"/>
      <c r="R8875" s="14"/>
    </row>
    <row r="8876" spans="15:18" x14ac:dyDescent="0.3">
      <c r="O8876" s="14"/>
      <c r="P8876" s="14"/>
      <c r="Q8876" s="14"/>
      <c r="R8876" s="14"/>
    </row>
    <row r="8877" spans="15:18" x14ac:dyDescent="0.3">
      <c r="O8877" s="14"/>
      <c r="P8877" s="14"/>
      <c r="Q8877" s="14"/>
      <c r="R8877" s="14"/>
    </row>
    <row r="8878" spans="15:18" x14ac:dyDescent="0.3">
      <c r="O8878" s="14"/>
      <c r="P8878" s="14"/>
      <c r="Q8878" s="14"/>
      <c r="R8878" s="14"/>
    </row>
    <row r="8879" spans="15:18" x14ac:dyDescent="0.3">
      <c r="O8879" s="14"/>
      <c r="P8879" s="14"/>
      <c r="Q8879" s="14"/>
      <c r="R8879" s="14"/>
    </row>
    <row r="8880" spans="15:18" x14ac:dyDescent="0.3">
      <c r="O8880" s="14"/>
      <c r="P8880" s="14"/>
      <c r="Q8880" s="14"/>
      <c r="R8880" s="14"/>
    </row>
    <row r="8881" spans="15:18" x14ac:dyDescent="0.3">
      <c r="O8881" s="14"/>
      <c r="P8881" s="14"/>
      <c r="Q8881" s="14"/>
      <c r="R8881" s="14"/>
    </row>
    <row r="8882" spans="15:18" x14ac:dyDescent="0.3">
      <c r="O8882" s="14"/>
      <c r="P8882" s="14"/>
      <c r="Q8882" s="14"/>
      <c r="R8882" s="14"/>
    </row>
    <row r="8883" spans="15:18" x14ac:dyDescent="0.3">
      <c r="O8883" s="14"/>
      <c r="P8883" s="14"/>
      <c r="Q8883" s="14"/>
      <c r="R8883" s="14"/>
    </row>
    <row r="8884" spans="15:18" x14ac:dyDescent="0.3">
      <c r="O8884" s="14"/>
      <c r="P8884" s="14"/>
      <c r="Q8884" s="14"/>
      <c r="R8884" s="14"/>
    </row>
    <row r="8885" spans="15:18" x14ac:dyDescent="0.3">
      <c r="O8885" s="14"/>
      <c r="P8885" s="14"/>
      <c r="Q8885" s="14"/>
      <c r="R8885" s="14"/>
    </row>
    <row r="8886" spans="15:18" x14ac:dyDescent="0.3">
      <c r="O8886" s="14"/>
      <c r="P8886" s="14"/>
      <c r="Q8886" s="14"/>
      <c r="R8886" s="14"/>
    </row>
    <row r="8887" spans="15:18" x14ac:dyDescent="0.3">
      <c r="O8887" s="14"/>
      <c r="P8887" s="14"/>
      <c r="Q8887" s="14"/>
      <c r="R8887" s="14"/>
    </row>
    <row r="8888" spans="15:18" x14ac:dyDescent="0.3">
      <c r="O8888" s="14"/>
      <c r="P8888" s="14"/>
      <c r="Q8888" s="14"/>
      <c r="R8888" s="14"/>
    </row>
    <row r="8889" spans="15:18" x14ac:dyDescent="0.3">
      <c r="O8889" s="14"/>
      <c r="P8889" s="14"/>
      <c r="Q8889" s="14"/>
      <c r="R8889" s="14"/>
    </row>
    <row r="8890" spans="15:18" x14ac:dyDescent="0.3">
      <c r="O8890" s="14"/>
      <c r="P8890" s="14"/>
      <c r="Q8890" s="14"/>
      <c r="R8890" s="14"/>
    </row>
    <row r="8891" spans="15:18" x14ac:dyDescent="0.3">
      <c r="O8891" s="14"/>
      <c r="P8891" s="14"/>
      <c r="Q8891" s="14"/>
      <c r="R8891" s="14"/>
    </row>
    <row r="8892" spans="15:18" x14ac:dyDescent="0.3">
      <c r="O8892" s="14"/>
      <c r="P8892" s="14"/>
      <c r="Q8892" s="14"/>
      <c r="R8892" s="14"/>
    </row>
    <row r="8893" spans="15:18" x14ac:dyDescent="0.3">
      <c r="O8893" s="14"/>
      <c r="P8893" s="14"/>
      <c r="Q8893" s="14"/>
      <c r="R8893" s="14"/>
    </row>
    <row r="8894" spans="15:18" x14ac:dyDescent="0.3">
      <c r="O8894" s="14"/>
      <c r="P8894" s="14"/>
      <c r="Q8894" s="14"/>
      <c r="R8894" s="14"/>
    </row>
    <row r="8895" spans="15:18" x14ac:dyDescent="0.3">
      <c r="O8895" s="14"/>
      <c r="P8895" s="14"/>
      <c r="Q8895" s="14"/>
      <c r="R8895" s="14"/>
    </row>
    <row r="8896" spans="15:18" x14ac:dyDescent="0.3">
      <c r="O8896" s="14"/>
      <c r="P8896" s="14"/>
      <c r="Q8896" s="14"/>
      <c r="R8896" s="14"/>
    </row>
    <row r="8897" spans="15:18" x14ac:dyDescent="0.3">
      <c r="O8897" s="14"/>
      <c r="P8897" s="14"/>
      <c r="Q8897" s="14"/>
      <c r="R8897" s="14"/>
    </row>
    <row r="8898" spans="15:18" x14ac:dyDescent="0.3">
      <c r="O8898" s="14"/>
      <c r="P8898" s="14"/>
      <c r="Q8898" s="14"/>
      <c r="R8898" s="14"/>
    </row>
    <row r="8899" spans="15:18" x14ac:dyDescent="0.3">
      <c r="O8899" s="14"/>
      <c r="P8899" s="14"/>
      <c r="Q8899" s="14"/>
      <c r="R8899" s="14"/>
    </row>
    <row r="8900" spans="15:18" x14ac:dyDescent="0.3">
      <c r="O8900" s="14"/>
      <c r="P8900" s="14"/>
      <c r="Q8900" s="14"/>
      <c r="R8900" s="14"/>
    </row>
    <row r="8901" spans="15:18" x14ac:dyDescent="0.3">
      <c r="O8901" s="14"/>
      <c r="P8901" s="14"/>
      <c r="Q8901" s="14"/>
      <c r="R8901" s="14"/>
    </row>
    <row r="8902" spans="15:18" x14ac:dyDescent="0.3">
      <c r="O8902" s="14"/>
      <c r="P8902" s="14"/>
      <c r="Q8902" s="14"/>
      <c r="R8902" s="14"/>
    </row>
    <row r="8903" spans="15:18" x14ac:dyDescent="0.3">
      <c r="O8903" s="14"/>
      <c r="P8903" s="14"/>
      <c r="Q8903" s="14"/>
      <c r="R8903" s="14"/>
    </row>
    <row r="8904" spans="15:18" x14ac:dyDescent="0.3">
      <c r="O8904" s="14"/>
      <c r="P8904" s="14"/>
      <c r="Q8904" s="14"/>
      <c r="R8904" s="14"/>
    </row>
    <row r="8905" spans="15:18" x14ac:dyDescent="0.3">
      <c r="O8905" s="14"/>
      <c r="P8905" s="14"/>
      <c r="Q8905" s="14"/>
      <c r="R8905" s="14"/>
    </row>
    <row r="8906" spans="15:18" x14ac:dyDescent="0.3">
      <c r="O8906" s="14"/>
      <c r="P8906" s="14"/>
      <c r="Q8906" s="14"/>
      <c r="R8906" s="14"/>
    </row>
    <row r="8907" spans="15:18" x14ac:dyDescent="0.3">
      <c r="O8907" s="14"/>
      <c r="P8907" s="14"/>
      <c r="Q8907" s="14"/>
      <c r="R8907" s="14"/>
    </row>
    <row r="8908" spans="15:18" x14ac:dyDescent="0.3">
      <c r="O8908" s="14"/>
      <c r="P8908" s="14"/>
      <c r="Q8908" s="14"/>
      <c r="R8908" s="14"/>
    </row>
    <row r="8909" spans="15:18" x14ac:dyDescent="0.3">
      <c r="O8909" s="14"/>
      <c r="P8909" s="14"/>
      <c r="Q8909" s="14"/>
      <c r="R8909" s="14"/>
    </row>
    <row r="8910" spans="15:18" x14ac:dyDescent="0.3">
      <c r="O8910" s="14"/>
      <c r="P8910" s="14"/>
      <c r="Q8910" s="14"/>
      <c r="R8910" s="14"/>
    </row>
    <row r="8911" spans="15:18" x14ac:dyDescent="0.3">
      <c r="O8911" s="14"/>
      <c r="P8911" s="14"/>
      <c r="Q8911" s="14"/>
      <c r="R8911" s="14"/>
    </row>
    <row r="8912" spans="15:18" x14ac:dyDescent="0.3">
      <c r="O8912" s="14"/>
      <c r="P8912" s="14"/>
      <c r="Q8912" s="14"/>
      <c r="R8912" s="14"/>
    </row>
    <row r="8913" spans="15:18" x14ac:dyDescent="0.3">
      <c r="O8913" s="14"/>
      <c r="P8913" s="14"/>
      <c r="Q8913" s="14"/>
      <c r="R8913" s="14"/>
    </row>
    <row r="8914" spans="15:18" x14ac:dyDescent="0.3">
      <c r="O8914" s="14"/>
      <c r="P8914" s="14"/>
      <c r="Q8914" s="14"/>
      <c r="R8914" s="14"/>
    </row>
    <row r="8915" spans="15:18" x14ac:dyDescent="0.3">
      <c r="O8915" s="14"/>
      <c r="P8915" s="14"/>
      <c r="Q8915" s="14"/>
      <c r="R8915" s="14"/>
    </row>
    <row r="8916" spans="15:18" x14ac:dyDescent="0.3">
      <c r="O8916" s="14"/>
      <c r="P8916" s="14"/>
      <c r="Q8916" s="14"/>
      <c r="R8916" s="14"/>
    </row>
    <row r="8917" spans="15:18" x14ac:dyDescent="0.3">
      <c r="O8917" s="14"/>
      <c r="P8917" s="14"/>
      <c r="Q8917" s="14"/>
      <c r="R8917" s="14"/>
    </row>
    <row r="8918" spans="15:18" x14ac:dyDescent="0.3">
      <c r="O8918" s="14"/>
      <c r="P8918" s="14"/>
      <c r="Q8918" s="14"/>
      <c r="R8918" s="14"/>
    </row>
    <row r="8919" spans="15:18" x14ac:dyDescent="0.3">
      <c r="O8919" s="14"/>
      <c r="P8919" s="14"/>
      <c r="Q8919" s="14"/>
      <c r="R8919" s="14"/>
    </row>
    <row r="8920" spans="15:18" x14ac:dyDescent="0.3">
      <c r="O8920" s="14"/>
      <c r="P8920" s="14"/>
      <c r="Q8920" s="14"/>
      <c r="R8920" s="14"/>
    </row>
    <row r="8921" spans="15:18" x14ac:dyDescent="0.3">
      <c r="O8921" s="14"/>
      <c r="P8921" s="14"/>
      <c r="Q8921" s="14"/>
      <c r="R8921" s="14"/>
    </row>
    <row r="8922" spans="15:18" x14ac:dyDescent="0.3">
      <c r="O8922" s="14"/>
      <c r="P8922" s="14"/>
      <c r="Q8922" s="14"/>
      <c r="R8922" s="14"/>
    </row>
    <row r="8923" spans="15:18" x14ac:dyDescent="0.3">
      <c r="O8923" s="14"/>
      <c r="P8923" s="14"/>
      <c r="Q8923" s="14"/>
      <c r="R8923" s="14"/>
    </row>
    <row r="8924" spans="15:18" x14ac:dyDescent="0.3">
      <c r="O8924" s="14"/>
      <c r="P8924" s="14"/>
      <c r="Q8924" s="14"/>
      <c r="R8924" s="14"/>
    </row>
    <row r="8925" spans="15:18" x14ac:dyDescent="0.3">
      <c r="O8925" s="14"/>
      <c r="P8925" s="14"/>
      <c r="Q8925" s="14"/>
      <c r="R8925" s="14"/>
    </row>
    <row r="8926" spans="15:18" x14ac:dyDescent="0.3">
      <c r="O8926" s="14"/>
      <c r="P8926" s="14"/>
      <c r="Q8926" s="14"/>
      <c r="R8926" s="14"/>
    </row>
    <row r="8927" spans="15:18" x14ac:dyDescent="0.3">
      <c r="O8927" s="14"/>
      <c r="P8927" s="14"/>
      <c r="Q8927" s="14"/>
      <c r="R8927" s="14"/>
    </row>
    <row r="8928" spans="15:18" x14ac:dyDescent="0.3">
      <c r="O8928" s="14"/>
      <c r="P8928" s="14"/>
      <c r="Q8928" s="14"/>
      <c r="R8928" s="14"/>
    </row>
    <row r="8929" spans="15:18" x14ac:dyDescent="0.3">
      <c r="O8929" s="14"/>
      <c r="P8929" s="14"/>
      <c r="Q8929" s="14"/>
      <c r="R8929" s="14"/>
    </row>
    <row r="8930" spans="15:18" x14ac:dyDescent="0.3">
      <c r="O8930" s="14"/>
      <c r="P8930" s="14"/>
      <c r="Q8930" s="14"/>
      <c r="R8930" s="14"/>
    </row>
    <row r="8931" spans="15:18" x14ac:dyDescent="0.3">
      <c r="O8931" s="14"/>
      <c r="P8931" s="14"/>
      <c r="Q8931" s="14"/>
      <c r="R8931" s="14"/>
    </row>
    <row r="8932" spans="15:18" x14ac:dyDescent="0.3">
      <c r="O8932" s="14"/>
      <c r="P8932" s="14"/>
      <c r="Q8932" s="14"/>
      <c r="R8932" s="14"/>
    </row>
    <row r="8933" spans="15:18" x14ac:dyDescent="0.3">
      <c r="O8933" s="14"/>
      <c r="P8933" s="14"/>
      <c r="Q8933" s="14"/>
      <c r="R8933" s="14"/>
    </row>
    <row r="8934" spans="15:18" x14ac:dyDescent="0.3">
      <c r="O8934" s="14"/>
      <c r="P8934" s="14"/>
      <c r="Q8934" s="14"/>
      <c r="R8934" s="14"/>
    </row>
    <row r="8935" spans="15:18" x14ac:dyDescent="0.3">
      <c r="O8935" s="14"/>
      <c r="P8935" s="14"/>
      <c r="Q8935" s="14"/>
      <c r="R8935" s="14"/>
    </row>
    <row r="8936" spans="15:18" x14ac:dyDescent="0.3">
      <c r="O8936" s="14"/>
      <c r="P8936" s="14"/>
      <c r="Q8936" s="14"/>
      <c r="R8936" s="14"/>
    </row>
    <row r="8937" spans="15:18" x14ac:dyDescent="0.3">
      <c r="O8937" s="14"/>
      <c r="P8937" s="14"/>
      <c r="Q8937" s="14"/>
      <c r="R8937" s="14"/>
    </row>
    <row r="8938" spans="15:18" x14ac:dyDescent="0.3">
      <c r="O8938" s="14"/>
      <c r="P8938" s="14"/>
      <c r="Q8938" s="14"/>
      <c r="R8938" s="14"/>
    </row>
    <row r="8939" spans="15:18" x14ac:dyDescent="0.3">
      <c r="O8939" s="14"/>
      <c r="P8939" s="14"/>
      <c r="Q8939" s="14"/>
      <c r="R8939" s="14"/>
    </row>
    <row r="8940" spans="15:18" x14ac:dyDescent="0.3">
      <c r="O8940" s="14"/>
      <c r="P8940" s="14"/>
      <c r="Q8940" s="14"/>
      <c r="R8940" s="14"/>
    </row>
    <row r="8941" spans="15:18" x14ac:dyDescent="0.3">
      <c r="O8941" s="14"/>
      <c r="P8941" s="14"/>
      <c r="Q8941" s="14"/>
      <c r="R8941" s="14"/>
    </row>
    <row r="8942" spans="15:18" x14ac:dyDescent="0.3">
      <c r="O8942" s="14"/>
      <c r="P8942" s="14"/>
      <c r="Q8942" s="14"/>
      <c r="R8942" s="14"/>
    </row>
    <row r="8943" spans="15:18" x14ac:dyDescent="0.3">
      <c r="O8943" s="14"/>
      <c r="P8943" s="14"/>
      <c r="Q8943" s="14"/>
      <c r="R8943" s="14"/>
    </row>
    <row r="8944" spans="15:18" x14ac:dyDescent="0.3">
      <c r="O8944" s="14"/>
      <c r="P8944" s="14"/>
      <c r="Q8944" s="14"/>
      <c r="R8944" s="14"/>
    </row>
    <row r="8945" spans="15:18" x14ac:dyDescent="0.3">
      <c r="O8945" s="14"/>
      <c r="P8945" s="14"/>
      <c r="Q8945" s="14"/>
      <c r="R8945" s="14"/>
    </row>
    <row r="8946" spans="15:18" x14ac:dyDescent="0.3">
      <c r="O8946" s="14"/>
      <c r="P8946" s="14"/>
      <c r="Q8946" s="14"/>
      <c r="R8946" s="14"/>
    </row>
    <row r="8947" spans="15:18" x14ac:dyDescent="0.3">
      <c r="O8947" s="14"/>
      <c r="P8947" s="14"/>
      <c r="Q8947" s="14"/>
      <c r="R8947" s="14"/>
    </row>
    <row r="8948" spans="15:18" x14ac:dyDescent="0.3">
      <c r="O8948" s="14"/>
      <c r="P8948" s="14"/>
      <c r="Q8948" s="14"/>
      <c r="R8948" s="14"/>
    </row>
    <row r="8949" spans="15:18" x14ac:dyDescent="0.3">
      <c r="O8949" s="14"/>
      <c r="P8949" s="14"/>
      <c r="Q8949" s="14"/>
      <c r="R8949" s="14"/>
    </row>
    <row r="8950" spans="15:18" x14ac:dyDescent="0.3">
      <c r="O8950" s="14"/>
      <c r="P8950" s="14"/>
      <c r="Q8950" s="14"/>
      <c r="R8950" s="14"/>
    </row>
    <row r="8951" spans="15:18" x14ac:dyDescent="0.3">
      <c r="O8951" s="14"/>
      <c r="P8951" s="14"/>
      <c r="Q8951" s="14"/>
      <c r="R8951" s="14"/>
    </row>
  </sheetData>
  <mergeCells count="12">
    <mergeCell ref="V20:W20"/>
    <mergeCell ref="V2:W2"/>
    <mergeCell ref="V6:W6"/>
    <mergeCell ref="V11:W11"/>
    <mergeCell ref="V12:W12"/>
    <mergeCell ref="V13:W13"/>
    <mergeCell ref="V14:W14"/>
    <mergeCell ref="V15:W15"/>
    <mergeCell ref="V17:W17"/>
    <mergeCell ref="V16:W16"/>
    <mergeCell ref="V18:W18"/>
    <mergeCell ref="V19:W19"/>
  </mergeCell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C9C11-A32E-4068-8178-78C300BBFFB8}">
  <dimension ref="A1"/>
  <sheetViews>
    <sheetView zoomScale="70" zoomScaleNormal="70" workbookViewId="0">
      <selection activeCell="V15" sqref="V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9EA795-6367-4BC1-B452-76304495FC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Sheet6</vt:lpstr>
      <vt:lpstr>Sheet7</vt:lpstr>
      <vt:lpstr>Sheet8</vt:lpstr>
      <vt:lpstr>Sheet9</vt:lpstr>
      <vt:lpstr>Sheet10</vt:lpstr>
      <vt:lpstr>Sheet11</vt:lpstr>
      <vt:lpstr>Sheet14</vt:lpstr>
      <vt:lpstr>anova</vt:lpstr>
      <vt:lpstr>regression</vt:lpstr>
      <vt:lpstr>Human_Resources_2015_2024</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athulnath</dc:creator>
  <cp:lastModifiedBy>Athulnath S</cp:lastModifiedBy>
  <dcterms:created xsi:type="dcterms:W3CDTF">2025-04-06T16:49:06Z</dcterms:created>
  <dcterms:modified xsi:type="dcterms:W3CDTF">2026-01-16T05:41:21Z</dcterms:modified>
</cp:coreProperties>
</file>